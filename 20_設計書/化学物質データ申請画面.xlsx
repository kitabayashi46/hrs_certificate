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comments3.xml" ContentType="application/vnd.openxmlformats-officedocument.spreadsheetml.comments+xml"/>
  <Override PartName="/xl/drawings/drawing6.xml" ContentType="application/vnd.openxmlformats-officedocument.drawing+xml"/>
  <Override PartName="/xl/comments4.xml" ContentType="application/vnd.openxmlformats-officedocument.spreadsheetml.comments+xml"/>
  <Override PartName="/xl/drawings/drawing7.xml" ContentType="application/vnd.openxmlformats-officedocument.drawing+xml"/>
  <Override PartName="/xl/comments5.xml" ContentType="application/vnd.openxmlformats-officedocument.spreadsheetml.comments+xml"/>
  <Override PartName="/xl/drawings/drawing8.xml" ContentType="application/vnd.openxmlformats-officedocument.drawing+xml"/>
  <Override PartName="/xl/comments6.xml" ContentType="application/vnd.openxmlformats-officedocument.spreadsheetml.comments+xml"/>
  <Override PartName="/xl/drawings/drawing9.xml" ContentType="application/vnd.openxmlformats-officedocument.drawing+xml"/>
  <Override PartName="/xl/comments7.xml" ContentType="application/vnd.openxmlformats-officedocument.spreadsheetml.comments+xml"/>
  <Override PartName="/xl/drawings/drawing10.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3D32115C-3D7F-4A9A-9E69-983CFBF90895}" xr6:coauthVersionLast="47" xr6:coauthVersionMax="47" xr10:uidLastSave="{00000000-0000-0000-0000-000000000000}"/>
  <bookViews>
    <workbookView xWindow="28680" yWindow="-120" windowWidth="29040" windowHeight="15720" tabRatio="859" xr2:uid="{00000000-000D-0000-FFFF-FFFF00000000}"/>
  </bookViews>
  <sheets>
    <sheet name="表紙" sheetId="2" r:id="rId1"/>
    <sheet name="変更来歴" sheetId="3" r:id="rId2"/>
    <sheet name="化学物質データ画面(日本語)" sheetId="77" state="hidden" r:id="rId3"/>
    <sheet name="化学物質データ申請画面(日英併記)" sheetId="74" r:id="rId4"/>
    <sheet name="画面項目" sheetId="70" r:id="rId5"/>
    <sheet name="入力チェック" sheetId="78" r:id="rId6"/>
    <sheet name="選択画面" sheetId="63" state="hidden" r:id="rId7"/>
    <sheet name="円(PPM)" sheetId="16" state="hidden" r:id="rId8"/>
    <sheet name="円(技術原計)" sheetId="59" state="hidden" r:id="rId9"/>
    <sheet name="円(コリア原計)" sheetId="61" state="hidden" r:id="rId10"/>
    <sheet name="外貨(PPM)" sheetId="64" state="hidden" r:id="rId11"/>
    <sheet name="外貨(技術原計)" sheetId="65" state="hidden" r:id="rId12"/>
    <sheet name="外貨(コリア原計)" sheetId="66" state="hidden" r:id="rId13"/>
  </sheets>
  <definedNames>
    <definedName name="_2a1_" localSheetId="5" hidden="1">{"'Sheet1'!$A$3:$I$11"}</definedName>
    <definedName name="_2a1_" hidden="1">{"'Sheet1'!$A$3:$I$11"}</definedName>
    <definedName name="_a1" localSheetId="5" hidden="1">{"'Sheet1'!$A$3:$I$11"}</definedName>
    <definedName name="_a1" hidden="1">{"'Sheet1'!$A$3:$I$11"}</definedName>
    <definedName name="_Order1" hidden="1">255</definedName>
    <definedName name="a" localSheetId="5" hidden="1">{"'Sheet1'!$A$3:$I$11"}</definedName>
    <definedName name="a" hidden="1">{"'Sheet1'!$A$3:$I$11"}</definedName>
    <definedName name="AAA" localSheetId="5" hidden="1">{"'Sheet1'!$A$3:$I$11"}</definedName>
    <definedName name="AAA" hidden="1">{"'Sheet1'!$A$3:$I$11"}</definedName>
    <definedName name="aaaa" localSheetId="5" hidden="1">{"'Sheet1'!$A$3:$I$11"}</definedName>
    <definedName name="aaaa" hidden="1">{"'Sheet1'!$A$3:$I$11"}</definedName>
    <definedName name="b" localSheetId="5" hidden="1">{"'Sheet1'!$A$3:$I$11"}</definedName>
    <definedName name="b" hidden="1">{"'Sheet1'!$A$3:$I$11"}</definedName>
    <definedName name="bb" localSheetId="5" hidden="1">{"'Sheet1'!$A$3:$I$11"}</definedName>
    <definedName name="bb" hidden="1">{"'Sheet1'!$A$3:$I$11"}</definedName>
    <definedName name="bbb" localSheetId="5" hidden="1">{"'Sheet1'!$A$3:$I$11"}</definedName>
    <definedName name="bbb" hidden="1">{"'Sheet1'!$A$3:$I$11"}</definedName>
    <definedName name="bbbb" localSheetId="5" hidden="1">{"'Sheet1'!$A$3:$I$11"}</definedName>
    <definedName name="bbbb" hidden="1">{"'Sheet1'!$A$3:$I$11"}</definedName>
    <definedName name="f" localSheetId="5" hidden="1">{"'Sheet1'!$A$3:$I$11"}</definedName>
    <definedName name="f" hidden="1">{"'Sheet1'!$A$3:$I$11"}</definedName>
    <definedName name="ff" localSheetId="5" hidden="1">{"'Sheet1'!$A$3:$I$11"}</definedName>
    <definedName name="ff" hidden="1">{"'Sheet1'!$A$3:$I$11"}</definedName>
    <definedName name="HTML_CodePage" hidden="1">932</definedName>
    <definedName name="HTML_Control" localSheetId="5" hidden="1">{"'Sheet1'!$A$3:$I$11"}</definedName>
    <definedName name="HTML_Control" hidden="1">{"'Sheet1'!$A$3:$I$11"}</definedName>
    <definedName name="HTML_Control2" localSheetId="5"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localSheetId="5" hidden="1">{"'Sheet1'!$A$3:$I$11"}</definedName>
    <definedName name="i" hidden="1">{"'Sheet1'!$A$3:$I$11"}</definedName>
    <definedName name="IBD00110チェック仕様" localSheetId="5" hidden="1">{"'Sheet1'!$A$3:$I$11"}</definedName>
    <definedName name="IBD00110チェック仕様" hidden="1">{"'Sheet1'!$A$3:$I$11"}</definedName>
    <definedName name="IBE09000チェック仕様" localSheetId="5" hidden="1">{"'Sheet1'!$A$3:$I$11"}</definedName>
    <definedName name="IBE09000チェック仕様" hidden="1">{"'Sheet1'!$A$3:$I$11"}</definedName>
    <definedName name="ooo" localSheetId="5" hidden="1">{"'Sheet1'!$A$3:$I$11"}</definedName>
    <definedName name="ooo" hidden="1">{"'Sheet1'!$A$3:$I$11"}</definedName>
    <definedName name="_xlnm.Print_Area" localSheetId="7">'円(PPM)'!$A$1:$BC$106</definedName>
    <definedName name="_xlnm.Print_Area" localSheetId="9">'円(コリア原計)'!$A$1:$BC$116</definedName>
    <definedName name="_xlnm.Print_Area" localSheetId="8">'円(技術原計)'!$A$1:$BC$106</definedName>
    <definedName name="_xlnm.Print_Area" localSheetId="2">'化学物質データ画面(日本語)'!$A$1:$BC$66</definedName>
    <definedName name="_xlnm.Print_Area" localSheetId="3">'化学物質データ申請画面(日英併記)'!$A$1:$BC$68</definedName>
    <definedName name="_xlnm.Print_Area" localSheetId="4">画面項目!$A$1:$CS$17</definedName>
    <definedName name="_xlnm.Print_Area" localSheetId="10">'外貨(PPM)'!$A$1:$BC$150</definedName>
    <definedName name="_xlnm.Print_Area" localSheetId="12">'外貨(コリア原計)'!$A$1:$BC$113</definedName>
    <definedName name="_xlnm.Print_Area" localSheetId="11">'外貨(技術原計)'!$A$1:$BC$117</definedName>
    <definedName name="_xlnm.Print_Area" localSheetId="6">選択画面!$A$1:$BC$41</definedName>
    <definedName name="_xlnm.Print_Area" localSheetId="5">入力チェック!$A$1:$DZ$19</definedName>
    <definedName name="_xlnm.Print_Area" localSheetId="0">表紙!$A$1:$I$36</definedName>
    <definedName name="s" localSheetId="5" hidden="1">{"'Sheet1'!$A$3:$I$11"}</definedName>
    <definedName name="s" hidden="1">{"'Sheet1'!$A$3:$I$11"}</definedName>
    <definedName name="txtDatabaseName">"テキスト 8"</definedName>
    <definedName name="txtTableName">"テキスト 2"</definedName>
    <definedName name="txtUserName">"テキスト 4"</definedName>
    <definedName name="vvvv" localSheetId="5" hidden="1">{"'Sheet1'!$A$3:$I$11"}</definedName>
    <definedName name="vvvv" hidden="1">{"'Sheet1'!$A$3:$I$11"}</definedName>
    <definedName name="wew" localSheetId="5" hidden="1">{"'Sheet1'!$A$3:$I$11"}</definedName>
    <definedName name="wew" hidden="1">{"'Sheet1'!$A$3:$I$11"}</definedName>
    <definedName name="ああ" localSheetId="5" hidden="1">{"'Sheet1'!$A$3:$I$11"}</definedName>
    <definedName name="ああ" hidden="1">{"'Sheet1'!$A$3:$I$11"}</definedName>
    <definedName name="ささ" localSheetId="5" hidden="1">{"'Sheet1'!$A$3:$I$11"}</definedName>
    <definedName name="ささ" hidden="1">{"'Sheet1'!$A$3:$I$11"}</definedName>
    <definedName name="仮単価発注" localSheetId="5" hidden="1">{"'Sheet1'!$A$3:$I$11"}</definedName>
    <definedName name="仮単価発注" hidden="1">{"'Sheet1'!$A$3:$I$11"}</definedName>
    <definedName name="荷札イレギュラー" localSheetId="5" hidden="1">{"'Sheet1'!$A$3:$I$11"}</definedName>
    <definedName name="荷札イレギュラー" hidden="1">{"'Sheet1'!$A$3:$I$11"}</definedName>
    <definedName name="画面遷移new" localSheetId="4" hidden="1">{"'画面仕様'!$C$22:$BY$40","'画面仕様'!$C$28:$BY$39"}</definedName>
    <definedName name="画面遷移new" localSheetId="5"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7" l="1"/>
  <c r="AA3" i="77"/>
  <c r="M3" i="77"/>
  <c r="A3" i="77"/>
  <c r="AZ2" i="77"/>
  <c r="M2" i="77"/>
  <c r="AV1" i="77"/>
  <c r="AN1" i="77"/>
  <c r="AA1" i="77"/>
  <c r="M1" i="77"/>
  <c r="A5" i="74"/>
  <c r="AA3" i="74"/>
  <c r="M3" i="74"/>
  <c r="A3" i="74"/>
  <c r="AZ2" i="74"/>
  <c r="M2" i="74"/>
  <c r="AV1" i="74"/>
  <c r="AN1" i="74"/>
  <c r="AA1" i="74"/>
  <c r="M1" i="74"/>
  <c r="AV3" i="77"/>
  <c r="AV2" i="74"/>
  <c r="AN2" i="77"/>
  <c r="AV3" i="74"/>
  <c r="AN2" i="74"/>
  <c r="AV2" i="77"/>
  <c r="BM58" i="66" l="1"/>
  <c r="AB70" i="65" l="1"/>
  <c r="AB69" i="65"/>
  <c r="AB65" i="65"/>
  <c r="AB64" i="65"/>
  <c r="X73" i="61"/>
  <c r="X69" i="61"/>
  <c r="AB74" i="65" l="1"/>
  <c r="AK65" i="61"/>
  <c r="BE64" i="66" l="1"/>
  <c r="AB75" i="65"/>
  <c r="X70" i="61"/>
  <c r="AG61" i="59" l="1"/>
  <c r="AG64" i="59"/>
  <c r="AS64" i="66" l="1"/>
  <c r="BA65" i="61"/>
  <c r="X74" i="61"/>
  <c r="BA58" i="59"/>
  <c r="D64" i="66"/>
  <c r="D65" i="65"/>
  <c r="D64" i="65"/>
  <c r="D81" i="64"/>
  <c r="D80" i="64"/>
  <c r="D65" i="61"/>
  <c r="D58" i="59"/>
  <c r="D57" i="59"/>
  <c r="D59" i="16"/>
  <c r="D58" i="16"/>
  <c r="BA57" i="59"/>
  <c r="BA64" i="66" l="1"/>
  <c r="AB64" i="66"/>
  <c r="BM64" i="66" s="1"/>
  <c r="CB64" i="66"/>
  <c r="BU64" i="66"/>
  <c r="BQ64" i="66"/>
  <c r="BI64" i="66"/>
  <c r="AO64" i="66"/>
  <c r="AW64" i="66" s="1"/>
  <c r="AK64" i="66"/>
  <c r="AF64" i="66"/>
  <c r="X64" i="66"/>
  <c r="T64" i="66"/>
  <c r="J64" i="66"/>
  <c r="F64" i="66"/>
  <c r="BY64" i="66"/>
  <c r="A5" i="66"/>
  <c r="AA3" i="66"/>
  <c r="M3" i="66"/>
  <c r="A3" i="66"/>
  <c r="AZ2" i="66"/>
  <c r="M2" i="66"/>
  <c r="AV1" i="66"/>
  <c r="AN1" i="66"/>
  <c r="AA1" i="66"/>
  <c r="M1" i="66"/>
  <c r="BY65" i="65"/>
  <c r="BY64" i="65"/>
  <c r="BU65" i="65"/>
  <c r="BM65" i="65"/>
  <c r="BI65" i="65"/>
  <c r="BE65" i="65"/>
  <c r="AS65" i="65"/>
  <c r="BQ65" i="65" s="1"/>
  <c r="AO65" i="65"/>
  <c r="AK65" i="65"/>
  <c r="AF65" i="65"/>
  <c r="X65" i="65"/>
  <c r="T65" i="65"/>
  <c r="J65" i="65"/>
  <c r="F65" i="65"/>
  <c r="BU64" i="65"/>
  <c r="BM64" i="65"/>
  <c r="BI64" i="65"/>
  <c r="BE64" i="65"/>
  <c r="AS64" i="65"/>
  <c r="BQ64" i="65" s="1"/>
  <c r="AO64" i="65"/>
  <c r="AK64" i="65"/>
  <c r="AF64" i="65"/>
  <c r="X64" i="65"/>
  <c r="X70" i="65" s="1"/>
  <c r="T64" i="65"/>
  <c r="J64" i="65"/>
  <c r="F64" i="65"/>
  <c r="CC65" i="65"/>
  <c r="CC64" i="65"/>
  <c r="A5" i="65"/>
  <c r="AA3" i="65"/>
  <c r="M3" i="65"/>
  <c r="A3" i="65"/>
  <c r="AZ2" i="65"/>
  <c r="M2" i="65"/>
  <c r="AV1" i="65"/>
  <c r="AN1" i="65"/>
  <c r="AA1" i="65"/>
  <c r="M1" i="65"/>
  <c r="AV3" i="66"/>
  <c r="AV2" i="65"/>
  <c r="AV2" i="66"/>
  <c r="AN2" i="65"/>
  <c r="AV3" i="65"/>
  <c r="AN2" i="66"/>
  <c r="BA64" i="65" l="1"/>
  <c r="BA65" i="65"/>
  <c r="AS71" i="66"/>
  <c r="AB71" i="66"/>
  <c r="X71" i="66"/>
  <c r="AF71" i="66" s="1"/>
  <c r="AK71" i="66" s="1"/>
  <c r="X67" i="66"/>
  <c r="AS67" i="66"/>
  <c r="AB67" i="66"/>
  <c r="AS74" i="65"/>
  <c r="AW74" i="65"/>
  <c r="X74" i="65"/>
  <c r="AF74" i="65" s="1"/>
  <c r="AK74" i="65" s="1"/>
  <c r="BA74" i="65"/>
  <c r="BA69" i="65"/>
  <c r="AW69" i="65"/>
  <c r="AS69" i="65"/>
  <c r="X69" i="65"/>
  <c r="AF69" i="65" s="1"/>
  <c r="AK69" i="65" s="1"/>
  <c r="AS68" i="66"/>
  <c r="AB68" i="66"/>
  <c r="X68" i="66"/>
  <c r="AS72" i="66"/>
  <c r="AB72" i="66"/>
  <c r="X72" i="66"/>
  <c r="AS75" i="65"/>
  <c r="AF70" i="65"/>
  <c r="AK70" i="65" s="1"/>
  <c r="BA70" i="65"/>
  <c r="AW75" i="65"/>
  <c r="BA75" i="65"/>
  <c r="AW70" i="65"/>
  <c r="AS70" i="65"/>
  <c r="X75" i="65"/>
  <c r="AW65" i="65"/>
  <c r="AW64" i="65"/>
  <c r="AO67" i="66" l="1"/>
  <c r="AO71" i="66"/>
  <c r="AF67" i="66"/>
  <c r="AK67" i="66" s="1"/>
  <c r="AO74" i="65"/>
  <c r="BE69" i="65"/>
  <c r="BE74" i="65"/>
  <c r="AO69" i="65"/>
  <c r="AF72" i="66"/>
  <c r="AK72" i="66" s="1"/>
  <c r="AF68" i="66"/>
  <c r="AK68" i="66" s="1"/>
  <c r="AO68" i="66"/>
  <c r="AO70" i="65"/>
  <c r="BE70" i="65"/>
  <c r="BE75" i="65"/>
  <c r="AO72" i="66"/>
  <c r="AO75" i="65"/>
  <c r="AF75" i="65"/>
  <c r="AK75" i="65" s="1"/>
  <c r="BI81" i="64" l="1"/>
  <c r="BY81" i="64"/>
  <c r="BY80" i="64"/>
  <c r="BU81" i="64"/>
  <c r="BU80" i="64"/>
  <c r="BM81" i="64"/>
  <c r="BM80" i="64"/>
  <c r="BI80" i="64"/>
  <c r="BE81" i="64"/>
  <c r="BE80" i="64"/>
  <c r="AS81" i="64"/>
  <c r="BQ81" i="64" s="1"/>
  <c r="AS80" i="64"/>
  <c r="BQ80" i="64" s="1"/>
  <c r="AO81" i="64"/>
  <c r="AO80" i="64"/>
  <c r="AF81" i="64"/>
  <c r="AF80" i="64"/>
  <c r="AB81" i="64"/>
  <c r="AB80" i="64"/>
  <c r="AK81" i="64"/>
  <c r="AK80" i="64"/>
  <c r="T81" i="64"/>
  <c r="T80" i="64"/>
  <c r="BG57" i="64"/>
  <c r="BG56" i="64"/>
  <c r="AW80" i="64" l="1"/>
  <c r="BA80" i="64" s="1"/>
  <c r="AW81" i="64"/>
  <c r="BA81" i="64" s="1"/>
  <c r="CF81" i="64"/>
  <c r="CC81" i="64"/>
  <c r="X81" i="64"/>
  <c r="J81" i="64"/>
  <c r="F81" i="64"/>
  <c r="CF80" i="64"/>
  <c r="CC80" i="64"/>
  <c r="X80" i="64"/>
  <c r="J80" i="64"/>
  <c r="F80" i="64"/>
  <c r="A5" i="64"/>
  <c r="AA3" i="64"/>
  <c r="M3" i="64"/>
  <c r="A3" i="64"/>
  <c r="AZ2" i="64"/>
  <c r="M2" i="64"/>
  <c r="AV1" i="64"/>
  <c r="AN1" i="64"/>
  <c r="AA1" i="64"/>
  <c r="M1" i="64"/>
  <c r="A5" i="63"/>
  <c r="AA3" i="63"/>
  <c r="M3" i="63"/>
  <c r="A3" i="63"/>
  <c r="AZ2" i="63"/>
  <c r="M2" i="63"/>
  <c r="AV1" i="63"/>
  <c r="AN1" i="63"/>
  <c r="AA1" i="63"/>
  <c r="M1" i="63"/>
  <c r="BE65" i="61"/>
  <c r="AO65" i="61"/>
  <c r="AG65" i="61"/>
  <c r="AB65" i="61"/>
  <c r="X65" i="61"/>
  <c r="J58" i="59"/>
  <c r="F58" i="59"/>
  <c r="J57" i="59"/>
  <c r="F57" i="59"/>
  <c r="J59" i="16"/>
  <c r="F59" i="16"/>
  <c r="J58" i="16"/>
  <c r="F58" i="16"/>
  <c r="J65" i="61"/>
  <c r="F65" i="61"/>
  <c r="AW65" i="61"/>
  <c r="T65" i="61"/>
  <c r="A5" i="61"/>
  <c r="AA3" i="61"/>
  <c r="M3" i="61"/>
  <c r="A3" i="61"/>
  <c r="AZ2" i="61"/>
  <c r="M2" i="61"/>
  <c r="AV1" i="61"/>
  <c r="AN1" i="61"/>
  <c r="AA1" i="61"/>
  <c r="M1" i="61"/>
  <c r="X58" i="59"/>
  <c r="X57" i="59"/>
  <c r="BA59" i="16"/>
  <c r="BA58" i="16"/>
  <c r="AO58" i="59"/>
  <c r="AO57" i="59"/>
  <c r="BH58" i="59"/>
  <c r="BE58" i="59"/>
  <c r="AK58" i="59"/>
  <c r="AG58" i="59"/>
  <c r="AB58" i="59"/>
  <c r="T58" i="59"/>
  <c r="BH57" i="59"/>
  <c r="BE57" i="59"/>
  <c r="AK57" i="59"/>
  <c r="AG57" i="59"/>
  <c r="AB57" i="59"/>
  <c r="T57" i="59"/>
  <c r="A5" i="59"/>
  <c r="AA3" i="59"/>
  <c r="M3" i="59"/>
  <c r="A3" i="59"/>
  <c r="AZ2" i="59"/>
  <c r="M2" i="59"/>
  <c r="AV1" i="59"/>
  <c r="AN1" i="59"/>
  <c r="AA1" i="59"/>
  <c r="M1" i="59"/>
  <c r="AN2" i="61"/>
  <c r="AV2" i="59"/>
  <c r="AV3" i="59"/>
  <c r="AV3" i="63"/>
  <c r="AN2" i="63"/>
  <c r="AV3" i="64"/>
  <c r="AN2" i="64"/>
  <c r="AV3" i="61"/>
  <c r="AV2" i="61"/>
  <c r="AV2" i="63"/>
  <c r="AN2" i="59"/>
  <c r="AV2" i="64"/>
  <c r="AS73" i="61" l="1"/>
  <c r="T73" i="61"/>
  <c r="AG73" i="61" s="1"/>
  <c r="AK73" i="61" s="1"/>
  <c r="AS69" i="61"/>
  <c r="T69" i="61"/>
  <c r="AG69" i="61" s="1"/>
  <c r="AK69" i="61" s="1"/>
  <c r="X90" i="64"/>
  <c r="BA90" i="64"/>
  <c r="AW90" i="64"/>
  <c r="AB90" i="64"/>
  <c r="AS90" i="64"/>
  <c r="X85" i="64"/>
  <c r="BA85" i="64"/>
  <c r="AW85" i="64"/>
  <c r="AS85" i="64"/>
  <c r="AB85" i="64"/>
  <c r="X91" i="64"/>
  <c r="AB86" i="64"/>
  <c r="AB91" i="64"/>
  <c r="AW86" i="64"/>
  <c r="AW91" i="64"/>
  <c r="BA86" i="64"/>
  <c r="AS86" i="64"/>
  <c r="BA91" i="64"/>
  <c r="AS91" i="64"/>
  <c r="X86" i="64"/>
  <c r="T70" i="61"/>
  <c r="AG70" i="61" s="1"/>
  <c r="AK70" i="61" s="1"/>
  <c r="AS70" i="61"/>
  <c r="AS74" i="61"/>
  <c r="T74" i="61"/>
  <c r="AG74" i="61" s="1"/>
  <c r="AK74" i="61" s="1"/>
  <c r="AB61" i="59"/>
  <c r="AK61" i="59" s="1"/>
  <c r="AO61" i="59" s="1"/>
  <c r="BA61" i="59"/>
  <c r="AW61" i="59"/>
  <c r="AW64" i="59"/>
  <c r="AS65" i="61"/>
  <c r="AS58" i="59"/>
  <c r="AS57" i="59"/>
  <c r="BA64" i="59"/>
  <c r="AB64" i="59"/>
  <c r="AK64" i="59" s="1"/>
  <c r="AO64" i="59" s="1"/>
  <c r="AO90" i="64" l="1"/>
  <c r="AO69" i="61"/>
  <c r="AO73" i="61"/>
  <c r="AF90" i="64"/>
  <c r="AK90" i="64" s="1"/>
  <c r="BE85" i="64"/>
  <c r="BE90" i="64"/>
  <c r="AO85" i="64"/>
  <c r="AF86" i="64"/>
  <c r="AK86" i="64" s="1"/>
  <c r="AF85" i="64"/>
  <c r="AK85" i="64" s="1"/>
  <c r="AO91" i="64"/>
  <c r="AO86" i="64"/>
  <c r="BE86" i="64"/>
  <c r="BE91" i="64"/>
  <c r="AF91" i="64"/>
  <c r="AK91" i="64" s="1"/>
  <c r="AO70" i="61"/>
  <c r="AS61" i="59"/>
  <c r="AO74" i="61"/>
  <c r="AS64" i="59"/>
  <c r="X59" i="16" l="1"/>
  <c r="X58" i="16"/>
  <c r="BE59" i="16"/>
  <c r="BE58" i="16"/>
  <c r="BH59" i="16"/>
  <c r="BH58" i="16"/>
  <c r="AK59" i="16"/>
  <c r="AK58" i="16"/>
  <c r="AG59" i="16"/>
  <c r="AG58" i="16"/>
  <c r="T59" i="16"/>
  <c r="T58" i="16"/>
  <c r="AB59" i="16"/>
  <c r="AB58" i="16"/>
  <c r="AB62" i="16" l="1"/>
  <c r="AK62" i="16" s="1"/>
  <c r="AO62" i="16" s="1"/>
  <c r="AW62" i="16"/>
  <c r="BA62" i="16"/>
  <c r="AG62" i="16"/>
  <c r="AW65" i="16"/>
  <c r="AG65" i="16"/>
  <c r="AO58" i="16"/>
  <c r="AO59" i="16"/>
  <c r="BA65" i="16"/>
  <c r="AB65" i="16"/>
  <c r="AK65" i="16" s="1"/>
  <c r="AO65" i="16" s="1"/>
  <c r="AS58" i="16"/>
  <c r="AS59" i="16"/>
  <c r="AS62" i="16" l="1"/>
  <c r="AS65" i="16"/>
  <c r="AA3" i="16" l="1"/>
  <c r="AA1" i="16" l="1"/>
  <c r="AN1" i="16" l="1"/>
  <c r="AV1" i="16"/>
  <c r="AT1" i="3"/>
  <c r="AV2" i="16"/>
  <c r="AN2" i="16"/>
  <c r="AV3" i="16"/>
  <c r="A5" i="16" l="1"/>
  <c r="AT3" i="3"/>
  <c r="B22" i="2" l="1"/>
  <c r="M3" i="16"/>
  <c r="A3" i="16"/>
  <c r="AZ2" i="16"/>
  <c r="M2" i="16"/>
  <c r="M1"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F2" authorId="0" shapeId="0" xr:uid="{E4BB0FB1-979D-4225-8DDE-9EC27D8BABED}">
      <text>
        <r>
          <rPr>
            <sz val="9"/>
            <color indexed="81"/>
            <rFont val="ＭＳ Ｐゴシック"/>
            <family val="3"/>
            <charset val="128"/>
          </rPr>
          <t>OOTBは記入不要</t>
        </r>
      </text>
    </comment>
    <comment ref="Q3" authorId="0" shapeId="0" xr:uid="{08E4E9B3-AD73-4D8E-9888-DC199838A768}">
      <text>
        <r>
          <rPr>
            <sz val="9"/>
            <color indexed="81"/>
            <rFont val="ＭＳ Ｐゴシック"/>
            <family val="3"/>
            <charset val="128"/>
          </rPr>
          <t>画面項目のコンポーネントの種類</t>
        </r>
      </text>
    </comment>
    <comment ref="X3" authorId="0" shapeId="0" xr:uid="{86931DB5-4C33-4BBB-8968-500D4DB7667A}">
      <text>
        <r>
          <rPr>
            <sz val="9"/>
            <color indexed="81"/>
            <rFont val="ＭＳ Ｐゴシック"/>
            <family val="3"/>
            <charset val="128"/>
          </rPr>
          <t>表示内容が固定値を取り変わらない項目（見出しなど）を「固定」、導出元のデータ内容や入力値により変わる項目は「可変」を指定します。
「可変」は右隣の「IO」列は必ず記載します。</t>
        </r>
      </text>
    </comment>
    <comment ref="AB3" authorId="0" shapeId="0" xr:uid="{DCAFC747-5937-4C7E-96A2-195477CE0FF7}">
      <text>
        <r>
          <rPr>
            <sz val="9"/>
            <color indexed="8"/>
            <rFont val="ＭＳ Ｐゴシック"/>
            <family val="3"/>
            <charset val="128"/>
          </rPr>
          <t>ユーザが入力する項目は「I」、DB等から出力され動的な値が表示される項目は「O」を入力します。
出力された値をユーザが編集する場合は「I/O」を入力します。</t>
        </r>
      </text>
    </comment>
    <comment ref="AD3" authorId="0" shapeId="0" xr:uid="{C6A43273-5D82-4637-9958-117711C85132}">
      <text>
        <r>
          <rPr>
            <sz val="9"/>
            <color indexed="81"/>
            <rFont val="ＭＳ Ｐゴシック"/>
            <family val="3"/>
            <charset val="128"/>
          </rPr>
          <t>項目レベルで、OOTBとしてアクセラレータが提供しているかどうかを記入する</t>
        </r>
      </text>
    </comment>
    <comment ref="AF3" authorId="0" shapeId="0" xr:uid="{410112A5-32B5-493B-867F-C2BAC16464EC}">
      <text>
        <r>
          <rPr>
            <sz val="9"/>
            <color indexed="8"/>
            <rFont val="ＭＳ Ｐゴシック"/>
            <family val="3"/>
            <charset val="128"/>
          </rPr>
          <t>入力可能文字数を指定する
（入力ボックスの幅ではない）</t>
        </r>
      </text>
    </comment>
    <comment ref="AJ3" authorId="0" shapeId="0" xr:uid="{1D1163C3-E562-4071-A7E5-7138F2CD46E1}">
      <text>
        <r>
          <rPr>
            <sz val="9"/>
            <color indexed="81"/>
            <rFont val="ＭＳ Ｐゴシック"/>
            <family val="3"/>
            <charset val="128"/>
          </rPr>
          <t xml:space="preserve">表示ラベルのキー値
</t>
        </r>
      </text>
    </comment>
    <comment ref="AP3" authorId="0" shapeId="0" xr:uid="{8967CDE2-C970-4A79-A857-ADB7207C60EC}">
      <text>
        <r>
          <rPr>
            <sz val="9"/>
            <color indexed="81"/>
            <rFont val="ＭＳ Ｐゴシック"/>
            <family val="3"/>
            <charset val="128"/>
          </rPr>
          <t>Oに関しては必ず記載すること。
空の場合でも「-」を記入する</t>
        </r>
      </text>
    </comment>
    <comment ref="BA3" authorId="0" shapeId="0" xr:uid="{1479F519-952B-4C7A-BFC9-05DD0B2C0C8F}">
      <text>
        <r>
          <rPr>
            <sz val="9"/>
            <color indexed="81"/>
            <rFont val="ＭＳ Ｐゴシック"/>
            <family val="3"/>
            <charset val="128"/>
          </rPr>
          <t>Oに関しては必ず記載すること。
空の場合でも「-」を記入する</t>
        </r>
      </text>
    </comment>
    <comment ref="C4" authorId="0" shapeId="0" xr:uid="{BDEC2432-05F8-41F5-AA49-DA8358EF19A9}">
      <text>
        <r>
          <rPr>
            <sz val="9"/>
            <color indexed="81"/>
            <rFont val="ＭＳ Ｐゴシック"/>
            <family val="3"/>
            <charset val="128"/>
          </rPr>
          <t>画面上をエリア分割した単位で記載する。
項番の一桁目として定義する。</t>
        </r>
      </text>
    </comment>
    <comment ref="J4" authorId="0" shapeId="0" xr:uid="{2A71BE8E-313F-43B8-B744-BF98A3C65678}">
      <text>
        <r>
          <rPr>
            <sz val="9"/>
            <color indexed="81"/>
            <rFont val="ＭＳ Ｐゴシック"/>
            <family val="3"/>
            <charset val="128"/>
          </rPr>
          <t>項目に対する名称
Labelの項目名が表示名称とする
Hiddenパラメタは追記しない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C2" authorId="0" shapeId="0" xr:uid="{79E2A8F1-A17F-48B1-BCFD-2D728EE34689}">
      <text>
        <r>
          <rPr>
            <sz val="9"/>
            <color indexed="8"/>
            <rFont val="ＭＳ Ｐゴシック"/>
            <family val="3"/>
            <charset val="128"/>
          </rPr>
          <t>入力チェックを行う画面項目を「画面項目」シートの「画面項目」と同じ形式で記入します。
画面項目はチェックルールごとに記入するため、同一項目に別々のチェックを実施する場合は、同じ項目を重複して記入します。</t>
        </r>
      </text>
    </comment>
    <comment ref="J2" authorId="0" shapeId="0" xr:uid="{0BF421D2-B2D6-44D4-A848-6A39961EC087}">
      <text>
        <r>
          <rPr>
            <sz val="9"/>
            <color indexed="8"/>
            <rFont val="ＭＳ Ｐゴシック"/>
            <family val="3"/>
            <charset val="128"/>
          </rPr>
          <t>画面項目に対して行う形式入力チェックを指定します。
ValidationFormへのアノテーションでチェックできるものに限る
同一項目でも、複数ある場合は複数行に渡って記載する</t>
        </r>
      </text>
    </comment>
    <comment ref="A14" authorId="0" shapeId="0" xr:uid="{842AA63D-F35A-4EAE-89FC-C77DA94CEABA}">
      <text>
        <r>
          <rPr>
            <sz val="9"/>
            <color indexed="81"/>
            <rFont val="ＭＳ Ｐゴシック"/>
            <family val="3"/>
            <charset val="128"/>
          </rPr>
          <t>主に、Controllerで実装するチック
・マスタ存在チェック
・相関チェック</t>
        </r>
      </text>
    </comment>
    <comment ref="Q15" authorId="0" shapeId="0" xr:uid="{CF0DC01F-6F39-4F76-A5D1-ADE0FCDE0746}">
      <text>
        <r>
          <rPr>
            <sz val="9"/>
            <color indexed="81"/>
            <rFont val="ＭＳ Ｐゴシック"/>
            <family val="3"/>
            <charset val="128"/>
          </rPr>
          <t>チェック処理の記載の詳細が記載しづらい場合は、別シートを参照する</t>
        </r>
        <r>
          <rPr>
            <b/>
            <sz val="9"/>
            <color indexed="81"/>
            <rFont val="ＭＳ Ｐゴシック"/>
            <family val="3"/>
            <charset val="128"/>
          </rPr>
          <t xml:space="preserve">
</t>
        </r>
      </text>
    </comment>
    <comment ref="AM15" authorId="0" shapeId="0" xr:uid="{B778ACDB-EEF7-4157-940C-788B702C758A}">
      <text>
        <r>
          <rPr>
            <sz val="9"/>
            <color indexed="81"/>
            <rFont val="ＭＳ Ｐゴシック"/>
            <family val="3"/>
            <charset val="128"/>
          </rPr>
          <t>メッセージIDを記載します。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981B6EB6-FAED-49D9-9A74-10427F90C90C}">
      <text>
        <r>
          <rPr>
            <sz val="9"/>
            <color indexed="81"/>
            <rFont val="MS P ゴシック"/>
            <family val="3"/>
            <charset val="128"/>
          </rPr>
          <t>新規
値引き
定期値引き</t>
        </r>
      </text>
    </comment>
    <comment ref="AR57" authorId="0" shapeId="0" xr:uid="{6F0DAA68-15AD-4A1C-849B-511E6C1B2A1F}">
      <text>
        <r>
          <rPr>
            <sz val="9"/>
            <color indexed="81"/>
            <rFont val="MS P ゴシック"/>
            <family val="3"/>
            <charset val="128"/>
          </rPr>
          <t>1-コスト/申請価格</t>
        </r>
      </text>
    </comment>
    <comment ref="AV57" authorId="0" shapeId="0" xr:uid="{0E29794C-0A0E-4D21-83B3-FC81F1A9F1FD}">
      <text>
        <r>
          <rPr>
            <sz val="9"/>
            <color indexed="81"/>
            <rFont val="MS P ゴシック"/>
            <family val="3"/>
            <charset val="128"/>
          </rPr>
          <t>(申請価格-従来価格)/従来価格</t>
        </r>
      </text>
    </comment>
    <comment ref="BD57" authorId="1" shapeId="0" xr:uid="{FBDE0BD4-2CA9-4838-A0B4-DE3E7B909D56}">
      <text>
        <r>
          <rPr>
            <sz val="9"/>
            <color indexed="81"/>
            <rFont val="MS P ゴシック"/>
            <family val="3"/>
            <charset val="128"/>
          </rPr>
          <t>1-申請価格/代理店売値</t>
        </r>
      </text>
    </comment>
    <comment ref="AF61" authorId="0" shapeId="0" xr:uid="{F8345E2B-CE16-4FE6-A455-0177CE895C06}">
      <text>
        <r>
          <rPr>
            <sz val="9"/>
            <color indexed="81"/>
            <rFont val="MS P ゴシック"/>
            <family val="3"/>
            <charset val="128"/>
          </rPr>
          <t>月間数量x申請価格</t>
        </r>
      </text>
    </comment>
    <comment ref="AN61" authorId="0" shapeId="0" xr:uid="{F7AD58DA-EBBB-4B07-855C-E4152557AED9}">
      <text>
        <r>
          <rPr>
            <sz val="9"/>
            <color indexed="81"/>
            <rFont val="MS P ゴシック"/>
            <family val="3"/>
            <charset val="128"/>
          </rPr>
          <t>売上-(月間数量xコスト)</t>
        </r>
      </text>
    </comment>
    <comment ref="AR61" authorId="0" shapeId="0" xr:uid="{64D9F5F1-1F9F-42CF-B6E2-8D62A12C7277}">
      <text>
        <r>
          <rPr>
            <sz val="9"/>
            <color indexed="81"/>
            <rFont val="MS P ゴシック"/>
            <family val="3"/>
            <charset val="128"/>
          </rPr>
          <t>貢献額/売上</t>
        </r>
      </text>
    </comment>
    <comment ref="AV61" authorId="0" shapeId="0" xr:uid="{AF811EB1-BCFF-4015-A298-4E73A1933D71}">
      <text>
        <r>
          <rPr>
            <sz val="9"/>
            <color indexed="81"/>
            <rFont val="MS P ゴシック"/>
            <family val="3"/>
            <charset val="128"/>
          </rPr>
          <t>値引額/(売上-値引額)</t>
        </r>
      </text>
    </comment>
    <comment ref="AZ61" authorId="0" shapeId="0" xr:uid="{A952BB9F-4763-4924-90D7-9EFC1F9907CD}">
      <text>
        <r>
          <rPr>
            <sz val="9"/>
            <color indexed="81"/>
            <rFont val="MS P ゴシック"/>
            <family val="3"/>
            <charset val="128"/>
          </rPr>
          <t>月間数量*(申請価格-従来価格)</t>
        </r>
      </text>
    </comment>
    <comment ref="BD61" authorId="0" shapeId="0" xr:uid="{E4C3CF31-8EF2-4843-9207-52745433258D}">
      <text>
        <r>
          <rPr>
            <sz val="9"/>
            <color indexed="81"/>
            <rFont val="MS P ゴシック"/>
            <family val="3"/>
            <charset val="128"/>
          </rPr>
          <t>月間数量x従来価格</t>
        </r>
      </text>
    </comment>
    <comment ref="AF64" authorId="0" shapeId="0" xr:uid="{A30503E4-8054-4F2D-A811-2A7F0B6CC134}">
      <text>
        <r>
          <rPr>
            <sz val="9"/>
            <color indexed="81"/>
            <rFont val="MS P ゴシック"/>
            <family val="3"/>
            <charset val="128"/>
          </rPr>
          <t>月間数量x申請価格</t>
        </r>
      </text>
    </comment>
    <comment ref="AN64" authorId="0" shapeId="0" xr:uid="{1B1823D8-01B2-4575-9602-1DFD11D880BC}">
      <text>
        <r>
          <rPr>
            <sz val="9"/>
            <color indexed="81"/>
            <rFont val="MS P ゴシック"/>
            <family val="3"/>
            <charset val="128"/>
          </rPr>
          <t>売上-(月間数量xコスト)</t>
        </r>
      </text>
    </comment>
    <comment ref="AR64" authorId="0" shapeId="0" xr:uid="{64EC24C2-3977-4246-907F-75B8F7BDBD52}">
      <text>
        <r>
          <rPr>
            <sz val="9"/>
            <color indexed="81"/>
            <rFont val="MS P ゴシック"/>
            <family val="3"/>
            <charset val="128"/>
          </rPr>
          <t>貢献額/売上</t>
        </r>
      </text>
    </comment>
    <comment ref="AV64" authorId="0" shapeId="0" xr:uid="{2DAE61A2-85F4-47D9-8CD3-436C7FF25D32}">
      <text>
        <r>
          <rPr>
            <sz val="9"/>
            <color indexed="81"/>
            <rFont val="MS P ゴシック"/>
            <family val="3"/>
            <charset val="128"/>
          </rPr>
          <t>値引額/(売上-値引額)</t>
        </r>
      </text>
    </comment>
    <comment ref="AZ64" authorId="0" shapeId="0" xr:uid="{1A67A92A-9EDF-4B81-9382-1AC65A988845}">
      <text>
        <r>
          <rPr>
            <sz val="9"/>
            <color indexed="81"/>
            <rFont val="MS P ゴシック"/>
            <family val="3"/>
            <charset val="128"/>
          </rPr>
          <t>月間数量*(申請価格-従来価格)</t>
        </r>
      </text>
    </comment>
    <comment ref="BD64" authorId="0" shapeId="0" xr:uid="{48A77E68-AF77-4DF1-AFEF-ABEF2569983F}">
      <text>
        <r>
          <rPr>
            <sz val="9"/>
            <color indexed="81"/>
            <rFont val="MS P ゴシック"/>
            <family val="3"/>
            <charset val="128"/>
          </rPr>
          <t>月間数量x従来価格</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798F932A-EBB5-4E0C-9590-2232F086E5B0}">
      <text>
        <r>
          <rPr>
            <sz val="9"/>
            <color indexed="81"/>
            <rFont val="MS P ゴシック"/>
            <family val="3"/>
            <charset val="128"/>
          </rPr>
          <t>新規
値引き
定期値引き</t>
        </r>
      </text>
    </comment>
    <comment ref="AR56" authorId="0" shapeId="0" xr:uid="{180A4CBC-DEB0-4BF9-929D-897531D7CC43}">
      <text>
        <r>
          <rPr>
            <sz val="9"/>
            <color indexed="81"/>
            <rFont val="MS P ゴシック"/>
            <family val="3"/>
            <charset val="128"/>
          </rPr>
          <t>申請価格/総原価 -1</t>
        </r>
      </text>
    </comment>
    <comment ref="AV56" authorId="0" shapeId="0" xr:uid="{7BC05733-7AAD-4013-8914-608E0EC0912E}">
      <text>
        <r>
          <rPr>
            <sz val="9"/>
            <color indexed="81"/>
            <rFont val="MS P ゴシック"/>
            <family val="3"/>
            <charset val="128"/>
          </rPr>
          <t>(申請価格-従来価格)/従来価格</t>
        </r>
      </text>
    </comment>
    <comment ref="BD56" authorId="1" shapeId="0" xr:uid="{7C110BAA-A2C8-4B6B-9637-8A748DF7D71D}">
      <text>
        <r>
          <rPr>
            <sz val="9"/>
            <color indexed="81"/>
            <rFont val="MS P ゴシック"/>
            <family val="3"/>
            <charset val="128"/>
          </rPr>
          <t>1-申請価格/代理店売値</t>
        </r>
      </text>
    </comment>
    <comment ref="AF60" authorId="0" shapeId="0" xr:uid="{CB749365-E1C2-4E9B-AA02-A7456F3C9FDC}">
      <text>
        <r>
          <rPr>
            <sz val="9"/>
            <color indexed="81"/>
            <rFont val="MS P ゴシック"/>
            <family val="3"/>
            <charset val="128"/>
          </rPr>
          <t>月間数量x申請価格</t>
        </r>
      </text>
    </comment>
    <comment ref="AN60" authorId="0" shapeId="0" xr:uid="{B556DCF4-0816-40FF-848B-174B50C68B64}">
      <text>
        <r>
          <rPr>
            <sz val="9"/>
            <color indexed="81"/>
            <rFont val="MS P ゴシック"/>
            <family val="3"/>
            <charset val="128"/>
          </rPr>
          <t>売上-(月間数量x総原価)</t>
        </r>
      </text>
    </comment>
    <comment ref="AR60" authorId="0" shapeId="0" xr:uid="{0F33DFA1-B260-4B9D-8B12-28D4D0EA10DE}">
      <text>
        <r>
          <rPr>
            <sz val="9"/>
            <color indexed="81"/>
            <rFont val="MS P ゴシック"/>
            <family val="3"/>
            <charset val="128"/>
          </rPr>
          <t>総原価利益額/(売上-総原価利益額)</t>
        </r>
      </text>
    </comment>
    <comment ref="AV60" authorId="0" shapeId="0" xr:uid="{BF317FA0-0908-4F79-A602-3CA4CFF07133}">
      <text>
        <r>
          <rPr>
            <sz val="9"/>
            <color indexed="81"/>
            <rFont val="MS P ゴシック"/>
            <family val="3"/>
            <charset val="128"/>
          </rPr>
          <t>値引額/(売上-値引額)</t>
        </r>
      </text>
    </comment>
    <comment ref="AZ60" authorId="0" shapeId="0" xr:uid="{4A635085-E489-4BC4-9199-9302E60A6CEA}">
      <text>
        <r>
          <rPr>
            <sz val="9"/>
            <color indexed="81"/>
            <rFont val="MS P ゴシック"/>
            <family val="3"/>
            <charset val="128"/>
          </rPr>
          <t>月間数量*(申請価格-従来価格)</t>
        </r>
      </text>
    </comment>
    <comment ref="BD60" authorId="0" shapeId="0" xr:uid="{6F1D44E1-048F-403F-8C8F-92BE2DED1EFF}">
      <text>
        <r>
          <rPr>
            <sz val="9"/>
            <color indexed="81"/>
            <rFont val="MS P ゴシック"/>
            <family val="3"/>
            <charset val="128"/>
          </rPr>
          <t>月間数量x従来価格</t>
        </r>
      </text>
    </comment>
    <comment ref="AF63" authorId="0" shapeId="0" xr:uid="{8407D761-7158-42D4-8DD3-2667CE960A18}">
      <text>
        <r>
          <rPr>
            <sz val="9"/>
            <color indexed="81"/>
            <rFont val="MS P ゴシック"/>
            <family val="3"/>
            <charset val="128"/>
          </rPr>
          <t>月間数量x申請価格</t>
        </r>
      </text>
    </comment>
    <comment ref="AN63" authorId="0" shapeId="0" xr:uid="{AB912CE9-FA4F-4E11-8A39-67905E8BC2A4}">
      <text>
        <r>
          <rPr>
            <sz val="9"/>
            <color indexed="81"/>
            <rFont val="MS P ゴシック"/>
            <family val="3"/>
            <charset val="128"/>
          </rPr>
          <t>売上-(月間数量x総原価)</t>
        </r>
      </text>
    </comment>
    <comment ref="AR63" authorId="0" shapeId="0" xr:uid="{5067FC13-6634-4C19-BF35-2AC16DB66B32}">
      <text>
        <r>
          <rPr>
            <sz val="9"/>
            <color indexed="81"/>
            <rFont val="MS P ゴシック"/>
            <family val="3"/>
            <charset val="128"/>
          </rPr>
          <t>総原価利益額/(売上-総原価利益額)</t>
        </r>
      </text>
    </comment>
    <comment ref="AV63" authorId="0" shapeId="0" xr:uid="{34066EC0-902B-4C0A-98F8-04540C955623}">
      <text>
        <r>
          <rPr>
            <sz val="9"/>
            <color indexed="81"/>
            <rFont val="MS P ゴシック"/>
            <family val="3"/>
            <charset val="128"/>
          </rPr>
          <t>値引額/(売上-値引額)</t>
        </r>
      </text>
    </comment>
    <comment ref="AZ63" authorId="0" shapeId="0" xr:uid="{069D1B63-3B11-4E93-8C28-692B58AAF3D6}">
      <text>
        <r>
          <rPr>
            <sz val="9"/>
            <color indexed="81"/>
            <rFont val="MS P ゴシック"/>
            <family val="3"/>
            <charset val="128"/>
          </rPr>
          <t>月間数量*(申請価格-従来価格)</t>
        </r>
      </text>
    </comment>
    <comment ref="BD63" authorId="0" shapeId="0" xr:uid="{178A0E1A-B46C-450E-A1AD-A81A25454E71}">
      <text>
        <r>
          <rPr>
            <sz val="9"/>
            <color indexed="81"/>
            <rFont val="MS P ゴシック"/>
            <family val="3"/>
            <charset val="128"/>
          </rPr>
          <t>月間数量x従来価格</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273EC183-5BC7-4257-BBE6-C7E77E46A788}">
      <text>
        <r>
          <rPr>
            <sz val="9"/>
            <color indexed="81"/>
            <rFont val="MS P ゴシック"/>
            <family val="3"/>
            <charset val="128"/>
          </rPr>
          <t>新規
値引き
定期値引き</t>
        </r>
      </text>
    </comment>
    <comment ref="Y50" authorId="0" shapeId="0" xr:uid="{185C3EEB-5C23-469C-B3B5-5103009954C0}">
      <text>
        <r>
          <rPr>
            <sz val="9"/>
            <color indexed="81"/>
            <rFont val="MS P ゴシック"/>
            <family val="3"/>
            <charset val="128"/>
          </rPr>
          <t>JPY,USD,EUR</t>
        </r>
      </text>
    </comment>
    <comment ref="AA64" authorId="0" shapeId="0" xr:uid="{068DEC90-9BC3-459F-92B6-8D9A081FAF5A}">
      <text>
        <r>
          <rPr>
            <sz val="9"/>
            <color indexed="81"/>
            <rFont val="MS P ゴシック"/>
            <family val="3"/>
            <charset val="128"/>
          </rPr>
          <t>申請通貨での換算値</t>
        </r>
      </text>
    </comment>
    <comment ref="AR64" authorId="0" shapeId="0" xr:uid="{29E5ADA4-03B5-422E-875E-9B91A0ED15B0}">
      <text>
        <r>
          <rPr>
            <sz val="9"/>
            <color indexed="81"/>
            <rFont val="MS P ゴシック"/>
            <family val="3"/>
            <charset val="128"/>
          </rPr>
          <t>1-純原価/販社売価</t>
        </r>
      </text>
    </comment>
    <comment ref="AV64" authorId="0" shapeId="0" xr:uid="{CF91C253-A964-4544-AF9A-D89F2F1B085A}">
      <text>
        <r>
          <rPr>
            <sz val="9"/>
            <color indexed="81"/>
            <rFont val="MS P ゴシック"/>
            <family val="3"/>
            <charset val="128"/>
          </rPr>
          <t>(申請価格-従来価格)/従来価格</t>
        </r>
      </text>
    </comment>
    <comment ref="BD64" authorId="1" shapeId="0" xr:uid="{69E753B5-CA17-46A5-8BDF-0A678BCED516}">
      <text>
        <r>
          <rPr>
            <sz val="9"/>
            <color indexed="81"/>
            <rFont val="MS P ゴシック"/>
            <family val="3"/>
            <charset val="128"/>
          </rPr>
          <t xml:space="preserve">1-申請価格/代理店売価
</t>
        </r>
      </text>
    </comment>
    <comment ref="W68" authorId="0" shapeId="0" xr:uid="{FD790258-FA59-45E5-98B1-AC72459DF732}">
      <text>
        <r>
          <rPr>
            <sz val="9"/>
            <color indexed="81"/>
            <rFont val="MS P ゴシック"/>
            <family val="3"/>
            <charset val="128"/>
          </rPr>
          <t>月間数量x申請価格</t>
        </r>
      </text>
    </comment>
    <comment ref="AA68" authorId="0" shapeId="0" xr:uid="{9CDB41AF-6353-462B-B71A-01078DE712D3}">
      <text>
        <r>
          <rPr>
            <sz val="9"/>
            <color indexed="81"/>
            <rFont val="MS P ゴシック"/>
            <family val="3"/>
            <charset val="128"/>
          </rPr>
          <t>数量*純原価</t>
        </r>
      </text>
    </comment>
    <comment ref="AJ68" authorId="0" shapeId="0" xr:uid="{C54452BF-E9A6-4D19-A1D9-272ED4825A14}">
      <text>
        <r>
          <rPr>
            <sz val="9"/>
            <color indexed="81"/>
            <rFont val="MS P ゴシック"/>
            <family val="3"/>
            <charset val="128"/>
          </rPr>
          <t>売上-総原価合計</t>
        </r>
      </text>
    </comment>
    <comment ref="AN68" authorId="0" shapeId="0" xr:uid="{F8413561-B397-4210-8B2E-D6A9307B8F00}">
      <text>
        <r>
          <rPr>
            <sz val="9"/>
            <color indexed="81"/>
            <rFont val="MS P ゴシック"/>
            <family val="3"/>
            <charset val="128"/>
          </rPr>
          <t>連結粗利額/売上</t>
        </r>
      </text>
    </comment>
    <comment ref="AR68" authorId="0" shapeId="0" xr:uid="{B444D291-3A20-489F-ACC4-9FF9E209DEB5}">
      <text>
        <r>
          <rPr>
            <sz val="9"/>
            <color indexed="81"/>
            <rFont val="MS P ゴシック"/>
            <family val="3"/>
            <charset val="128"/>
          </rPr>
          <t>値引額/(売上-値引額)</t>
        </r>
      </text>
    </comment>
    <comment ref="AV68" authorId="0" shapeId="0" xr:uid="{2E6FFADE-EB07-48A1-8A75-6D5BA2570976}">
      <text>
        <r>
          <rPr>
            <sz val="9"/>
            <color indexed="81"/>
            <rFont val="MS P ゴシック"/>
            <family val="3"/>
            <charset val="128"/>
          </rPr>
          <t>月間数量*(申請価格-従来価格)</t>
        </r>
      </text>
    </comment>
    <comment ref="W72" authorId="0" shapeId="0" xr:uid="{16789354-AA5A-4BF9-9540-6E3513A935BA}">
      <text>
        <r>
          <rPr>
            <sz val="9"/>
            <color indexed="81"/>
            <rFont val="MS P ゴシック"/>
            <family val="3"/>
            <charset val="128"/>
          </rPr>
          <t>月間数量x申請価格</t>
        </r>
      </text>
    </comment>
    <comment ref="AA72" authorId="0" shapeId="0" xr:uid="{A82A4898-9271-4EF4-AECC-B1C748F34214}">
      <text>
        <r>
          <rPr>
            <sz val="9"/>
            <color indexed="81"/>
            <rFont val="MS P ゴシック"/>
            <family val="3"/>
            <charset val="128"/>
          </rPr>
          <t>数量*純原価</t>
        </r>
      </text>
    </comment>
    <comment ref="AJ72" authorId="0" shapeId="0" xr:uid="{DA516412-D3B3-44D7-81E4-ABBCC1162F99}">
      <text>
        <r>
          <rPr>
            <sz val="9"/>
            <color indexed="81"/>
            <rFont val="MS P ゴシック"/>
            <family val="3"/>
            <charset val="128"/>
          </rPr>
          <t>売上-総原価合計</t>
        </r>
      </text>
    </comment>
    <comment ref="AN72" authorId="0" shapeId="0" xr:uid="{1480013C-04F6-4E6B-9390-B626A3CA89F4}">
      <text>
        <r>
          <rPr>
            <sz val="9"/>
            <color indexed="81"/>
            <rFont val="MS P ゴシック"/>
            <family val="3"/>
            <charset val="128"/>
          </rPr>
          <t>連結粗利額/売上</t>
        </r>
      </text>
    </comment>
    <comment ref="AR72" authorId="0" shapeId="0" xr:uid="{500A8BB5-F2F7-47CB-AD2F-E9C61C9B440B}">
      <text>
        <r>
          <rPr>
            <sz val="9"/>
            <color indexed="81"/>
            <rFont val="MS P ゴシック"/>
            <family val="3"/>
            <charset val="128"/>
          </rPr>
          <t>値引額/(売上-値引額)</t>
        </r>
      </text>
    </comment>
    <comment ref="AV72" authorId="0" shapeId="0" xr:uid="{764C76D9-D557-438C-9C4E-75D508BFF82B}">
      <text>
        <r>
          <rPr>
            <sz val="9"/>
            <color indexed="81"/>
            <rFont val="MS P ゴシック"/>
            <family val="3"/>
            <charset val="128"/>
          </rPr>
          <t>月間数量*(申請価格-従来価格)</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榎本亮二</author>
  </authors>
  <commentList>
    <comment ref="P19" authorId="0" shapeId="0" xr:uid="{7A8BD53D-BE0C-49F1-A85A-3DB676A1C6FE}">
      <text>
        <r>
          <rPr>
            <sz val="9"/>
            <color indexed="81"/>
            <rFont val="MS P ゴシック"/>
            <family val="3"/>
            <charset val="128"/>
          </rPr>
          <t>新規
値引き
定期値引き</t>
        </r>
      </text>
    </comment>
    <comment ref="Y56" authorId="0" shapeId="0" xr:uid="{A5BF93D4-9A12-42CC-B55A-870D730103B9}">
      <text>
        <r>
          <rPr>
            <sz val="9"/>
            <color indexed="81"/>
            <rFont val="MS P ゴシック"/>
            <family val="3"/>
            <charset val="128"/>
          </rPr>
          <t>JPY,USD,EUR</t>
        </r>
      </text>
    </comment>
    <comment ref="AH56" authorId="0" shapeId="0" xr:uid="{D7085670-18AB-4492-A5E4-F6FEEF514111}">
      <text>
        <r>
          <rPr>
            <sz val="9"/>
            <color indexed="81"/>
            <rFont val="MS P ゴシック"/>
            <family val="3"/>
            <charset val="128"/>
          </rPr>
          <t>JPY,USD,EUR</t>
        </r>
      </text>
    </comment>
    <comment ref="G64" authorId="0" shapeId="0" xr:uid="{09747633-F6FB-47D4-B3E3-D548D8993440}">
      <text>
        <r>
          <rPr>
            <sz val="9"/>
            <color indexed="81"/>
            <rFont val="MS P ゴシック"/>
            <family val="3"/>
            <charset val="128"/>
          </rPr>
          <t>有償
無償</t>
        </r>
      </text>
    </comment>
    <comment ref="G70" authorId="0" shapeId="0" xr:uid="{60A63F56-81EC-4794-AB05-CB8612FB2FA7}">
      <text>
        <r>
          <rPr>
            <sz val="9"/>
            <color indexed="81"/>
            <rFont val="MS P ゴシック"/>
            <family val="3"/>
            <charset val="128"/>
          </rPr>
          <t>有償
無償</t>
        </r>
      </text>
    </comment>
    <comment ref="AE79" authorId="0" shapeId="0" xr:uid="{783290D4-BFFA-4EE4-B077-1822CE119D00}">
      <text>
        <r>
          <rPr>
            <sz val="9"/>
            <color indexed="81"/>
            <rFont val="MS P ゴシック"/>
            <family val="3"/>
            <charset val="128"/>
          </rPr>
          <t>PPM直接コストの申請通貨換算値</t>
        </r>
      </text>
    </comment>
    <comment ref="AV79" authorId="0" shapeId="0" xr:uid="{E685A5C8-59A2-4E9B-A376-A31D07B20D98}">
      <text>
        <r>
          <rPr>
            <sz val="9"/>
            <color indexed="81"/>
            <rFont val="MS P ゴシック"/>
            <family val="3"/>
            <charset val="128"/>
          </rPr>
          <t>FOB価格/(1-物流コスト率)</t>
        </r>
      </text>
    </comment>
    <comment ref="AZ79" authorId="0" shapeId="0" xr:uid="{B9E63FDF-1907-4951-9193-01A63960177D}">
      <text>
        <r>
          <rPr>
            <sz val="9"/>
            <color indexed="81"/>
            <rFont val="MS P ゴシック"/>
            <family val="3"/>
            <charset val="128"/>
          </rPr>
          <t>FOB価格-(CIF価格*口銭率)</t>
        </r>
      </text>
    </comment>
    <comment ref="BD79" authorId="0" shapeId="0" xr:uid="{C72D1E4A-659F-4830-926E-F70596C819DC}">
      <text>
        <r>
          <rPr>
            <sz val="9"/>
            <color indexed="81"/>
            <rFont val="MS P ゴシック"/>
            <family val="3"/>
            <charset val="128"/>
          </rPr>
          <t>1-製造原価/為替レート/申請価格</t>
        </r>
      </text>
    </comment>
    <comment ref="BH79" authorId="0" shapeId="0" xr:uid="{C981884F-ABB5-4027-89AA-B701BAF6461D}">
      <text>
        <r>
          <rPr>
            <sz val="9"/>
            <color indexed="81"/>
            <rFont val="MS P ゴシック"/>
            <family val="3"/>
            <charset val="128"/>
          </rPr>
          <t>(FOB価格-従来FOB価格)/従来FOB価格</t>
        </r>
      </text>
    </comment>
    <comment ref="BP79" authorId="0" shapeId="0" xr:uid="{089B973E-AF9E-4066-B9C5-DB84A9D8DFF4}">
      <text>
        <r>
          <rPr>
            <sz val="9"/>
            <color indexed="81"/>
            <rFont val="MS P ゴシック"/>
            <family val="3"/>
            <charset val="128"/>
          </rPr>
          <t>1-FOB価格/(1-物流コスト率)/販社売価</t>
        </r>
      </text>
    </comment>
    <comment ref="BT79" authorId="0" shapeId="0" xr:uid="{E12C1DC8-155E-464D-A16F-26D5D5C17D10}">
      <text>
        <r>
          <rPr>
            <sz val="9"/>
            <color indexed="81"/>
            <rFont val="MS P ゴシック"/>
            <family val="3"/>
            <charset val="128"/>
          </rPr>
          <t>1-(製造原価/為替レート+FOB価格*物流コスト率+CIF価格*口銭率)/販社売価</t>
        </r>
      </text>
    </comment>
    <comment ref="CB79" authorId="0" shapeId="0" xr:uid="{3A3DE05C-8D8B-4D97-9294-9156F44A8B1F}">
      <text>
        <r>
          <rPr>
            <sz val="9"/>
            <color indexed="81"/>
            <rFont val="MS P ゴシック"/>
            <family val="3"/>
            <charset val="128"/>
          </rPr>
          <t>1-販社売価/代理店売価</t>
        </r>
      </text>
    </comment>
    <comment ref="AA83" authorId="0" shapeId="0" xr:uid="{7BA32FB1-9F62-40D8-876F-BE0214021F90}">
      <text>
        <r>
          <rPr>
            <sz val="9"/>
            <color indexed="81"/>
            <rFont val="MS P ゴシック"/>
            <family val="3"/>
            <charset val="128"/>
          </rPr>
          <t>数量xFOB価格</t>
        </r>
      </text>
    </comment>
    <comment ref="AE83" authorId="0" shapeId="0" xr:uid="{E363DA61-4DB2-453F-A39C-2A37B73AFD95}">
      <text>
        <r>
          <rPr>
            <sz val="9"/>
            <color indexed="81"/>
            <rFont val="MS P ゴシック"/>
            <family val="3"/>
            <charset val="128"/>
          </rPr>
          <t>数量*コスト</t>
        </r>
      </text>
    </comment>
    <comment ref="AJ83" authorId="0" shapeId="0" xr:uid="{A005250B-86A9-4AC0-A0B2-A02672E9768F}">
      <text>
        <r>
          <rPr>
            <sz val="9"/>
            <color indexed="81"/>
            <rFont val="MS P ゴシック"/>
            <family val="3"/>
            <charset val="128"/>
          </rPr>
          <t>売上-コスト合計</t>
        </r>
      </text>
    </comment>
    <comment ref="AN83" authorId="0" shapeId="0" xr:uid="{0DAA0ED9-D4A4-42C7-B123-9E20368ADEE3}">
      <text>
        <r>
          <rPr>
            <sz val="9"/>
            <color indexed="81"/>
            <rFont val="MS P ゴシック"/>
            <family val="3"/>
            <charset val="128"/>
          </rPr>
          <t>貢献額/売上</t>
        </r>
      </text>
    </comment>
    <comment ref="AR83" authorId="0" shapeId="0" xr:uid="{C1118227-8A70-4F71-B4FB-30CC601F3055}">
      <text>
        <r>
          <rPr>
            <sz val="9"/>
            <color indexed="81"/>
            <rFont val="MS P ゴシック"/>
            <family val="3"/>
            <charset val="128"/>
          </rPr>
          <t>値引き額(FOB)/(売上-値引額(FOB))</t>
        </r>
      </text>
    </comment>
    <comment ref="AV83" authorId="0" shapeId="0" xr:uid="{0DD8322E-6864-495B-BF85-282C83D031AE}">
      <text>
        <r>
          <rPr>
            <sz val="9"/>
            <color indexed="81"/>
            <rFont val="MS P ゴシック"/>
            <family val="3"/>
            <charset val="128"/>
          </rPr>
          <t>数量x(FOB価格-従来FOB価格)</t>
        </r>
      </text>
    </comment>
    <comment ref="AZ83" authorId="0" shapeId="0" xr:uid="{FE55E17E-48B1-406E-B64F-132A831932FB}">
      <text>
        <r>
          <rPr>
            <sz val="9"/>
            <color indexed="81"/>
            <rFont val="MS P ゴシック"/>
            <family val="3"/>
            <charset val="128"/>
          </rPr>
          <t>数量x従来価格</t>
        </r>
      </text>
    </comment>
    <comment ref="BD83" authorId="0" shapeId="0" xr:uid="{28E18CEB-1734-4F8F-AAF7-8E6830259DE4}">
      <text>
        <r>
          <rPr>
            <sz val="9"/>
            <color indexed="81"/>
            <rFont val="MS P ゴシック"/>
            <family val="3"/>
            <charset val="128"/>
          </rPr>
          <t>数量x販社売価</t>
        </r>
      </text>
    </comment>
    <comment ref="BH83" authorId="0" shapeId="0" xr:uid="{A01ED628-1DD1-4479-B9E7-BBDB62F0A5E6}">
      <text>
        <r>
          <rPr>
            <sz val="9"/>
            <color indexed="81"/>
            <rFont val="MS P ゴシック"/>
            <family val="3"/>
            <charset val="128"/>
          </rPr>
          <t>1-(直接コスト合計+数量*(FOB価格x物流コスト率+CIF価*口銭率))/売上(連結)</t>
        </r>
      </text>
    </comment>
    <comment ref="AA88" authorId="0" shapeId="0" xr:uid="{3DDDE427-588B-406F-8A19-B9B579792851}">
      <text>
        <r>
          <rPr>
            <sz val="9"/>
            <color indexed="81"/>
            <rFont val="MS P ゴシック"/>
            <family val="3"/>
            <charset val="128"/>
          </rPr>
          <t>数量xFOB価格</t>
        </r>
      </text>
    </comment>
    <comment ref="AE88" authorId="0" shapeId="0" xr:uid="{362E1E65-6856-4B12-8B2B-A173CB9AB68E}">
      <text>
        <r>
          <rPr>
            <sz val="9"/>
            <color indexed="81"/>
            <rFont val="MS P ゴシック"/>
            <family val="3"/>
            <charset val="128"/>
          </rPr>
          <t>数量*コスト</t>
        </r>
      </text>
    </comment>
    <comment ref="AJ88" authorId="0" shapeId="0" xr:uid="{9EAAAB28-8225-4A8F-BE41-96C837C83207}">
      <text>
        <r>
          <rPr>
            <sz val="9"/>
            <color indexed="81"/>
            <rFont val="MS P ゴシック"/>
            <family val="3"/>
            <charset val="128"/>
          </rPr>
          <t>売上-コスト合計</t>
        </r>
      </text>
    </comment>
    <comment ref="AN88" authorId="0" shapeId="0" xr:uid="{22462884-0E1E-4AB3-AA05-5FDACC146B77}">
      <text>
        <r>
          <rPr>
            <sz val="9"/>
            <color indexed="81"/>
            <rFont val="MS P ゴシック"/>
            <family val="3"/>
            <charset val="128"/>
          </rPr>
          <t>貢献額/売上</t>
        </r>
      </text>
    </comment>
    <comment ref="AR88" authorId="0" shapeId="0" xr:uid="{7092DA5B-8BF9-4E95-AFCD-5E32D3557945}">
      <text>
        <r>
          <rPr>
            <sz val="9"/>
            <color indexed="81"/>
            <rFont val="MS P ゴシック"/>
            <family val="3"/>
            <charset val="128"/>
          </rPr>
          <t>値引き額(FOB)/(売上-値引額(FOB))</t>
        </r>
      </text>
    </comment>
    <comment ref="AV88" authorId="0" shapeId="0" xr:uid="{69A9A745-BA11-4C92-9B0A-D58DA283FCFD}">
      <text>
        <r>
          <rPr>
            <sz val="9"/>
            <color indexed="81"/>
            <rFont val="MS P ゴシック"/>
            <family val="3"/>
            <charset val="128"/>
          </rPr>
          <t>数量x(FOB価格-従来FOB価格)</t>
        </r>
      </text>
    </comment>
    <comment ref="BD88" authorId="0" shapeId="0" xr:uid="{93AA3A95-7DD4-432C-A3EC-FCD959E31A89}">
      <text>
        <r>
          <rPr>
            <sz val="9"/>
            <color indexed="81"/>
            <rFont val="MS P ゴシック"/>
            <family val="3"/>
            <charset val="128"/>
          </rPr>
          <t>数量x販社売価</t>
        </r>
      </text>
    </comment>
    <comment ref="BH88" authorId="0" shapeId="0" xr:uid="{0A9FB5DE-024E-4846-8581-FC3CFCA1EFEC}">
      <text>
        <r>
          <rPr>
            <sz val="9"/>
            <color indexed="81"/>
            <rFont val="MS P ゴシック"/>
            <family val="3"/>
            <charset val="128"/>
          </rPr>
          <t>1-(直接コスト合計+数量*(FOB価格x物流コスト率+CIF価*口銭率))/売上(連結)</t>
        </r>
      </text>
    </comment>
    <comment ref="P106" authorId="0" shapeId="0" xr:uid="{74D25D7A-D279-42AF-BB26-66E6477342F9}">
      <text>
        <r>
          <rPr>
            <sz val="9"/>
            <color indexed="81"/>
            <rFont val="MS P ゴシック"/>
            <family val="3"/>
            <charset val="128"/>
          </rPr>
          <t>有
無</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6623BF2F-8CA1-4F96-AD8E-8787264430D2}">
      <text>
        <r>
          <rPr>
            <sz val="9"/>
            <color indexed="81"/>
            <rFont val="MS P ゴシック"/>
            <family val="3"/>
            <charset val="128"/>
          </rPr>
          <t>新規
値引き
定期値引き</t>
        </r>
      </text>
    </comment>
    <comment ref="Y51" authorId="0" shapeId="0" xr:uid="{2BDF4F72-BFFF-4F68-9DC7-9CA8FC1DC83C}">
      <text>
        <r>
          <rPr>
            <sz val="9"/>
            <color indexed="81"/>
            <rFont val="MS P ゴシック"/>
            <family val="3"/>
            <charset val="128"/>
          </rPr>
          <t>JPY,USD,EUR</t>
        </r>
      </text>
    </comment>
    <comment ref="AE63" authorId="0" shapeId="0" xr:uid="{A938626A-87FA-41AD-9607-E4E5F51B7B03}">
      <text>
        <r>
          <rPr>
            <sz val="9"/>
            <color indexed="81"/>
            <rFont val="MS P ゴシック"/>
            <family val="3"/>
            <charset val="128"/>
          </rPr>
          <t>製造原価/為替レート</t>
        </r>
      </text>
    </comment>
    <comment ref="AV63" authorId="0" shapeId="0" xr:uid="{ED49BA27-2E4A-4FA5-99E4-AD5C275240E0}">
      <text>
        <r>
          <rPr>
            <sz val="9"/>
            <color indexed="81"/>
            <rFont val="MS P ゴシック"/>
            <family val="3"/>
            <charset val="128"/>
          </rPr>
          <t>FOB価格/(1-物流コスト率)</t>
        </r>
      </text>
    </comment>
    <comment ref="AZ63" authorId="0" shapeId="0" xr:uid="{D65D3F7F-8FD1-4239-BD6C-5DA15D787712}">
      <text>
        <r>
          <rPr>
            <sz val="9"/>
            <color indexed="81"/>
            <rFont val="MS P ゴシック"/>
            <family val="3"/>
            <charset val="128"/>
          </rPr>
          <t>FOB価格-(CIF価格*口銭率)</t>
        </r>
      </text>
    </comment>
    <comment ref="BD63" authorId="0" shapeId="0" xr:uid="{8EA5B32F-3CC9-4707-AE2D-67F331D44ACA}">
      <text>
        <r>
          <rPr>
            <sz val="9"/>
            <color indexed="81"/>
            <rFont val="MS P ゴシック"/>
            <family val="3"/>
            <charset val="128"/>
          </rPr>
          <t>(FOB価格-CIF価格*口銭率-総原価/為替レート)/(総原価/為替レート)</t>
        </r>
      </text>
    </comment>
    <comment ref="BH63" authorId="1" shapeId="0" xr:uid="{058AD372-E79A-416D-8D68-6A16B16B6D1C}">
      <text>
        <r>
          <rPr>
            <sz val="9"/>
            <color indexed="81"/>
            <rFont val="MS P ゴシック"/>
            <family val="3"/>
            <charset val="128"/>
          </rPr>
          <t>(FOB価格-従来FOB価格)/従来FOB価格</t>
        </r>
      </text>
    </comment>
    <comment ref="BP63" authorId="1" shapeId="0" xr:uid="{F2B1A7CF-959F-414E-A78E-EC455CC96B37}">
      <text>
        <r>
          <rPr>
            <sz val="9"/>
            <color indexed="81"/>
            <rFont val="MS P ゴシック"/>
            <family val="3"/>
            <charset val="128"/>
          </rPr>
          <t>1-FOB価格/(1-物流コスト率)/販社売価</t>
        </r>
      </text>
    </comment>
    <comment ref="BT63" authorId="0" shapeId="0" xr:uid="{C08CABE3-F817-4F58-8AAF-D6C8EB6ABC4E}">
      <text>
        <r>
          <rPr>
            <sz val="9"/>
            <color indexed="81"/>
            <rFont val="MS P ゴシック"/>
            <family val="3"/>
            <charset val="128"/>
          </rPr>
          <t>1-(製造原価/為替レート+FOB価格*物流コスト率+CIF価格*口銭率)/販社売価</t>
        </r>
      </text>
    </comment>
    <comment ref="CB63" authorId="0" shapeId="0" xr:uid="{2E9EB4F6-4084-4F8B-BF81-2F811CF011D7}">
      <text>
        <r>
          <rPr>
            <sz val="9"/>
            <color indexed="81"/>
            <rFont val="MS P ゴシック"/>
            <family val="3"/>
            <charset val="128"/>
          </rPr>
          <t>1-販社売価/代理店売価</t>
        </r>
      </text>
    </comment>
    <comment ref="AA67" authorId="0" shapeId="0" xr:uid="{0008D8C9-F466-433C-8781-EB64D0900F1C}">
      <text>
        <r>
          <rPr>
            <sz val="9"/>
            <color indexed="81"/>
            <rFont val="MS P ゴシック"/>
            <family val="3"/>
            <charset val="128"/>
          </rPr>
          <t>数量xFOB価格</t>
        </r>
      </text>
    </comment>
    <comment ref="AE67" authorId="0" shapeId="0" xr:uid="{58183CC7-466B-4D5F-AD36-EEB8F2551732}">
      <text>
        <r>
          <rPr>
            <sz val="9"/>
            <color indexed="81"/>
            <rFont val="MS P ゴシック"/>
            <family val="3"/>
            <charset val="128"/>
          </rPr>
          <t>数量*総原価/為替レート</t>
        </r>
      </text>
    </comment>
    <comment ref="AJ67" authorId="0" shapeId="0" xr:uid="{705C7AF5-0972-4D88-893D-3A8280B4ECA3}">
      <text>
        <r>
          <rPr>
            <sz val="9"/>
            <color indexed="81"/>
            <rFont val="MS P ゴシック"/>
            <family val="3"/>
            <charset val="128"/>
          </rPr>
          <t>売上-コスト合計</t>
        </r>
      </text>
    </comment>
    <comment ref="AN67" authorId="0" shapeId="0" xr:uid="{E40FBDBE-7055-4E5E-B2AC-85065231E226}">
      <text>
        <r>
          <rPr>
            <sz val="9"/>
            <color indexed="81"/>
            <rFont val="MS P ゴシック"/>
            <family val="3"/>
            <charset val="128"/>
          </rPr>
          <t>総原価利益率/総原価合計</t>
        </r>
      </text>
    </comment>
    <comment ref="AR67" authorId="0" shapeId="0" xr:uid="{2C699ADD-B18E-450C-9936-91FA39EE31B4}">
      <text>
        <r>
          <rPr>
            <sz val="9"/>
            <color indexed="81"/>
            <rFont val="MS P ゴシック"/>
            <family val="3"/>
            <charset val="128"/>
          </rPr>
          <t>値引き額(FOB)/(売上-値引額(FOB))</t>
        </r>
      </text>
    </comment>
    <comment ref="AV67" authorId="0" shapeId="0" xr:uid="{7A6D7B8E-E81F-4D0B-8478-8A301A25D472}">
      <text>
        <r>
          <rPr>
            <sz val="9"/>
            <color indexed="81"/>
            <rFont val="MS P ゴシック"/>
            <family val="3"/>
            <charset val="128"/>
          </rPr>
          <t>数量x(FOB価格-従来FOB価格)</t>
        </r>
      </text>
    </comment>
    <comment ref="AZ67" authorId="1" shapeId="0" xr:uid="{7F6DA814-E095-43FC-B1E7-690AD8DC9B06}">
      <text>
        <r>
          <rPr>
            <sz val="9"/>
            <color indexed="81"/>
            <rFont val="MS P ゴシック"/>
            <family val="3"/>
            <charset val="128"/>
          </rPr>
          <t>数量*従来FOB価格</t>
        </r>
      </text>
    </comment>
    <comment ref="BD67" authorId="0" shapeId="0" xr:uid="{6F3AAC99-9C2A-44C7-95ED-5AE8DD2C9329}">
      <text>
        <r>
          <rPr>
            <sz val="9"/>
            <color indexed="81"/>
            <rFont val="MS P ゴシック"/>
            <family val="3"/>
            <charset val="128"/>
          </rPr>
          <t>数量x販社売価</t>
        </r>
      </text>
    </comment>
    <comment ref="BH67" authorId="0" shapeId="0" xr:uid="{B7F6938F-EF68-4F76-8B03-E74A6BB59B1F}">
      <text>
        <r>
          <rPr>
            <sz val="9"/>
            <color indexed="81"/>
            <rFont val="MS P ゴシック"/>
            <family val="3"/>
            <charset val="128"/>
          </rPr>
          <t>1-((製造原価/為替レート*数量)+(FOB価格*物流コスト率+FOB価格/(1-物流コスト率)*口銭率)*月間数量)/売上(連結)</t>
        </r>
      </text>
    </comment>
    <comment ref="AA72" authorId="0" shapeId="0" xr:uid="{1C5DD139-ED23-4833-A397-2CE31A302AA0}">
      <text>
        <r>
          <rPr>
            <sz val="9"/>
            <color indexed="81"/>
            <rFont val="MS P ゴシック"/>
            <family val="3"/>
            <charset val="128"/>
          </rPr>
          <t>数量xFOB価格</t>
        </r>
      </text>
    </comment>
    <comment ref="AE72" authorId="0" shapeId="0" xr:uid="{8FBD9153-D455-48A5-8160-9FD612285F39}">
      <text>
        <r>
          <rPr>
            <sz val="9"/>
            <color indexed="81"/>
            <rFont val="MS P ゴシック"/>
            <family val="3"/>
            <charset val="128"/>
          </rPr>
          <t>数量*総原価/為替レート</t>
        </r>
      </text>
    </comment>
    <comment ref="AJ72" authorId="0" shapeId="0" xr:uid="{A04A2564-914A-41DE-AEA1-C66CE93147CB}">
      <text>
        <r>
          <rPr>
            <sz val="9"/>
            <color indexed="81"/>
            <rFont val="MS P ゴシック"/>
            <family val="3"/>
            <charset val="128"/>
          </rPr>
          <t>売上-コスト合計</t>
        </r>
      </text>
    </comment>
    <comment ref="AN72" authorId="0" shapeId="0" xr:uid="{DDF17ECF-4EC5-43B3-83CA-C891D25175ED}">
      <text>
        <r>
          <rPr>
            <sz val="9"/>
            <color indexed="81"/>
            <rFont val="MS P ゴシック"/>
            <family val="3"/>
            <charset val="128"/>
          </rPr>
          <t>総原価利益率/総原価合計</t>
        </r>
      </text>
    </comment>
    <comment ref="AR72" authorId="0" shapeId="0" xr:uid="{1A674939-80ED-49BC-BB54-370D0A50DCB5}">
      <text>
        <r>
          <rPr>
            <sz val="9"/>
            <color indexed="81"/>
            <rFont val="MS P ゴシック"/>
            <family val="3"/>
            <charset val="128"/>
          </rPr>
          <t>値引き額(FOB)/(売上-値引額(FOB))</t>
        </r>
      </text>
    </comment>
    <comment ref="AV72" authorId="0" shapeId="0" xr:uid="{E818FAD8-D17D-41F1-AA98-2F46284036D5}">
      <text>
        <r>
          <rPr>
            <sz val="9"/>
            <color indexed="81"/>
            <rFont val="MS P ゴシック"/>
            <family val="3"/>
            <charset val="128"/>
          </rPr>
          <t>数量x(FOB価格-従来FOB価格)</t>
        </r>
      </text>
    </comment>
    <comment ref="AZ72" authorId="1" shapeId="0" xr:uid="{491E7B96-D91E-4F59-AC10-072C8670CFE6}">
      <text>
        <r>
          <rPr>
            <sz val="9"/>
            <color indexed="81"/>
            <rFont val="MS P ゴシック"/>
            <family val="3"/>
            <charset val="128"/>
          </rPr>
          <t>数量*従来FOB価格</t>
        </r>
      </text>
    </comment>
    <comment ref="BD72" authorId="0" shapeId="0" xr:uid="{F9E58F2A-1288-4EC7-9F60-C84689F01A58}">
      <text>
        <r>
          <rPr>
            <sz val="9"/>
            <color indexed="81"/>
            <rFont val="MS P ゴシック"/>
            <family val="3"/>
            <charset val="128"/>
          </rPr>
          <t>数量x販社売価</t>
        </r>
      </text>
    </comment>
    <comment ref="BH72" authorId="0" shapeId="0" xr:uid="{A362063F-BA67-4729-8CA6-750EBD90C6CC}">
      <text>
        <r>
          <rPr>
            <sz val="9"/>
            <color indexed="81"/>
            <rFont val="MS P ゴシック"/>
            <family val="3"/>
            <charset val="128"/>
          </rPr>
          <t>1-((製造原価/為替レート*数量)+(FOB価格*物流コスト率+FOB価格/(1-物流コスト率)*口銭率)*月間数量)/売上(連結)</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榎本亮二</author>
  </authors>
  <commentList>
    <comment ref="P19" authorId="0" shapeId="0" xr:uid="{B16F0910-2B25-48B0-AC84-D0F450AB68A7}">
      <text>
        <r>
          <rPr>
            <sz val="9"/>
            <color indexed="81"/>
            <rFont val="MS P ゴシック"/>
            <family val="3"/>
            <charset val="128"/>
          </rPr>
          <t>新規
値引き
定期値引き</t>
        </r>
      </text>
    </comment>
    <comment ref="Y51" authorId="0" shapeId="0" xr:uid="{91BDABE1-D4AF-4D5B-B352-20254FB23C28}">
      <text>
        <r>
          <rPr>
            <sz val="9"/>
            <color indexed="81"/>
            <rFont val="MS P ゴシック"/>
            <family val="3"/>
            <charset val="128"/>
          </rPr>
          <t>JPY,USD,EUR</t>
        </r>
      </text>
    </comment>
    <comment ref="AH51" authorId="0" shapeId="0" xr:uid="{62CDB66E-96A3-4E83-9D95-D4E2C06B9625}">
      <text>
        <r>
          <rPr>
            <sz val="9"/>
            <color indexed="81"/>
            <rFont val="MS P ゴシック"/>
            <family val="3"/>
            <charset val="128"/>
          </rPr>
          <t>JPY,USD,EUR</t>
        </r>
      </text>
    </comment>
    <comment ref="AV63" authorId="0" shapeId="0" xr:uid="{0DBD67A4-FF9E-46EB-B9C8-A2B692E652C6}">
      <text>
        <r>
          <rPr>
            <sz val="9"/>
            <color indexed="81"/>
            <rFont val="MS P ゴシック"/>
            <family val="3"/>
            <charset val="128"/>
          </rPr>
          <t>FOB価格/(1-物流コスト率)</t>
        </r>
      </text>
    </comment>
    <comment ref="AZ63" authorId="0" shapeId="0" xr:uid="{D26709B3-3714-4512-8EA6-BBCB3ABEB186}">
      <text>
        <r>
          <rPr>
            <sz val="9"/>
            <color indexed="81"/>
            <rFont val="MS P ゴシック"/>
            <family val="3"/>
            <charset val="128"/>
          </rPr>
          <t>FOB価格-(CIF価格*口銭率)</t>
        </r>
      </text>
    </comment>
    <comment ref="BD63" authorId="0" shapeId="0" xr:uid="{AA63994B-1D1B-48A9-954E-382465FEBBA7}">
      <text>
        <r>
          <rPr>
            <sz val="9"/>
            <color indexed="81"/>
            <rFont val="MS P ゴシック"/>
            <family val="3"/>
            <charset val="128"/>
          </rPr>
          <t>(FOB価格-従来FOB価格)/従来FOB価格</t>
        </r>
      </text>
    </comment>
    <comment ref="BL63" authorId="0" shapeId="0" xr:uid="{4847ED2C-045B-45EF-A3ED-4524C19E78DD}">
      <text>
        <r>
          <rPr>
            <sz val="9"/>
            <color indexed="81"/>
            <rFont val="MS P ゴシック"/>
            <family val="3"/>
            <charset val="128"/>
          </rPr>
          <t>1-FOB価格/(1-物流コスト率)/販社売価</t>
        </r>
      </text>
    </comment>
    <comment ref="BP63" authorId="0" shapeId="0" xr:uid="{0A221737-153F-4D5F-85C3-9D404C6E198A}">
      <text>
        <r>
          <rPr>
            <sz val="9"/>
            <color indexed="81"/>
            <rFont val="MS P ゴシック"/>
            <family val="3"/>
            <charset val="128"/>
          </rPr>
          <t>1-純原価/販社売価</t>
        </r>
      </text>
    </comment>
    <comment ref="BX63" authorId="0" shapeId="0" xr:uid="{73AFF1EF-3E0E-4720-98C8-71032E00FED5}">
      <text>
        <r>
          <rPr>
            <sz val="9"/>
            <color indexed="81"/>
            <rFont val="MS P ゴシック"/>
            <family val="3"/>
            <charset val="128"/>
          </rPr>
          <t>1-販社売価/代理店売価</t>
        </r>
      </text>
    </comment>
    <comment ref="AA66" authorId="0" shapeId="0" xr:uid="{430E6BB0-4127-4384-BC54-60CA61C14030}">
      <text>
        <r>
          <rPr>
            <sz val="9"/>
            <color indexed="81"/>
            <rFont val="MS P ゴシック"/>
            <family val="3"/>
            <charset val="128"/>
          </rPr>
          <t>数量x販社売価</t>
        </r>
      </text>
    </comment>
    <comment ref="AE66" authorId="0" shapeId="0" xr:uid="{2FF6B129-4FE2-4056-9395-D341715CE753}">
      <text>
        <r>
          <rPr>
            <sz val="9"/>
            <color indexed="81"/>
            <rFont val="MS P ゴシック"/>
            <family val="3"/>
            <charset val="128"/>
          </rPr>
          <t>数量*純原価</t>
        </r>
      </text>
    </comment>
    <comment ref="AJ66" authorId="0" shapeId="0" xr:uid="{124A21D9-B11E-440A-9251-38D6463B5ED4}">
      <text>
        <r>
          <rPr>
            <sz val="9"/>
            <color indexed="81"/>
            <rFont val="MS P ゴシック"/>
            <family val="3"/>
            <charset val="128"/>
          </rPr>
          <t>売上-純原価合計</t>
        </r>
      </text>
    </comment>
    <comment ref="AN66" authorId="0" shapeId="0" xr:uid="{39B1E842-0F08-4EE1-90A6-8A5B014B09D6}">
      <text>
        <r>
          <rPr>
            <sz val="9"/>
            <color indexed="81"/>
            <rFont val="MS P ゴシック"/>
            <family val="3"/>
            <charset val="128"/>
          </rPr>
          <t>連結粗利額/売上</t>
        </r>
      </text>
    </comment>
    <comment ref="AR66" authorId="0" shapeId="0" xr:uid="{74834474-258D-4DD9-8E4D-73D629C279A5}">
      <text>
        <r>
          <rPr>
            <sz val="9"/>
            <color indexed="81"/>
            <rFont val="MS P ゴシック"/>
            <family val="3"/>
            <charset val="128"/>
          </rPr>
          <t>値引き額/(売上-値引額)</t>
        </r>
      </text>
    </comment>
    <comment ref="AV66" authorId="0" shapeId="0" xr:uid="{9A6D075A-CB09-4104-B0B5-77393C6BC79C}">
      <text>
        <r>
          <rPr>
            <sz val="9"/>
            <color indexed="81"/>
            <rFont val="MS P ゴシック"/>
            <family val="3"/>
            <charset val="128"/>
          </rPr>
          <t>数量x(販社売価-従来FOB価格)</t>
        </r>
      </text>
    </comment>
    <comment ref="AA70" authorId="0" shapeId="0" xr:uid="{CC6D866E-EB37-46D4-8CC8-94D22DA66F2C}">
      <text>
        <r>
          <rPr>
            <sz val="9"/>
            <color indexed="81"/>
            <rFont val="MS P ゴシック"/>
            <family val="3"/>
            <charset val="128"/>
          </rPr>
          <t>数量x販社売価</t>
        </r>
      </text>
    </comment>
    <comment ref="AE70" authorId="0" shapeId="0" xr:uid="{E3B1403C-EDD2-4F49-B602-4CF89721539C}">
      <text>
        <r>
          <rPr>
            <sz val="9"/>
            <color indexed="81"/>
            <rFont val="MS P ゴシック"/>
            <family val="3"/>
            <charset val="128"/>
          </rPr>
          <t>数量*純原価</t>
        </r>
      </text>
    </comment>
    <comment ref="AJ70" authorId="0" shapeId="0" xr:uid="{B597D182-914B-4079-9012-10863EB9E722}">
      <text>
        <r>
          <rPr>
            <sz val="9"/>
            <color indexed="81"/>
            <rFont val="MS P ゴシック"/>
            <family val="3"/>
            <charset val="128"/>
          </rPr>
          <t>売上-純原価合計</t>
        </r>
      </text>
    </comment>
    <comment ref="AN70" authorId="0" shapeId="0" xr:uid="{8734A2E2-1436-4500-9F85-28ADB0147A2C}">
      <text>
        <r>
          <rPr>
            <sz val="9"/>
            <color indexed="81"/>
            <rFont val="MS P ゴシック"/>
            <family val="3"/>
            <charset val="128"/>
          </rPr>
          <t>連結粗利額/売上</t>
        </r>
      </text>
    </comment>
    <comment ref="AR70" authorId="0" shapeId="0" xr:uid="{DCE142C0-1C1D-4045-9C53-756E41C9714D}">
      <text>
        <r>
          <rPr>
            <sz val="9"/>
            <color indexed="81"/>
            <rFont val="MS P ゴシック"/>
            <family val="3"/>
            <charset val="128"/>
          </rPr>
          <t>値引き額/(売上-値引額)</t>
        </r>
      </text>
    </comment>
    <comment ref="AV70" authorId="0" shapeId="0" xr:uid="{D97FBD94-788C-4E96-8996-E4A87B5B2361}">
      <text>
        <r>
          <rPr>
            <sz val="9"/>
            <color indexed="81"/>
            <rFont val="MS P ゴシック"/>
            <family val="3"/>
            <charset val="128"/>
          </rPr>
          <t>数量x(販社売価-従来FOB価格)</t>
        </r>
      </text>
    </comment>
  </commentList>
</comments>
</file>

<file path=xl/sharedStrings.xml><?xml version="1.0" encoding="utf-8"?>
<sst xmlns="http://schemas.openxmlformats.org/spreadsheetml/2006/main" count="2084" uniqueCount="614">
  <si>
    <t>HRS殿</t>
    <rPh sb="3" eb="4">
      <t>ドノ</t>
    </rPh>
    <phoneticPr fontId="14"/>
  </si>
  <si>
    <t>作成</t>
    <rPh sb="0" eb="2">
      <t>サクセイ</t>
    </rPh>
    <phoneticPr fontId="14"/>
  </si>
  <si>
    <t>照査</t>
    <rPh sb="0" eb="2">
      <t>ショウサ</t>
    </rPh>
    <phoneticPr fontId="14"/>
  </si>
  <si>
    <t>承認</t>
    <rPh sb="0" eb="2">
      <t>ショウニン</t>
    </rPh>
    <phoneticPr fontId="14"/>
  </si>
  <si>
    <t>文書名：</t>
    <rPh sb="0" eb="2">
      <t>ブンショ</t>
    </rPh>
    <rPh sb="2" eb="3">
      <t>メイ</t>
    </rPh>
    <phoneticPr fontId="14"/>
  </si>
  <si>
    <t>顧客名</t>
    <rPh sb="0" eb="2">
      <t>コキャク</t>
    </rPh>
    <rPh sb="2" eb="3">
      <t>メイ</t>
    </rPh>
    <phoneticPr fontId="14"/>
  </si>
  <si>
    <t>ヒロセ電機株式会社</t>
    <rPh sb="3" eb="5">
      <t>デンキ</t>
    </rPh>
    <rPh sb="5" eb="7">
      <t>カブシキ</t>
    </rPh>
    <rPh sb="7" eb="9">
      <t>カイシャ</t>
    </rPh>
    <phoneticPr fontId="14"/>
  </si>
  <si>
    <t>システム</t>
    <phoneticPr fontId="14"/>
  </si>
  <si>
    <t>作成者</t>
    <rPh sb="0" eb="2">
      <t>サクセイ</t>
    </rPh>
    <rPh sb="2" eb="3">
      <t>シャ</t>
    </rPh>
    <phoneticPr fontId="14"/>
  </si>
  <si>
    <t>作成日</t>
    <rPh sb="0" eb="3">
      <t>サクセイビ</t>
    </rPh>
    <phoneticPr fontId="14"/>
  </si>
  <si>
    <t>書類番号</t>
    <rPh sb="0" eb="2">
      <t>ショルイ</t>
    </rPh>
    <rPh sb="2" eb="4">
      <t>バンゴウ</t>
    </rPh>
    <phoneticPr fontId="14"/>
  </si>
  <si>
    <t>プロジェクト</t>
    <phoneticPr fontId="14"/>
  </si>
  <si>
    <t>修正者</t>
    <rPh sb="0" eb="2">
      <t>シュウセイ</t>
    </rPh>
    <rPh sb="2" eb="3">
      <t>シャ</t>
    </rPh>
    <phoneticPr fontId="14"/>
  </si>
  <si>
    <t>修正日</t>
    <rPh sb="0" eb="2">
      <t>シュウセイ</t>
    </rPh>
    <rPh sb="2" eb="3">
      <t>ビ</t>
    </rPh>
    <phoneticPr fontId="14"/>
  </si>
  <si>
    <t>内容</t>
    <rPh sb="0" eb="2">
      <t>ナイヨウ</t>
    </rPh>
    <phoneticPr fontId="14"/>
  </si>
  <si>
    <t>Rev</t>
    <phoneticPr fontId="14"/>
  </si>
  <si>
    <t>intra-mart Accel Platform</t>
    <phoneticPr fontId="14"/>
  </si>
  <si>
    <t>変更内容</t>
    <rPh sb="0" eb="2">
      <t>ヘンコウ</t>
    </rPh>
    <rPh sb="2" eb="4">
      <t>ナイヨウ</t>
    </rPh>
    <phoneticPr fontId="13"/>
  </si>
  <si>
    <t>変更・追加箇所</t>
    <rPh sb="0" eb="2">
      <t>ヘンコウ</t>
    </rPh>
    <rPh sb="3" eb="5">
      <t>ツイカ</t>
    </rPh>
    <rPh sb="5" eb="7">
      <t>カショ</t>
    </rPh>
    <phoneticPr fontId="13"/>
  </si>
  <si>
    <t>提出日</t>
    <rPh sb="0" eb="2">
      <t>テイシュツ</t>
    </rPh>
    <rPh sb="2" eb="3">
      <t>ビ</t>
    </rPh>
    <phoneticPr fontId="13"/>
  </si>
  <si>
    <t>作成者</t>
    <rPh sb="0" eb="3">
      <t>サクセイシャ</t>
    </rPh>
    <phoneticPr fontId="13"/>
  </si>
  <si>
    <t>承認者</t>
    <rPh sb="0" eb="2">
      <t>ショウニン</t>
    </rPh>
    <rPh sb="2" eb="3">
      <t>シャ</t>
    </rPh>
    <phoneticPr fontId="13"/>
  </si>
  <si>
    <t>備考</t>
    <rPh sb="0" eb="2">
      <t>ビコウ</t>
    </rPh>
    <phoneticPr fontId="13"/>
  </si>
  <si>
    <t>新規作成</t>
    <rPh sb="0" eb="2">
      <t>シンキ</t>
    </rPh>
    <rPh sb="2" eb="4">
      <t>サクセイ</t>
    </rPh>
    <phoneticPr fontId="51"/>
  </si>
  <si>
    <t>Rev.</t>
    <phoneticPr fontId="13"/>
  </si>
  <si>
    <t>変更来歴</t>
    <phoneticPr fontId="51"/>
  </si>
  <si>
    <t>画面設計書</t>
    <rPh sb="0" eb="2">
      <t>ガメン</t>
    </rPh>
    <rPh sb="2" eb="5">
      <t>セッケイショ</t>
    </rPh>
    <phoneticPr fontId="14"/>
  </si>
  <si>
    <t>画面名</t>
    <rPh sb="0" eb="2">
      <t>ガメン</t>
    </rPh>
    <rPh sb="2" eb="3">
      <t>メイ</t>
    </rPh>
    <phoneticPr fontId="51"/>
  </si>
  <si>
    <t>アメージングアクティビティ(株)</t>
    <rPh sb="13" eb="16">
      <t>カブシキガイシャ</t>
    </rPh>
    <phoneticPr fontId="14"/>
  </si>
  <si>
    <t>　</t>
    <phoneticPr fontId="51"/>
  </si>
  <si>
    <t/>
  </si>
  <si>
    <t>IMWF-53</t>
    <phoneticPr fontId="51"/>
  </si>
  <si>
    <t>No</t>
    <phoneticPr fontId="57"/>
  </si>
  <si>
    <t>▼</t>
    <phoneticPr fontId="57"/>
  </si>
  <si>
    <t>品名</t>
    <rPh sb="0" eb="1">
      <t>ヒンメイ</t>
    </rPh>
    <phoneticPr fontId="57"/>
  </si>
  <si>
    <t>○</t>
    <phoneticPr fontId="57"/>
  </si>
  <si>
    <t>◎</t>
    <phoneticPr fontId="57"/>
  </si>
  <si>
    <t>▲</t>
    <phoneticPr fontId="57"/>
  </si>
  <si>
    <t>ファイル名</t>
    <rPh sb="4" eb="5">
      <t>メイ</t>
    </rPh>
    <phoneticPr fontId="57"/>
  </si>
  <si>
    <t>得意先コード</t>
    <rPh sb="0" eb="3">
      <t>トクイサキ</t>
    </rPh>
    <phoneticPr fontId="57"/>
  </si>
  <si>
    <t>サイズ</t>
    <phoneticPr fontId="57"/>
  </si>
  <si>
    <t>102 KB</t>
    <phoneticPr fontId="57"/>
  </si>
  <si>
    <t>得意先</t>
    <rPh sb="0" eb="3">
      <t>トクイサキ</t>
    </rPh>
    <phoneticPr fontId="61"/>
  </si>
  <si>
    <t>　</t>
    <phoneticPr fontId="57"/>
  </si>
  <si>
    <t>クリア</t>
    <phoneticPr fontId="57"/>
  </si>
  <si>
    <t>ファイル001.xlsx</t>
    <phoneticPr fontId="57"/>
  </si>
  <si>
    <t>CD-1234567</t>
    <phoneticPr fontId="57"/>
  </si>
  <si>
    <t>単価上申(円販売一般品)</t>
    <rPh sb="0" eb="2">
      <t>タンカ</t>
    </rPh>
    <rPh sb="2" eb="4">
      <t>ジョウシン</t>
    </rPh>
    <rPh sb="5" eb="8">
      <t>エンハンバイ</t>
    </rPh>
    <rPh sb="8" eb="10">
      <t>イッパン</t>
    </rPh>
    <rPh sb="10" eb="11">
      <t>シナ</t>
    </rPh>
    <phoneticPr fontId="57"/>
  </si>
  <si>
    <t>過去の申請から内容コピー</t>
    <rPh sb="0" eb="2">
      <t>カコ</t>
    </rPh>
    <rPh sb="3" eb="5">
      <t>シンセイ</t>
    </rPh>
    <rPh sb="7" eb="9">
      <t>ナイヨウ</t>
    </rPh>
    <phoneticPr fontId="57"/>
  </si>
  <si>
    <t>起票日</t>
    <rPh sb="0" eb="3">
      <t>キヒョウビ</t>
    </rPh>
    <phoneticPr fontId="57"/>
  </si>
  <si>
    <t>所属</t>
    <rPh sb="0" eb="2">
      <t>ショゾク</t>
    </rPh>
    <phoneticPr fontId="57"/>
  </si>
  <si>
    <t>社員番号</t>
    <rPh sb="0" eb="2">
      <t>シャイン</t>
    </rPh>
    <rPh sb="2" eb="4">
      <t>バンゴウ</t>
    </rPh>
    <phoneticPr fontId="57"/>
  </si>
  <si>
    <t>2022/09/29</t>
    <phoneticPr fontId="57"/>
  </si>
  <si>
    <t>：</t>
    <phoneticPr fontId="57"/>
  </si>
  <si>
    <t>ヒロセ電機株式会社/管理本部/ＩＴ統括部/情報システム企画課</t>
    <phoneticPr fontId="57"/>
  </si>
  <si>
    <t>hirose</t>
    <phoneticPr fontId="57"/>
  </si>
  <si>
    <t>氏名　：</t>
    <rPh sb="0" eb="2">
      <t>シメイ</t>
    </rPh>
    <phoneticPr fontId="57"/>
  </si>
  <si>
    <t>システム担当者</t>
    <rPh sb="4" eb="7">
      <t>タントウシャ</t>
    </rPh>
    <phoneticPr fontId="57"/>
  </si>
  <si>
    <r>
      <t>タイトル</t>
    </r>
    <r>
      <rPr>
        <sz val="10"/>
        <color rgb="FFFF0000"/>
        <rFont val="ＭＳ Ｐゴシック"/>
        <family val="3"/>
        <charset val="128"/>
        <scheme val="minor"/>
      </rPr>
      <t>*</t>
    </r>
    <phoneticPr fontId="57"/>
  </si>
  <si>
    <r>
      <t>得意先名</t>
    </r>
    <r>
      <rPr>
        <sz val="10"/>
        <color rgb="FFFF0000"/>
        <rFont val="ＭＳ Ｐゴシック"/>
        <family val="3"/>
        <charset val="128"/>
        <scheme val="minor"/>
      </rPr>
      <t>*</t>
    </r>
    <rPh sb="0" eb="3">
      <t>トクイサキ</t>
    </rPh>
    <rPh sb="3" eb="4">
      <t>メイ</t>
    </rPh>
    <phoneticPr fontId="57"/>
  </si>
  <si>
    <t>客先担当者名</t>
    <rPh sb="0" eb="2">
      <t>キャクサキ</t>
    </rPh>
    <rPh sb="2" eb="6">
      <t>タントウシャメイ</t>
    </rPh>
    <phoneticPr fontId="57"/>
  </si>
  <si>
    <r>
      <t>案件種類</t>
    </r>
    <r>
      <rPr>
        <sz val="10"/>
        <color rgb="FFFF0000"/>
        <rFont val="ＭＳ Ｐゴシック"/>
        <family val="3"/>
        <charset val="128"/>
        <scheme val="minor"/>
      </rPr>
      <t>*</t>
    </r>
    <rPh sb="0" eb="2">
      <t>アンケン</t>
    </rPh>
    <rPh sb="2" eb="4">
      <t>シュルイ</t>
    </rPh>
    <phoneticPr fontId="57"/>
  </si>
  <si>
    <r>
      <t>希望承認期限</t>
    </r>
    <r>
      <rPr>
        <sz val="10"/>
        <color rgb="FFFF0000"/>
        <rFont val="ＭＳ Ｐゴシック"/>
        <family val="3"/>
        <charset val="128"/>
        <scheme val="minor"/>
      </rPr>
      <t>*</t>
    </r>
    <rPh sb="0" eb="2">
      <t>キボウ</t>
    </rPh>
    <rPh sb="2" eb="4">
      <t>ショウニン</t>
    </rPh>
    <rPh sb="4" eb="6">
      <t>キゲン</t>
    </rPh>
    <phoneticPr fontId="57"/>
  </si>
  <si>
    <t>申請価格入力</t>
    <rPh sb="0" eb="2">
      <t>シンセイ</t>
    </rPh>
    <rPh sb="2" eb="4">
      <t>カカク</t>
    </rPh>
    <rPh sb="4" eb="6">
      <t>ニュウリョク</t>
    </rPh>
    <phoneticPr fontId="57"/>
  </si>
  <si>
    <t>CL</t>
    <phoneticPr fontId="61"/>
  </si>
  <si>
    <t>得意先要求価格</t>
    <rPh sb="0" eb="3">
      <t>トクイサキ</t>
    </rPh>
    <rPh sb="3" eb="5">
      <t>ヨウキュウ</t>
    </rPh>
    <rPh sb="5" eb="7">
      <t>カカク</t>
    </rPh>
    <phoneticPr fontId="61"/>
  </si>
  <si>
    <t>申請価格</t>
    <rPh sb="0" eb="2">
      <t>シンセイ</t>
    </rPh>
    <rPh sb="2" eb="4">
      <t>カカク</t>
    </rPh>
    <phoneticPr fontId="61"/>
  </si>
  <si>
    <t>原計タイプ</t>
    <rPh sb="0" eb="2">
      <t>ゲンケイ</t>
    </rPh>
    <phoneticPr fontId="61"/>
  </si>
  <si>
    <t>従来価格</t>
    <rPh sb="0" eb="2">
      <t>ジュウライ</t>
    </rPh>
    <rPh sb="2" eb="4">
      <t>カカク</t>
    </rPh>
    <phoneticPr fontId="61"/>
  </si>
  <si>
    <t>備考</t>
    <rPh sb="0" eb="2">
      <t>ビコウ</t>
    </rPh>
    <phoneticPr fontId="61"/>
  </si>
  <si>
    <t>2022/9/29</t>
    <phoneticPr fontId="57"/>
  </si>
  <si>
    <r>
      <rPr>
        <b/>
        <sz val="10"/>
        <color theme="6" tint="0.39997558519241921"/>
        <rFont val="ＭＳ Ｐゴシック"/>
        <family val="3"/>
        <charset val="128"/>
        <scheme val="minor"/>
      </rPr>
      <t>＋</t>
    </r>
    <r>
      <rPr>
        <b/>
        <sz val="10"/>
        <color rgb="FF00B050"/>
        <rFont val="ＭＳ Ｐゴシック"/>
        <family val="3"/>
        <charset val="128"/>
        <scheme val="minor"/>
      </rPr>
      <t xml:space="preserve"> </t>
    </r>
    <r>
      <rPr>
        <sz val="10"/>
        <color theme="0"/>
        <rFont val="ＭＳ Ｐゴシック"/>
        <family val="3"/>
        <charset val="128"/>
        <scheme val="minor"/>
      </rPr>
      <t>追加</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挿入</t>
    </r>
    <r>
      <rPr>
        <sz val="10"/>
        <color theme="1"/>
        <rFont val="ＭＳ Ｐゴシック"/>
        <family val="3"/>
        <charset val="128"/>
        <scheme val="minor"/>
      </rPr>
      <t xml:space="preserve"> </t>
    </r>
    <r>
      <rPr>
        <b/>
        <sz val="10"/>
        <color rgb="FFFF000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削除</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 xml:space="preserve">上へ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下へ</t>
    </r>
    <rPh sb="7" eb="9">
      <t>ソウニュウ</t>
    </rPh>
    <phoneticPr fontId="57"/>
  </si>
  <si>
    <t>通貨：JPY</t>
    <rPh sb="0" eb="2">
      <t>ツウカ</t>
    </rPh>
    <phoneticPr fontId="57"/>
  </si>
  <si>
    <r>
      <t>品名</t>
    </r>
    <r>
      <rPr>
        <sz val="10"/>
        <color rgb="FFFF0000"/>
        <rFont val="ＭＳ Ｐゴシック"/>
        <family val="3"/>
        <charset val="128"/>
        <scheme val="minor"/>
      </rPr>
      <t>*</t>
    </r>
    <rPh sb="0" eb="1">
      <t>ヒンメイ</t>
    </rPh>
    <phoneticPr fontId="57"/>
  </si>
  <si>
    <r>
      <t>形</t>
    </r>
    <r>
      <rPr>
        <sz val="10"/>
        <color rgb="FFFF0000"/>
        <rFont val="ＭＳ Ｐゴシック"/>
        <family val="3"/>
        <charset val="128"/>
        <scheme val="minor"/>
      </rPr>
      <t>*</t>
    </r>
    <rPh sb="0" eb="1">
      <t>カタ</t>
    </rPh>
    <phoneticPr fontId="61"/>
  </si>
  <si>
    <r>
      <t>月間数量</t>
    </r>
    <r>
      <rPr>
        <sz val="10"/>
        <color rgb="FFFF0000"/>
        <rFont val="ＭＳ Ｐゴシック"/>
        <family val="3"/>
        <charset val="128"/>
        <scheme val="minor"/>
      </rPr>
      <t>*</t>
    </r>
    <rPh sb="0" eb="2">
      <t>ゲッカン</t>
    </rPh>
    <rPh sb="2" eb="4">
      <t>スウリョウ</t>
    </rPh>
    <phoneticPr fontId="61"/>
  </si>
  <si>
    <r>
      <t>申請価格</t>
    </r>
    <r>
      <rPr>
        <sz val="9"/>
        <color rgb="FFFF0000"/>
        <rFont val="ＭＳ Ｐゴシック"/>
        <family val="3"/>
        <charset val="128"/>
        <scheme val="minor"/>
      </rPr>
      <t>*</t>
    </r>
    <rPh sb="0" eb="2">
      <t>シンセイ</t>
    </rPh>
    <rPh sb="2" eb="4">
      <t>カカク</t>
    </rPh>
    <phoneticPr fontId="61"/>
  </si>
  <si>
    <r>
      <t>PPM直接コスト</t>
    </r>
    <r>
      <rPr>
        <sz val="9"/>
        <color rgb="FFFF0000"/>
        <rFont val="ＭＳ Ｐゴシック"/>
        <family val="3"/>
        <charset val="128"/>
        <scheme val="minor"/>
      </rPr>
      <t>*</t>
    </r>
    <rPh sb="2" eb="4">
      <t>チョクセツ</t>
    </rPh>
    <phoneticPr fontId="57"/>
  </si>
  <si>
    <t>承認者確認用</t>
    <rPh sb="0" eb="3">
      <t>ショウニンシャ</t>
    </rPh>
    <rPh sb="3" eb="6">
      <t>カクニンヨウ</t>
    </rPh>
    <phoneticPr fontId="57"/>
  </si>
  <si>
    <t>数量pcs/月</t>
    <rPh sb="0" eb="2">
      <t>スウリョウ</t>
    </rPh>
    <rPh sb="6" eb="7">
      <t>ツキ</t>
    </rPh>
    <phoneticPr fontId="61"/>
  </si>
  <si>
    <t>コスト</t>
    <phoneticPr fontId="61"/>
  </si>
  <si>
    <t>貢献率</t>
    <rPh sb="0" eb="2">
      <t>コウケン</t>
    </rPh>
    <rPh sb="2" eb="3">
      <t>リツ</t>
    </rPh>
    <phoneticPr fontId="57"/>
  </si>
  <si>
    <t>値引き率</t>
    <rPh sb="0" eb="2">
      <t>ネビ</t>
    </rPh>
    <rPh sb="3" eb="4">
      <t>リツ</t>
    </rPh>
    <phoneticPr fontId="61"/>
  </si>
  <si>
    <t>代理店売価</t>
    <rPh sb="0" eb="3">
      <t>ダイリテン</t>
    </rPh>
    <rPh sb="3" eb="5">
      <t>バイカ</t>
    </rPh>
    <phoneticPr fontId="61"/>
  </si>
  <si>
    <t>代理店粗利率</t>
    <rPh sb="0" eb="3">
      <t>ダイリテン</t>
    </rPh>
    <rPh sb="3" eb="6">
      <t>アラリリツ</t>
    </rPh>
    <phoneticPr fontId="61"/>
  </si>
  <si>
    <t>ピン@</t>
    <phoneticPr fontId="61"/>
  </si>
  <si>
    <t>競合名</t>
    <rPh sb="0" eb="3">
      <t>キョウゴウメイ</t>
    </rPh>
    <phoneticPr fontId="61"/>
  </si>
  <si>
    <t>得意先要求</t>
    <rPh sb="0" eb="3">
      <t>トクイサキ</t>
    </rPh>
    <rPh sb="3" eb="5">
      <t>ヨウキュウ</t>
    </rPh>
    <phoneticPr fontId="61"/>
  </si>
  <si>
    <t>価格</t>
    <rPh sb="0" eb="1">
      <t>カカク</t>
    </rPh>
    <phoneticPr fontId="57"/>
  </si>
  <si>
    <r>
      <t>従来価格</t>
    </r>
    <r>
      <rPr>
        <sz val="9"/>
        <color rgb="FFFF0000"/>
        <rFont val="ＭＳ Ｐゴシック"/>
        <family val="3"/>
        <charset val="128"/>
        <scheme val="minor"/>
      </rPr>
      <t>*</t>
    </r>
    <rPh sb="0" eb="2">
      <t>ジュウライ</t>
    </rPh>
    <rPh sb="2" eb="4">
      <t>カカク</t>
    </rPh>
    <phoneticPr fontId="61"/>
  </si>
  <si>
    <t>1130511471</t>
    <phoneticPr fontId="57"/>
  </si>
  <si>
    <t>RP17-13RA-12SD(71)</t>
    <phoneticPr fontId="57"/>
  </si>
  <si>
    <t>R</t>
    <phoneticPr fontId="57"/>
  </si>
  <si>
    <t>PPM原計</t>
    <rPh sb="2" eb="4">
      <t>ゲンケイ</t>
    </rPh>
    <phoneticPr fontId="57"/>
  </si>
  <si>
    <t>1135042200</t>
    <phoneticPr fontId="57"/>
  </si>
  <si>
    <t>RP34-8R-3PDL</t>
    <phoneticPr fontId="57"/>
  </si>
  <si>
    <t>SMK</t>
    <phoneticPr fontId="57"/>
  </si>
  <si>
    <t>中国</t>
    <rPh sb="0" eb="1">
      <t>チュウゴク</t>
    </rPh>
    <phoneticPr fontId="57"/>
  </si>
  <si>
    <t>売上</t>
    <rPh sb="0" eb="2">
      <t>ウリアゲ</t>
    </rPh>
    <phoneticPr fontId="61"/>
  </si>
  <si>
    <t>貢献額</t>
    <rPh sb="0" eb="2">
      <t>コウケン</t>
    </rPh>
    <rPh sb="2" eb="3">
      <t>ガク</t>
    </rPh>
    <phoneticPr fontId="61"/>
  </si>
  <si>
    <t>値引き額</t>
    <rPh sb="0" eb="2">
      <t>ネビ</t>
    </rPh>
    <rPh sb="3" eb="4">
      <t>ガク</t>
    </rPh>
    <phoneticPr fontId="61"/>
  </si>
  <si>
    <t>値引き前売上</t>
    <rPh sb="0" eb="2">
      <t>ネビ</t>
    </rPh>
    <rPh sb="3" eb="4">
      <t>マエ</t>
    </rPh>
    <rPh sb="4" eb="6">
      <t>ウリアゲ</t>
    </rPh>
    <phoneticPr fontId="61"/>
  </si>
  <si>
    <t>売上</t>
    <rPh sb="0" eb="2">
      <t>ウリアゲ</t>
    </rPh>
    <phoneticPr fontId="57"/>
  </si>
  <si>
    <t>申請内容</t>
    <rPh sb="0" eb="2">
      <t>シンセイ</t>
    </rPh>
    <rPh sb="2" eb="4">
      <t>ナイヨウ</t>
    </rPh>
    <phoneticPr fontId="57"/>
  </si>
  <si>
    <t>起票区分</t>
    <rPh sb="0" eb="2">
      <t>キヒョウ</t>
    </rPh>
    <rPh sb="2" eb="4">
      <t>クブン</t>
    </rPh>
    <phoneticPr fontId="57"/>
  </si>
  <si>
    <r>
      <t>総原価</t>
    </r>
    <r>
      <rPr>
        <sz val="9"/>
        <color rgb="FFFF0000"/>
        <rFont val="ＭＳ Ｐゴシック"/>
        <family val="3"/>
        <charset val="128"/>
        <scheme val="minor"/>
      </rPr>
      <t>*</t>
    </r>
    <r>
      <rPr>
        <sz val="9"/>
        <rFont val="ＭＳ Ｐゴシック"/>
        <family val="3"/>
        <charset val="128"/>
        <scheme val="minor"/>
      </rPr>
      <t xml:space="preserve"> </t>
    </r>
    <rPh sb="0" eb="1">
      <t>ソウ</t>
    </rPh>
    <rPh sb="1" eb="3">
      <t>ゲンカ</t>
    </rPh>
    <phoneticPr fontId="61"/>
  </si>
  <si>
    <t>口銭率</t>
    <rPh sb="0" eb="2">
      <t>コウセン</t>
    </rPh>
    <rPh sb="2" eb="3">
      <t>リツ</t>
    </rPh>
    <phoneticPr fontId="57"/>
  </si>
  <si>
    <t>☑ 口銭申請有り</t>
    <rPh sb="2" eb="4">
      <t>コウセン</t>
    </rPh>
    <rPh sb="4" eb="6">
      <t>シンセイ</t>
    </rPh>
    <rPh sb="6" eb="7">
      <t>アリ</t>
    </rPh>
    <phoneticPr fontId="57"/>
  </si>
  <si>
    <t>プロジェクト情報</t>
    <rPh sb="6" eb="8">
      <t>ジョウホウ</t>
    </rPh>
    <phoneticPr fontId="57"/>
  </si>
  <si>
    <t>工事金額</t>
    <rPh sb="0" eb="4">
      <t>コウジキンガク</t>
    </rPh>
    <phoneticPr fontId="57"/>
  </si>
  <si>
    <t>万円/月</t>
    <rPh sb="0" eb="2">
      <t>マンエン</t>
    </rPh>
    <rPh sb="3" eb="4">
      <t>ツキ</t>
    </rPh>
    <phoneticPr fontId="57"/>
  </si>
  <si>
    <t>MFC PJ番号</t>
    <rPh sb="6" eb="8">
      <t>バンゴウ</t>
    </rPh>
    <phoneticPr fontId="57"/>
  </si>
  <si>
    <t>ヵ月</t>
    <rPh sb="1" eb="2">
      <t>ゲツ</t>
    </rPh>
    <phoneticPr fontId="57"/>
  </si>
  <si>
    <t>総工事金額</t>
    <rPh sb="0" eb="5">
      <t>ソウコウジキンガク</t>
    </rPh>
    <phoneticPr fontId="57"/>
  </si>
  <si>
    <t>万円</t>
    <rPh sb="0" eb="2">
      <t>マンエン</t>
    </rPh>
    <phoneticPr fontId="57"/>
  </si>
  <si>
    <t>MFC OPPORTUNITY番号</t>
    <rPh sb="15" eb="17">
      <t>バンゴウ</t>
    </rPh>
    <phoneticPr fontId="57"/>
  </si>
  <si>
    <t>機種A</t>
    <rPh sb="0" eb="2">
      <t>キシュ</t>
    </rPh>
    <phoneticPr fontId="57"/>
  </si>
  <si>
    <r>
      <rPr>
        <sz val="10"/>
        <rFont val="ＭＳ Ｐゴシック"/>
        <family val="3"/>
        <charset val="128"/>
        <scheme val="minor"/>
      </rPr>
      <t>大分類</t>
    </r>
    <r>
      <rPr>
        <sz val="10"/>
        <color rgb="FFFF0000"/>
        <rFont val="ＭＳ Ｐゴシック"/>
        <family val="3"/>
        <charset val="128"/>
        <scheme val="minor"/>
      </rPr>
      <t>*</t>
    </r>
    <rPh sb="0" eb="3">
      <t>ダイブンルイ</t>
    </rPh>
    <phoneticPr fontId="57"/>
  </si>
  <si>
    <t>競合名</t>
    <rPh sb="0" eb="3">
      <t>キョウゴウメイ</t>
    </rPh>
    <phoneticPr fontId="57"/>
  </si>
  <si>
    <r>
      <t>継続期間</t>
    </r>
    <r>
      <rPr>
        <sz val="10"/>
        <color rgb="FFFF0000"/>
        <rFont val="ＭＳ Ｐゴシック"/>
        <family val="3"/>
        <charset val="128"/>
        <scheme val="minor"/>
      </rPr>
      <t>*</t>
    </r>
    <rPh sb="0" eb="2">
      <t>ケイゾク</t>
    </rPh>
    <rPh sb="2" eb="4">
      <t>キカン</t>
    </rPh>
    <phoneticPr fontId="57"/>
  </si>
  <si>
    <r>
      <t>中分類</t>
    </r>
    <r>
      <rPr>
        <sz val="10"/>
        <color rgb="FFFF0000"/>
        <rFont val="ＭＳ Ｐゴシック"/>
        <family val="3"/>
        <charset val="128"/>
        <scheme val="minor"/>
      </rPr>
      <t>*</t>
    </r>
    <rPh sb="0" eb="3">
      <t>チュウブンルイ</t>
    </rPh>
    <phoneticPr fontId="57"/>
  </si>
  <si>
    <r>
      <t>機種</t>
    </r>
    <r>
      <rPr>
        <sz val="10"/>
        <color rgb="FFFF0000"/>
        <rFont val="ＭＳ Ｐゴシック"/>
        <family val="3"/>
        <charset val="128"/>
        <scheme val="minor"/>
      </rPr>
      <t>*</t>
    </r>
    <rPh sb="0" eb="2">
      <t>キシュ</t>
    </rPh>
    <phoneticPr fontId="57"/>
  </si>
  <si>
    <t>大分類A</t>
    <rPh sb="0" eb="3">
      <t>ダイブンルイ</t>
    </rPh>
    <phoneticPr fontId="57"/>
  </si>
  <si>
    <t>中分類B</t>
    <rPh sb="0" eb="3">
      <t>チュウブンルイ</t>
    </rPh>
    <phoneticPr fontId="57"/>
  </si>
  <si>
    <r>
      <t>申請理由</t>
    </r>
    <r>
      <rPr>
        <sz val="10"/>
        <color rgb="FFFF0000"/>
        <rFont val="ＭＳ Ｐゴシック"/>
        <family val="3"/>
        <charset val="128"/>
        <scheme val="minor"/>
      </rPr>
      <t>*</t>
    </r>
    <rPh sb="0" eb="2">
      <t>シンセイ</t>
    </rPh>
    <rPh sb="2" eb="4">
      <t>リユウ</t>
    </rPh>
    <phoneticPr fontId="57"/>
  </si>
  <si>
    <r>
      <t>量産時期</t>
    </r>
    <r>
      <rPr>
        <sz val="10"/>
        <color rgb="FFFF0000"/>
        <rFont val="ＭＳ Ｐゴシック"/>
        <family val="3"/>
        <charset val="128"/>
        <scheme val="minor"/>
      </rPr>
      <t>*</t>
    </r>
    <rPh sb="0" eb="2">
      <t>リョウサン</t>
    </rPh>
    <rPh sb="2" eb="4">
      <t>ジキ</t>
    </rPh>
    <phoneticPr fontId="57"/>
  </si>
  <si>
    <t>値引補填工事</t>
    <rPh sb="0" eb="2">
      <t>ネビ</t>
    </rPh>
    <rPh sb="2" eb="4">
      <t>ホテン</t>
    </rPh>
    <rPh sb="4" eb="6">
      <t>コウジ</t>
    </rPh>
    <phoneticPr fontId="57"/>
  </si>
  <si>
    <t>備考欄</t>
    <rPh sb="0" eb="3">
      <t>ビコウラン</t>
    </rPh>
    <phoneticPr fontId="57"/>
  </si>
  <si>
    <t>◎ 技術原計 ○ PPM原計 ○ コリア原計</t>
    <rPh sb="2" eb="4">
      <t>ギジュツ</t>
    </rPh>
    <rPh sb="4" eb="6">
      <t>ゲンケイ</t>
    </rPh>
    <rPh sb="12" eb="14">
      <t>ゲンケイ</t>
    </rPh>
    <rPh sb="20" eb="22">
      <t>ゲンケイ</t>
    </rPh>
    <phoneticPr fontId="57"/>
  </si>
  <si>
    <t>/月</t>
    <rPh sb="1" eb="2">
      <t>ゲツ</t>
    </rPh>
    <phoneticPr fontId="57"/>
  </si>
  <si>
    <t>平均生産予定数量</t>
    <rPh sb="0" eb="2">
      <t>ヘイキン</t>
    </rPh>
    <rPh sb="2" eb="4">
      <t>セイサン</t>
    </rPh>
    <rPh sb="4" eb="6">
      <t>ヨテイ</t>
    </rPh>
    <rPh sb="6" eb="8">
      <t>スウリョウ</t>
    </rPh>
    <phoneticPr fontId="57"/>
  </si>
  <si>
    <t>添付書類</t>
    <rPh sb="0" eb="2">
      <t>テンプ</t>
    </rPh>
    <rPh sb="2" eb="4">
      <t>ショルイ</t>
    </rPh>
    <phoneticPr fontId="57"/>
  </si>
  <si>
    <t>一般品</t>
    <rPh sb="0" eb="3">
      <t>イッパンヒン</t>
    </rPh>
    <phoneticPr fontId="57"/>
  </si>
  <si>
    <t>円販売</t>
    <rPh sb="0" eb="3">
      <t>エンハンバイ</t>
    </rPh>
    <phoneticPr fontId="57"/>
  </si>
  <si>
    <t>外貨販売</t>
    <rPh sb="0" eb="2">
      <t>ガイカ</t>
    </rPh>
    <rPh sb="2" eb="4">
      <t>ハンバイ</t>
    </rPh>
    <phoneticPr fontId="57"/>
  </si>
  <si>
    <t>1250103874</t>
    <phoneticPr fontId="57"/>
  </si>
  <si>
    <t>1250109471</t>
    <phoneticPr fontId="57"/>
  </si>
  <si>
    <t>HR25-9TP-16P(74)</t>
    <phoneticPr fontId="57"/>
  </si>
  <si>
    <t>HR25-9TR-16S(71)</t>
    <phoneticPr fontId="57"/>
  </si>
  <si>
    <t>○ 技術原計 ◎ PPM原計 ○ コリア原計</t>
    <rPh sb="2" eb="4">
      <t>ギジュツ</t>
    </rPh>
    <rPh sb="4" eb="6">
      <t>ゲンケイ</t>
    </rPh>
    <rPh sb="12" eb="14">
      <t>ゲンケイ</t>
    </rPh>
    <rPh sb="20" eb="22">
      <t>ゲンケイ</t>
    </rPh>
    <phoneticPr fontId="57"/>
  </si>
  <si>
    <t>サンウー</t>
    <phoneticPr fontId="57"/>
  </si>
  <si>
    <t>総原価利益率</t>
    <rPh sb="0" eb="3">
      <t>ソウゲンカ</t>
    </rPh>
    <rPh sb="3" eb="6">
      <t>リエキリツ</t>
    </rPh>
    <phoneticPr fontId="57"/>
  </si>
  <si>
    <t>総原価利益額</t>
    <rPh sb="0" eb="3">
      <t>ソウゲンカ</t>
    </rPh>
    <rPh sb="3" eb="5">
      <t>リエキ</t>
    </rPh>
    <rPh sb="5" eb="6">
      <t>ガク</t>
    </rPh>
    <phoneticPr fontId="61"/>
  </si>
  <si>
    <t>総原価利益率</t>
    <rPh sb="0" eb="3">
      <t>ソウゲンカ</t>
    </rPh>
    <rPh sb="3" eb="5">
      <t>リエキ</t>
    </rPh>
    <rPh sb="5" eb="6">
      <t>リツ</t>
    </rPh>
    <phoneticPr fontId="57"/>
  </si>
  <si>
    <t>技術原計</t>
    <rPh sb="0" eb="2">
      <t>ギジュツ</t>
    </rPh>
    <rPh sb="2" eb="4">
      <t>ゲンケイ</t>
    </rPh>
    <phoneticPr fontId="57"/>
  </si>
  <si>
    <t>総原価合計</t>
    <rPh sb="0" eb="3">
      <t>ソウゲンカ</t>
    </rPh>
    <rPh sb="3" eb="5">
      <t>ゴウケイ</t>
    </rPh>
    <phoneticPr fontId="61"/>
  </si>
  <si>
    <t>○ 技術原計 ○ PPM原計 ◎ コリア原計</t>
    <rPh sb="2" eb="4">
      <t>ギジュツ</t>
    </rPh>
    <rPh sb="4" eb="6">
      <t>ゲンケイ</t>
    </rPh>
    <rPh sb="12" eb="14">
      <t>ゲンケイ</t>
    </rPh>
    <rPh sb="20" eb="22">
      <t>ゲンケイ</t>
    </rPh>
    <phoneticPr fontId="57"/>
  </si>
  <si>
    <t>コリア術原計</t>
    <rPh sb="2" eb="3">
      <t>ジュツ</t>
    </rPh>
    <rPh sb="3" eb="5">
      <t>ゲンケイ</t>
    </rPh>
    <phoneticPr fontId="57"/>
  </si>
  <si>
    <t>USD</t>
    <phoneticPr fontId="57"/>
  </si>
  <si>
    <t>コリア原計</t>
    <rPh sb="2" eb="4">
      <t>ゲンケイ</t>
    </rPh>
    <phoneticPr fontId="57"/>
  </si>
  <si>
    <t>純原価</t>
    <rPh sb="0" eb="1">
      <t>ジュン</t>
    </rPh>
    <rPh sb="1" eb="3">
      <t>ゲンカ</t>
    </rPh>
    <phoneticPr fontId="61"/>
  </si>
  <si>
    <t>申請通貨</t>
    <rPh sb="0" eb="2">
      <t>シンセイ</t>
    </rPh>
    <rPh sb="2" eb="4">
      <t>ツウカ</t>
    </rPh>
    <phoneticPr fontId="61"/>
  </si>
  <si>
    <r>
      <t>従来FOB価格</t>
    </r>
    <r>
      <rPr>
        <sz val="9"/>
        <color rgb="FFFF0000"/>
        <rFont val="ＭＳ Ｐゴシック"/>
        <family val="3"/>
        <charset val="128"/>
        <scheme val="minor"/>
      </rPr>
      <t>*</t>
    </r>
    <rPh sb="0" eb="2">
      <t>ジュウライ</t>
    </rPh>
    <rPh sb="5" eb="7">
      <t>カカク</t>
    </rPh>
    <phoneticPr fontId="61"/>
  </si>
  <si>
    <t>物流コスト率%</t>
    <rPh sb="0" eb="2">
      <t>ブツリュウ</t>
    </rPh>
    <rPh sb="5" eb="6">
      <t>リツ</t>
    </rPh>
    <phoneticPr fontId="61"/>
  </si>
  <si>
    <t>販社売価</t>
    <rPh sb="0" eb="2">
      <t>ハンシャ</t>
    </rPh>
    <rPh sb="2" eb="4">
      <t>バイカ</t>
    </rPh>
    <phoneticPr fontId="57"/>
  </si>
  <si>
    <t>(外貨)</t>
    <rPh sb="0" eb="2">
      <t>ガイカ</t>
    </rPh>
    <phoneticPr fontId="57"/>
  </si>
  <si>
    <t>ピン@FOB</t>
    <phoneticPr fontId="61"/>
  </si>
  <si>
    <t>価格基準</t>
    <rPh sb="0" eb="1">
      <t>カカク</t>
    </rPh>
    <rPh sb="2" eb="4">
      <t>キジュン</t>
    </rPh>
    <phoneticPr fontId="57"/>
  </si>
  <si>
    <t>4800215830</t>
    <phoneticPr fontId="57"/>
  </si>
  <si>
    <t>TF38-20S-0.5SV(830)</t>
    <phoneticPr fontId="57"/>
  </si>
  <si>
    <t>KFH</t>
    <phoneticPr fontId="57"/>
  </si>
  <si>
    <t>総連結利益率</t>
    <rPh sb="0" eb="3">
      <t>ソウレンケツ</t>
    </rPh>
    <rPh sb="3" eb="6">
      <t>リエキリツ</t>
    </rPh>
    <phoneticPr fontId="57"/>
  </si>
  <si>
    <t>FOB価格</t>
    <rPh sb="3" eb="5">
      <t>カカク</t>
    </rPh>
    <phoneticPr fontId="61"/>
  </si>
  <si>
    <t>連結粗利額</t>
    <rPh sb="0" eb="1">
      <t>レンケツ</t>
    </rPh>
    <rPh sb="1" eb="3">
      <t>アラリ</t>
    </rPh>
    <rPh sb="3" eb="4">
      <t>ガク</t>
    </rPh>
    <phoneticPr fontId="57"/>
  </si>
  <si>
    <t>連結粗利率</t>
    <rPh sb="0" eb="1">
      <t>レンケツ</t>
    </rPh>
    <rPh sb="1" eb="3">
      <t>アラリ</t>
    </rPh>
    <rPh sb="3" eb="4">
      <t>リツ</t>
    </rPh>
    <phoneticPr fontId="57"/>
  </si>
  <si>
    <t>Step １： 起票区分を選択してください</t>
    <rPh sb="8" eb="10">
      <t>キヒョウ</t>
    </rPh>
    <rPh sb="10" eb="12">
      <t>クブン</t>
    </rPh>
    <rPh sb="13" eb="15">
      <t>センタク</t>
    </rPh>
    <phoneticPr fontId="57"/>
  </si>
  <si>
    <t>販売単価上申書</t>
    <rPh sb="0" eb="2">
      <t>ハンバイ</t>
    </rPh>
    <rPh sb="2" eb="4">
      <t>タンカ</t>
    </rPh>
    <rPh sb="4" eb="7">
      <t>ジョウシンショ</t>
    </rPh>
    <phoneticPr fontId="57"/>
  </si>
  <si>
    <t>Step ２： 一般品またはカスタムのいずれかを選択してください</t>
    <rPh sb="8" eb="11">
      <t>イッパンヒン</t>
    </rPh>
    <rPh sb="24" eb="26">
      <t>センタク</t>
    </rPh>
    <phoneticPr fontId="57"/>
  </si>
  <si>
    <t>カスタム</t>
    <phoneticPr fontId="57"/>
  </si>
  <si>
    <t>Step ３： 円販売または外貨販売のいずれかを選択してください</t>
    <rPh sb="8" eb="11">
      <t>エンハンバイ</t>
    </rPh>
    <rPh sb="14" eb="16">
      <t>ガイカ</t>
    </rPh>
    <rPh sb="16" eb="18">
      <t>ハンバイ</t>
    </rPh>
    <rPh sb="24" eb="26">
      <t>センタク</t>
    </rPh>
    <phoneticPr fontId="57"/>
  </si>
  <si>
    <t>◎ 単価上申書</t>
    <rPh sb="2" eb="4">
      <t>タンカ</t>
    </rPh>
    <rPh sb="4" eb="6">
      <t>ジョウシン</t>
    </rPh>
    <rPh sb="6" eb="7">
      <t>ショ</t>
    </rPh>
    <phoneticPr fontId="57"/>
  </si>
  <si>
    <t>値引きしなければならない理由を記載してください</t>
    <rPh sb="0" eb="2">
      <t>ネビ</t>
    </rPh>
    <rPh sb="12" eb="14">
      <t>リユウ</t>
    </rPh>
    <rPh sb="15" eb="17">
      <t>キサイ</t>
    </rPh>
    <phoneticPr fontId="57"/>
  </si>
  <si>
    <t>カスタム品申請情報</t>
    <rPh sb="4" eb="5">
      <t>ヒン</t>
    </rPh>
    <rPh sb="5" eb="7">
      <t>シンセイ</t>
    </rPh>
    <rPh sb="7" eb="9">
      <t>ジョウホウ</t>
    </rPh>
    <phoneticPr fontId="57"/>
  </si>
  <si>
    <r>
      <t>償却期間</t>
    </r>
    <r>
      <rPr>
        <sz val="10"/>
        <color rgb="FFFF0000"/>
        <rFont val="ＭＳ Ｐゴシック"/>
        <family val="3"/>
        <charset val="128"/>
        <scheme val="minor"/>
      </rPr>
      <t>*</t>
    </r>
    <rPh sb="0" eb="2">
      <t>ショウキャク</t>
    </rPh>
    <rPh sb="2" eb="4">
      <t>キカン</t>
    </rPh>
    <phoneticPr fontId="57"/>
  </si>
  <si>
    <t>金型</t>
    <rPh sb="0" eb="2">
      <t>カナガタ</t>
    </rPh>
    <phoneticPr fontId="57"/>
  </si>
  <si>
    <t>有償or無償</t>
    <rPh sb="0" eb="2">
      <t>ユウショウ</t>
    </rPh>
    <rPh sb="4" eb="6">
      <t>ムショウ</t>
    </rPh>
    <phoneticPr fontId="61"/>
  </si>
  <si>
    <t>個品名称</t>
    <rPh sb="0" eb="1">
      <t>コヒン</t>
    </rPh>
    <rPh sb="1" eb="3">
      <t>メイショウ</t>
    </rPh>
    <phoneticPr fontId="57"/>
  </si>
  <si>
    <t>個品実費価格</t>
    <rPh sb="0" eb="2">
      <t>コヒン</t>
    </rPh>
    <rPh sb="2" eb="4">
      <t>ジッピ</t>
    </rPh>
    <rPh sb="4" eb="6">
      <t>カカク</t>
    </rPh>
    <phoneticPr fontId="61"/>
  </si>
  <si>
    <t>個品販売価格</t>
    <rPh sb="0" eb="2">
      <t>コヒン</t>
    </rPh>
    <rPh sb="2" eb="4">
      <t>ハンバイ</t>
    </rPh>
    <rPh sb="4" eb="6">
      <t>カカク</t>
    </rPh>
    <phoneticPr fontId="61"/>
  </si>
  <si>
    <t>倍率</t>
    <rPh sb="0" eb="2">
      <t>バイリツ</t>
    </rPh>
    <phoneticPr fontId="61"/>
  </si>
  <si>
    <t>有償</t>
    <rPh sb="0" eb="1">
      <t>ユウショウ</t>
    </rPh>
    <phoneticPr fontId="57"/>
  </si>
  <si>
    <t>治工具</t>
    <rPh sb="0" eb="3">
      <t>チコウグ</t>
    </rPh>
    <phoneticPr fontId="57"/>
  </si>
  <si>
    <r>
      <t>有償or無償</t>
    </r>
    <r>
      <rPr>
        <sz val="10"/>
        <color rgb="FFFF0000"/>
        <rFont val="ＭＳ Ｐゴシック"/>
        <family val="3"/>
        <charset val="128"/>
        <scheme val="minor"/>
      </rPr>
      <t>*</t>
    </r>
    <rPh sb="0" eb="2">
      <t>ユウショウ</t>
    </rPh>
    <rPh sb="4" eb="6">
      <t>ムショウ</t>
    </rPh>
    <phoneticPr fontId="61"/>
  </si>
  <si>
    <r>
      <t>個品名称</t>
    </r>
    <r>
      <rPr>
        <sz val="10"/>
        <color rgb="FFFF0000"/>
        <rFont val="ＭＳ Ｐゴシック"/>
        <family val="3"/>
        <charset val="128"/>
        <scheme val="minor"/>
      </rPr>
      <t>*</t>
    </r>
    <rPh sb="0" eb="1">
      <t>コヒン</t>
    </rPh>
    <rPh sb="1" eb="3">
      <t>メイショウ</t>
    </rPh>
    <phoneticPr fontId="57"/>
  </si>
  <si>
    <r>
      <t>個品実費価格</t>
    </r>
    <r>
      <rPr>
        <sz val="10"/>
        <color rgb="FFFF0000"/>
        <rFont val="ＭＳ Ｐゴシック"/>
        <family val="3"/>
        <charset val="128"/>
        <scheme val="minor"/>
      </rPr>
      <t>*</t>
    </r>
    <rPh sb="0" eb="2">
      <t>コヒン</t>
    </rPh>
    <rPh sb="2" eb="4">
      <t>ジッピ</t>
    </rPh>
    <rPh sb="4" eb="6">
      <t>カカク</t>
    </rPh>
    <phoneticPr fontId="61"/>
  </si>
  <si>
    <r>
      <t>個品販売価格</t>
    </r>
    <r>
      <rPr>
        <sz val="10"/>
        <color rgb="FFFF0000"/>
        <rFont val="ＭＳ Ｐゴシック"/>
        <family val="3"/>
        <charset val="128"/>
        <scheme val="minor"/>
      </rPr>
      <t>*</t>
    </r>
    <rPh sb="0" eb="2">
      <t>コヒン</t>
    </rPh>
    <rPh sb="2" eb="4">
      <t>ハンバイ</t>
    </rPh>
    <rPh sb="4" eb="6">
      <t>カカク</t>
    </rPh>
    <phoneticPr fontId="61"/>
  </si>
  <si>
    <t>治工具名称</t>
    <phoneticPr fontId="57"/>
  </si>
  <si>
    <t>治工具実費価格</t>
    <rPh sb="3" eb="5">
      <t>ジッピ</t>
    </rPh>
    <rPh sb="5" eb="7">
      <t>カカク</t>
    </rPh>
    <phoneticPr fontId="61"/>
  </si>
  <si>
    <t>治工具販売価格</t>
    <rPh sb="3" eb="5">
      <t>ハンバイ</t>
    </rPh>
    <rPh sb="5" eb="7">
      <t>カカク</t>
    </rPh>
    <phoneticPr fontId="61"/>
  </si>
  <si>
    <r>
      <t>治工具名称</t>
    </r>
    <r>
      <rPr>
        <sz val="10"/>
        <color rgb="FFFF0000"/>
        <rFont val="ＭＳ Ｐゴシック"/>
        <family val="3"/>
        <charset val="128"/>
        <scheme val="minor"/>
      </rPr>
      <t>*</t>
    </r>
    <phoneticPr fontId="57"/>
  </si>
  <si>
    <r>
      <t>治工具実費価格</t>
    </r>
    <r>
      <rPr>
        <sz val="10"/>
        <color rgb="FFFF0000"/>
        <rFont val="ＭＳ Ｐゴシック"/>
        <family val="3"/>
        <charset val="128"/>
        <scheme val="minor"/>
      </rPr>
      <t>*</t>
    </r>
    <rPh sb="3" eb="5">
      <t>ジッピ</t>
    </rPh>
    <rPh sb="5" eb="7">
      <t>カカク</t>
    </rPh>
    <phoneticPr fontId="61"/>
  </si>
  <si>
    <r>
      <t>治工具販売価格</t>
    </r>
    <r>
      <rPr>
        <sz val="10"/>
        <color rgb="FFFF0000"/>
        <rFont val="ＭＳ Ｐゴシック"/>
        <family val="3"/>
        <charset val="128"/>
        <scheme val="minor"/>
      </rPr>
      <t>*</t>
    </r>
    <rPh sb="3" eb="5">
      <t>ハンバイ</t>
    </rPh>
    <rPh sb="5" eb="7">
      <t>カカク</t>
    </rPh>
    <phoneticPr fontId="61"/>
  </si>
  <si>
    <t>個品A</t>
    <rPh sb="0" eb="1">
      <t>コヒン</t>
    </rPh>
    <phoneticPr fontId="57"/>
  </si>
  <si>
    <t>償却数量</t>
    <rPh sb="0" eb="2">
      <t>ショウキャク</t>
    </rPh>
    <rPh sb="2" eb="4">
      <t>スウリョウ</t>
    </rPh>
    <phoneticPr fontId="57"/>
  </si>
  <si>
    <t>一個当たりの償却金額</t>
    <rPh sb="0" eb="3">
      <t>イッコア</t>
    </rPh>
    <rPh sb="6" eb="8">
      <t>ショウキャク</t>
    </rPh>
    <rPh sb="8" eb="10">
      <t>キンガク</t>
    </rPh>
    <phoneticPr fontId="57"/>
  </si>
  <si>
    <t>未償却リスク</t>
    <rPh sb="0" eb="1">
      <t>ミ</t>
    </rPh>
    <rPh sb="1" eb="3">
      <t>ショウキャク</t>
    </rPh>
    <phoneticPr fontId="57"/>
  </si>
  <si>
    <t>※ 得意先一括負担の場合は記載不要</t>
    <rPh sb="2" eb="5">
      <t>トクイサキ</t>
    </rPh>
    <rPh sb="5" eb="7">
      <t>イッカツ</t>
    </rPh>
    <rPh sb="7" eb="9">
      <t>フタン</t>
    </rPh>
    <rPh sb="10" eb="12">
      <t>バアイ</t>
    </rPh>
    <rPh sb="13" eb="15">
      <t>キサイ</t>
    </rPh>
    <rPh sb="15" eb="17">
      <t>フヨウ</t>
    </rPh>
    <phoneticPr fontId="57"/>
  </si>
  <si>
    <t>物流コスト率</t>
    <rPh sb="0" eb="2">
      <t>ブツリュウ</t>
    </rPh>
    <rPh sb="5" eb="6">
      <t>リツ</t>
    </rPh>
    <phoneticPr fontId="61"/>
  </si>
  <si>
    <t>(%)</t>
    <phoneticPr fontId="57"/>
  </si>
  <si>
    <t>販社売価</t>
    <rPh sb="0" eb="2">
      <t>ハンシャ</t>
    </rPh>
    <rPh sb="2" eb="4">
      <t>バイカ</t>
    </rPh>
    <phoneticPr fontId="61"/>
  </si>
  <si>
    <t>要求価格</t>
    <rPh sb="0" eb="1">
      <t>ヨウキュウ</t>
    </rPh>
    <rPh sb="1" eb="3">
      <t>カカク</t>
    </rPh>
    <phoneticPr fontId="57"/>
  </si>
  <si>
    <t>価格基準</t>
    <rPh sb="0" eb="1">
      <t>カカク</t>
    </rPh>
    <rPh sb="1" eb="3">
      <t>キジュン</t>
    </rPh>
    <phoneticPr fontId="57"/>
  </si>
  <si>
    <t>5802922450</t>
    <phoneticPr fontId="57"/>
  </si>
  <si>
    <t>5801232050</t>
    <phoneticPr fontId="57"/>
  </si>
  <si>
    <t>FH35C-21S-0.3SHW(50)</t>
    <phoneticPr fontId="57"/>
  </si>
  <si>
    <t>FH34SRJ-30S-0.5SH(50)</t>
    <phoneticPr fontId="57"/>
  </si>
  <si>
    <t>FH</t>
    <phoneticPr fontId="57"/>
  </si>
  <si>
    <t>JPY</t>
    <phoneticPr fontId="57"/>
  </si>
  <si>
    <t>JAE</t>
    <phoneticPr fontId="57"/>
  </si>
  <si>
    <t>TE</t>
    <phoneticPr fontId="57"/>
  </si>
  <si>
    <t>従来FOB価格</t>
    <rPh sb="0" eb="2">
      <t>ジュウライ</t>
    </rPh>
    <rPh sb="5" eb="7">
      <t>カカク</t>
    </rPh>
    <phoneticPr fontId="61"/>
  </si>
  <si>
    <t>CIF価格</t>
    <rPh sb="3" eb="5">
      <t>カカク</t>
    </rPh>
    <phoneticPr fontId="61"/>
  </si>
  <si>
    <t>国内収益性</t>
    <rPh sb="0" eb="2">
      <t>コクナイ</t>
    </rPh>
    <rPh sb="2" eb="5">
      <t>シュウエキセイ</t>
    </rPh>
    <phoneticPr fontId="57"/>
  </si>
  <si>
    <t>FOB値引き率</t>
    <rPh sb="3" eb="5">
      <t>ネビ</t>
    </rPh>
    <rPh sb="6" eb="7">
      <t>リツ</t>
    </rPh>
    <phoneticPr fontId="61"/>
  </si>
  <si>
    <t>販社粗利率</t>
    <rPh sb="0" eb="2">
      <t>ハンシャ</t>
    </rPh>
    <rPh sb="2" eb="5">
      <t>アラリリツ</t>
    </rPh>
    <phoneticPr fontId="61"/>
  </si>
  <si>
    <t>連結収益性</t>
    <rPh sb="0" eb="2">
      <t>レンケツ</t>
    </rPh>
    <rPh sb="2" eb="5">
      <t>シュウエキセイ</t>
    </rPh>
    <phoneticPr fontId="61"/>
  </si>
  <si>
    <t>売上(国内)</t>
    <rPh sb="0" eb="2">
      <t>ウリアゲ</t>
    </rPh>
    <rPh sb="3" eb="5">
      <t>コクナイ</t>
    </rPh>
    <phoneticPr fontId="57"/>
  </si>
  <si>
    <t>直接コスト合計</t>
    <rPh sb="0" eb="2">
      <t>チョクセツ</t>
    </rPh>
    <rPh sb="5" eb="7">
      <t>ゴウケイ</t>
    </rPh>
    <phoneticPr fontId="61"/>
  </si>
  <si>
    <t>貢献額</t>
    <rPh sb="0" eb="3">
      <t>コウケンガク</t>
    </rPh>
    <phoneticPr fontId="61"/>
  </si>
  <si>
    <t>国内収益性</t>
    <rPh sb="0" eb="2">
      <t>コクナイ</t>
    </rPh>
    <rPh sb="2" eb="5">
      <t>シュウエキセイ</t>
    </rPh>
    <phoneticPr fontId="61"/>
  </si>
  <si>
    <t>値引き率(FOB)</t>
    <rPh sb="0" eb="2">
      <t>ネビ</t>
    </rPh>
    <rPh sb="3" eb="4">
      <t>リツ</t>
    </rPh>
    <phoneticPr fontId="57"/>
  </si>
  <si>
    <t>値引き額(FOB)</t>
    <rPh sb="0" eb="2">
      <t>ネビ</t>
    </rPh>
    <rPh sb="3" eb="4">
      <t>ガク</t>
    </rPh>
    <phoneticPr fontId="57"/>
  </si>
  <si>
    <t>売上(連結)</t>
    <rPh sb="0" eb="1">
      <t>ウリアゲ</t>
    </rPh>
    <rPh sb="2" eb="4">
      <t>レンケツ</t>
    </rPh>
    <phoneticPr fontId="57"/>
  </si>
  <si>
    <t>連結収益性</t>
    <rPh sb="0" eb="1">
      <t>レンケツ</t>
    </rPh>
    <rPh sb="1" eb="4">
      <t>シュウエキセイ</t>
    </rPh>
    <phoneticPr fontId="57"/>
  </si>
  <si>
    <t>総原価</t>
    <rPh sb="0" eb="3">
      <t>ソウゲンカ</t>
    </rPh>
    <phoneticPr fontId="61"/>
  </si>
  <si>
    <t>8311308000</t>
    <phoneticPr fontId="57"/>
  </si>
  <si>
    <t>8311309000</t>
    <phoneticPr fontId="57"/>
  </si>
  <si>
    <t>BF4MC-(375161-01)</t>
    <phoneticPr fontId="57"/>
  </si>
  <si>
    <t>BF4MC-(375168-01)</t>
    <phoneticPr fontId="57"/>
  </si>
  <si>
    <t>OPT</t>
    <phoneticPr fontId="57"/>
  </si>
  <si>
    <t>総原価利益率</t>
    <rPh sb="0" eb="3">
      <t>ソウゲンカ</t>
    </rPh>
    <rPh sb="3" eb="6">
      <t>リエキリツ</t>
    </rPh>
    <phoneticPr fontId="61"/>
  </si>
  <si>
    <t>(国内)</t>
    <phoneticPr fontId="57"/>
  </si>
  <si>
    <t>(粗利)</t>
    <rPh sb="0" eb="2">
      <t>アラリ</t>
    </rPh>
    <phoneticPr fontId="57"/>
  </si>
  <si>
    <t>(国内)</t>
    <rPh sb="1" eb="3">
      <t>コクナイ</t>
    </rPh>
    <phoneticPr fontId="57"/>
  </si>
  <si>
    <t>純原価合計</t>
    <rPh sb="0" eb="1">
      <t>ジュン</t>
    </rPh>
    <rPh sb="1" eb="3">
      <t>ゲンカ</t>
    </rPh>
    <rPh sb="3" eb="5">
      <t>ゴウケイ</t>
    </rPh>
    <phoneticPr fontId="61"/>
  </si>
  <si>
    <t>連結粗利額</t>
    <rPh sb="0" eb="2">
      <t>レンケツ</t>
    </rPh>
    <rPh sb="2" eb="5">
      <t>アラリガク</t>
    </rPh>
    <phoneticPr fontId="61"/>
  </si>
  <si>
    <t>連結粗利率</t>
    <rPh sb="0" eb="2">
      <t>レンケツ</t>
    </rPh>
    <rPh sb="2" eb="5">
      <t>アラリリツ</t>
    </rPh>
    <phoneticPr fontId="61"/>
  </si>
  <si>
    <t>値引き率</t>
    <rPh sb="0" eb="2">
      <t>ネビ</t>
    </rPh>
    <rPh sb="3" eb="4">
      <t>リツ</t>
    </rPh>
    <phoneticPr fontId="57"/>
  </si>
  <si>
    <t>値引き額</t>
    <rPh sb="0" eb="2">
      <t>ネビ</t>
    </rPh>
    <rPh sb="3" eb="4">
      <t>ガク</t>
    </rPh>
    <phoneticPr fontId="57"/>
  </si>
  <si>
    <t>売上(連結)</t>
    <rPh sb="0" eb="2">
      <t>ウリアゲ</t>
    </rPh>
    <rPh sb="3" eb="5">
      <t>レンケツ</t>
    </rPh>
    <phoneticPr fontId="57"/>
  </si>
  <si>
    <r>
      <t>承認者</t>
    </r>
    <r>
      <rPr>
        <sz val="10"/>
        <color rgb="FFFF0000"/>
        <rFont val="ＭＳ Ｐゴシック"/>
        <family val="3"/>
        <charset val="128"/>
        <scheme val="minor"/>
      </rPr>
      <t>*</t>
    </r>
    <rPh sb="0" eb="3">
      <t>ショウニンシャ</t>
    </rPh>
    <phoneticPr fontId="57"/>
  </si>
  <si>
    <t>10347008</t>
    <phoneticPr fontId="57"/>
  </si>
  <si>
    <t>関　博一</t>
    <phoneticPr fontId="57"/>
  </si>
  <si>
    <r>
      <rPr>
        <b/>
        <sz val="10"/>
        <color rgb="FF00B050"/>
        <rFont val="ＭＳ Ｐゴシック"/>
        <family val="3"/>
        <charset val="128"/>
        <scheme val="minor"/>
      </rPr>
      <t>＋</t>
    </r>
    <r>
      <rPr>
        <sz val="10"/>
        <color theme="1"/>
        <rFont val="ＭＳ Ｐゴシック"/>
        <family val="3"/>
        <charset val="128"/>
        <scheme val="minor"/>
      </rPr>
      <t xml:space="preserve"> 承認者の追加</t>
    </r>
    <phoneticPr fontId="57"/>
  </si>
  <si>
    <r>
      <rPr>
        <b/>
        <sz val="10"/>
        <color rgb="FF00B050"/>
        <rFont val="ＭＳ Ｐゴシック"/>
        <family val="3"/>
        <charset val="128"/>
        <scheme val="minor"/>
      </rPr>
      <t xml:space="preserve">＋ </t>
    </r>
    <r>
      <rPr>
        <sz val="10"/>
        <color theme="0"/>
        <rFont val="ＭＳ Ｐゴシック"/>
        <family val="3"/>
        <charset val="128"/>
        <scheme val="minor"/>
      </rPr>
      <t>追加</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挿入</t>
    </r>
    <r>
      <rPr>
        <sz val="10"/>
        <color theme="1"/>
        <rFont val="ＭＳ Ｐゴシック"/>
        <family val="3"/>
        <charset val="128"/>
        <scheme val="minor"/>
      </rPr>
      <t xml:space="preserve"> </t>
    </r>
    <r>
      <rPr>
        <b/>
        <sz val="10"/>
        <color rgb="FFFF000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削除</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 xml:space="preserve">上へ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下へ</t>
    </r>
    <rPh sb="7" eb="9">
      <t>ソウニュウ</t>
    </rPh>
    <phoneticPr fontId="57"/>
  </si>
  <si>
    <t>10637000</t>
    <phoneticPr fontId="57"/>
  </si>
  <si>
    <t>古川　福待</t>
    <phoneticPr fontId="57"/>
  </si>
  <si>
    <t>承認者設定</t>
    <rPh sb="0" eb="3">
      <t>ショウニンシャ</t>
    </rPh>
    <rPh sb="3" eb="5">
      <t>セッテイ</t>
    </rPh>
    <phoneticPr fontId="57"/>
  </si>
  <si>
    <t>承認ルートは必要に応じて、「承認者の追加」をクリックして入力欄を増やしてください。 設定した承認ルートは、設定した承認者の上から順に回送されます。 最終承認者は、一番下に設定してください。</t>
    <phoneticPr fontId="57"/>
  </si>
  <si>
    <t>確認者設定</t>
    <rPh sb="0" eb="3">
      <t>カクニンシャ</t>
    </rPh>
    <rPh sb="3" eb="5">
      <t>セッテイ</t>
    </rPh>
    <phoneticPr fontId="57"/>
  </si>
  <si>
    <t>確認者一覧</t>
    <rPh sb="0" eb="3">
      <t>カクニンシャ</t>
    </rPh>
    <rPh sb="3" eb="5">
      <t>イチラン</t>
    </rPh>
    <phoneticPr fontId="57"/>
  </si>
  <si>
    <t>部門</t>
    <rPh sb="0" eb="2">
      <t>ブモン</t>
    </rPh>
    <phoneticPr fontId="57"/>
  </si>
  <si>
    <t>確認者名</t>
    <rPh sb="0" eb="4">
      <t>カクニンシャメイ</t>
    </rPh>
    <phoneticPr fontId="57"/>
  </si>
  <si>
    <t>ヒロセ電機株式会社/管理本部/ＩＴ統括部</t>
    <phoneticPr fontId="57"/>
  </si>
  <si>
    <t>部長</t>
    <rPh sb="0" eb="2">
      <t>ブチョウ</t>
    </rPh>
    <phoneticPr fontId="57"/>
  </si>
  <si>
    <t>志村 亜里沙</t>
    <rPh sb="0" eb="1">
      <t>シムラ</t>
    </rPh>
    <rPh sb="2" eb="5">
      <t>アリサ</t>
    </rPh>
    <phoneticPr fontId="57"/>
  </si>
  <si>
    <t>出水 瞳</t>
    <rPh sb="0" eb="1">
      <t>デミズ</t>
    </rPh>
    <rPh sb="2" eb="3">
      <t>ヒトミ</t>
    </rPh>
    <phoneticPr fontId="57"/>
  </si>
  <si>
    <t>松澤 朱海</t>
    <rPh sb="0" eb="1">
      <t>マツザワ</t>
    </rPh>
    <rPh sb="2" eb="3">
      <t>シュ</t>
    </rPh>
    <rPh sb="3" eb="4">
      <t>ウミ</t>
    </rPh>
    <phoneticPr fontId="57"/>
  </si>
  <si>
    <t>ｒ1.0</t>
    <phoneticPr fontId="51"/>
  </si>
  <si>
    <t>コスト合計</t>
    <rPh sb="3" eb="5">
      <t>ゴウケイ</t>
    </rPh>
    <phoneticPr fontId="61"/>
  </si>
  <si>
    <t>形</t>
    <rPh sb="0" eb="1">
      <t>カタ</t>
    </rPh>
    <phoneticPr fontId="61"/>
  </si>
  <si>
    <t>無償</t>
    <rPh sb="0" eb="1">
      <t>ムショウ</t>
    </rPh>
    <phoneticPr fontId="57"/>
  </si>
  <si>
    <t>通貨</t>
    <rPh sb="0" eb="2">
      <t>ツウカ</t>
    </rPh>
    <phoneticPr fontId="61"/>
  </si>
  <si>
    <t>EUR</t>
    <phoneticPr fontId="57"/>
  </si>
  <si>
    <t>精算通貨</t>
    <rPh sb="0" eb="2">
      <t>セイサン</t>
    </rPh>
    <rPh sb="2" eb="4">
      <t>ツウカ</t>
    </rPh>
    <phoneticPr fontId="57"/>
  </si>
  <si>
    <t>SFDC工事番号</t>
    <rPh sb="4" eb="6">
      <t>コウジ</t>
    </rPh>
    <rPh sb="6" eb="8">
      <t>バンゴウ</t>
    </rPh>
    <phoneticPr fontId="57"/>
  </si>
  <si>
    <t>円/月</t>
    <rPh sb="0" eb="1">
      <t>エン</t>
    </rPh>
    <rPh sb="2" eb="3">
      <t>ツキ</t>
    </rPh>
    <phoneticPr fontId="57"/>
  </si>
  <si>
    <t>海外販社</t>
    <rPh sb="0" eb="2">
      <t>カイガイ</t>
    </rPh>
    <rPh sb="2" eb="4">
      <t>ハンシャ</t>
    </rPh>
    <phoneticPr fontId="57"/>
  </si>
  <si>
    <t>レップ社名</t>
    <rPh sb="3" eb="4">
      <t>シャ</t>
    </rPh>
    <rPh sb="4" eb="5">
      <t>メイ</t>
    </rPh>
    <phoneticPr fontId="57"/>
  </si>
  <si>
    <t>量産時期</t>
    <rPh sb="0" eb="2">
      <t>リョウサン</t>
    </rPh>
    <rPh sb="2" eb="4">
      <t>ジキ</t>
    </rPh>
    <phoneticPr fontId="57"/>
  </si>
  <si>
    <r>
      <t>用途</t>
    </r>
    <r>
      <rPr>
        <sz val="9"/>
        <color theme="1"/>
        <rFont val="ＭＳ Ｐゴシック"/>
        <family val="3"/>
        <charset val="128"/>
        <scheme val="minor"/>
      </rPr>
      <t>(アプリケーション)</t>
    </r>
    <rPh sb="0" eb="2">
      <t>ヨウト</t>
    </rPh>
    <phoneticPr fontId="57"/>
  </si>
  <si>
    <t>生産セット台数</t>
    <rPh sb="0" eb="2">
      <t>セイサン</t>
    </rPh>
    <rPh sb="5" eb="7">
      <t>ダイスウ</t>
    </rPh>
    <phoneticPr fontId="57"/>
  </si>
  <si>
    <t>プロジェクトピーク金額</t>
    <rPh sb="9" eb="11">
      <t>キンガク</t>
    </rPh>
    <phoneticPr fontId="57"/>
  </si>
  <si>
    <t>大分類</t>
    <rPh sb="0" eb="3">
      <t>ダイブンルイ</t>
    </rPh>
    <phoneticPr fontId="57"/>
  </si>
  <si>
    <t>中分類</t>
    <rPh sb="0" eb="3">
      <t>チュウブンルイ</t>
    </rPh>
    <phoneticPr fontId="57"/>
  </si>
  <si>
    <t>技術原計</t>
    <rPh sb="0" eb="1">
      <t>ギジュツ</t>
    </rPh>
    <rPh sb="1" eb="3">
      <t>ゲンケイ</t>
    </rPh>
    <phoneticPr fontId="57"/>
  </si>
  <si>
    <t>レート</t>
    <phoneticPr fontId="57"/>
  </si>
  <si>
    <t>○経営計画レート　○ 顧客契約レート　◎ その他のレート 　</t>
    <rPh sb="1" eb="3">
      <t>ケイエイ</t>
    </rPh>
    <rPh sb="3" eb="5">
      <t>ケイカク</t>
    </rPh>
    <rPh sb="13" eb="15">
      <t>ケイヤク</t>
    </rPh>
    <rPh sb="23" eb="24">
      <t>ホカ</t>
    </rPh>
    <phoneticPr fontId="57"/>
  </si>
  <si>
    <r>
      <t>製造原価</t>
    </r>
    <r>
      <rPr>
        <sz val="9"/>
        <color rgb="FFFF0000"/>
        <rFont val="ＭＳ Ｐゴシック"/>
        <family val="3"/>
        <charset val="128"/>
        <scheme val="minor"/>
      </rPr>
      <t>*</t>
    </r>
    <rPh sb="0" eb="2">
      <t>セイゾウ</t>
    </rPh>
    <rPh sb="2" eb="4">
      <t>ゲンカ</t>
    </rPh>
    <phoneticPr fontId="61"/>
  </si>
  <si>
    <t>総合計</t>
    <rPh sb="0" eb="3">
      <t>ソウゴウケイ</t>
    </rPh>
    <phoneticPr fontId="57"/>
  </si>
  <si>
    <t>形</t>
    <rPh sb="0" eb="1">
      <t>カタ</t>
    </rPh>
    <phoneticPr fontId="57"/>
  </si>
  <si>
    <t>形小計</t>
    <rPh sb="0" eb="1">
      <t>カタ</t>
    </rPh>
    <rPh sb="1" eb="3">
      <t>ショウケイ</t>
    </rPh>
    <phoneticPr fontId="57"/>
  </si>
  <si>
    <r>
      <t>レートタイプ</t>
    </r>
    <r>
      <rPr>
        <sz val="10"/>
        <color rgb="FFFF0000"/>
        <rFont val="ＭＳ Ｐゴシック"/>
        <family val="3"/>
        <charset val="128"/>
        <scheme val="minor"/>
      </rPr>
      <t>*</t>
    </r>
    <phoneticPr fontId="57"/>
  </si>
  <si>
    <t>有</t>
    <rPh sb="0" eb="1">
      <t>ア</t>
    </rPh>
    <phoneticPr fontId="57"/>
  </si>
  <si>
    <r>
      <t>コメント</t>
    </r>
    <r>
      <rPr>
        <sz val="10"/>
        <color rgb="FFFF0000"/>
        <rFont val="ＭＳ Ｐゴシック"/>
        <family val="3"/>
        <charset val="128"/>
        <scheme val="minor"/>
      </rPr>
      <t>*</t>
    </r>
    <phoneticPr fontId="57"/>
  </si>
  <si>
    <t>1行目の[貢献率]の桁数が異常です。入力内容を確認して下さい。</t>
    <rPh sb="1" eb="3">
      <t>ギョウメ</t>
    </rPh>
    <rPh sb="5" eb="8">
      <t>コウケンリツ</t>
    </rPh>
    <rPh sb="10" eb="12">
      <t>ケタスウ</t>
    </rPh>
    <rPh sb="13" eb="15">
      <t>イジョウ</t>
    </rPh>
    <rPh sb="18" eb="20">
      <t>ニュウリョク</t>
    </rPh>
    <rPh sb="20" eb="22">
      <t>ナイヨウ</t>
    </rPh>
    <rPh sb="23" eb="25">
      <t>カクニン</t>
    </rPh>
    <rPh sb="27" eb="28">
      <t>クダ</t>
    </rPh>
    <phoneticPr fontId="57"/>
  </si>
  <si>
    <t>SA-PR123456</t>
    <phoneticPr fontId="57"/>
  </si>
  <si>
    <t>案件番号：</t>
    <phoneticPr fontId="57"/>
  </si>
  <si>
    <r>
      <t>原計タイプ</t>
    </r>
    <r>
      <rPr>
        <sz val="10"/>
        <color rgb="FFFF0000"/>
        <rFont val="ＭＳ Ｐゴシック"/>
        <family val="3"/>
        <charset val="128"/>
        <scheme val="minor"/>
      </rPr>
      <t>*</t>
    </r>
    <rPh sb="0" eb="2">
      <t>ゲンケイ</t>
    </rPh>
    <phoneticPr fontId="57"/>
  </si>
  <si>
    <t>コメント</t>
    <phoneticPr fontId="57"/>
  </si>
  <si>
    <t>コメント入力</t>
    <rPh sb="3" eb="5">
      <t>ニュウリョク</t>
    </rPh>
    <phoneticPr fontId="57"/>
  </si>
  <si>
    <t>単価上申(外貨販売カスタム品)</t>
    <rPh sb="0" eb="2">
      <t>タンカ</t>
    </rPh>
    <rPh sb="2" eb="4">
      <t>ジョウシン</t>
    </rPh>
    <rPh sb="5" eb="7">
      <t>ガイカ</t>
    </rPh>
    <rPh sb="7" eb="9">
      <t>ハンバイ</t>
    </rPh>
    <rPh sb="13" eb="14">
      <t>シナ</t>
    </rPh>
    <phoneticPr fontId="57"/>
  </si>
  <si>
    <r>
      <t>原計通貨</t>
    </r>
    <r>
      <rPr>
        <sz val="9"/>
        <color rgb="FFFF0000"/>
        <rFont val="ＭＳ Ｐゴシック"/>
        <family val="3"/>
        <charset val="128"/>
        <scheme val="minor"/>
      </rPr>
      <t>*</t>
    </r>
    <rPh sb="0" eb="2">
      <t>ゲンケイ</t>
    </rPh>
    <rPh sb="2" eb="4">
      <t>ツウカ</t>
    </rPh>
    <phoneticPr fontId="61"/>
  </si>
  <si>
    <r>
      <t>申請通貨</t>
    </r>
    <r>
      <rPr>
        <sz val="9"/>
        <color rgb="FFFF0000"/>
        <rFont val="ＭＳ Ｐゴシック"/>
        <family val="3"/>
        <charset val="128"/>
        <scheme val="minor"/>
      </rPr>
      <t>*</t>
    </r>
    <rPh sb="0" eb="2">
      <t>シンセイ</t>
    </rPh>
    <rPh sb="2" eb="4">
      <t>ツウカ</t>
    </rPh>
    <phoneticPr fontId="61"/>
  </si>
  <si>
    <t>表示通貨</t>
    <rPh sb="0" eb="1">
      <t>ヒョウジ</t>
    </rPh>
    <rPh sb="1" eb="3">
      <t>ツウカ</t>
    </rPh>
    <phoneticPr fontId="57"/>
  </si>
  <si>
    <t>表示通貨</t>
    <rPh sb="0" eb="2">
      <t>ヒョウジ</t>
    </rPh>
    <rPh sb="2" eb="4">
      <t>ツウカ</t>
    </rPh>
    <phoneticPr fontId="57"/>
  </si>
  <si>
    <t>表示通貨</t>
    <rPh sb="0" eb="4">
      <t>ヒョウジツウカ</t>
    </rPh>
    <phoneticPr fontId="57"/>
  </si>
  <si>
    <t>r.1.1</t>
    <phoneticPr fontId="57"/>
  </si>
  <si>
    <t>古竹</t>
    <rPh sb="0" eb="2">
      <t>フルタケ</t>
    </rPh>
    <phoneticPr fontId="51"/>
  </si>
  <si>
    <t>エンドユーザー</t>
    <phoneticPr fontId="57"/>
  </si>
  <si>
    <t>化学物質データ</t>
    <rPh sb="0" eb="2">
      <t>カガクブッシツ</t>
    </rPh>
    <phoneticPr fontId="57"/>
  </si>
  <si>
    <t>機能仕様</t>
    <rPh sb="0" eb="4">
      <t>キノウシヨウ</t>
    </rPh>
    <phoneticPr fontId="57"/>
  </si>
  <si>
    <t>-</t>
    <phoneticPr fontId="61"/>
  </si>
  <si>
    <t>画面項目(Screen Items)</t>
    <rPh sb="0" eb="4">
      <t>ガメンコウモク</t>
    </rPh>
    <phoneticPr fontId="13"/>
  </si>
  <si>
    <t>必須記入</t>
    <rPh sb="0" eb="2">
      <t>ヒッス</t>
    </rPh>
    <rPh sb="2" eb="4">
      <t>キニュウ</t>
    </rPh>
    <phoneticPr fontId="13"/>
  </si>
  <si>
    <t>OOTB以外</t>
    <rPh sb="4" eb="6">
      <t>イガイ</t>
    </rPh>
    <phoneticPr fontId="13"/>
  </si>
  <si>
    <t>項番
(No)</t>
    <phoneticPr fontId="13"/>
  </si>
  <si>
    <t>項目名(Item Name)</t>
    <phoneticPr fontId="13"/>
  </si>
  <si>
    <t>論理項目種別
(Logical Item Type)</t>
    <phoneticPr fontId="13"/>
  </si>
  <si>
    <t>固定/可変
(Fixed/Variable)</t>
    <rPh sb="0" eb="5">
      <t>コテイカヘン</t>
    </rPh>
    <phoneticPr fontId="13"/>
  </si>
  <si>
    <t>I/O</t>
  </si>
  <si>
    <t>OOTB</t>
    <phoneticPr fontId="13"/>
  </si>
  <si>
    <t>入力桁数
(Input Digits)</t>
    <rPh sb="0" eb="2">
      <t>ニュウリョク</t>
    </rPh>
    <rPh sb="2" eb="4">
      <t>ケタスウ</t>
    </rPh>
    <phoneticPr fontId="13"/>
  </si>
  <si>
    <t>表示ラベルキー
（Display Label Key)</t>
    <rPh sb="0" eb="2">
      <t>ヒョウジ</t>
    </rPh>
    <phoneticPr fontId="13"/>
  </si>
  <si>
    <t>初期値
(Default Value)</t>
    <rPh sb="0" eb="3">
      <t>ショキチ</t>
    </rPh>
    <phoneticPr fontId="13"/>
  </si>
  <si>
    <t>備考
(Comment)</t>
    <rPh sb="0" eb="2">
      <t>ビコウ</t>
    </rPh>
    <phoneticPr fontId="13"/>
  </si>
  <si>
    <t>エリア
（Area）</t>
    <phoneticPr fontId="13"/>
  </si>
  <si>
    <t>項目名
(Item Name)</t>
    <phoneticPr fontId="13"/>
  </si>
  <si>
    <t>1</t>
  </si>
  <si>
    <t>パンくずリストエリア</t>
  </si>
  <si>
    <t>1.1</t>
  </si>
  <si>
    <t>パンくずリスト</t>
  </si>
  <si>
    <t>Anchor Text</t>
  </si>
  <si>
    <t>Fixed</t>
  </si>
  <si>
    <t>O</t>
  </si>
  <si>
    <t>○</t>
  </si>
  <si>
    <t>Variable</t>
  </si>
  <si>
    <t>I</t>
  </si>
  <si>
    <t>×</t>
  </si>
  <si>
    <t>-</t>
  </si>
  <si>
    <t>エンドユーザー</t>
    <phoneticPr fontId="61"/>
  </si>
  <si>
    <t>Image Button</t>
  </si>
  <si>
    <t>Text Output</t>
  </si>
  <si>
    <t>提出先企業名</t>
    <phoneticPr fontId="61"/>
  </si>
  <si>
    <t>項番
(No)</t>
    <rPh sb="0" eb="2">
      <t>コウバン</t>
    </rPh>
    <phoneticPr fontId="13"/>
  </si>
  <si>
    <t>利用可能な論理項目種別</t>
    <rPh sb="0" eb="11">
      <t>リヨウカノウロンリコウモクシュベツ</t>
    </rPh>
    <phoneticPr fontId="13"/>
  </si>
  <si>
    <t>固定/可変</t>
    <rPh sb="0" eb="2">
      <t>コテイ</t>
    </rPh>
    <rPh sb="3" eb="5">
      <t>カヘン</t>
    </rPh>
    <phoneticPr fontId="13"/>
  </si>
  <si>
    <t>Label</t>
    <phoneticPr fontId="13"/>
  </si>
  <si>
    <t>Fixed</t>
    <phoneticPr fontId="13"/>
  </si>
  <si>
    <t>○</t>
    <phoneticPr fontId="13"/>
  </si>
  <si>
    <t>全て利用</t>
    <rPh sb="0" eb="1">
      <t>スベ</t>
    </rPh>
    <rPh sb="2" eb="4">
      <t>リヨウ</t>
    </rPh>
    <phoneticPr fontId="13"/>
  </si>
  <si>
    <t>Manual Operation Button</t>
    <phoneticPr fontId="13"/>
  </si>
  <si>
    <t>Variable</t>
    <phoneticPr fontId="13"/>
  </si>
  <si>
    <t>△</t>
    <phoneticPr fontId="13"/>
  </si>
  <si>
    <t>一部利用</t>
    <rPh sb="0" eb="2">
      <t>イチブ</t>
    </rPh>
    <rPh sb="2" eb="4">
      <t>リヨウ</t>
    </rPh>
    <phoneticPr fontId="13"/>
  </si>
  <si>
    <t>Image Button</t>
    <phoneticPr fontId="13"/>
  </si>
  <si>
    <t>×</t>
    <phoneticPr fontId="13"/>
  </si>
  <si>
    <t>なし（新規作成）</t>
    <rPh sb="3" eb="5">
      <t>シンキ</t>
    </rPh>
    <rPh sb="5" eb="7">
      <t>サクセイ</t>
    </rPh>
    <phoneticPr fontId="13"/>
  </si>
  <si>
    <t>Anchor Text</t>
    <phoneticPr fontId="13"/>
  </si>
  <si>
    <t>Textbox</t>
    <phoneticPr fontId="13"/>
  </si>
  <si>
    <t>Text Box (with spin button)</t>
    <phoneticPr fontId="13"/>
  </si>
  <si>
    <t>Password</t>
    <phoneticPr fontId="13"/>
  </si>
  <si>
    <t>Text Area</t>
    <phoneticPr fontId="13"/>
  </si>
  <si>
    <t>File field</t>
    <phoneticPr fontId="13"/>
  </si>
  <si>
    <t>Radio Button</t>
    <phoneticPr fontId="13"/>
  </si>
  <si>
    <t>Dropdown List</t>
    <phoneticPr fontId="13"/>
  </si>
  <si>
    <t>Checkbox</t>
    <phoneticPr fontId="13"/>
  </si>
  <si>
    <t>Calendar</t>
    <phoneticPr fontId="13"/>
  </si>
  <si>
    <t>Time Input</t>
    <phoneticPr fontId="13"/>
  </si>
  <si>
    <t>Loop Table</t>
    <phoneticPr fontId="13"/>
  </si>
  <si>
    <t>Image</t>
    <phoneticPr fontId="13"/>
  </si>
  <si>
    <t>Hidden Field</t>
    <phoneticPr fontId="13"/>
  </si>
  <si>
    <t>Included Screen</t>
    <phoneticPr fontId="13"/>
  </si>
  <si>
    <t>Text Output</t>
    <phoneticPr fontId="13"/>
  </si>
  <si>
    <t>Other</t>
    <phoneticPr fontId="13"/>
  </si>
  <si>
    <r>
      <rPr>
        <sz val="10"/>
        <color rgb="FFFF9900"/>
        <rFont val="Meiryo UI"/>
        <family val="3"/>
        <charset val="128"/>
      </rPr>
      <t>ホーム</t>
    </r>
    <r>
      <rPr>
        <sz val="10"/>
        <rFont val="Meiryo UI"/>
        <family val="3"/>
        <charset val="128"/>
      </rPr>
      <t xml:space="preserve"> / 化学物質データ申請</t>
    </r>
    <rPh sb="5" eb="9">
      <t>カガクブッシツ</t>
    </rPh>
    <rPh sb="13" eb="15">
      <t>シンセイ</t>
    </rPh>
    <phoneticPr fontId="57"/>
  </si>
  <si>
    <t>提出企業名</t>
    <rPh sb="0" eb="4">
      <t>テイシュツキギョウ</t>
    </rPh>
    <rPh sb="4" eb="5">
      <t>メイ</t>
    </rPh>
    <phoneticPr fontId="57"/>
  </si>
  <si>
    <t>代理店・商社のお客様は、入力必須で</t>
    <rPh sb="0" eb="3">
      <t>ダイリテン</t>
    </rPh>
    <rPh sb="4" eb="6">
      <t>ショウシャ</t>
    </rPh>
    <rPh sb="8" eb="10">
      <t>キャクサマ</t>
    </rPh>
    <rPh sb="12" eb="16">
      <t>ニュウリョクヒッス</t>
    </rPh>
    <phoneticPr fontId="57"/>
  </si>
  <si>
    <t>製品名/CL-No.</t>
    <rPh sb="0" eb="3">
      <t>セイヒンメイ</t>
    </rPh>
    <phoneticPr fontId="57"/>
  </si>
  <si>
    <t>100商品まで入力可</t>
    <rPh sb="3" eb="5">
      <t>ショウヒン</t>
    </rPh>
    <rPh sb="7" eb="9">
      <t>ニュウリョク</t>
    </rPh>
    <rPh sb="9" eb="10">
      <t>カ</t>
    </rPh>
    <phoneticPr fontId="57"/>
  </si>
  <si>
    <t>製品名は記号等も含めて正確に入力ください。</t>
    <rPh sb="0" eb="3">
      <t>セイヒンメイ</t>
    </rPh>
    <rPh sb="4" eb="7">
      <t>キゴウトウ</t>
    </rPh>
    <rPh sb="8" eb="9">
      <t>フク</t>
    </rPh>
    <rPh sb="11" eb="13">
      <t>セイカク</t>
    </rPh>
    <rPh sb="14" eb="16">
      <t>ニュウリョク</t>
    </rPh>
    <phoneticPr fontId="57"/>
  </si>
  <si>
    <t>化学物質データ選択</t>
    <rPh sb="0" eb="4">
      <t>カガクブッシツ</t>
    </rPh>
    <rPh sb="7" eb="9">
      <t>センタク</t>
    </rPh>
    <phoneticPr fontId="57"/>
  </si>
  <si>
    <t>RoHS適合証明書</t>
    <rPh sb="4" eb="6">
      <t>テキゴウ</t>
    </rPh>
    <rPh sb="6" eb="9">
      <t>ショウメイショ</t>
    </rPh>
    <phoneticPr fontId="57"/>
  </si>
  <si>
    <t>ハロゲンフリー証明書</t>
    <rPh sb="7" eb="10">
      <t>ショウメイショ</t>
    </rPh>
    <phoneticPr fontId="57"/>
  </si>
  <si>
    <t>成分表</t>
    <rPh sb="0" eb="3">
      <t>セイブンヒョウ</t>
    </rPh>
    <phoneticPr fontId="57"/>
  </si>
  <si>
    <t>高精度分析データ(JCP)</t>
    <rPh sb="0" eb="3">
      <t>コウセイド</t>
    </rPh>
    <rPh sb="3" eb="5">
      <t>ブンセキ</t>
    </rPh>
    <phoneticPr fontId="57"/>
  </si>
  <si>
    <t>SDS</t>
    <phoneticPr fontId="57"/>
  </si>
  <si>
    <t>chemSHERPA</t>
    <phoneticPr fontId="57"/>
  </si>
  <si>
    <t>SVHC調査報告書</t>
    <rPh sb="4" eb="6">
      <t>チョウサ</t>
    </rPh>
    <rPh sb="6" eb="9">
      <t>ホウコクショ</t>
    </rPh>
    <phoneticPr fontId="57"/>
  </si>
  <si>
    <t xml:space="preserve"> chemSHERPA：　Ver 1.05</t>
    <phoneticPr fontId="57"/>
  </si>
  <si>
    <t>0. 本機能を利用可能なユーザについて</t>
    <rPh sb="3" eb="4">
      <t>ホン</t>
    </rPh>
    <rPh sb="4" eb="6">
      <t>キノウ</t>
    </rPh>
    <rPh sb="7" eb="9">
      <t>リヨウ</t>
    </rPh>
    <rPh sb="9" eb="11">
      <t>カノウ</t>
    </rPh>
    <phoneticPr fontId="6"/>
  </si>
  <si>
    <t>権限種別が「社員」「販社」「代理店」のユーザのみ利用可能。</t>
    <rPh sb="0" eb="2">
      <t>ケンゲン</t>
    </rPh>
    <rPh sb="2" eb="4">
      <t>シュベツ</t>
    </rPh>
    <rPh sb="6" eb="8">
      <t>シャイン</t>
    </rPh>
    <rPh sb="10" eb="12">
      <t>ハンシャ</t>
    </rPh>
    <rPh sb="14" eb="17">
      <t>ダイリテン</t>
    </rPh>
    <rPh sb="24" eb="26">
      <t>リヨウ</t>
    </rPh>
    <rPh sb="26" eb="28">
      <t>カノウ</t>
    </rPh>
    <phoneticPr fontId="6"/>
  </si>
  <si>
    <t>1. パンくずリストエリア</t>
  </si>
  <si>
    <t>1.1　パンくずリスト</t>
  </si>
  <si>
    <t>以下のようにパンくずリストを表示する。</t>
    <rPh sb="0" eb="2">
      <t>イカ</t>
    </rPh>
    <rPh sb="14" eb="16">
      <t>ヒョウジ</t>
    </rPh>
    <phoneticPr fontId="7"/>
  </si>
  <si>
    <t>『製品トップ &gt; 化学物質データ申請』</t>
    <rPh sb="1" eb="3">
      <t>セイヒン</t>
    </rPh>
    <rPh sb="9" eb="11">
      <t>カガク</t>
    </rPh>
    <rPh sb="11" eb="13">
      <t>ブッシツ</t>
    </rPh>
    <rPh sb="16" eb="18">
      <t>シンセイ</t>
    </rPh>
    <phoneticPr fontId="7"/>
  </si>
  <si>
    <t>2. 申請入力エリア</t>
    <rPh sb="3" eb="5">
      <t>シンセイ</t>
    </rPh>
    <rPh sb="5" eb="7">
      <t>ニュウリョク</t>
    </rPh>
    <phoneticPr fontId="6"/>
  </si>
  <si>
    <t>2.1 提出先企業名</t>
  </si>
  <si>
    <t>必須項目。</t>
    <rPh sb="0" eb="2">
      <t>ヒッス</t>
    </rPh>
    <rPh sb="2" eb="4">
      <t>コウモク</t>
    </rPh>
    <phoneticPr fontId="6"/>
  </si>
  <si>
    <r>
      <t>最大</t>
    </r>
    <r>
      <rPr>
        <sz val="11"/>
        <color rgb="FFFF0000"/>
        <rFont val="Meiryo UI"/>
        <family val="3"/>
        <charset val="128"/>
      </rPr>
      <t>255桁</t>
    </r>
    <r>
      <rPr>
        <sz val="11"/>
        <rFont val="Meiryo UI"/>
        <family val="3"/>
        <charset val="128"/>
      </rPr>
      <t>まで入力可能。</t>
    </r>
    <rPh sb="0" eb="2">
      <t>サイダイ</t>
    </rPh>
    <rPh sb="5" eb="6">
      <t>ケタ</t>
    </rPh>
    <rPh sb="8" eb="10">
      <t>ニュウリョク</t>
    </rPh>
    <rPh sb="10" eb="12">
      <t>カノウ</t>
    </rPh>
    <phoneticPr fontId="6"/>
  </si>
  <si>
    <t>任意項目。</t>
    <rPh sb="0" eb="2">
      <t>ニンイ</t>
    </rPh>
    <rPh sb="2" eb="4">
      <t>コウモク</t>
    </rPh>
    <phoneticPr fontId="6"/>
  </si>
  <si>
    <t>文字制限はほぼなし（詳細は、画面項目シート参照）</t>
    <rPh sb="0" eb="2">
      <t>モジ</t>
    </rPh>
    <rPh sb="2" eb="4">
      <t>セイゲン</t>
    </rPh>
    <rPh sb="10" eb="12">
      <t>ショウサイ</t>
    </rPh>
    <rPh sb="14" eb="16">
      <t>ガメン</t>
    </rPh>
    <rPh sb="16" eb="18">
      <t>コウモク</t>
    </rPh>
    <rPh sb="21" eb="23">
      <t>サンショウ</t>
    </rPh>
    <phoneticPr fontId="6"/>
  </si>
  <si>
    <t>最大文字数は100とする。</t>
    <rPh sb="0" eb="2">
      <t>サイダイ</t>
    </rPh>
    <rPh sb="2" eb="5">
      <t>モジスウ</t>
    </rPh>
    <phoneticPr fontId="6"/>
  </si>
  <si>
    <t>使用できる文字は、以下でない文字とする。</t>
    <rPh sb="14" eb="16">
      <t>モジ</t>
    </rPh>
    <phoneticPr fontId="6"/>
  </si>
  <si>
    <t>最大100件の製品名/CL-Noを登録可能。</t>
    <rPh sb="7" eb="10">
      <t>セイヒンメイ</t>
    </rPh>
    <phoneticPr fontId="6"/>
  </si>
  <si>
    <t>1行あたり1つの製品名/CL-No.を記載するものとする。</t>
    <rPh sb="8" eb="11">
      <t>セイヒンメイ</t>
    </rPh>
    <phoneticPr fontId="6"/>
  </si>
  <si>
    <t>空行は、データ行としてカウントしない。</t>
  </si>
  <si>
    <t>製品名/CL-Noのチェック条件でバリデーションを行う。</t>
    <rPh sb="0" eb="3">
      <t>セイヒンメイ</t>
    </rPh>
    <rPh sb="14" eb="16">
      <t>ジョウケン</t>
    </rPh>
    <rPh sb="25" eb="26">
      <t>オコナ</t>
    </rPh>
    <phoneticPr fontId="6"/>
  </si>
  <si>
    <t>入力形式をプレースホルダーにて明記。</t>
    <rPh sb="0" eb="2">
      <t>ニュウリョク</t>
    </rPh>
    <rPh sb="2" eb="4">
      <t>ケイシキ</t>
    </rPh>
    <rPh sb="15" eb="17">
      <t>メイキ</t>
    </rPh>
    <phoneticPr fontId="6"/>
  </si>
  <si>
    <t>取得したい証明書についてチェックを付与する。</t>
    <rPh sb="0" eb="2">
      <t>シュトク</t>
    </rPh>
    <rPh sb="5" eb="8">
      <t>ショウメイショ</t>
    </rPh>
    <rPh sb="17" eb="19">
      <t>フヨ</t>
    </rPh>
    <phoneticPr fontId="6"/>
  </si>
  <si>
    <t>1つ以上チェックがついていないと申請できない。</t>
    <rPh sb="2" eb="4">
      <t>イジョウ</t>
    </rPh>
    <rPh sb="16" eb="18">
      <t>シンセイ</t>
    </rPh>
    <phoneticPr fontId="6"/>
  </si>
  <si>
    <t>事前に用意されているスタティック情報を表示する。</t>
    <rPh sb="0" eb="2">
      <t>ジゼン</t>
    </rPh>
    <rPh sb="3" eb="5">
      <t>ヨウイ</t>
    </rPh>
    <rPh sb="16" eb="18">
      <t>ジョウホウ</t>
    </rPh>
    <rPh sb="19" eb="21">
      <t>ヒョウジ</t>
    </rPh>
    <phoneticPr fontId="6"/>
  </si>
  <si>
    <t>※ html用のパーツはSmartEditで運用することを</t>
    <rPh sb="6" eb="7">
      <t>ヨウ</t>
    </rPh>
    <rPh sb="22" eb="24">
      <t>ウンヨウ</t>
    </rPh>
    <phoneticPr fontId="6"/>
  </si>
  <si>
    <t>想定</t>
    <rPh sb="0" eb="2">
      <t>ソウテイ</t>
    </rPh>
    <phoneticPr fontId="6"/>
  </si>
  <si>
    <t>押下すると、化学物質データ画面に戻る</t>
    <rPh sb="0" eb="2">
      <t>オウカ</t>
    </rPh>
    <rPh sb="6" eb="8">
      <t>カガク</t>
    </rPh>
    <rPh sb="8" eb="10">
      <t>ブッシツ</t>
    </rPh>
    <rPh sb="13" eb="15">
      <t>ガメン</t>
    </rPh>
    <rPh sb="16" eb="17">
      <t>モド</t>
    </rPh>
    <phoneticPr fontId="6"/>
  </si>
  <si>
    <t>押下すると、化学物質データ画面に戻る</t>
    <rPh sb="0" eb="2">
      <t>オウカ</t>
    </rPh>
    <rPh sb="6" eb="8">
      <t>カガク</t>
    </rPh>
    <rPh sb="8" eb="10">
      <t>ブッシツ</t>
    </rPh>
    <rPh sb="13" eb="15">
      <t>ガメン</t>
    </rPh>
    <rPh sb="16" eb="17">
      <t>モド</t>
    </rPh>
    <phoneticPr fontId="61"/>
  </si>
  <si>
    <t>押下された場合、入力された内容のバリデーションを行う。</t>
    <rPh sb="0" eb="2">
      <t>オウカ</t>
    </rPh>
    <rPh sb="5" eb="7">
      <t>バアイ</t>
    </rPh>
    <rPh sb="8" eb="10">
      <t>ニュウリョク</t>
    </rPh>
    <rPh sb="13" eb="15">
      <t>ナイヨウ</t>
    </rPh>
    <rPh sb="24" eb="25">
      <t>オコナ</t>
    </rPh>
    <phoneticPr fontId="6"/>
  </si>
  <si>
    <t>[エラーがあった場合]</t>
    <rPh sb="8" eb="10">
      <t>バアイ</t>
    </rPh>
    <phoneticPr fontId="6"/>
  </si>
  <si>
    <t>エラーメッセージを表示する。画面遷移はしない。</t>
    <rPh sb="9" eb="11">
      <t>ヒョウジ</t>
    </rPh>
    <rPh sb="14" eb="16">
      <t>ガメン</t>
    </rPh>
    <rPh sb="16" eb="18">
      <t>センイ</t>
    </rPh>
    <phoneticPr fontId="6"/>
  </si>
  <si>
    <t>[エラーがなかった場合]</t>
    <rPh sb="9" eb="11">
      <t>バアイ</t>
    </rPh>
    <phoneticPr fontId="6"/>
  </si>
  <si>
    <t>化学物質データ確認画面に遷移する。</t>
    <rPh sb="0" eb="2">
      <t>カガク</t>
    </rPh>
    <rPh sb="2" eb="4">
      <t>ブッシツ</t>
    </rPh>
    <rPh sb="7" eb="9">
      <t>カクニン</t>
    </rPh>
    <rPh sb="9" eb="11">
      <t>ガメン</t>
    </rPh>
    <rPh sb="12" eb="14">
      <t>センイ</t>
    </rPh>
    <phoneticPr fontId="6"/>
  </si>
  <si>
    <t>・</t>
  </si>
  <si>
    <t>全角英字（ａ～ｚ）　※小文字</t>
  </si>
  <si>
    <t>全角英字（Ａ～Ｚ）　※大文字</t>
  </si>
  <si>
    <t>全角数字（０～９）</t>
  </si>
  <si>
    <t>全角および半角のスペース</t>
  </si>
  <si>
    <t>（入力チェック参照）</t>
  </si>
  <si>
    <t>2.2 エンドユーザー</t>
    <phoneticPr fontId="57"/>
  </si>
  <si>
    <t>2.3 製品名/CL-No.(ヒロセ製品番号)</t>
    <rPh sb="4" eb="7">
      <t>セイヒンメイ</t>
    </rPh>
    <rPh sb="18" eb="20">
      <t>セイヒン</t>
    </rPh>
    <rPh sb="20" eb="22">
      <t>バンゴウ</t>
    </rPh>
    <phoneticPr fontId="6"/>
  </si>
  <si>
    <t>2.4 化学物質データ選択</t>
    <rPh sb="4" eb="6">
      <t>カガク</t>
    </rPh>
    <rPh sb="6" eb="8">
      <t>ブッシツ</t>
    </rPh>
    <rPh sb="11" eb="13">
      <t>センタク</t>
    </rPh>
    <phoneticPr fontId="6"/>
  </si>
  <si>
    <t>2.5 データバージョン情報</t>
    <rPh sb="12" eb="14">
      <t>ジョウホウ</t>
    </rPh>
    <phoneticPr fontId="6"/>
  </si>
  <si>
    <t>2.6 戻るボタン</t>
    <rPh sb="4" eb="5">
      <t>モド</t>
    </rPh>
    <phoneticPr fontId="6"/>
  </si>
  <si>
    <t>2.7 次へボタン</t>
    <rPh sb="4" eb="5">
      <t>ツギ</t>
    </rPh>
    <phoneticPr fontId="6"/>
  </si>
  <si>
    <t>2</t>
  </si>
  <si>
    <t>申請入力エリア</t>
    <rPh sb="0" eb="2">
      <t>シンセイ</t>
    </rPh>
    <rPh sb="2" eb="4">
      <t>ニュウリョク</t>
    </rPh>
    <phoneticPr fontId="61"/>
  </si>
  <si>
    <t>Textbox</t>
  </si>
  <si>
    <t>2.2</t>
    <phoneticPr fontId="61"/>
  </si>
  <si>
    <t>製品名/CL-No.</t>
    <rPh sb="0" eb="3">
      <t>セイヒンメイ</t>
    </rPh>
    <phoneticPr fontId="61"/>
  </si>
  <si>
    <t>Text Area</t>
  </si>
  <si>
    <t>化学物質データ選択</t>
    <rPh sb="0" eb="2">
      <t>カガク</t>
    </rPh>
    <rPh sb="2" eb="4">
      <t>ブッシツ</t>
    </rPh>
    <rPh sb="7" eb="9">
      <t>センタク</t>
    </rPh>
    <phoneticPr fontId="61"/>
  </si>
  <si>
    <t>Checkbox</t>
  </si>
  <si>
    <t>AppEnumList(ChemicalSubstanceData)の要素毎に、チェックボックスを表示する。</t>
    <rPh sb="35" eb="37">
      <t>ヨウソ</t>
    </rPh>
    <rPh sb="37" eb="38">
      <t>ゴト</t>
    </rPh>
    <rPh sb="49" eb="51">
      <t>ヒョウジ</t>
    </rPh>
    <phoneticPr fontId="61"/>
  </si>
  <si>
    <t>データバージョン情報</t>
    <phoneticPr fontId="61"/>
  </si>
  <si>
    <t>戻る</t>
    <rPh sb="0" eb="1">
      <t>モド</t>
    </rPh>
    <phoneticPr fontId="61"/>
  </si>
  <si>
    <t>次へ</t>
    <rPh sb="0" eb="1">
      <t>ツギ</t>
    </rPh>
    <phoneticPr fontId="61"/>
  </si>
  <si>
    <t>2.3</t>
    <phoneticPr fontId="57"/>
  </si>
  <si>
    <t>2.4</t>
    <phoneticPr fontId="57"/>
  </si>
  <si>
    <t>2.5</t>
    <phoneticPr fontId="57"/>
  </si>
  <si>
    <t>形式チェック</t>
    <rPh sb="0" eb="2">
      <t>ケイシキ</t>
    </rPh>
    <phoneticPr fontId="13"/>
  </si>
  <si>
    <t>論理項目名
(Logical Item Name)</t>
    <phoneticPr fontId="13"/>
  </si>
  <si>
    <t>チェックルール
(Check Rule)</t>
    <phoneticPr fontId="13"/>
  </si>
  <si>
    <t>パラメータ条件
(Parameter Condition)</t>
    <phoneticPr fontId="13"/>
  </si>
  <si>
    <t>メッセージキー
(Message Key)</t>
    <phoneticPr fontId="13"/>
  </si>
  <si>
    <t>メッセージ
置換文字列
(Place Holder)</t>
    <phoneticPr fontId="13"/>
  </si>
  <si>
    <t>チェックタイミング (Check Timing)</t>
    <phoneticPr fontId="13"/>
  </si>
  <si>
    <t>クライアントチェック</t>
    <phoneticPr fontId="61"/>
  </si>
  <si>
    <t>次へ押下時</t>
    <rPh sb="0" eb="1">
      <t>ツギ</t>
    </rPh>
    <rPh sb="2" eb="4">
      <t>オウカ</t>
    </rPh>
    <rPh sb="4" eb="5">
      <t>ジ</t>
    </rPh>
    <phoneticPr fontId="61"/>
  </si>
  <si>
    <t>必須チェック（@NotBlank）</t>
  </si>
  <si>
    <t>errors.required</t>
  </si>
  <si>
    <t>○</t>
    <phoneticPr fontId="61"/>
  </si>
  <si>
    <t>半角数字チェック</t>
  </si>
  <si>
    <t>文字種チェック</t>
    <rPh sb="0" eb="2">
      <t>モジ</t>
    </rPh>
    <rPh sb="2" eb="3">
      <t>シュ</t>
    </rPh>
    <phoneticPr fontId="61"/>
  </si>
  <si>
    <t>errors.numericString</t>
  </si>
  <si>
    <t>文字数チェック</t>
  </si>
  <si>
    <t>最大文字数</t>
    <rPh sb="0" eb="2">
      <t>サイダイ</t>
    </rPh>
    <rPh sb="2" eb="5">
      <t>モジスウ</t>
    </rPh>
    <phoneticPr fontId="61"/>
  </si>
  <si>
    <t>errors.maxlength</t>
  </si>
  <si>
    <t>半角英数ハイフンチェック</t>
    <phoneticPr fontId="61"/>
  </si>
  <si>
    <t>errors.hankakuString</t>
  </si>
  <si>
    <t>全角英数以外・
スペース以外チェック</t>
    <rPh sb="0" eb="2">
      <t>ゼンカク</t>
    </rPh>
    <rPh sb="2" eb="4">
      <t>エイスウ</t>
    </rPh>
    <rPh sb="4" eb="6">
      <t>イガイ</t>
    </rPh>
    <rPh sb="12" eb="14">
      <t>イガイ</t>
    </rPh>
    <phoneticPr fontId="61"/>
  </si>
  <si>
    <t>message.E.F.000024</t>
    <phoneticPr fontId="61"/>
  </si>
  <si>
    <t>■使用できる文字
以下でない文字
・全角英字（ａ～ｚ）
　※小文字
・全角英字（Ａ～Ｚ）
　※大文字
・全角数字（０～９）
・全角および半角のスペース</t>
    <rPh sb="1" eb="3">
      <t>シヨウ</t>
    </rPh>
    <rPh sb="6" eb="8">
      <t>モジ</t>
    </rPh>
    <rPh sb="9" eb="11">
      <t>イカ</t>
    </rPh>
    <rPh sb="14" eb="16">
      <t>モジ</t>
    </rPh>
    <phoneticPr fontId="61"/>
  </si>
  <si>
    <t>区分値チェック（AppEnum）</t>
    <phoneticPr fontId="61"/>
  </si>
  <si>
    <t>1件以上選択チェック</t>
    <rPh sb="1" eb="4">
      <t>ケンイジョウ</t>
    </rPh>
    <rPh sb="4" eb="6">
      <t>センタク</t>
    </rPh>
    <phoneticPr fontId="61"/>
  </si>
  <si>
    <t>ChemicalSubstanceData
1つ以上チェックボックスにチェックが付与されているかどうかをチェックする</t>
    <rPh sb="25" eb="27">
      <t>イジョウ</t>
    </rPh>
    <rPh sb="41" eb="43">
      <t>フヨ</t>
    </rPh>
    <phoneticPr fontId="61"/>
  </si>
  <si>
    <t>利用可能なルール</t>
    <rPh sb="0" eb="8">
      <t>リヨウカノウ</t>
    </rPh>
    <phoneticPr fontId="13"/>
  </si>
  <si>
    <t>パラメータ1</t>
  </si>
  <si>
    <t>パラメータ2</t>
  </si>
  <si>
    <t>パラメータ3</t>
  </si>
  <si>
    <t>パラメータ4</t>
  </si>
  <si>
    <t>デフォルトメッセージID</t>
  </si>
  <si>
    <t>デフォルトメッセージ</t>
  </si>
  <si>
    <t>{0}は入力必須項目です。</t>
    <phoneticPr fontId="13"/>
  </si>
  <si>
    <t>必須チェック（@NotEmpty）</t>
  </si>
  <si>
    <t>errors.zenkakuString</t>
  </si>
  <si>
    <t>{0}には全角文字を入力してください。</t>
    <phoneticPr fontId="13"/>
  </si>
  <si>
    <t>必須チェック（@NotNull）</t>
  </si>
  <si>
    <t>{0}には半角文字を入力してください。</t>
    <phoneticPr fontId="13"/>
  </si>
  <si>
    <t>errors.alphaNumericString</t>
    <phoneticPr fontId="13"/>
  </si>
  <si>
    <t>{0}には半角英数字で入力してください。</t>
    <phoneticPr fontId="13"/>
  </si>
  <si>
    <t>半角英数字チェック</t>
  </si>
  <si>
    <t>errors.capAlphaNumericString</t>
  </si>
  <si>
    <t>{0}には英大文字または数字を入力してください。</t>
    <phoneticPr fontId="13"/>
  </si>
  <si>
    <t>半角文字チェック</t>
  </si>
  <si>
    <t>{0}には数字を入力してください。</t>
    <phoneticPr fontId="13"/>
  </si>
  <si>
    <t>errors.zenkakuKanaString</t>
  </si>
  <si>
    <t>{0}には全角カナ文字を入力してください。</t>
    <phoneticPr fontId="13"/>
  </si>
  <si>
    <t>日付チェック</t>
  </si>
  <si>
    <t>errors.hankakuKanaString</t>
  </si>
  <si>
    <t>{0}には半角カナ文字を入力してください。</t>
    <phoneticPr fontId="13"/>
  </si>
  <si>
    <t>数値桁数チェック</t>
  </si>
  <si>
    <t>Number of Bytes =</t>
    <phoneticPr fontId="13"/>
  </si>
  <si>
    <t>Encoding =</t>
    <phoneticPr fontId="13"/>
  </si>
  <si>
    <t>errors.byteLength</t>
  </si>
  <si>
    <t>{0}には{1}文字で入力してください。</t>
  </si>
  <si>
    <t>最大値チェック</t>
  </si>
  <si>
    <t>Min Value =</t>
    <phoneticPr fontId="13"/>
  </si>
  <si>
    <t>Max Value =</t>
    <phoneticPr fontId="13"/>
  </si>
  <si>
    <t>errors.range</t>
  </si>
  <si>
    <t>{0}には{1}から{2}までの範囲で入力してください。</t>
    <phoneticPr fontId="13"/>
  </si>
  <si>
    <t>最小値チェック</t>
  </si>
  <si>
    <t>errors.byteRange</t>
  </si>
  <si>
    <t>メールアドレス形式チェック</t>
  </si>
  <si>
    <t>Max Length =</t>
    <phoneticPr fontId="13"/>
  </si>
  <si>
    <t>errors.stringLength</t>
  </si>
  <si>
    <t>区分値チェック（Enum）</t>
  </si>
  <si>
    <t>Date Format =</t>
    <phoneticPr fontId="13"/>
  </si>
  <si>
    <t>errors.date</t>
    <phoneticPr fontId="13"/>
  </si>
  <si>
    <t>{0}には正しい日付を入力してください。</t>
    <phoneticPr fontId="13"/>
  </si>
  <si>
    <t>区分値チェック（AppEnum）</t>
  </si>
  <si>
    <t>Start Date =</t>
    <phoneticPr fontId="13"/>
  </si>
  <si>
    <t>End Date =</t>
    <phoneticPr fontId="13"/>
  </si>
  <si>
    <t>errors.dateRange</t>
  </si>
  <si>
    <t>{0}には半角英数および半角ハイフンを入力してください。</t>
    <rPh sb="5" eb="7">
      <t>ハンカク</t>
    </rPh>
    <rPh sb="12" eb="14">
      <t>ハンカク</t>
    </rPh>
    <phoneticPr fontId="13"/>
  </si>
  <si>
    <t>Numer of Integer Part Digits =</t>
    <phoneticPr fontId="13"/>
  </si>
  <si>
    <t>Numer of Decimal Part Digits =</t>
    <phoneticPr fontId="13"/>
  </si>
  <si>
    <t>Number of Integer Digists Check =</t>
    <phoneticPr fontId="13"/>
  </si>
  <si>
    <t>Number of Decimal Digits Check =</t>
    <phoneticPr fontId="13"/>
  </si>
  <si>
    <t>errors.number</t>
    <phoneticPr fontId="61"/>
  </si>
  <si>
    <t>{0}には整数部{1}桁、小数部{2}桁までの範囲で入力してください。</t>
    <phoneticPr fontId="13"/>
  </si>
  <si>
    <t>Min Number of Characters =</t>
    <phoneticPr fontId="13"/>
  </si>
  <si>
    <t>errors.minlength</t>
  </si>
  <si>
    <t>{0}には{1}文字以上で入力してください。</t>
  </si>
  <si>
    <t>Max Number of Characters =</t>
    <phoneticPr fontId="13"/>
  </si>
  <si>
    <t>{0}には{1}文字以下で入力してください。</t>
  </si>
  <si>
    <t>errors.email</t>
  </si>
  <si>
    <t>{0}にはｅメールアドレスの形式で入力してください。</t>
  </si>
  <si>
    <t>errors.creditcard</t>
  </si>
  <si>
    <t>{0}には正しいクレジットカード番号を入力してください。</t>
  </si>
  <si>
    <t>全スキーム許可=</t>
    <rPh sb="0" eb="8">
      <t>ゼンキョカ</t>
    </rPh>
    <phoneticPr fontId="13"/>
  </si>
  <si>
    <t>"//"許可=</t>
    <rPh sb="0" eb="7">
      <t>キョカ</t>
    </rPh>
    <phoneticPr fontId="13"/>
  </si>
  <si>
    <t>"#"許可=</t>
    <rPh sb="0" eb="6">
      <t>キョカ</t>
    </rPh>
    <phoneticPr fontId="13"/>
  </si>
  <si>
    <t>許可スキーム=</t>
    <rPh sb="0" eb="7">
      <t>キョカ</t>
    </rPh>
    <phoneticPr fontId="13"/>
  </si>
  <si>
    <t>errors.url</t>
  </si>
  <si>
    <t>{0}には適切なURL形式で入力してください。</t>
  </si>
  <si>
    <t>Prohibited Characters =</t>
    <phoneticPr fontId="13"/>
  </si>
  <si>
    <t>errors.prohibited</t>
  </si>
  <si>
    <t>{0}に入力禁止文字"{1}"が含まれています。</t>
    <phoneticPr fontId="13"/>
  </si>
  <si>
    <t>Regular Expression =</t>
    <phoneticPr fontId="13"/>
  </si>
  <si>
    <t>errors.invalid</t>
  </si>
  <si>
    <t>{0}の入力形式が間違っています。</t>
    <phoneticPr fontId="13"/>
  </si>
  <si>
    <t>errors.displayName</t>
    <phoneticPr fontId="13"/>
  </si>
  <si>
    <t>{0}の入力に誤りがあります。</t>
    <rPh sb="7" eb="8">
      <t>アヤマ</t>
    </rPh>
    <phoneticPr fontId="13"/>
  </si>
  <si>
    <t>2.7</t>
  </si>
  <si>
    <r>
      <t>新規申請フォーム</t>
    </r>
    <r>
      <rPr>
        <b/>
        <sz val="9"/>
        <rFont val="Meiryo UI"/>
        <family val="3"/>
        <charset val="128"/>
      </rPr>
      <t xml:space="preserve"> </t>
    </r>
    <r>
      <rPr>
        <sz val="9"/>
        <rFont val="Meiryo UI"/>
        <family val="3"/>
        <charset val="128"/>
      </rPr>
      <t>New Application Form</t>
    </r>
    <rPh sb="0" eb="3">
      <t>シンキシンセイ</t>
    </rPh>
    <phoneticPr fontId="57"/>
  </si>
  <si>
    <t>Submission_company</t>
    <phoneticPr fontId="57"/>
  </si>
  <si>
    <t>End User</t>
    <phoneticPr fontId="57"/>
  </si>
  <si>
    <t>Required for distributors and trading companies</t>
    <phoneticPr fontId="57"/>
  </si>
  <si>
    <t>Product Name/CL-No.</t>
    <phoneticPr fontId="57"/>
  </si>
  <si>
    <t>Up to 100 Items can be enterd.</t>
    <phoneticPr fontId="57"/>
  </si>
  <si>
    <t>Please enter the product name accurately, including any symbols or other identifiers.</t>
    <phoneticPr fontId="57"/>
  </si>
  <si>
    <t>Select Chemical substances data</t>
    <phoneticPr fontId="57"/>
  </si>
  <si>
    <t>RoHS Certficate of conformity</t>
    <phoneticPr fontId="57"/>
  </si>
  <si>
    <t>Halogen-Free Certificate</t>
    <phoneticPr fontId="57"/>
  </si>
  <si>
    <t>Composition List</t>
    <phoneticPr fontId="57"/>
  </si>
  <si>
    <t>High precision analysis data(JCP)</t>
    <phoneticPr fontId="57"/>
  </si>
  <si>
    <t>SVHC Investigation report</t>
    <phoneticPr fontId="57"/>
  </si>
  <si>
    <t xml:space="preserve"> RoHS：　2011/65/EU（6物質）</t>
    <rPh sb="19" eb="21">
      <t>ブッシツ</t>
    </rPh>
    <phoneticPr fontId="57"/>
  </si>
  <si>
    <t xml:space="preserve"> SVHC：ECHAのwebサイト上の候補リストにある209個の物質</t>
    <rPh sb="17" eb="18">
      <t>ジョウ</t>
    </rPh>
    <rPh sb="19" eb="21">
      <t>コウホ</t>
    </rPh>
    <rPh sb="30" eb="31">
      <t>コ</t>
    </rPh>
    <rPh sb="32" eb="34">
      <t>ブッシツ</t>
    </rPh>
    <phoneticPr fontId="57"/>
  </si>
  <si>
    <t xml:space="preserve"> chemSHERPA：Ver 1.05</t>
    <phoneticPr fontId="57"/>
  </si>
  <si>
    <t>【データのバージョン情報】</t>
    <rPh sb="10" eb="12">
      <t>ジョウホウ</t>
    </rPh>
    <phoneticPr fontId="57"/>
  </si>
  <si>
    <t>r1.1</t>
    <phoneticPr fontId="13"/>
  </si>
  <si>
    <t>古竹</t>
    <rPh sb="0" eb="2">
      <t>フルタケ</t>
    </rPh>
    <phoneticPr fontId="13"/>
  </si>
  <si>
    <t>「化学物質データ申請画面(日英併記)」、「化学物質データ申請画面(日英切替)」シートを追加、「化学物質データ申請画面(日本語)」シートを削除</t>
    <rPh sb="35" eb="37">
      <t>キリカエ</t>
    </rPh>
    <rPh sb="43" eb="45">
      <t>ツイカ</t>
    </rPh>
    <rPh sb="59" eb="62">
      <t>ニホンゴ</t>
    </rPh>
    <rPh sb="68" eb="70">
      <t>サクジョ</t>
    </rPh>
    <phoneticPr fontId="13"/>
  </si>
  <si>
    <t>化学物質データ申請画面</t>
    <rPh sb="0" eb="2">
      <t>カガク</t>
    </rPh>
    <rPh sb="2" eb="4">
      <t>ブッシツ</t>
    </rPh>
    <rPh sb="7" eb="9">
      <t>シンセイ</t>
    </rPh>
    <rPh sb="9" eb="11">
      <t>ガメン</t>
    </rPh>
    <phoneticPr fontId="51"/>
  </si>
  <si>
    <t>Name of company to be submitted</t>
    <phoneticPr fontId="57"/>
  </si>
  <si>
    <t>End customer</t>
    <phoneticPr fontId="57"/>
  </si>
  <si>
    <t>※For Hirose distributors, this field must be filled.</t>
    <phoneticPr fontId="57"/>
  </si>
  <si>
    <t>※Max : 100 Products</t>
    <phoneticPr fontId="57"/>
  </si>
  <si>
    <t>Please enter Product name accurately including symbols.</t>
    <phoneticPr fontId="57"/>
  </si>
  <si>
    <t>Data Select</t>
    <phoneticPr fontId="57"/>
  </si>
  <si>
    <t>RoHS Certificate</t>
  </si>
  <si>
    <t>Certificate of Halogen Free</t>
  </si>
  <si>
    <t>Product Chemical Substances Table</t>
  </si>
  <si>
    <t>Analysis Data(ICP)</t>
  </si>
  <si>
    <t>【データのバージョン情報/Data version Infomation】</t>
    <phoneticPr fontId="57"/>
  </si>
  <si>
    <t xml:space="preserve"> RoHS：　2011/65/EU（6物質6 substances）</t>
    <phoneticPr fontId="57"/>
  </si>
  <si>
    <t xml:space="preserve"> SVHC：ECHAのwebサイト上の候補リストにある209個の物質 / 209 substances on the Candidate List on ECHA's website</t>
    <phoneticPr fontId="57"/>
  </si>
  <si>
    <t>0. 本機能を利用可能なユーザについて</t>
    <rPh sb="3" eb="4">
      <t>ホン</t>
    </rPh>
    <rPh sb="4" eb="6">
      <t>キノウ</t>
    </rPh>
    <rPh sb="7" eb="9">
      <t>リヨウ</t>
    </rPh>
    <rPh sb="9" eb="11">
      <t>カノウ</t>
    </rPh>
    <phoneticPr fontId="2"/>
  </si>
  <si>
    <t>権限種別が「社員」「販社」「代理店」のユーザのみ利用可能。</t>
    <rPh sb="0" eb="2">
      <t>ケンゲン</t>
    </rPh>
    <rPh sb="2" eb="4">
      <t>シュベツ</t>
    </rPh>
    <rPh sb="6" eb="8">
      <t>シャイン</t>
    </rPh>
    <rPh sb="10" eb="12">
      <t>ハンシャ</t>
    </rPh>
    <rPh sb="14" eb="17">
      <t>ダイリテン</t>
    </rPh>
    <rPh sb="24" eb="26">
      <t>リヨウ</t>
    </rPh>
    <rPh sb="26" eb="28">
      <t>カノウ</t>
    </rPh>
    <phoneticPr fontId="2"/>
  </si>
  <si>
    <t>以下のようにパンくずリストを表示する。</t>
    <rPh sb="0" eb="2">
      <t>イカ</t>
    </rPh>
    <rPh sb="14" eb="16">
      <t>ヒョウジ</t>
    </rPh>
    <phoneticPr fontId="2"/>
  </si>
  <si>
    <t>『製品トップ &gt; 化学物質データ申請』</t>
    <rPh sb="1" eb="3">
      <t>セイヒン</t>
    </rPh>
    <rPh sb="9" eb="11">
      <t>カガク</t>
    </rPh>
    <rPh sb="11" eb="13">
      <t>ブッシツ</t>
    </rPh>
    <rPh sb="16" eb="18">
      <t>シンセイ</t>
    </rPh>
    <phoneticPr fontId="2"/>
  </si>
  <si>
    <t>化学物質データ / Chemical substance data</t>
    <rPh sb="0" eb="2">
      <t>カガクブッシツ</t>
    </rPh>
    <phoneticPr fontId="57"/>
  </si>
  <si>
    <t>r1.2</t>
    <phoneticPr fontId="13"/>
  </si>
  <si>
    <t>データ申請画面を日英併記と日英切替の2種類を作成</t>
    <rPh sb="3" eb="5">
      <t>シンセイ</t>
    </rPh>
    <rPh sb="5" eb="7">
      <t>ガメン</t>
    </rPh>
    <rPh sb="8" eb="10">
      <t>ニチエイ</t>
    </rPh>
    <rPh sb="10" eb="12">
      <t>ヘイキ</t>
    </rPh>
    <rPh sb="13" eb="15">
      <t>ニチエイ</t>
    </rPh>
    <rPh sb="15" eb="17">
      <t>キリカエ</t>
    </rPh>
    <rPh sb="19" eb="21">
      <t>シュルイ</t>
    </rPh>
    <rPh sb="22" eb="24">
      <t>サクセイ</t>
    </rPh>
    <phoneticPr fontId="13"/>
  </si>
  <si>
    <t>データ申請画面（日英切替）シートを削除</t>
    <rPh sb="3" eb="5">
      <t>シンセイ</t>
    </rPh>
    <rPh sb="5" eb="7">
      <t>ガメン</t>
    </rPh>
    <rPh sb="8" eb="10">
      <t>ニチエイ</t>
    </rPh>
    <rPh sb="10" eb="12">
      <t>キリカエ</t>
    </rPh>
    <rPh sb="17" eb="19">
      <t>サクジョ</t>
    </rPh>
    <phoneticPr fontId="13"/>
  </si>
  <si>
    <t>「化学物質データ申請画面(日英併記)」</t>
    <phoneticPr fontId="13"/>
  </si>
  <si>
    <t>化学物質データ申請</t>
    <rPh sb="0" eb="4">
      <t>カガクブッシツ</t>
    </rPh>
    <rPh sb="7" eb="9">
      <t>シンセイ</t>
    </rPh>
    <phoneticPr fontId="51"/>
  </si>
  <si>
    <t>最大文字数は100とする。
■使用できる文字
半角カナ英数字、全角文字
半角記号：!"#$%&amp;'()-^\@[;:],./\=~|`{+*}&lt;&gt;?_ﾟﾞ</t>
    <phoneticPr fontId="61"/>
  </si>
  <si>
    <t>お知らせ登録画面のバージョン情報登録で登録した情報を表示する</t>
    <rPh sb="1" eb="2">
      <t>シ</t>
    </rPh>
    <rPh sb="4" eb="8">
      <t>トウロクガメン</t>
    </rPh>
    <rPh sb="14" eb="16">
      <t>ジョウホウ</t>
    </rPh>
    <rPh sb="16" eb="18">
      <t>トウロク</t>
    </rPh>
    <rPh sb="19" eb="21">
      <t>トウロク</t>
    </rPh>
    <rPh sb="23" eb="25">
      <t>ジョウホウ</t>
    </rPh>
    <rPh sb="26" eb="28">
      <t>ヒョウジ</t>
    </rPh>
    <phoneticPr fontId="61"/>
  </si>
  <si>
    <t xml:space="preserve">使用できる文字は、以下でない文字とする。												
・全角英字（ａ～ｚ）　※小文字										
・全角英字（Ａ～Ｚ）　※大文字										
・全角数字（０～９）										
・全角および半角のスペース										
最大100件の製品名/CL-Noを登録可能。												
1行あたり1つの製品名/CL-No.を記載するものとする。												
空行は、データ行としてカウントしない。												
製品名/CL-Noのチェック条件でバリデーションを行う。												
（入力チェックシート参照）												</t>
    <phoneticPr fontId="57"/>
  </si>
  <si>
    <t>業務チェック</t>
    <rPh sb="0" eb="2">
      <t>ギョウム</t>
    </rPh>
    <phoneticPr fontId="13"/>
  </si>
  <si>
    <t xml:space="preserve">論理項目名
(Logical Item Name)
</t>
    <phoneticPr fontId="13"/>
  </si>
  <si>
    <t>チェック内容
(Check Details)</t>
    <rPh sb="0" eb="6">
      <t>ナイヨウ</t>
    </rPh>
    <phoneticPr fontId="13"/>
  </si>
  <si>
    <t>修正後</t>
    <rPh sb="0" eb="2">
      <t>シュウセイ</t>
    </rPh>
    <rPh sb="2" eb="3">
      <t>ゴ</t>
    </rPh>
    <phoneticPr fontId="13"/>
  </si>
  <si>
    <t>テスト観点</t>
    <rPh sb="3" eb="5">
      <t>カンテン</t>
    </rPh>
    <phoneticPr fontId="13"/>
  </si>
  <si>
    <t>次へボタン押下時</t>
    <rPh sb="0" eb="1">
      <t>ツギ</t>
    </rPh>
    <rPh sb="5" eb="7">
      <t>オウカ</t>
    </rPh>
    <rPh sb="7" eb="8">
      <t>ジ</t>
    </rPh>
    <phoneticPr fontId="61"/>
  </si>
  <si>
    <t>判定</t>
    <rPh sb="0" eb="2">
      <t>ハンテイ</t>
    </rPh>
    <phoneticPr fontId="13"/>
  </si>
  <si>
    <t>確認日</t>
    <rPh sb="0" eb="2">
      <t>カクニン</t>
    </rPh>
    <rPh sb="2" eb="3">
      <t>ビ</t>
    </rPh>
    <phoneticPr fontId="13"/>
  </si>
  <si>
    <t>確認者</t>
    <rPh sb="0" eb="2">
      <t>カクニン</t>
    </rPh>
    <rPh sb="2" eb="3">
      <t>シャ</t>
    </rPh>
    <phoneticPr fontId="13"/>
  </si>
  <si>
    <t>製品名/CL-Noの件数チェック</t>
    <rPh sb="0" eb="3">
      <t>セイヒンメイ</t>
    </rPh>
    <rPh sb="10" eb="12">
      <t>ケンスウ</t>
    </rPh>
    <phoneticPr fontId="61"/>
  </si>
  <si>
    <t>空行を除き、製品名/CL-Noデータ行が101以上ある場合はエラー</t>
    <rPh sb="0" eb="2">
      <t>クウギョウ</t>
    </rPh>
    <rPh sb="3" eb="4">
      <t>ノゾ</t>
    </rPh>
    <rPh sb="6" eb="9">
      <t>セイヒンメイ</t>
    </rPh>
    <rPh sb="18" eb="19">
      <t>ギョウ</t>
    </rPh>
    <rPh sb="23" eb="25">
      <t>イジョウ</t>
    </rPh>
    <rPh sb="27" eb="29">
      <t>バアイ</t>
    </rPh>
    <phoneticPr fontId="61"/>
  </si>
  <si>
    <t>message.E.F.000023</t>
    <phoneticPr fontId="61"/>
  </si>
  <si>
    <t>製品名/CL-Noの冶具チェック</t>
    <rPh sb="0" eb="3">
      <t>セイヒンメイ</t>
    </rPh>
    <rPh sb="10" eb="12">
      <t>ジグ</t>
    </rPh>
    <phoneticPr fontId="61"/>
  </si>
  <si>
    <t>製品名/CL-NoのデータをHrsProductテーブルに照会（※1、2）し、冶具の場合(productType属性の値がHrsProductType.tool場合)はエラー
※1　CLコードの条件について
　　　　入力値の形式がHRS-No（数字11桁）の場合、
　　　　CLコードの形式（CL9999-9999-9-99）に変換して照会
※2　製品名の条件について、
　　　　以下の全角記号が含まれる場合、半角に変換して照会
　　　　－　→　-
　　　　（　→　(
　　　　）　→　)
　　　　＋　→　+
　　　　＊　→　*
　　　　／　→　/</t>
    <rPh sb="0" eb="3">
      <t>セイヒンメイ</t>
    </rPh>
    <rPh sb="29" eb="31">
      <t>ショウカイ</t>
    </rPh>
    <rPh sb="39" eb="41">
      <t>ジグ</t>
    </rPh>
    <rPh sb="42" eb="44">
      <t>バアイ</t>
    </rPh>
    <rPh sb="56" eb="58">
      <t>ゾクセイ</t>
    </rPh>
    <rPh sb="59" eb="60">
      <t>アタイ</t>
    </rPh>
    <rPh sb="80" eb="82">
      <t>バアイ</t>
    </rPh>
    <rPh sb="98" eb="100">
      <t>ジョウケン</t>
    </rPh>
    <rPh sb="169" eb="171">
      <t>ショウカイ</t>
    </rPh>
    <rPh sb="175" eb="178">
      <t>セイヒンメイ</t>
    </rPh>
    <rPh sb="179" eb="181">
      <t>ジョウケン</t>
    </rPh>
    <rPh sb="191" eb="193">
      <t>イカ</t>
    </rPh>
    <rPh sb="194" eb="196">
      <t>ゼンカク</t>
    </rPh>
    <rPh sb="196" eb="198">
      <t>キゴウ</t>
    </rPh>
    <rPh sb="213" eb="215">
      <t>ショウカイ</t>
    </rPh>
    <phoneticPr fontId="61"/>
  </si>
  <si>
    <t>message.E.F.000025</t>
    <phoneticPr fontId="61"/>
  </si>
  <si>
    <t>・形式チェック、業務チェックを行う（入力チェックシートを参照）
・チェックエラーが発生した場合は当画面にエラーメッセージを表示し、
　エラーがない場合は、「化学物質データ確認画面」に遷移する</t>
    <rPh sb="1" eb="3">
      <t>ケイシキ</t>
    </rPh>
    <rPh sb="8" eb="10">
      <t>ギョウム</t>
    </rPh>
    <rPh sb="18" eb="20">
      <t>ニュウリョク</t>
    </rPh>
    <rPh sb="28" eb="30">
      <t>サンショウ</t>
    </rPh>
    <phoneticPr fontId="61"/>
  </si>
  <si>
    <t>導出元
(Source)</t>
    <rPh sb="0" eb="3">
      <t>ドウシュツモト</t>
    </rPh>
    <phoneticPr fontId="13"/>
  </si>
  <si>
    <t>2.6</t>
  </si>
  <si>
    <t>2.8</t>
  </si>
  <si>
    <t>日英切替</t>
    <rPh sb="0" eb="2">
      <t>ニチエイ</t>
    </rPh>
    <rPh sb="2" eb="4">
      <t>キリカエ</t>
    </rPh>
    <phoneticPr fontId="61"/>
  </si>
  <si>
    <t>データバージョン情報内の言語を日本語または英語に表示を切り替える</t>
    <rPh sb="8" eb="10">
      <t>ジョウホウ</t>
    </rPh>
    <rPh sb="10" eb="11">
      <t>ナイ</t>
    </rPh>
    <rPh sb="12" eb="14">
      <t>ゲンゴ</t>
    </rPh>
    <rPh sb="15" eb="18">
      <t>ニホンゴ</t>
    </rPh>
    <rPh sb="21" eb="23">
      <t>エイゴ</t>
    </rPh>
    <rPh sb="24" eb="26">
      <t>ヒョウジ</t>
    </rPh>
    <rPh sb="27" eb="28">
      <t>キ</t>
    </rPh>
    <rPh sb="29" eb="30">
      <t>カ</t>
    </rPh>
    <phoneticPr fontId="61"/>
  </si>
  <si>
    <t>必須項目。
最大255桁まで入力可能。</t>
    <rPh sb="0" eb="4">
      <t>ヒッスコウモク</t>
    </rPh>
    <phoneticPr fontId="57"/>
  </si>
  <si>
    <t>機能仕様</t>
    <rPh sb="0" eb="4">
      <t>キノウシヨウ</t>
    </rPh>
    <phoneticPr fontId="13"/>
  </si>
  <si>
    <t>お知らせ登録テーブル</t>
    <rPh sb="1" eb="2">
      <t>シ</t>
    </rPh>
    <rPh sb="4" eb="6">
      <t>トウロク</t>
    </rPh>
    <phoneticPr fontId="5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</si>
</sst>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0;\-#,##0;&quot;-&quot;"/>
    <numFmt numFmtId="177" formatCode="0.00_)"/>
    <numFmt numFmtId="178" formatCode="#,##0.00;[Red]\(#,##0.00\)"/>
    <numFmt numFmtId="179" formatCode="#,##0.00_);[Red]\(#,##0.00\)"/>
    <numFmt numFmtId="180" formatCode="0.0_);[Red]\(0.0\)"/>
    <numFmt numFmtId="181" formatCode="#,##0.00_ "/>
    <numFmt numFmtId="182" formatCode="#,##0_ "/>
    <numFmt numFmtId="183" formatCode="#,##0_);[Red]\(#,##0\)"/>
    <numFmt numFmtId="184" formatCode="0.0%"/>
    <numFmt numFmtId="185" formatCode="#,##0_ ;[Red]\-#,##0\ "/>
    <numFmt numFmtId="186" formatCode="#,##0.0000_);[Red]\(#,##0.0000\)"/>
    <numFmt numFmtId="187" formatCode="0.0000_);[Red]\(0.0000\)"/>
    <numFmt numFmtId="188" formatCode="#,##0.0000_ "/>
    <numFmt numFmtId="189" formatCode="0.00_);[Red]\(0.00\)"/>
    <numFmt numFmtId="190" formatCode="0.0000_ "/>
    <numFmt numFmtId="191" formatCode="0_);[Red]\(0\)"/>
  </numFmts>
  <fonts count="128">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rgb="FFFF0000"/>
      <name val="ＭＳ Ｐゴシック"/>
      <family val="3"/>
      <charset val="128"/>
    </font>
    <font>
      <sz val="10"/>
      <color theme="1"/>
      <name val="ＭＳ Ｐゴシック"/>
      <family val="3"/>
      <charset val="128"/>
      <scheme val="minor"/>
    </font>
    <font>
      <sz val="10"/>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0"/>
      <name val="ＭＳ Ｐゴシック"/>
      <family val="2"/>
      <charset val="128"/>
      <scheme val="minor"/>
    </font>
    <font>
      <sz val="10"/>
      <color theme="1"/>
      <name val="ＭＳ Ｐゴシック"/>
      <family val="2"/>
      <charset val="128"/>
      <scheme val="minor"/>
    </font>
    <font>
      <sz val="11"/>
      <color theme="1"/>
      <name val="ＭＳ Ｐゴシック"/>
      <family val="2"/>
      <scheme val="minor"/>
    </font>
    <font>
      <sz val="6"/>
      <name val="ＭＳ Ｐゴシック"/>
      <family val="2"/>
      <charset val="128"/>
      <scheme val="minor"/>
    </font>
    <font>
      <sz val="9"/>
      <name val="ＭＳ Ｐゴシック"/>
      <family val="3"/>
      <charset val="128"/>
      <scheme val="minor"/>
    </font>
    <font>
      <sz val="11"/>
      <color theme="1"/>
      <name val="ＭＳ Ｐゴシック"/>
      <family val="3"/>
      <charset val="128"/>
      <scheme val="minor"/>
    </font>
    <font>
      <u/>
      <sz val="9"/>
      <color theme="3" tint="0.39997558519241921"/>
      <name val="ＭＳ Ｐゴシック"/>
      <family val="3"/>
      <charset val="128"/>
      <scheme val="minor"/>
    </font>
    <font>
      <sz val="10"/>
      <color rgb="FFFF0000"/>
      <name val="ＭＳ Ｐゴシック"/>
      <family val="3"/>
      <charset val="128"/>
      <scheme val="minor"/>
    </font>
    <font>
      <sz val="10"/>
      <name val="ＭＳ Ｐゴシック"/>
      <family val="2"/>
      <charset val="128"/>
      <scheme val="minor"/>
    </font>
    <font>
      <sz val="11"/>
      <color theme="0" tint="-0.14999847407452621"/>
      <name val="ＭＳ Ｐゴシック"/>
      <family val="2"/>
      <charset val="128"/>
      <scheme val="minor"/>
    </font>
    <font>
      <sz val="11"/>
      <color rgb="FFFFFF00"/>
      <name val="ＭＳ Ｐゴシック"/>
      <family val="2"/>
      <charset val="128"/>
      <scheme val="minor"/>
    </font>
    <font>
      <b/>
      <sz val="14"/>
      <color theme="0"/>
      <name val="ＭＳ Ｐゴシック"/>
      <family val="3"/>
      <charset val="128"/>
      <scheme val="minor"/>
    </font>
    <font>
      <sz val="10"/>
      <color theme="0" tint="-0.34998626667073579"/>
      <name val="ＭＳ Ｐゴシック"/>
      <family val="3"/>
      <charset val="128"/>
      <scheme val="minor"/>
    </font>
    <font>
      <u/>
      <sz val="10"/>
      <name val="ＭＳ Ｐゴシック"/>
      <family val="3"/>
      <charset val="128"/>
      <scheme val="minor"/>
    </font>
    <font>
      <b/>
      <sz val="10"/>
      <color rgb="FF00B050"/>
      <name val="ＭＳ Ｐゴシック"/>
      <family val="3"/>
      <charset val="128"/>
      <scheme val="minor"/>
    </font>
    <font>
      <b/>
      <sz val="10"/>
      <color rgb="FFFF0000"/>
      <name val="ＭＳ Ｐゴシック"/>
      <family val="3"/>
      <charset val="128"/>
      <scheme val="minor"/>
    </font>
    <font>
      <sz val="10"/>
      <color theme="0" tint="-0.499984740745262"/>
      <name val="ＭＳ Ｐゴシック"/>
      <family val="3"/>
      <charset val="128"/>
      <scheme val="minor"/>
    </font>
    <font>
      <sz val="9"/>
      <color theme="1"/>
      <name val="ＭＳ Ｐゴシック"/>
      <family val="3"/>
      <charset val="128"/>
      <scheme val="minor"/>
    </font>
    <font>
      <b/>
      <sz val="10"/>
      <name val="ＭＳ Ｐゴシック"/>
      <family val="3"/>
      <charset val="128"/>
      <scheme val="minor"/>
    </font>
    <font>
      <b/>
      <sz val="10"/>
      <color theme="1"/>
      <name val="ＭＳ Ｐゴシック"/>
      <family val="3"/>
      <charset val="128"/>
      <scheme val="minor"/>
    </font>
    <font>
      <u/>
      <sz val="10"/>
      <color rgb="FF0070C0"/>
      <name val="ＭＳ Ｐゴシック"/>
      <family val="3"/>
      <charset val="128"/>
      <scheme val="minor"/>
    </font>
    <font>
      <sz val="11"/>
      <color rgb="FFFF0000"/>
      <name val="ＭＳ Ｐゴシック"/>
      <family val="3"/>
      <charset val="128"/>
      <scheme val="minor"/>
    </font>
    <font>
      <sz val="10"/>
      <color theme="0"/>
      <name val="ＭＳ Ｐゴシック"/>
      <family val="3"/>
      <charset val="128"/>
      <scheme val="minor"/>
    </font>
    <font>
      <sz val="10"/>
      <color rgb="FF0000FF"/>
      <name val="ＭＳ Ｐゴシック"/>
      <family val="3"/>
      <charset val="128"/>
      <scheme val="minor"/>
    </font>
    <font>
      <strike/>
      <sz val="10"/>
      <color rgb="FFFF0000"/>
      <name val="ＭＳ Ｐゴシック"/>
      <family val="3"/>
      <charset val="128"/>
      <scheme val="minor"/>
    </font>
    <font>
      <b/>
      <sz val="12"/>
      <name val="Arial Black"/>
      <family val="2"/>
    </font>
    <font>
      <sz val="9"/>
      <color indexed="81"/>
      <name val="MS P ゴシック"/>
      <family val="3"/>
      <charset val="128"/>
    </font>
    <font>
      <b/>
      <sz val="10"/>
      <color rgb="FF00B0F0"/>
      <name val="ＭＳ Ｐゴシック"/>
      <family val="3"/>
      <charset val="128"/>
      <scheme val="minor"/>
    </font>
    <font>
      <sz val="10"/>
      <color theme="6" tint="0.39997558519241921"/>
      <name val="ＭＳ Ｐゴシック"/>
      <family val="3"/>
      <charset val="128"/>
      <scheme val="minor"/>
    </font>
    <font>
      <b/>
      <sz val="10"/>
      <color theme="6" tint="0.39997558519241921"/>
      <name val="ＭＳ Ｐゴシック"/>
      <family val="3"/>
      <charset val="128"/>
      <scheme val="minor"/>
    </font>
    <font>
      <sz val="9"/>
      <color rgb="FFFF0000"/>
      <name val="ＭＳ Ｐゴシック"/>
      <family val="3"/>
      <charset val="128"/>
      <scheme val="minor"/>
    </font>
    <font>
      <u/>
      <sz val="10"/>
      <color theme="1"/>
      <name val="ＭＳ Ｐゴシック"/>
      <family val="3"/>
      <charset val="128"/>
      <scheme val="minor"/>
    </font>
    <font>
      <b/>
      <sz val="10"/>
      <color rgb="FF0000FF"/>
      <name val="ＭＳ Ｐゴシック"/>
      <family val="3"/>
      <charset val="128"/>
      <scheme val="minor"/>
    </font>
    <font>
      <sz val="10"/>
      <color rgb="FF00B050"/>
      <name val="ＭＳ Ｐゴシック"/>
      <family val="3"/>
      <charset val="128"/>
      <scheme val="minor"/>
    </font>
    <font>
      <sz val="9"/>
      <color rgb="FF0000FF"/>
      <name val="ＭＳ Ｐゴシック"/>
      <family val="3"/>
      <charset val="128"/>
      <scheme val="minor"/>
    </font>
    <font>
      <sz val="11"/>
      <color rgb="FF0000FF"/>
      <name val="ＭＳ Ｐゴシック"/>
      <family val="3"/>
      <charset val="128"/>
      <scheme val="minor"/>
    </font>
    <font>
      <b/>
      <sz val="9"/>
      <color rgb="FF0000FF"/>
      <name val="ＭＳ Ｐゴシック"/>
      <family val="3"/>
      <charset val="128"/>
      <scheme val="minor"/>
    </font>
    <font>
      <strike/>
      <u/>
      <sz val="10"/>
      <color theme="1"/>
      <name val="ＭＳ Ｐゴシック"/>
      <family val="3"/>
      <charset val="128"/>
      <scheme val="minor"/>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sz val="10"/>
      <color rgb="FFFF0000"/>
      <name val="Meiryo UI"/>
      <family val="3"/>
      <charset val="128"/>
    </font>
    <font>
      <b/>
      <sz val="9"/>
      <name val="Meiryo UI"/>
      <family val="3"/>
      <charset val="128"/>
    </font>
    <font>
      <sz val="9"/>
      <color indexed="81"/>
      <name val="ＭＳ Ｐゴシック"/>
      <family val="3"/>
      <charset val="128"/>
    </font>
    <font>
      <sz val="9"/>
      <color indexed="8"/>
      <name val="ＭＳ Ｐゴシック"/>
      <family val="3"/>
      <charset val="128"/>
    </font>
    <font>
      <sz val="9"/>
      <color rgb="FFFF0000"/>
      <name val="Meiryo UI"/>
      <family val="3"/>
      <charset val="128"/>
    </font>
    <font>
      <sz val="7"/>
      <color theme="0" tint="-0.499984740745262"/>
      <name val="Meiryo UI"/>
      <family val="3"/>
      <charset val="128"/>
    </font>
    <font>
      <b/>
      <sz val="7"/>
      <name val="Meiryo UI"/>
      <family val="3"/>
      <charset val="128"/>
    </font>
    <font>
      <sz val="7"/>
      <name val="Meiryo UI"/>
      <family val="3"/>
      <charset val="128"/>
    </font>
    <font>
      <strike/>
      <sz val="10"/>
      <color rgb="FFFF0000"/>
      <name val="Meiryo UI"/>
      <family val="3"/>
      <charset val="128"/>
    </font>
    <font>
      <strike/>
      <sz val="11"/>
      <color rgb="FFFF0000"/>
      <name val="Meiryo UI"/>
      <family val="3"/>
      <charset val="128"/>
    </font>
    <font>
      <strike/>
      <sz val="10"/>
      <name val="Meiryo UI"/>
      <family val="3"/>
      <charset val="128"/>
    </font>
    <font>
      <i/>
      <sz val="10"/>
      <name val="Meiryo UI"/>
      <family val="3"/>
      <charset val="128"/>
    </font>
    <font>
      <sz val="8"/>
      <color rgb="FFFF0000"/>
      <name val="Meiryo UI"/>
      <family val="3"/>
      <charset val="128"/>
    </font>
    <font>
      <b/>
      <sz val="9"/>
      <color indexed="81"/>
      <name val="ＭＳ Ｐゴシック"/>
      <family val="3"/>
      <charset val="128"/>
    </font>
    <font>
      <b/>
      <sz val="9"/>
      <color theme="1"/>
      <name val="Meiryo UI"/>
      <family val="3"/>
      <charset val="128"/>
    </font>
  </fonts>
  <fills count="38">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3"/>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theme="1" tint="0.24994659260841701"/>
        <bgColor indexed="64"/>
      </patternFill>
    </fill>
    <fill>
      <patternFill patternType="solid">
        <fgColor rgb="FFFFC000"/>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0" tint="-0.14996795556505021"/>
        <bgColor indexed="64"/>
      </patternFill>
    </fill>
    <fill>
      <patternFill patternType="solid">
        <fgColor rgb="FF00B0F0"/>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
      <patternFill patternType="solid">
        <fgColor rgb="FFE4EBF4"/>
        <bgColor indexed="64"/>
      </patternFill>
    </fill>
    <fill>
      <patternFill patternType="solid">
        <fgColor indexed="55"/>
        <bgColor indexed="64"/>
      </patternFill>
    </fill>
    <fill>
      <patternFill patternType="solid">
        <fgColor theme="0" tint="-0.34998626667073579"/>
        <bgColor indexed="64"/>
      </patternFill>
    </fill>
  </fills>
  <borders count="72">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style="thin">
        <color indexed="64"/>
      </right>
      <top style="thin">
        <color indexed="64"/>
      </top>
      <bottom/>
      <diagonal/>
    </border>
    <border>
      <left/>
      <right style="thin">
        <color theme="0" tint="-0.499984740745262"/>
      </right>
      <top style="thin">
        <color indexed="64"/>
      </top>
      <bottom/>
      <diagonal/>
    </border>
    <border>
      <left style="thin">
        <color theme="0" tint="-0.499984740745262"/>
      </left>
      <right style="thin">
        <color indexed="64"/>
      </right>
      <top/>
      <bottom style="thin">
        <color indexed="64"/>
      </bottom>
      <diagonal/>
    </border>
    <border>
      <left/>
      <right style="thin">
        <color theme="0" tint="-0.499984740745262"/>
      </right>
      <top/>
      <bottom style="thin">
        <color indexed="64"/>
      </bottom>
      <diagonal/>
    </border>
    <border>
      <left style="thin">
        <color theme="0" tint="-0.499984740745262"/>
      </left>
      <right style="thin">
        <color indexed="64"/>
      </right>
      <top style="thin">
        <color indexed="64"/>
      </top>
      <bottom style="thin">
        <color indexed="64"/>
      </bottom>
      <diagonal/>
    </border>
    <border>
      <left/>
      <right style="thin">
        <color theme="0" tint="-0.499984740745262"/>
      </right>
      <top style="thin">
        <color indexed="64"/>
      </top>
      <bottom style="thin">
        <color indexed="64"/>
      </bottom>
      <diagonal/>
    </border>
    <border>
      <left style="thin">
        <color theme="0" tint="-0.499984740745262"/>
      </left>
      <right/>
      <top style="thin">
        <color indexed="64"/>
      </top>
      <bottom style="thin">
        <color indexed="64"/>
      </bottom>
      <diagonal/>
    </border>
    <border>
      <left/>
      <right style="thin">
        <color indexed="64"/>
      </right>
      <top style="thin">
        <color theme="0" tint="-0.499984740745262"/>
      </top>
      <bottom/>
      <diagonal/>
    </border>
    <border>
      <left/>
      <right style="thin">
        <color indexed="64"/>
      </right>
      <top/>
      <bottom style="thin">
        <color theme="0" tint="-0.499984740745262"/>
      </bottom>
      <diagonal/>
    </border>
    <border>
      <left style="thin">
        <color indexed="64"/>
      </left>
      <right style="thin">
        <color theme="0" tint="-0.499984740745262"/>
      </right>
      <top/>
      <bottom/>
      <diagonal/>
    </border>
    <border>
      <left style="thin">
        <color theme="0" tint="-0.499984740745262"/>
      </left>
      <right style="thin">
        <color indexed="64"/>
      </right>
      <top style="thin">
        <color theme="0" tint="-0.499984740745262"/>
      </top>
      <bottom/>
      <diagonal/>
    </border>
    <border>
      <left style="thin">
        <color indexed="64"/>
      </left>
      <right/>
      <top style="thin">
        <color theme="0" tint="-0.499984740745262"/>
      </top>
      <bottom/>
      <diagonal/>
    </border>
    <border>
      <left style="thin">
        <color indexed="64"/>
      </left>
      <right/>
      <top style="thin">
        <color indexed="64"/>
      </top>
      <bottom style="thin">
        <color theme="0" tint="-0.499984740745262"/>
      </bottom>
      <diagonal/>
    </border>
    <border>
      <left/>
      <right/>
      <top style="thin">
        <color indexed="64"/>
      </top>
      <bottom style="thin">
        <color theme="0" tint="-0.499984740745262"/>
      </bottom>
      <diagonal/>
    </border>
    <border>
      <left/>
      <right style="thin">
        <color indexed="64"/>
      </right>
      <top style="thin">
        <color indexed="64"/>
      </top>
      <bottom style="thin">
        <color theme="0" tint="-0.499984740745262"/>
      </bottom>
      <diagonal/>
    </border>
    <border>
      <left style="thin">
        <color theme="0" tint="-0.499984740745262"/>
      </left>
      <right style="thin">
        <color indexed="64"/>
      </right>
      <top/>
      <bottom/>
      <diagonal/>
    </border>
    <border>
      <left style="thin">
        <color theme="0" tint="-0.499984740745262"/>
      </left>
      <right/>
      <top/>
      <bottom style="thin">
        <color indexed="64"/>
      </bottom>
      <diagonal/>
    </border>
    <border>
      <left/>
      <right/>
      <top/>
      <bottom style="thin">
        <color theme="0" tint="-0.14999847407452621"/>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64"/>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right style="thin">
        <color indexed="64"/>
      </right>
      <top style="thin">
        <color indexed="0"/>
      </top>
      <bottom style="thin">
        <color indexed="0"/>
      </bottom>
      <diagonal/>
    </border>
    <border>
      <left style="thin">
        <color indexed="64"/>
      </left>
      <right/>
      <top style="thin">
        <color indexed="0"/>
      </top>
      <bottom style="thin">
        <color indexed="0"/>
      </bottom>
      <diagonal/>
    </border>
    <border>
      <left style="thin">
        <color auto="1"/>
      </left>
      <right/>
      <top/>
      <bottom/>
      <diagonal/>
    </border>
    <border>
      <left/>
      <right style="thin">
        <color auto="1"/>
      </right>
      <top/>
      <bottom/>
      <diagonal/>
    </border>
  </borders>
  <cellStyleXfs count="188">
    <xf numFmtId="0" fontId="0" fillId="0" borderId="0">
      <alignment vertical="center"/>
    </xf>
    <xf numFmtId="0" fontId="24" fillId="0" borderId="0"/>
    <xf numFmtId="0" fontId="24" fillId="0" borderId="0"/>
    <xf numFmtId="176" fontId="25" fillId="0" borderId="0" applyFill="0" applyBorder="0" applyAlignment="0"/>
    <xf numFmtId="0" fontId="26" fillId="3" borderId="0">
      <alignment horizontal="left"/>
    </xf>
    <xf numFmtId="0" fontId="27" fillId="3" borderId="0">
      <alignment horizontal="right"/>
    </xf>
    <xf numFmtId="0" fontId="28" fillId="4" borderId="0">
      <alignment horizontal="center"/>
    </xf>
    <xf numFmtId="0" fontId="27" fillId="3" borderId="0">
      <alignment horizontal="right"/>
    </xf>
    <xf numFmtId="0" fontId="28" fillId="4" borderId="0">
      <alignment horizontal="left"/>
    </xf>
    <xf numFmtId="0" fontId="29" fillId="0" borderId="0">
      <alignment horizontal="left"/>
    </xf>
    <xf numFmtId="38" fontId="30" fillId="5" borderId="0" applyNumberFormat="0" applyBorder="0" applyAlignment="0" applyProtection="0"/>
    <xf numFmtId="0" fontId="31" fillId="0" borderId="1" applyNumberFormat="0" applyAlignment="0" applyProtection="0">
      <alignment horizontal="left" vertical="center"/>
    </xf>
    <xf numFmtId="0" fontId="31" fillId="0" borderId="2">
      <alignment horizontal="left" vertical="center"/>
    </xf>
    <xf numFmtId="10" fontId="30" fillId="6" borderId="3" applyNumberFormat="0" applyBorder="0" applyAlignment="0" applyProtection="0"/>
    <xf numFmtId="0" fontId="26" fillId="3" borderId="0">
      <alignment horizontal="left"/>
    </xf>
    <xf numFmtId="0" fontId="32" fillId="4" borderId="0">
      <alignment horizontal="left"/>
    </xf>
    <xf numFmtId="177" fontId="33" fillId="0" borderId="0"/>
    <xf numFmtId="0" fontId="34" fillId="0" borderId="0"/>
    <xf numFmtId="178" fontId="35" fillId="4" borderId="0">
      <alignment horizontal="right"/>
    </xf>
    <xf numFmtId="0" fontId="36" fillId="7" borderId="0">
      <alignment horizontal="center"/>
    </xf>
    <xf numFmtId="0" fontId="37" fillId="8" borderId="0"/>
    <xf numFmtId="0" fontId="38" fillId="4" borderId="0" applyBorder="0">
      <alignment horizontal="centerContinuous"/>
    </xf>
    <xf numFmtId="0" fontId="39" fillId="8" borderId="0" applyBorder="0">
      <alignment horizontal="centerContinuous"/>
    </xf>
    <xf numFmtId="10" fontId="34" fillId="0" borderId="0" applyFont="0" applyFill="0" applyBorder="0" applyAlignment="0" applyProtection="0"/>
    <xf numFmtId="4" fontId="29" fillId="0" borderId="0">
      <alignment horizontal="right"/>
    </xf>
    <xf numFmtId="0" fontId="32" fillId="9" borderId="0">
      <alignment horizontal="center"/>
    </xf>
    <xf numFmtId="49" fontId="40" fillId="4" borderId="0">
      <alignment horizontal="center"/>
    </xf>
    <xf numFmtId="4" fontId="41" fillId="0" borderId="0">
      <alignment horizontal="right"/>
    </xf>
    <xf numFmtId="0" fontId="27" fillId="3" borderId="0">
      <alignment horizontal="center"/>
    </xf>
    <xf numFmtId="0" fontId="27" fillId="3" borderId="0">
      <alignment horizontal="centerContinuous"/>
    </xf>
    <xf numFmtId="0" fontId="42" fillId="4" borderId="0">
      <alignment horizontal="left"/>
    </xf>
    <xf numFmtId="49" fontId="42" fillId="4" borderId="0">
      <alignment horizontal="center"/>
    </xf>
    <xf numFmtId="0" fontId="26" fillId="3" borderId="0">
      <alignment horizontal="left"/>
    </xf>
    <xf numFmtId="49" fontId="42" fillId="4" borderId="0">
      <alignment horizontal="left"/>
    </xf>
    <xf numFmtId="0" fontId="26" fillId="3" borderId="0">
      <alignment horizontal="centerContinuous"/>
    </xf>
    <xf numFmtId="0" fontId="26" fillId="3" borderId="0">
      <alignment horizontal="right"/>
    </xf>
    <xf numFmtId="49" fontId="32" fillId="4" borderId="0">
      <alignment horizontal="left"/>
    </xf>
    <xf numFmtId="0" fontId="27" fillId="3" borderId="0">
      <alignment horizontal="right"/>
    </xf>
    <xf numFmtId="0" fontId="42" fillId="2" borderId="0">
      <alignment horizontal="center"/>
    </xf>
    <xf numFmtId="0" fontId="43" fillId="2" borderId="0">
      <alignment horizontal="center"/>
    </xf>
    <xf numFmtId="0" fontId="44" fillId="0" borderId="0">
      <alignment horizontal="left"/>
    </xf>
    <xf numFmtId="0" fontId="45" fillId="0" borderId="0"/>
    <xf numFmtId="0" fontId="46" fillId="0" borderId="0">
      <alignment horizontal="center"/>
    </xf>
    <xf numFmtId="0" fontId="47" fillId="4" borderId="0">
      <alignment horizontal="center"/>
    </xf>
    <xf numFmtId="0" fontId="48" fillId="0" borderId="0"/>
    <xf numFmtId="0" fontId="15" fillId="0" borderId="0">
      <alignment vertical="center"/>
    </xf>
    <xf numFmtId="0" fontId="15" fillId="0" borderId="0"/>
    <xf numFmtId="0" fontId="15" fillId="0" borderId="0"/>
    <xf numFmtId="0" fontId="15" fillId="0" borderId="0"/>
    <xf numFmtId="0" fontId="15" fillId="0" borderId="0"/>
    <xf numFmtId="0" fontId="15" fillId="0" borderId="0">
      <alignment vertical="center"/>
    </xf>
    <xf numFmtId="0" fontId="49" fillId="0" borderId="0"/>
    <xf numFmtId="0" fontId="12" fillId="0" borderId="0">
      <alignment vertical="center"/>
    </xf>
    <xf numFmtId="0" fontId="11" fillId="0" borderId="0">
      <alignment vertical="center"/>
    </xf>
    <xf numFmtId="0" fontId="10" fillId="0" borderId="0">
      <alignment vertical="center"/>
    </xf>
    <xf numFmtId="0" fontId="9" fillId="0" borderId="0">
      <alignment vertical="center"/>
    </xf>
    <xf numFmtId="0" fontId="9" fillId="0" borderId="0">
      <alignment vertical="center"/>
    </xf>
    <xf numFmtId="0" fontId="9"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0" fillId="0" borderId="0"/>
    <xf numFmtId="0" fontId="6" fillId="0" borderId="0">
      <alignment vertical="center"/>
    </xf>
    <xf numFmtId="0" fontId="63" fillId="0" borderId="0">
      <alignment vertical="center"/>
    </xf>
    <xf numFmtId="0" fontId="15"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4" fillId="0" borderId="0">
      <alignment vertical="center"/>
    </xf>
    <xf numFmtId="0" fontId="3" fillId="0" borderId="0">
      <alignment vertical="center"/>
    </xf>
    <xf numFmtId="0" fontId="1" fillId="0" borderId="0">
      <alignment vertical="center"/>
    </xf>
  </cellStyleXfs>
  <cellXfs count="1050">
    <xf numFmtId="0" fontId="0" fillId="0" borderId="0" xfId="0">
      <alignment vertical="center"/>
    </xf>
    <xf numFmtId="0" fontId="15" fillId="0" borderId="0" xfId="48"/>
    <xf numFmtId="0" fontId="16" fillId="0" borderId="0" xfId="48" applyFont="1"/>
    <xf numFmtId="0" fontId="17" fillId="0" borderId="3" xfId="48" applyFont="1" applyBorder="1" applyAlignment="1">
      <alignment horizontal="center"/>
    </xf>
    <xf numFmtId="14" fontId="17" fillId="0" borderId="4" xfId="48" applyNumberFormat="1" applyFont="1" applyBorder="1" applyAlignment="1">
      <alignment horizontal="center"/>
    </xf>
    <xf numFmtId="0" fontId="17" fillId="0" borderId="4" xfId="48" applyFont="1" applyBorder="1" applyAlignment="1">
      <alignment horizontal="center"/>
    </xf>
    <xf numFmtId="0" fontId="17" fillId="0" borderId="5" xfId="48" applyFont="1" applyBorder="1" applyAlignment="1">
      <alignment horizontal="center"/>
    </xf>
    <xf numFmtId="0" fontId="18" fillId="0" borderId="0" xfId="48" applyFont="1"/>
    <xf numFmtId="0" fontId="21" fillId="0" borderId="0" xfId="48" applyFont="1" applyAlignment="1">
      <alignment vertical="center"/>
    </xf>
    <xf numFmtId="0" fontId="17" fillId="14" borderId="0" xfId="48" applyFont="1" applyFill="1" applyAlignment="1">
      <alignment horizontal="center"/>
    </xf>
    <xf numFmtId="14" fontId="17" fillId="14" borderId="0" xfId="48" applyNumberFormat="1" applyFont="1" applyFill="1" applyAlignment="1">
      <alignment horizontal="center"/>
    </xf>
    <xf numFmtId="0" fontId="19" fillId="11" borderId="0" xfId="48" applyFont="1" applyFill="1" applyAlignment="1">
      <alignment vertical="center"/>
    </xf>
    <xf numFmtId="0" fontId="20" fillId="12" borderId="0" xfId="48" applyFont="1" applyFill="1" applyAlignment="1">
      <alignment vertical="center"/>
    </xf>
    <xf numFmtId="0" fontId="21" fillId="0" borderId="0" xfId="48" applyFont="1" applyAlignment="1">
      <alignment horizontal="left" vertical="center"/>
    </xf>
    <xf numFmtId="0" fontId="20" fillId="12" borderId="0" xfId="48" applyFont="1" applyFill="1" applyAlignment="1">
      <alignment horizontal="center" vertical="center"/>
    </xf>
    <xf numFmtId="0" fontId="21" fillId="0" borderId="0" xfId="48" applyFont="1" applyAlignment="1">
      <alignment horizontal="center" vertical="center"/>
    </xf>
    <xf numFmtId="14" fontId="21" fillId="0" borderId="0" xfId="48" applyNumberFormat="1" applyFont="1" applyAlignment="1">
      <alignment horizontal="center" vertical="center"/>
    </xf>
    <xf numFmtId="0" fontId="20" fillId="11" borderId="0" xfId="48" applyFont="1" applyFill="1" applyAlignment="1">
      <alignment vertical="center"/>
    </xf>
    <xf numFmtId="0" fontId="22" fillId="0" borderId="0" xfId="48" applyFont="1" applyAlignment="1">
      <alignment vertical="center"/>
    </xf>
    <xf numFmtId="49" fontId="21" fillId="0" borderId="0" xfId="48" applyNumberFormat="1" applyFont="1" applyAlignment="1">
      <alignment horizontal="center" vertical="center"/>
    </xf>
    <xf numFmtId="0" fontId="23" fillId="0" borderId="0" xfId="48" applyFont="1" applyAlignment="1">
      <alignment vertical="center"/>
    </xf>
    <xf numFmtId="49" fontId="21" fillId="14" borderId="13" xfId="0" applyNumberFormat="1" applyFont="1" applyFill="1" applyBorder="1" applyAlignment="1">
      <alignment vertical="top"/>
    </xf>
    <xf numFmtId="0" fontId="21" fillId="10" borderId="6" xfId="49" applyFont="1" applyFill="1" applyBorder="1" applyAlignment="1">
      <alignment horizontal="right" vertical="center"/>
    </xf>
    <xf numFmtId="0" fontId="53" fillId="14" borderId="6" xfId="49" applyFont="1" applyFill="1" applyBorder="1" applyAlignment="1">
      <alignment horizontal="right" vertical="center"/>
    </xf>
    <xf numFmtId="0" fontId="55" fillId="14" borderId="0" xfId="0" applyFont="1" applyFill="1">
      <alignment vertical="center"/>
    </xf>
    <xf numFmtId="0" fontId="0" fillId="14" borderId="0" xfId="0" applyFill="1" applyAlignment="1">
      <alignment vertical="center" wrapText="1"/>
    </xf>
    <xf numFmtId="0" fontId="54" fillId="14" borderId="8" xfId="0" applyFont="1" applyFill="1" applyBorder="1">
      <alignment vertical="center"/>
    </xf>
    <xf numFmtId="49" fontId="21" fillId="10" borderId="15" xfId="0" applyNumberFormat="1" applyFont="1" applyFill="1" applyBorder="1" applyAlignment="1">
      <alignment horizontal="center" vertical="center"/>
    </xf>
    <xf numFmtId="0" fontId="54" fillId="14" borderId="0" xfId="0" applyFont="1" applyFill="1">
      <alignment vertical="center"/>
    </xf>
    <xf numFmtId="49" fontId="21" fillId="10" borderId="6" xfId="0" applyNumberFormat="1" applyFont="1" applyFill="1" applyBorder="1" applyAlignment="1">
      <alignment horizontal="left" vertical="center"/>
    </xf>
    <xf numFmtId="0" fontId="59" fillId="14" borderId="0" xfId="161" applyFont="1" applyFill="1">
      <alignment vertical="center"/>
    </xf>
    <xf numFmtId="0" fontId="54" fillId="14" borderId="0" xfId="161" applyFont="1" applyFill="1">
      <alignment vertical="center"/>
    </xf>
    <xf numFmtId="0" fontId="54" fillId="14" borderId="6" xfId="161" applyFont="1" applyFill="1" applyBorder="1">
      <alignment vertical="center"/>
    </xf>
    <xf numFmtId="0" fontId="54" fillId="14" borderId="11" xfId="161" applyFont="1" applyFill="1" applyBorder="1">
      <alignment vertical="center"/>
    </xf>
    <xf numFmtId="0" fontId="21" fillId="10" borderId="9" xfId="46" applyFont="1" applyFill="1" applyBorder="1" applyAlignment="1">
      <alignment horizontal="centerContinuous"/>
    </xf>
    <xf numFmtId="0" fontId="0" fillId="14" borderId="0" xfId="0" applyFill="1">
      <alignment vertical="center"/>
    </xf>
    <xf numFmtId="0" fontId="58" fillId="18" borderId="2" xfId="161" applyFont="1" applyFill="1" applyBorder="1">
      <alignment vertical="center"/>
    </xf>
    <xf numFmtId="0" fontId="54" fillId="14" borderId="2" xfId="0" applyFont="1" applyFill="1" applyBorder="1">
      <alignment vertical="center"/>
    </xf>
    <xf numFmtId="0" fontId="0" fillId="14" borderId="8" xfId="0" applyFill="1" applyBorder="1">
      <alignment vertical="center"/>
    </xf>
    <xf numFmtId="0" fontId="54" fillId="14" borderId="12" xfId="0" applyFont="1" applyFill="1" applyBorder="1">
      <alignment vertical="center"/>
    </xf>
    <xf numFmtId="0" fontId="21" fillId="10" borderId="22" xfId="46" applyFont="1" applyFill="1" applyBorder="1" applyAlignment="1">
      <alignment horizontal="centerContinuous"/>
    </xf>
    <xf numFmtId="0" fontId="54" fillId="14" borderId="0" xfId="161" applyFont="1" applyFill="1" applyAlignment="1">
      <alignment horizontal="left" vertical="center"/>
    </xf>
    <xf numFmtId="0" fontId="21" fillId="10" borderId="20" xfId="46" applyFont="1" applyFill="1" applyBorder="1" applyAlignment="1">
      <alignment horizontal="centerContinuous"/>
    </xf>
    <xf numFmtId="0" fontId="55" fillId="14" borderId="0" xfId="161" applyFont="1" applyFill="1">
      <alignment vertical="center"/>
    </xf>
    <xf numFmtId="0" fontId="54" fillId="14" borderId="0" xfId="161" applyFont="1" applyFill="1" applyAlignment="1">
      <alignment horizontal="center" vertical="center"/>
    </xf>
    <xf numFmtId="0" fontId="59" fillId="14" borderId="6" xfId="161" quotePrefix="1" applyFont="1" applyFill="1" applyBorder="1">
      <alignment vertical="center"/>
    </xf>
    <xf numFmtId="0" fontId="59" fillId="14" borderId="11" xfId="161" applyFont="1" applyFill="1" applyBorder="1">
      <alignment vertical="center"/>
    </xf>
    <xf numFmtId="0" fontId="69" fillId="18" borderId="10" xfId="161" applyFont="1" applyFill="1" applyBorder="1">
      <alignment vertical="center"/>
    </xf>
    <xf numFmtId="0" fontId="67" fillId="18" borderId="2" xfId="161" applyFont="1" applyFill="1" applyBorder="1">
      <alignment vertical="center"/>
    </xf>
    <xf numFmtId="0" fontId="68" fillId="18" borderId="2" xfId="161" applyFont="1" applyFill="1" applyBorder="1">
      <alignment vertical="center"/>
    </xf>
    <xf numFmtId="0" fontId="58" fillId="18" borderId="2" xfId="161" applyFont="1" applyFill="1" applyBorder="1" applyAlignment="1">
      <alignment horizontal="centerContinuous" vertical="center"/>
    </xf>
    <xf numFmtId="0" fontId="58" fillId="18" borderId="17" xfId="161" applyFont="1" applyFill="1" applyBorder="1" applyAlignment="1">
      <alignment horizontal="centerContinuous" vertical="center"/>
    </xf>
    <xf numFmtId="0" fontId="54" fillId="14" borderId="8" xfId="161" applyFont="1" applyFill="1" applyBorder="1">
      <alignment vertical="center"/>
    </xf>
    <xf numFmtId="0" fontId="54" fillId="14" borderId="12" xfId="161" applyFont="1" applyFill="1" applyBorder="1">
      <alignment vertical="center"/>
    </xf>
    <xf numFmtId="0" fontId="54" fillId="19" borderId="10" xfId="161" quotePrefix="1" applyFont="1" applyFill="1" applyBorder="1">
      <alignment vertical="center"/>
    </xf>
    <xf numFmtId="0" fontId="54" fillId="19" borderId="2" xfId="161" applyFont="1" applyFill="1" applyBorder="1">
      <alignment vertical="center"/>
    </xf>
    <xf numFmtId="0" fontId="54" fillId="19" borderId="2" xfId="161" applyFont="1" applyFill="1" applyBorder="1" applyAlignment="1">
      <alignment horizontal="center" vertical="center"/>
    </xf>
    <xf numFmtId="0" fontId="54" fillId="19" borderId="2" xfId="0" applyFont="1" applyFill="1" applyBorder="1">
      <alignment vertical="center"/>
    </xf>
    <xf numFmtId="0" fontId="54" fillId="0" borderId="10" xfId="161" quotePrefix="1" applyFont="1" applyBorder="1">
      <alignment vertical="center"/>
    </xf>
    <xf numFmtId="0" fontId="54" fillId="0" borderId="2" xfId="161" applyFont="1" applyBorder="1">
      <alignment vertical="center"/>
    </xf>
    <xf numFmtId="0" fontId="54" fillId="0" borderId="2" xfId="161" applyFont="1" applyBorder="1" applyAlignment="1">
      <alignment horizontal="center" vertical="center"/>
    </xf>
    <xf numFmtId="0" fontId="54" fillId="0" borderId="2" xfId="0" applyFont="1" applyBorder="1">
      <alignment vertical="center"/>
    </xf>
    <xf numFmtId="0" fontId="54" fillId="0" borderId="0" xfId="161" quotePrefix="1" applyFont="1">
      <alignment vertical="center"/>
    </xf>
    <xf numFmtId="0" fontId="54" fillId="0" borderId="0" xfId="161" applyFont="1">
      <alignment vertical="center"/>
    </xf>
    <xf numFmtId="0" fontId="54" fillId="0" borderId="0" xfId="161" applyFont="1" applyAlignment="1">
      <alignment horizontal="center" vertical="center"/>
    </xf>
    <xf numFmtId="0" fontId="54" fillId="0" borderId="0" xfId="0" applyFont="1">
      <alignment vertical="center"/>
    </xf>
    <xf numFmtId="0" fontId="54" fillId="19" borderId="17" xfId="0" applyFont="1" applyFill="1" applyBorder="1">
      <alignment vertical="center"/>
    </xf>
    <xf numFmtId="0" fontId="54" fillId="0" borderId="8" xfId="0" applyFont="1" applyBorder="1">
      <alignment vertical="center"/>
    </xf>
    <xf numFmtId="0" fontId="54" fillId="0" borderId="0" xfId="161" applyFont="1" applyAlignment="1">
      <alignment horizontal="centerContinuous" vertical="center"/>
    </xf>
    <xf numFmtId="0" fontId="54" fillId="0" borderId="0" xfId="161" applyFont="1" applyAlignment="1">
      <alignment horizontal="left" vertical="center"/>
    </xf>
    <xf numFmtId="0" fontId="54" fillId="0" borderId="17" xfId="0" applyFont="1" applyBorder="1">
      <alignment vertical="center"/>
    </xf>
    <xf numFmtId="0" fontId="55" fillId="0" borderId="0" xfId="161" applyFont="1" applyAlignment="1">
      <alignment horizontal="centerContinuous" vertical="center"/>
    </xf>
    <xf numFmtId="0" fontId="54" fillId="14" borderId="28" xfId="0" applyFont="1" applyFill="1" applyBorder="1">
      <alignment vertical="center"/>
    </xf>
    <xf numFmtId="0" fontId="54" fillId="14" borderId="31" xfId="0" applyFont="1" applyFill="1" applyBorder="1">
      <alignment vertical="center"/>
    </xf>
    <xf numFmtId="0" fontId="54" fillId="0" borderId="12" xfId="0" applyFont="1" applyBorder="1">
      <alignment vertical="center"/>
    </xf>
    <xf numFmtId="0" fontId="55" fillId="0" borderId="0" xfId="161" applyFont="1">
      <alignment vertical="center"/>
    </xf>
    <xf numFmtId="0" fontId="54" fillId="14" borderId="0" xfId="0" applyFont="1" applyFill="1" applyAlignment="1">
      <alignment horizontal="center" vertical="center"/>
    </xf>
    <xf numFmtId="0" fontId="21" fillId="10" borderId="19" xfId="46" applyFont="1" applyFill="1" applyBorder="1" applyAlignment="1">
      <alignment horizontal="centerContinuous"/>
    </xf>
    <xf numFmtId="0" fontId="21" fillId="10" borderId="16" xfId="46" applyFont="1" applyFill="1" applyBorder="1" applyAlignment="1">
      <alignment horizontal="centerContinuous"/>
    </xf>
    <xf numFmtId="0" fontId="21" fillId="10" borderId="21" xfId="46" applyFont="1" applyFill="1" applyBorder="1" applyAlignment="1">
      <alignment horizontal="centerContinuous"/>
    </xf>
    <xf numFmtId="0" fontId="58" fillId="14" borderId="11" xfId="161" quotePrefix="1" applyFont="1" applyFill="1" applyBorder="1" applyAlignment="1">
      <alignment horizontal="centerContinuous" vertical="center"/>
    </xf>
    <xf numFmtId="0" fontId="54" fillId="14" borderId="0" xfId="0" applyFont="1" applyFill="1" applyAlignment="1">
      <alignment vertical="center" wrapText="1"/>
    </xf>
    <xf numFmtId="0" fontId="55" fillId="14" borderId="0" xfId="161" applyFont="1" applyFill="1" applyAlignment="1">
      <alignment horizontal="center" vertical="center"/>
    </xf>
    <xf numFmtId="0" fontId="55" fillId="0" borderId="0" xfId="161" applyFont="1" applyAlignment="1">
      <alignment horizontal="left" vertical="center"/>
    </xf>
    <xf numFmtId="0" fontId="55" fillId="0" borderId="0" xfId="0" applyFont="1">
      <alignment vertical="center"/>
    </xf>
    <xf numFmtId="0" fontId="55" fillId="0" borderId="0" xfId="161" applyFont="1" applyAlignment="1">
      <alignment horizontal="center" vertical="center"/>
    </xf>
    <xf numFmtId="0" fontId="55" fillId="14" borderId="8" xfId="0" applyFont="1" applyFill="1" applyBorder="1">
      <alignment vertical="center"/>
    </xf>
    <xf numFmtId="0" fontId="55" fillId="0" borderId="8" xfId="161" applyFont="1" applyBorder="1">
      <alignment vertical="center"/>
    </xf>
    <xf numFmtId="0" fontId="55" fillId="0" borderId="8" xfId="0" applyFont="1" applyBorder="1">
      <alignment vertical="center"/>
    </xf>
    <xf numFmtId="0" fontId="55" fillId="0" borderId="8" xfId="161" applyFont="1" applyBorder="1" applyAlignment="1">
      <alignment horizontal="center" vertical="center"/>
    </xf>
    <xf numFmtId="0" fontId="55" fillId="0" borderId="0" xfId="0" applyFont="1" applyAlignment="1">
      <alignment horizontal="center" vertical="center"/>
    </xf>
    <xf numFmtId="0" fontId="54" fillId="0" borderId="0" xfId="161" quotePrefix="1" applyFont="1" applyAlignment="1">
      <alignment horizontal="centerContinuous" vertical="center"/>
    </xf>
    <xf numFmtId="0" fontId="59" fillId="14" borderId="2" xfId="161" applyFont="1" applyFill="1" applyBorder="1">
      <alignment vertical="center"/>
    </xf>
    <xf numFmtId="0" fontId="59" fillId="14" borderId="8" xfId="161" applyFont="1" applyFill="1" applyBorder="1">
      <alignment vertical="center"/>
    </xf>
    <xf numFmtId="0" fontId="54" fillId="0" borderId="6" xfId="0" applyFont="1" applyBorder="1">
      <alignment vertical="center"/>
    </xf>
    <xf numFmtId="0" fontId="54" fillId="14" borderId="2" xfId="161" applyFont="1" applyFill="1" applyBorder="1">
      <alignment vertical="center"/>
    </xf>
    <xf numFmtId="0" fontId="54" fillId="14" borderId="2" xfId="161" applyFont="1" applyFill="1" applyBorder="1" applyAlignment="1">
      <alignment horizontal="center" vertical="center"/>
    </xf>
    <xf numFmtId="0" fontId="54" fillId="14" borderId="17" xfId="0" applyFont="1" applyFill="1" applyBorder="1">
      <alignment vertical="center"/>
    </xf>
    <xf numFmtId="0" fontId="54" fillId="14" borderId="10" xfId="0" applyFont="1" applyFill="1" applyBorder="1">
      <alignment vertical="center"/>
    </xf>
    <xf numFmtId="0" fontId="55" fillId="14" borderId="3" xfId="161" applyFont="1" applyFill="1" applyBorder="1" applyAlignment="1">
      <alignment horizontal="center" vertical="center"/>
    </xf>
    <xf numFmtId="0" fontId="54" fillId="0" borderId="8" xfId="161" applyFont="1" applyBorder="1">
      <alignment vertical="center"/>
    </xf>
    <xf numFmtId="0" fontId="54" fillId="0" borderId="8" xfId="161" applyFont="1" applyBorder="1" applyAlignment="1">
      <alignment horizontal="center" vertical="center"/>
    </xf>
    <xf numFmtId="0" fontId="54" fillId="0" borderId="12" xfId="161" quotePrefix="1" applyFont="1" applyBorder="1">
      <alignment vertical="center"/>
    </xf>
    <xf numFmtId="0" fontId="54" fillId="0" borderId="12" xfId="161" applyFont="1" applyBorder="1">
      <alignment vertical="center"/>
    </xf>
    <xf numFmtId="0" fontId="54" fillId="0" borderId="12" xfId="161" applyFont="1" applyBorder="1" applyAlignment="1">
      <alignment horizontal="center" vertical="center"/>
    </xf>
    <xf numFmtId="0" fontId="54" fillId="0" borderId="8" xfId="161" quotePrefix="1" applyFont="1" applyBorder="1">
      <alignment vertical="center"/>
    </xf>
    <xf numFmtId="0" fontId="62" fillId="19" borderId="2" xfId="0" applyFont="1" applyFill="1" applyBorder="1" applyAlignment="1">
      <alignment horizontal="centerContinuous" vertical="center"/>
    </xf>
    <xf numFmtId="0" fontId="0" fillId="19" borderId="17" xfId="0" applyFill="1" applyBorder="1" applyAlignment="1">
      <alignment horizontal="centerContinuous" vertical="center"/>
    </xf>
    <xf numFmtId="0" fontId="0" fillId="14" borderId="2" xfId="0" applyFill="1" applyBorder="1" applyAlignment="1">
      <alignment horizontal="centerContinuous" vertical="center"/>
    </xf>
    <xf numFmtId="0" fontId="0" fillId="14" borderId="17" xfId="0" applyFill="1" applyBorder="1" applyAlignment="1">
      <alignment horizontal="centerContinuous" vertical="center"/>
    </xf>
    <xf numFmtId="0" fontId="0" fillId="14" borderId="2" xfId="0" applyFill="1" applyBorder="1">
      <alignment vertical="center"/>
    </xf>
    <xf numFmtId="0" fontId="74" fillId="0" borderId="0" xfId="161" applyFont="1">
      <alignment vertical="center"/>
    </xf>
    <xf numFmtId="0" fontId="74" fillId="0" borderId="0" xfId="0" applyFont="1">
      <alignment vertical="center"/>
    </xf>
    <xf numFmtId="0" fontId="74" fillId="14" borderId="0" xfId="0" applyFont="1" applyFill="1">
      <alignment vertical="center"/>
    </xf>
    <xf numFmtId="0" fontId="55" fillId="14" borderId="12" xfId="161" applyFont="1" applyFill="1" applyBorder="1">
      <alignment vertical="center"/>
    </xf>
    <xf numFmtId="0" fontId="21" fillId="10" borderId="18" xfId="46" applyFont="1" applyFill="1" applyBorder="1" applyAlignment="1">
      <alignment horizontal="centerContinuous"/>
    </xf>
    <xf numFmtId="0" fontId="54" fillId="14" borderId="0" xfId="0" applyFont="1" applyFill="1" applyAlignment="1">
      <alignment horizontal="left" vertical="center"/>
    </xf>
    <xf numFmtId="0" fontId="62" fillId="0" borderId="12" xfId="161" quotePrefix="1" applyFont="1" applyBorder="1" applyAlignment="1">
      <alignment horizontal="centerContinuous" vertical="center"/>
    </xf>
    <xf numFmtId="0" fontId="0" fillId="14" borderId="12" xfId="0" applyFill="1" applyBorder="1">
      <alignment vertical="center"/>
    </xf>
    <xf numFmtId="0" fontId="62" fillId="0" borderId="10" xfId="161" quotePrefix="1" applyFont="1" applyBorder="1">
      <alignment vertical="center"/>
    </xf>
    <xf numFmtId="0" fontId="62" fillId="0" borderId="2" xfId="161" quotePrefix="1" applyFont="1" applyBorder="1">
      <alignment vertical="center"/>
    </xf>
    <xf numFmtId="0" fontId="54" fillId="0" borderId="0" xfId="161" quotePrefix="1" applyFont="1" applyAlignment="1">
      <alignment horizontal="left" vertical="center"/>
    </xf>
    <xf numFmtId="0" fontId="54" fillId="0" borderId="25" xfId="161" applyFont="1" applyBorder="1" applyAlignment="1">
      <alignment horizontal="center" vertical="center"/>
    </xf>
    <xf numFmtId="0" fontId="54" fillId="0" borderId="2" xfId="161" quotePrefix="1" applyFont="1" applyBorder="1">
      <alignment vertical="center"/>
    </xf>
    <xf numFmtId="14" fontId="54" fillId="0" borderId="10" xfId="161" quotePrefix="1" applyNumberFormat="1" applyFont="1" applyBorder="1">
      <alignment vertical="center"/>
    </xf>
    <xf numFmtId="0" fontId="54" fillId="0" borderId="0" xfId="0" applyFont="1" applyAlignment="1">
      <alignment vertical="center" wrapText="1"/>
    </xf>
    <xf numFmtId="0" fontId="54" fillId="0" borderId="0" xfId="0" applyFont="1" applyAlignment="1">
      <alignment horizontal="center" vertical="center"/>
    </xf>
    <xf numFmtId="0" fontId="55" fillId="0" borderId="0" xfId="161" quotePrefix="1" applyFont="1">
      <alignment vertical="center"/>
    </xf>
    <xf numFmtId="0" fontId="55" fillId="0" borderId="2" xfId="161" applyFont="1" applyBorder="1">
      <alignment vertical="center"/>
    </xf>
    <xf numFmtId="0" fontId="59" fillId="14" borderId="6" xfId="180" quotePrefix="1" applyFont="1" applyFill="1" applyBorder="1">
      <alignment vertical="center"/>
    </xf>
    <xf numFmtId="0" fontId="54" fillId="14" borderId="0" xfId="180" applyFont="1" applyFill="1">
      <alignment vertical="center"/>
    </xf>
    <xf numFmtId="0" fontId="55" fillId="19" borderId="2" xfId="180" applyFont="1" applyFill="1" applyBorder="1" applyAlignment="1">
      <alignment horizontal="centerContinuous" vertical="center"/>
    </xf>
    <xf numFmtId="0" fontId="62" fillId="19" borderId="2" xfId="180" applyFont="1" applyFill="1" applyBorder="1" applyAlignment="1">
      <alignment horizontal="centerContinuous" vertical="center"/>
    </xf>
    <xf numFmtId="0" fontId="55" fillId="19" borderId="10" xfId="180" applyFont="1" applyFill="1" applyBorder="1" applyAlignment="1">
      <alignment horizontal="centerContinuous" vertical="center"/>
    </xf>
    <xf numFmtId="0" fontId="54" fillId="19" borderId="2" xfId="180" applyFont="1" applyFill="1" applyBorder="1" applyAlignment="1">
      <alignment horizontal="centerContinuous" vertical="center"/>
    </xf>
    <xf numFmtId="0" fontId="54" fillId="0" borderId="0" xfId="180" applyFont="1">
      <alignment vertical="center"/>
    </xf>
    <xf numFmtId="0" fontId="66" fillId="14" borderId="0" xfId="180" applyFont="1" applyFill="1">
      <alignment vertical="center"/>
    </xf>
    <xf numFmtId="0" fontId="78" fillId="14" borderId="2" xfId="180" quotePrefix="1" applyFont="1" applyFill="1" applyBorder="1">
      <alignment vertical="center"/>
    </xf>
    <xf numFmtId="0" fontId="54" fillId="14" borderId="10" xfId="180" applyFont="1" applyFill="1" applyBorder="1" applyAlignment="1">
      <alignment horizontal="centerContinuous" vertical="center"/>
    </xf>
    <xf numFmtId="0" fontId="54" fillId="14" borderId="2" xfId="180" applyFont="1" applyFill="1" applyBorder="1" applyAlignment="1">
      <alignment horizontal="centerContinuous" vertical="center"/>
    </xf>
    <xf numFmtId="0" fontId="75" fillId="14" borderId="10" xfId="180" applyFont="1" applyFill="1" applyBorder="1" applyAlignment="1">
      <alignment horizontal="center" vertical="center"/>
    </xf>
    <xf numFmtId="0" fontId="54" fillId="14" borderId="2" xfId="180" applyFont="1" applyFill="1" applyBorder="1" applyAlignment="1">
      <alignment horizontal="left" vertical="center"/>
    </xf>
    <xf numFmtId="0" fontId="0" fillId="14" borderId="17" xfId="0" applyFill="1" applyBorder="1">
      <alignment vertical="center"/>
    </xf>
    <xf numFmtId="0" fontId="59" fillId="14" borderId="11" xfId="180" applyFont="1" applyFill="1" applyBorder="1">
      <alignment vertical="center"/>
    </xf>
    <xf numFmtId="0" fontId="0" fillId="19" borderId="2" xfId="0" applyFill="1" applyBorder="1" applyAlignment="1">
      <alignment horizontal="centerContinuous" vertical="center"/>
    </xf>
    <xf numFmtId="0" fontId="75" fillId="14" borderId="2" xfId="180" applyFont="1" applyFill="1" applyBorder="1" applyAlignment="1">
      <alignment horizontal="centerContinuous" vertical="center"/>
    </xf>
    <xf numFmtId="0" fontId="54" fillId="14" borderId="0" xfId="180" applyFont="1" applyFill="1" applyAlignment="1">
      <alignment horizontal="center" vertical="center"/>
    </xf>
    <xf numFmtId="0" fontId="54" fillId="14" borderId="0" xfId="180" quotePrefix="1" applyFont="1" applyFill="1">
      <alignment vertical="center"/>
    </xf>
    <xf numFmtId="14" fontId="62" fillId="0" borderId="10" xfId="161" quotePrefix="1" applyNumberFormat="1" applyFont="1" applyBorder="1" applyAlignment="1">
      <alignment horizontal="centerContinuous" vertical="center"/>
    </xf>
    <xf numFmtId="14" fontId="62" fillId="0" borderId="2" xfId="161" quotePrefix="1" applyNumberFormat="1" applyFont="1" applyBorder="1" applyAlignment="1">
      <alignment horizontal="centerContinuous" vertical="center"/>
    </xf>
    <xf numFmtId="0" fontId="62" fillId="0" borderId="2" xfId="161" quotePrefix="1" applyFont="1" applyBorder="1" applyAlignment="1">
      <alignment horizontal="centerContinuous" vertical="center"/>
    </xf>
    <xf numFmtId="0" fontId="62" fillId="0" borderId="17" xfId="161" quotePrefix="1" applyFont="1" applyBorder="1" applyAlignment="1">
      <alignment horizontal="centerContinuous" vertical="center"/>
    </xf>
    <xf numFmtId="0" fontId="62" fillId="0" borderId="17" xfId="161" applyFont="1" applyBorder="1" applyAlignment="1">
      <alignment horizontal="centerContinuous" vertical="center"/>
    </xf>
    <xf numFmtId="0" fontId="0" fillId="14" borderId="11" xfId="0" applyFill="1" applyBorder="1">
      <alignment vertical="center"/>
    </xf>
    <xf numFmtId="0" fontId="0" fillId="14" borderId="14" xfId="0" applyFill="1" applyBorder="1">
      <alignment vertical="center"/>
    </xf>
    <xf numFmtId="0" fontId="21" fillId="10" borderId="7" xfId="49" applyFont="1" applyFill="1" applyBorder="1" applyAlignment="1">
      <alignment horizontal="right" vertical="center"/>
    </xf>
    <xf numFmtId="0" fontId="0" fillId="14" borderId="2" xfId="0" applyFill="1" applyBorder="1" applyAlignment="1">
      <alignment vertical="center" wrapText="1"/>
    </xf>
    <xf numFmtId="0" fontId="59" fillId="14" borderId="14" xfId="161" applyFont="1" applyFill="1" applyBorder="1">
      <alignment vertical="center"/>
    </xf>
    <xf numFmtId="0" fontId="80" fillId="0" borderId="0" xfId="0" applyFont="1">
      <alignment vertical="center"/>
    </xf>
    <xf numFmtId="0" fontId="21" fillId="10" borderId="26" xfId="46" applyFont="1" applyFill="1" applyBorder="1" applyAlignment="1">
      <alignment horizontal="centerContinuous"/>
    </xf>
    <xf numFmtId="0" fontId="54" fillId="0" borderId="23" xfId="161" applyFont="1" applyBorder="1" applyAlignment="1">
      <alignment horizontal="center" vertical="center"/>
    </xf>
    <xf numFmtId="0" fontId="64" fillId="0" borderId="2" xfId="161" applyFont="1" applyBorder="1" applyAlignment="1">
      <alignment horizontal="centerContinuous" vertical="center"/>
    </xf>
    <xf numFmtId="0" fontId="64" fillId="0" borderId="17" xfId="161" applyFont="1" applyBorder="1" applyAlignment="1">
      <alignment horizontal="centerContinuous" vertical="center"/>
    </xf>
    <xf numFmtId="0" fontId="70" fillId="0" borderId="15" xfId="161" applyFont="1" applyBorder="1" applyAlignment="1">
      <alignment horizontal="left" vertical="center"/>
    </xf>
    <xf numFmtId="0" fontId="70" fillId="0" borderId="12" xfId="161" applyFont="1" applyBorder="1" applyAlignment="1">
      <alignment horizontal="left" vertical="center"/>
    </xf>
    <xf numFmtId="0" fontId="70" fillId="0" borderId="12" xfId="0" applyFont="1" applyBorder="1">
      <alignment vertical="center"/>
    </xf>
    <xf numFmtId="0" fontId="70" fillId="0" borderId="12" xfId="161" applyFont="1" applyBorder="1" applyAlignment="1">
      <alignment horizontal="center" vertical="center"/>
    </xf>
    <xf numFmtId="0" fontId="70" fillId="0" borderId="12" xfId="161" applyFont="1" applyBorder="1">
      <alignment vertical="center"/>
    </xf>
    <xf numFmtId="0" fontId="70" fillId="0" borderId="12" xfId="0" applyFont="1" applyBorder="1" applyAlignment="1">
      <alignment horizontal="center" vertical="center"/>
    </xf>
    <xf numFmtId="0" fontId="70" fillId="0" borderId="7" xfId="161" applyFont="1" applyBorder="1" applyAlignment="1">
      <alignment horizontal="left" vertical="center"/>
    </xf>
    <xf numFmtId="0" fontId="70" fillId="0" borderId="8" xfId="161" applyFont="1" applyBorder="1" applyAlignment="1">
      <alignment horizontal="left" vertical="center"/>
    </xf>
    <xf numFmtId="0" fontId="70" fillId="0" borderId="8" xfId="0" applyFont="1" applyBorder="1">
      <alignment vertical="center"/>
    </xf>
    <xf numFmtId="0" fontId="70" fillId="0" borderId="8" xfId="161" applyFont="1" applyBorder="1" applyAlignment="1">
      <alignment horizontal="center" vertical="center"/>
    </xf>
    <xf numFmtId="0" fontId="70" fillId="0" borderId="8" xfId="161" applyFont="1" applyBorder="1">
      <alignment vertical="center"/>
    </xf>
    <xf numFmtId="0" fontId="70" fillId="0" borderId="8" xfId="0" applyFont="1" applyBorder="1" applyAlignment="1">
      <alignment horizontal="center" vertical="center"/>
    </xf>
    <xf numFmtId="0" fontId="21" fillId="10" borderId="0" xfId="46" applyFont="1" applyFill="1" applyAlignment="1">
      <alignment horizontal="centerContinuous"/>
    </xf>
    <xf numFmtId="0" fontId="59" fillId="19" borderId="10" xfId="180" applyFont="1" applyFill="1" applyBorder="1">
      <alignment vertical="center"/>
    </xf>
    <xf numFmtId="0" fontId="59" fillId="19" borderId="2" xfId="180" applyFont="1" applyFill="1" applyBorder="1">
      <alignment vertical="center"/>
    </xf>
    <xf numFmtId="0" fontId="54" fillId="19" borderId="2" xfId="180" applyFont="1" applyFill="1" applyBorder="1">
      <alignment vertical="center"/>
    </xf>
    <xf numFmtId="0" fontId="54" fillId="19" borderId="2" xfId="180" applyFont="1" applyFill="1" applyBorder="1" applyAlignment="1">
      <alignment horizontal="center" vertical="center"/>
    </xf>
    <xf numFmtId="0" fontId="0" fillId="19" borderId="2" xfId="0" applyFill="1" applyBorder="1">
      <alignment vertical="center"/>
    </xf>
    <xf numFmtId="0" fontId="54" fillId="19" borderId="2" xfId="180" quotePrefix="1" applyFont="1" applyFill="1" applyBorder="1">
      <alignment vertical="center"/>
    </xf>
    <xf numFmtId="0" fontId="66" fillId="19" borderId="2" xfId="161" applyFont="1" applyFill="1" applyBorder="1">
      <alignment vertical="center"/>
    </xf>
    <xf numFmtId="0" fontId="54" fillId="19" borderId="2" xfId="0" applyFont="1" applyFill="1" applyBorder="1" applyAlignment="1">
      <alignment vertical="center" wrapText="1"/>
    </xf>
    <xf numFmtId="0" fontId="54" fillId="19" borderId="2" xfId="161" quotePrefix="1" applyFont="1" applyFill="1" applyBorder="1">
      <alignment vertical="center"/>
    </xf>
    <xf numFmtId="0" fontId="59" fillId="19" borderId="17" xfId="180" applyFont="1" applyFill="1" applyBorder="1">
      <alignment vertical="center"/>
    </xf>
    <xf numFmtId="0" fontId="21" fillId="0" borderId="2" xfId="0" applyFont="1" applyBorder="1" applyAlignment="1">
      <alignment horizontal="center" vertical="top"/>
    </xf>
    <xf numFmtId="0" fontId="21" fillId="22" borderId="2" xfId="0" applyFont="1" applyFill="1" applyBorder="1" applyAlignment="1">
      <alignment horizontal="center" vertical="top"/>
    </xf>
    <xf numFmtId="0" fontId="21" fillId="23" borderId="2" xfId="0" applyFont="1" applyFill="1" applyBorder="1" applyAlignment="1">
      <alignment horizontal="center" vertical="top"/>
    </xf>
    <xf numFmtId="0" fontId="54" fillId="0" borderId="15" xfId="0" applyFont="1" applyBorder="1">
      <alignment vertical="center"/>
    </xf>
    <xf numFmtId="0" fontId="82" fillId="0" borderId="0" xfId="161" applyFont="1">
      <alignment vertical="center"/>
    </xf>
    <xf numFmtId="0" fontId="82" fillId="0" borderId="0" xfId="0" applyFont="1">
      <alignment vertical="center"/>
    </xf>
    <xf numFmtId="0" fontId="82" fillId="0" borderId="0" xfId="161" applyFont="1" applyAlignment="1">
      <alignment horizontal="center" vertical="center"/>
    </xf>
    <xf numFmtId="0" fontId="70" fillId="0" borderId="0" xfId="161" applyFont="1" applyAlignment="1">
      <alignment horizontal="left" vertical="center"/>
    </xf>
    <xf numFmtId="0" fontId="70" fillId="0" borderId="0" xfId="0" applyFont="1">
      <alignment vertical="center"/>
    </xf>
    <xf numFmtId="0" fontId="70" fillId="0" borderId="0" xfId="161" applyFont="1" applyAlignment="1">
      <alignment horizontal="center" vertical="center"/>
    </xf>
    <xf numFmtId="0" fontId="70" fillId="0" borderId="0" xfId="161" applyFont="1">
      <alignment vertical="center"/>
    </xf>
    <xf numFmtId="0" fontId="70" fillId="0" borderId="0" xfId="0" applyFont="1" applyAlignment="1">
      <alignment horizontal="center" vertical="center"/>
    </xf>
    <xf numFmtId="0" fontId="54" fillId="0" borderId="0" xfId="0" applyFont="1" applyAlignment="1">
      <alignment horizontal="left" vertical="center"/>
    </xf>
    <xf numFmtId="0" fontId="71" fillId="0" borderId="0" xfId="161" applyFont="1" applyAlignment="1">
      <alignment horizontal="left" vertical="center"/>
    </xf>
    <xf numFmtId="0" fontId="71" fillId="0" borderId="0" xfId="0" applyFont="1">
      <alignment vertical="center"/>
    </xf>
    <xf numFmtId="0" fontId="54" fillId="14" borderId="6" xfId="161" quotePrefix="1" applyFont="1" applyFill="1" applyBorder="1">
      <alignment vertical="center"/>
    </xf>
    <xf numFmtId="0" fontId="80" fillId="14" borderId="6" xfId="161" quotePrefix="1" applyFont="1" applyFill="1" applyBorder="1">
      <alignment vertical="center"/>
    </xf>
    <xf numFmtId="0" fontId="80" fillId="14" borderId="0" xfId="161" applyFont="1" applyFill="1">
      <alignment vertical="center"/>
    </xf>
    <xf numFmtId="0" fontId="77" fillId="14" borderId="0" xfId="0" applyFont="1" applyFill="1">
      <alignment vertical="center"/>
    </xf>
    <xf numFmtId="0" fontId="55" fillId="24" borderId="15" xfId="161" applyFont="1" applyFill="1" applyBorder="1" applyAlignment="1">
      <alignment horizontal="centerContinuous" vertical="center"/>
    </xf>
    <xf numFmtId="0" fontId="55" fillId="24" borderId="12" xfId="161" applyFont="1" applyFill="1" applyBorder="1" applyAlignment="1">
      <alignment horizontal="centerContinuous" vertical="center"/>
    </xf>
    <xf numFmtId="0" fontId="55" fillId="24" borderId="13" xfId="161" applyFont="1" applyFill="1" applyBorder="1" applyAlignment="1">
      <alignment horizontal="centerContinuous" vertical="center"/>
    </xf>
    <xf numFmtId="0" fontId="55" fillId="24" borderId="15" xfId="161" quotePrefix="1" applyFont="1" applyFill="1" applyBorder="1" applyAlignment="1">
      <alignment horizontal="centerContinuous" vertical="center"/>
    </xf>
    <xf numFmtId="0" fontId="55" fillId="24" borderId="12" xfId="161" quotePrefix="1" applyFont="1" applyFill="1" applyBorder="1" applyAlignment="1">
      <alignment horizontal="centerContinuous" vertical="center"/>
    </xf>
    <xf numFmtId="0" fontId="62" fillId="24" borderId="15" xfId="161" applyFont="1" applyFill="1" applyBorder="1" applyAlignment="1">
      <alignment horizontal="centerContinuous" vertical="center"/>
    </xf>
    <xf numFmtId="0" fontId="62" fillId="24" borderId="12" xfId="161" applyFont="1" applyFill="1" applyBorder="1" applyAlignment="1">
      <alignment horizontal="centerContinuous" vertical="center"/>
    </xf>
    <xf numFmtId="0" fontId="62" fillId="24" borderId="13" xfId="161" applyFont="1" applyFill="1" applyBorder="1" applyAlignment="1">
      <alignment horizontal="centerContinuous" vertical="center"/>
    </xf>
    <xf numFmtId="0" fontId="55" fillId="24" borderId="7" xfId="161" quotePrefix="1" applyFont="1" applyFill="1" applyBorder="1" applyAlignment="1">
      <alignment horizontal="centerContinuous" vertical="center"/>
    </xf>
    <xf numFmtId="0" fontId="55" fillId="24" borderId="8" xfId="161" applyFont="1" applyFill="1" applyBorder="1" applyAlignment="1">
      <alignment horizontal="centerContinuous" vertical="center"/>
    </xf>
    <xf numFmtId="0" fontId="55" fillId="24" borderId="14" xfId="161" applyFont="1" applyFill="1" applyBorder="1" applyAlignment="1">
      <alignment horizontal="centerContinuous" vertical="center"/>
    </xf>
    <xf numFmtId="0" fontId="55" fillId="24" borderId="8" xfId="161" quotePrefix="1" applyFont="1" applyFill="1" applyBorder="1" applyAlignment="1">
      <alignment horizontal="centerContinuous" vertical="center"/>
    </xf>
    <xf numFmtId="0" fontId="62" fillId="24" borderId="7" xfId="161" quotePrefix="1" applyFont="1" applyFill="1" applyBorder="1" applyAlignment="1">
      <alignment horizontal="centerContinuous" vertical="center"/>
    </xf>
    <xf numFmtId="0" fontId="62" fillId="24" borderId="8" xfId="161" quotePrefix="1" applyFont="1" applyFill="1" applyBorder="1" applyAlignment="1">
      <alignment horizontal="centerContinuous" vertical="center"/>
    </xf>
    <xf numFmtId="0" fontId="62" fillId="24" borderId="8" xfId="161" applyFont="1" applyFill="1" applyBorder="1" applyAlignment="1">
      <alignment horizontal="centerContinuous" vertical="center"/>
    </xf>
    <xf numFmtId="0" fontId="62" fillId="24" borderId="14" xfId="161" applyFont="1" applyFill="1" applyBorder="1" applyAlignment="1">
      <alignment horizontal="centerContinuous" vertical="center"/>
    </xf>
    <xf numFmtId="0" fontId="62" fillId="0" borderId="10" xfId="161" quotePrefix="1" applyFont="1" applyBorder="1" applyAlignment="1">
      <alignment horizontal="left" vertical="center"/>
    </xf>
    <xf numFmtId="0" fontId="62" fillId="0" borderId="2" xfId="161" quotePrefix="1" applyFont="1" applyBorder="1" applyAlignment="1">
      <alignment horizontal="left" vertical="center"/>
    </xf>
    <xf numFmtId="0" fontId="54" fillId="25" borderId="2" xfId="161" quotePrefix="1" applyFont="1" applyFill="1" applyBorder="1">
      <alignment vertical="center"/>
    </xf>
    <xf numFmtId="0" fontId="54" fillId="25" borderId="2" xfId="161" applyFont="1" applyFill="1" applyBorder="1">
      <alignment vertical="center"/>
    </xf>
    <xf numFmtId="0" fontId="55" fillId="25" borderId="2" xfId="0" applyFont="1" applyFill="1" applyBorder="1">
      <alignment vertical="center"/>
    </xf>
    <xf numFmtId="0" fontId="54" fillId="25" borderId="2" xfId="0" quotePrefix="1" applyFont="1" applyFill="1" applyBorder="1">
      <alignment vertical="center"/>
    </xf>
    <xf numFmtId="0" fontId="54" fillId="25" borderId="2" xfId="0" applyFont="1" applyFill="1" applyBorder="1">
      <alignment vertical="center"/>
    </xf>
    <xf numFmtId="0" fontId="54" fillId="25" borderId="2" xfId="0" applyFont="1" applyFill="1" applyBorder="1" applyAlignment="1">
      <alignment horizontal="center" vertical="center"/>
    </xf>
    <xf numFmtId="0" fontId="54" fillId="25" borderId="2" xfId="0" applyFont="1" applyFill="1" applyBorder="1" applyAlignment="1">
      <alignment horizontal="left" vertical="center"/>
    </xf>
    <xf numFmtId="0" fontId="54" fillId="25" borderId="2" xfId="0" applyFont="1" applyFill="1" applyBorder="1" applyAlignment="1">
      <alignment vertical="center" wrapText="1"/>
    </xf>
    <xf numFmtId="0" fontId="0" fillId="25" borderId="2" xfId="0" applyFill="1" applyBorder="1">
      <alignment vertical="center"/>
    </xf>
    <xf numFmtId="0" fontId="80" fillId="25" borderId="2" xfId="0" applyFont="1" applyFill="1" applyBorder="1">
      <alignment vertical="center"/>
    </xf>
    <xf numFmtId="0" fontId="81" fillId="14" borderId="0" xfId="0" applyFont="1" applyFill="1">
      <alignment vertical="center"/>
    </xf>
    <xf numFmtId="0" fontId="55" fillId="21" borderId="15" xfId="161" applyFont="1" applyFill="1" applyBorder="1" applyAlignment="1">
      <alignment horizontal="centerContinuous" vertical="center"/>
    </xf>
    <xf numFmtId="0" fontId="55" fillId="21" borderId="12" xfId="161" applyFont="1" applyFill="1" applyBorder="1" applyAlignment="1">
      <alignment horizontal="centerContinuous" vertical="center"/>
    </xf>
    <xf numFmtId="0" fontId="55" fillId="21" borderId="13" xfId="161" applyFont="1" applyFill="1" applyBorder="1" applyAlignment="1">
      <alignment horizontal="centerContinuous" vertical="center"/>
    </xf>
    <xf numFmtId="0" fontId="55" fillId="21" borderId="15" xfId="161" quotePrefix="1" applyFont="1" applyFill="1" applyBorder="1" applyAlignment="1">
      <alignment horizontal="centerContinuous" vertical="center"/>
    </xf>
    <xf numFmtId="0" fontId="55" fillId="21" borderId="12" xfId="161" quotePrefix="1" applyFont="1" applyFill="1" applyBorder="1" applyAlignment="1">
      <alignment horizontal="centerContinuous" vertical="center"/>
    </xf>
    <xf numFmtId="0" fontId="62" fillId="21" borderId="15" xfId="161" applyFont="1" applyFill="1" applyBorder="1" applyAlignment="1">
      <alignment horizontal="centerContinuous" vertical="center"/>
    </xf>
    <xf numFmtId="0" fontId="62" fillId="21" borderId="12" xfId="161" applyFont="1" applyFill="1" applyBorder="1" applyAlignment="1">
      <alignment horizontal="centerContinuous" vertical="center"/>
    </xf>
    <xf numFmtId="0" fontId="62" fillId="21" borderId="13" xfId="161" applyFont="1" applyFill="1" applyBorder="1" applyAlignment="1">
      <alignment horizontal="centerContinuous" vertical="center"/>
    </xf>
    <xf numFmtId="0" fontId="62" fillId="0" borderId="10" xfId="161" quotePrefix="1" applyFont="1" applyBorder="1" applyAlignment="1">
      <alignment horizontal="centerContinuous" vertical="center"/>
    </xf>
    <xf numFmtId="0" fontId="55" fillId="26" borderId="15" xfId="161" applyFont="1" applyFill="1" applyBorder="1" applyAlignment="1">
      <alignment horizontal="centerContinuous" vertical="center"/>
    </xf>
    <xf numFmtId="0" fontId="55" fillId="26" borderId="12" xfId="161" applyFont="1" applyFill="1" applyBorder="1" applyAlignment="1">
      <alignment horizontal="centerContinuous" vertical="center"/>
    </xf>
    <xf numFmtId="0" fontId="55" fillId="26" borderId="13" xfId="161" applyFont="1" applyFill="1" applyBorder="1" applyAlignment="1">
      <alignment horizontal="centerContinuous" vertical="center"/>
    </xf>
    <xf numFmtId="0" fontId="55" fillId="26" borderId="15" xfId="161" quotePrefix="1" applyFont="1" applyFill="1" applyBorder="1" applyAlignment="1">
      <alignment horizontal="centerContinuous" vertical="center"/>
    </xf>
    <xf numFmtId="0" fontId="55" fillId="26" borderId="12" xfId="161" quotePrefix="1" applyFont="1" applyFill="1" applyBorder="1" applyAlignment="1">
      <alignment horizontal="centerContinuous" vertical="center"/>
    </xf>
    <xf numFmtId="0" fontId="62" fillId="26" borderId="15" xfId="161" applyFont="1" applyFill="1" applyBorder="1" applyAlignment="1">
      <alignment horizontal="centerContinuous" vertical="center"/>
    </xf>
    <xf numFmtId="0" fontId="62" fillId="26" borderId="12" xfId="161" applyFont="1" applyFill="1" applyBorder="1" applyAlignment="1">
      <alignment horizontal="centerContinuous" vertical="center"/>
    </xf>
    <xf numFmtId="0" fontId="62" fillId="26" borderId="13" xfId="161" applyFont="1" applyFill="1" applyBorder="1" applyAlignment="1">
      <alignment horizontal="centerContinuous" vertical="center"/>
    </xf>
    <xf numFmtId="0" fontId="62" fillId="26" borderId="12" xfId="161" quotePrefix="1" applyFont="1" applyFill="1" applyBorder="1" applyAlignment="1">
      <alignment horizontal="centerContinuous" vertical="center"/>
    </xf>
    <xf numFmtId="183" fontId="62" fillId="0" borderId="2" xfId="161" quotePrefix="1" applyNumberFormat="1" applyFont="1" applyBorder="1" applyAlignment="1">
      <alignment horizontal="right" vertical="center"/>
    </xf>
    <xf numFmtId="0" fontId="62" fillId="26" borderId="15" xfId="161" quotePrefix="1" applyFont="1" applyFill="1" applyBorder="1" applyAlignment="1">
      <alignment horizontal="centerContinuous" vertical="center"/>
    </xf>
    <xf numFmtId="0" fontId="89" fillId="0" borderId="0" xfId="0" applyFont="1">
      <alignment vertical="center"/>
    </xf>
    <xf numFmtId="0" fontId="74" fillId="14" borderId="8" xfId="0" applyFont="1" applyFill="1" applyBorder="1">
      <alignment vertical="center"/>
    </xf>
    <xf numFmtId="0" fontId="54" fillId="14" borderId="6" xfId="180" applyFont="1" applyFill="1" applyBorder="1">
      <alignment vertical="center"/>
    </xf>
    <xf numFmtId="0" fontId="54" fillId="14" borderId="2" xfId="180" quotePrefix="1" applyFont="1" applyFill="1" applyBorder="1">
      <alignment vertical="center"/>
    </xf>
    <xf numFmtId="0" fontId="54" fillId="14" borderId="2" xfId="180" applyFont="1" applyFill="1" applyBorder="1">
      <alignment vertical="center"/>
    </xf>
    <xf numFmtId="0" fontId="54" fillId="14" borderId="2" xfId="180" applyFont="1" applyFill="1" applyBorder="1" applyAlignment="1">
      <alignment horizontal="center" vertical="center"/>
    </xf>
    <xf numFmtId="0" fontId="55" fillId="14" borderId="3" xfId="180" applyFont="1" applyFill="1" applyBorder="1" applyAlignment="1">
      <alignment horizontal="center" vertical="center"/>
    </xf>
    <xf numFmtId="0" fontId="54" fillId="14" borderId="3" xfId="180" applyFont="1" applyFill="1" applyBorder="1" applyAlignment="1">
      <alignment horizontal="center" vertical="center"/>
    </xf>
    <xf numFmtId="0" fontId="65" fillId="14" borderId="3" xfId="180" applyFont="1" applyFill="1" applyBorder="1" applyAlignment="1">
      <alignment horizontal="center" vertical="center"/>
    </xf>
    <xf numFmtId="0" fontId="54" fillId="0" borderId="28" xfId="0" applyFont="1" applyBorder="1">
      <alignment vertical="center"/>
    </xf>
    <xf numFmtId="0" fontId="54" fillId="14" borderId="28" xfId="161" applyFont="1" applyFill="1" applyBorder="1">
      <alignment vertical="center"/>
    </xf>
    <xf numFmtId="0" fontId="54" fillId="14" borderId="29" xfId="161" applyFont="1" applyFill="1" applyBorder="1">
      <alignment vertical="center"/>
    </xf>
    <xf numFmtId="0" fontId="55" fillId="14" borderId="33" xfId="161" applyFont="1" applyFill="1" applyBorder="1">
      <alignment vertical="center"/>
    </xf>
    <xf numFmtId="0" fontId="54" fillId="14" borderId="34" xfId="161" applyFont="1" applyFill="1" applyBorder="1">
      <alignment vertical="center"/>
    </xf>
    <xf numFmtId="0" fontId="55" fillId="14" borderId="30" xfId="161" applyFont="1" applyFill="1" applyBorder="1">
      <alignment vertical="center"/>
    </xf>
    <xf numFmtId="0" fontId="54" fillId="14" borderId="31" xfId="161" applyFont="1" applyFill="1" applyBorder="1">
      <alignment vertical="center"/>
    </xf>
    <xf numFmtId="0" fontId="54" fillId="0" borderId="31" xfId="0" applyFont="1" applyBorder="1">
      <alignment vertical="center"/>
    </xf>
    <xf numFmtId="0" fontId="0" fillId="14" borderId="31" xfId="0" applyFill="1" applyBorder="1">
      <alignment vertical="center"/>
    </xf>
    <xf numFmtId="0" fontId="55" fillId="0" borderId="31" xfId="161" applyFont="1" applyBorder="1">
      <alignment vertical="center"/>
    </xf>
    <xf numFmtId="0" fontId="54" fillId="0" borderId="31" xfId="161" applyFont="1" applyBorder="1">
      <alignment vertical="center"/>
    </xf>
    <xf numFmtId="0" fontId="54" fillId="0" borderId="31" xfId="0" applyFont="1" applyBorder="1" applyAlignment="1">
      <alignment vertical="center" wrapText="1"/>
    </xf>
    <xf numFmtId="0" fontId="54" fillId="0" borderId="31" xfId="161" quotePrefix="1" applyFont="1" applyBorder="1">
      <alignment vertical="center"/>
    </xf>
    <xf numFmtId="0" fontId="54" fillId="0" borderId="31" xfId="161" applyFont="1" applyBorder="1" applyAlignment="1">
      <alignment horizontal="center" vertical="center"/>
    </xf>
    <xf numFmtId="0" fontId="54" fillId="14" borderId="32" xfId="161" applyFont="1" applyFill="1" applyBorder="1">
      <alignment vertical="center"/>
    </xf>
    <xf numFmtId="0" fontId="54" fillId="0" borderId="28" xfId="161" quotePrefix="1" applyFont="1" applyBorder="1">
      <alignment vertical="center"/>
    </xf>
    <xf numFmtId="0" fontId="54" fillId="0" borderId="28" xfId="161" applyFont="1" applyBorder="1">
      <alignment vertical="center"/>
    </xf>
    <xf numFmtId="0" fontId="54" fillId="0" borderId="28" xfId="161" applyFont="1" applyBorder="1" applyAlignment="1">
      <alignment horizontal="center" vertical="center"/>
    </xf>
    <xf numFmtId="0" fontId="0" fillId="14" borderId="28" xfId="0" applyFill="1" applyBorder="1">
      <alignment vertical="center"/>
    </xf>
    <xf numFmtId="0" fontId="54" fillId="14" borderId="33" xfId="0" applyFont="1" applyFill="1" applyBorder="1">
      <alignment vertical="center"/>
    </xf>
    <xf numFmtId="0" fontId="54" fillId="0" borderId="34" xfId="161" applyFont="1" applyBorder="1">
      <alignment vertical="center"/>
    </xf>
    <xf numFmtId="0" fontId="65" fillId="0" borderId="33" xfId="180" applyFont="1" applyBorder="1" applyAlignment="1">
      <alignment vertical="top"/>
    </xf>
    <xf numFmtId="0" fontId="54" fillId="0" borderId="0" xfId="180" applyFont="1" applyAlignment="1">
      <alignment vertical="top"/>
    </xf>
    <xf numFmtId="0" fontId="54" fillId="14" borderId="34" xfId="180" applyFont="1" applyFill="1" applyBorder="1">
      <alignment vertical="center"/>
    </xf>
    <xf numFmtId="0" fontId="54" fillId="14" borderId="33" xfId="161" applyFont="1" applyFill="1" applyBorder="1" applyAlignment="1">
      <alignment horizontal="left" vertical="center"/>
    </xf>
    <xf numFmtId="0" fontId="54" fillId="14" borderId="30" xfId="161" applyFont="1" applyFill="1" applyBorder="1" applyAlignment="1">
      <alignment horizontal="left" vertical="center"/>
    </xf>
    <xf numFmtId="0" fontId="54" fillId="14" borderId="31" xfId="161" applyFont="1" applyFill="1" applyBorder="1" applyAlignment="1">
      <alignment horizontal="left" vertical="center"/>
    </xf>
    <xf numFmtId="0" fontId="70" fillId="0" borderId="31" xfId="161" applyFont="1" applyBorder="1" applyAlignment="1">
      <alignment horizontal="left" vertical="center"/>
    </xf>
    <xf numFmtId="0" fontId="70" fillId="0" borderId="31" xfId="0" applyFont="1" applyBorder="1">
      <alignment vertical="center"/>
    </xf>
    <xf numFmtId="0" fontId="70" fillId="0" borderId="31" xfId="161" applyFont="1" applyBorder="1" applyAlignment="1">
      <alignment horizontal="center" vertical="center"/>
    </xf>
    <xf numFmtId="0" fontId="70" fillId="0" borderId="31" xfId="161" applyFont="1" applyBorder="1">
      <alignment vertical="center"/>
    </xf>
    <xf numFmtId="0" fontId="70" fillId="0" borderId="31" xfId="0" applyFont="1" applyBorder="1" applyAlignment="1">
      <alignment horizontal="center" vertical="center"/>
    </xf>
    <xf numFmtId="0" fontId="54" fillId="0" borderId="32" xfId="161" applyFont="1" applyBorder="1">
      <alignment vertical="center"/>
    </xf>
    <xf numFmtId="0" fontId="77" fillId="14" borderId="27" xfId="0" applyFont="1" applyFill="1" applyBorder="1">
      <alignment vertical="center"/>
    </xf>
    <xf numFmtId="0" fontId="54" fillId="0" borderId="28" xfId="161" quotePrefix="1" applyFont="1" applyBorder="1" applyAlignment="1">
      <alignment horizontal="left" vertical="center"/>
    </xf>
    <xf numFmtId="0" fontId="54" fillId="0" borderId="28" xfId="161" applyFont="1" applyBorder="1" applyAlignment="1">
      <alignment horizontal="left" vertical="center"/>
    </xf>
    <xf numFmtId="0" fontId="55" fillId="0" borderId="15" xfId="161" applyFont="1" applyBorder="1">
      <alignment vertical="center"/>
    </xf>
    <xf numFmtId="0" fontId="81" fillId="14" borderId="28" xfId="0" applyFont="1" applyFill="1" applyBorder="1">
      <alignment vertical="center"/>
    </xf>
    <xf numFmtId="0" fontId="59" fillId="14" borderId="28" xfId="161" applyFont="1" applyFill="1" applyBorder="1">
      <alignment vertical="center"/>
    </xf>
    <xf numFmtId="0" fontId="21" fillId="10" borderId="28" xfId="46" applyFont="1" applyFill="1" applyBorder="1" applyAlignment="1">
      <alignment horizontal="centerContinuous"/>
    </xf>
    <xf numFmtId="0" fontId="21" fillId="10" borderId="29" xfId="46" applyFont="1" applyFill="1" applyBorder="1" applyAlignment="1">
      <alignment horizontal="centerContinuous"/>
    </xf>
    <xf numFmtId="0" fontId="62" fillId="19" borderId="35" xfId="161" applyFont="1" applyFill="1" applyBorder="1" applyAlignment="1">
      <alignment horizontal="center" vertical="center"/>
    </xf>
    <xf numFmtId="0" fontId="62" fillId="24" borderId="36" xfId="161" applyFont="1" applyFill="1" applyBorder="1" applyAlignment="1">
      <alignment horizontal="centerContinuous" vertical="center"/>
    </xf>
    <xf numFmtId="0" fontId="55" fillId="19" borderId="37" xfId="161" applyFont="1" applyFill="1" applyBorder="1" applyAlignment="1">
      <alignment horizontal="centerContinuous" vertical="center"/>
    </xf>
    <xf numFmtId="0" fontId="62" fillId="24" borderId="38" xfId="161" quotePrefix="1" applyFont="1" applyFill="1" applyBorder="1" applyAlignment="1">
      <alignment horizontal="centerContinuous" vertical="center"/>
    </xf>
    <xf numFmtId="0" fontId="54" fillId="19" borderId="39" xfId="161" quotePrefix="1" applyFont="1" applyFill="1" applyBorder="1" applyAlignment="1">
      <alignment horizontal="center" vertical="center"/>
    </xf>
    <xf numFmtId="14" fontId="62" fillId="0" borderId="40" xfId="161" quotePrefix="1" applyNumberFormat="1" applyFont="1" applyBorder="1" applyAlignment="1">
      <alignment horizontal="centerContinuous" vertical="center"/>
    </xf>
    <xf numFmtId="0" fontId="65" fillId="0" borderId="33" xfId="0" applyFont="1" applyBorder="1">
      <alignment vertical="center"/>
    </xf>
    <xf numFmtId="0" fontId="0" fillId="14" borderId="34" xfId="0" applyFill="1" applyBorder="1">
      <alignment vertical="center"/>
    </xf>
    <xf numFmtId="0" fontId="54" fillId="0" borderId="33" xfId="0" applyFont="1" applyBorder="1">
      <alignment vertical="center"/>
    </xf>
    <xf numFmtId="0" fontId="86" fillId="25" borderId="41" xfId="161" quotePrefix="1" applyFont="1" applyFill="1" applyBorder="1" applyAlignment="1">
      <alignment horizontal="left" vertical="center"/>
    </xf>
    <xf numFmtId="0" fontId="0" fillId="25" borderId="40" xfId="0" applyFill="1" applyBorder="1">
      <alignment vertical="center"/>
    </xf>
    <xf numFmtId="0" fontId="77" fillId="14" borderId="30" xfId="0" applyFont="1" applyFill="1" applyBorder="1">
      <alignment vertical="center"/>
    </xf>
    <xf numFmtId="0" fontId="54" fillId="0" borderId="31" xfId="161" quotePrefix="1" applyFont="1" applyBorder="1" applyAlignment="1">
      <alignment horizontal="left" vertical="center"/>
    </xf>
    <xf numFmtId="0" fontId="54" fillId="0" borderId="31" xfId="161" applyFont="1" applyBorder="1" applyAlignment="1">
      <alignment horizontal="left" vertical="center"/>
    </xf>
    <xf numFmtId="0" fontId="81" fillId="14" borderId="31" xfId="0" applyFont="1" applyFill="1" applyBorder="1">
      <alignment vertical="center"/>
    </xf>
    <xf numFmtId="0" fontId="59" fillId="14" borderId="31" xfId="161" applyFont="1" applyFill="1" applyBorder="1">
      <alignment vertical="center"/>
    </xf>
    <xf numFmtId="0" fontId="21" fillId="10" borderId="31" xfId="46" applyFont="1" applyFill="1" applyBorder="1" applyAlignment="1">
      <alignment horizontal="centerContinuous"/>
    </xf>
    <xf numFmtId="0" fontId="21" fillId="10" borderId="32" xfId="46" applyFont="1" applyFill="1" applyBorder="1" applyAlignment="1">
      <alignment horizontal="centerContinuous"/>
    </xf>
    <xf numFmtId="0" fontId="55" fillId="0" borderId="8" xfId="161" quotePrefix="1" applyFont="1" applyBorder="1">
      <alignment vertical="center"/>
    </xf>
    <xf numFmtId="0" fontId="59" fillId="14" borderId="12" xfId="161" applyFont="1" applyFill="1" applyBorder="1">
      <alignment vertical="center"/>
    </xf>
    <xf numFmtId="0" fontId="21" fillId="10" borderId="12" xfId="46" applyFont="1" applyFill="1" applyBorder="1" applyAlignment="1">
      <alignment horizontal="centerContinuous"/>
    </xf>
    <xf numFmtId="0" fontId="21" fillId="10" borderId="36" xfId="46" applyFont="1" applyFill="1" applyBorder="1" applyAlignment="1">
      <alignment horizontal="centerContinuous"/>
    </xf>
    <xf numFmtId="0" fontId="21" fillId="10" borderId="34" xfId="46" applyFont="1" applyFill="1" applyBorder="1" applyAlignment="1">
      <alignment horizontal="centerContinuous"/>
    </xf>
    <xf numFmtId="0" fontId="21" fillId="10" borderId="8" xfId="46" applyFont="1" applyFill="1" applyBorder="1" applyAlignment="1">
      <alignment horizontal="centerContinuous"/>
    </xf>
    <xf numFmtId="0" fontId="21" fillId="10" borderId="38" xfId="46" applyFont="1" applyFill="1" applyBorder="1" applyAlignment="1">
      <alignment horizontal="centerContinuous"/>
    </xf>
    <xf numFmtId="0" fontId="21" fillId="10" borderId="2" xfId="46" applyFont="1" applyFill="1" applyBorder="1" applyAlignment="1">
      <alignment horizontal="centerContinuous"/>
    </xf>
    <xf numFmtId="0" fontId="62" fillId="26" borderId="10" xfId="161" applyFont="1" applyFill="1" applyBorder="1" applyAlignment="1">
      <alignment horizontal="centerContinuous" vertical="center"/>
    </xf>
    <xf numFmtId="0" fontId="54" fillId="0" borderId="0" xfId="161" quotePrefix="1" applyFont="1" applyAlignment="1">
      <alignment horizontal="center" vertical="center"/>
    </xf>
    <xf numFmtId="0" fontId="75" fillId="0" borderId="0" xfId="0" applyFont="1">
      <alignment vertical="center"/>
    </xf>
    <xf numFmtId="179" fontId="62" fillId="0" borderId="0" xfId="161" quotePrefix="1" applyNumberFormat="1" applyFont="1" applyAlignment="1">
      <alignment horizontal="right" vertical="center"/>
    </xf>
    <xf numFmtId="0" fontId="62" fillId="0" borderId="0" xfId="161" quotePrefix="1" applyFont="1" applyAlignment="1">
      <alignment horizontal="right" vertical="center"/>
    </xf>
    <xf numFmtId="0" fontId="21" fillId="10" borderId="16" xfId="46" applyFont="1" applyFill="1" applyBorder="1" applyAlignment="1">
      <alignment horizontal="center"/>
    </xf>
    <xf numFmtId="0" fontId="21" fillId="10" borderId="9" xfId="46" applyFont="1" applyFill="1" applyBorder="1" applyAlignment="1">
      <alignment horizontal="center"/>
    </xf>
    <xf numFmtId="0" fontId="77" fillId="14" borderId="33" xfId="0" applyFont="1" applyFill="1" applyBorder="1">
      <alignment vertical="center"/>
    </xf>
    <xf numFmtId="0" fontId="21" fillId="10" borderId="40" xfId="46" applyFont="1" applyFill="1" applyBorder="1" applyAlignment="1">
      <alignment horizontal="centerContinuous"/>
    </xf>
    <xf numFmtId="0" fontId="55" fillId="0" borderId="33" xfId="161" applyFont="1" applyBorder="1">
      <alignment vertical="center"/>
    </xf>
    <xf numFmtId="0" fontId="77" fillId="0" borderId="33" xfId="0" applyFont="1" applyBorder="1">
      <alignment vertical="center"/>
    </xf>
    <xf numFmtId="0" fontId="62" fillId="0" borderId="33" xfId="161" applyFont="1" applyBorder="1" applyAlignment="1">
      <alignment horizontal="center" vertical="center"/>
    </xf>
    <xf numFmtId="0" fontId="54" fillId="0" borderId="33" xfId="161" quotePrefix="1" applyFont="1" applyBorder="1" applyAlignment="1">
      <alignment horizontal="center" vertical="center"/>
    </xf>
    <xf numFmtId="0" fontId="21" fillId="10" borderId="42" xfId="46" applyFont="1" applyFill="1" applyBorder="1" applyAlignment="1">
      <alignment horizontal="centerContinuous"/>
    </xf>
    <xf numFmtId="0" fontId="21" fillId="10" borderId="43" xfId="46" applyFont="1" applyFill="1" applyBorder="1" applyAlignment="1">
      <alignment horizontal="centerContinuous"/>
    </xf>
    <xf numFmtId="0" fontId="21" fillId="10" borderId="11" xfId="46" applyFont="1" applyFill="1" applyBorder="1" applyAlignment="1">
      <alignment horizontal="centerContinuous"/>
    </xf>
    <xf numFmtId="0" fontId="76" fillId="14" borderId="0" xfId="180" applyFont="1" applyFill="1">
      <alignment vertical="center"/>
    </xf>
    <xf numFmtId="0" fontId="54" fillId="0" borderId="34" xfId="0" applyFont="1" applyBorder="1">
      <alignment vertical="center"/>
    </xf>
    <xf numFmtId="0" fontId="66" fillId="19" borderId="41" xfId="180" applyFont="1" applyFill="1" applyBorder="1" applyAlignment="1">
      <alignment horizontal="centerContinuous" vertical="center"/>
    </xf>
    <xf numFmtId="0" fontId="78" fillId="14" borderId="41" xfId="180" quotePrefix="1" applyFont="1" applyFill="1" applyBorder="1">
      <alignment vertical="center"/>
    </xf>
    <xf numFmtId="14" fontId="54" fillId="14" borderId="2" xfId="180" applyNumberFormat="1" applyFont="1" applyFill="1" applyBorder="1" applyAlignment="1">
      <alignment horizontal="centerContinuous" vertical="center"/>
    </xf>
    <xf numFmtId="0" fontId="54" fillId="14" borderId="44" xfId="0" applyFont="1" applyFill="1" applyBorder="1">
      <alignment vertical="center"/>
    </xf>
    <xf numFmtId="0" fontId="0" fillId="14" borderId="33" xfId="0" applyFill="1" applyBorder="1">
      <alignment vertical="center"/>
    </xf>
    <xf numFmtId="0" fontId="54" fillId="14" borderId="44" xfId="161" applyFont="1" applyFill="1" applyBorder="1">
      <alignment vertical="center"/>
    </xf>
    <xf numFmtId="185" fontId="62" fillId="0" borderId="0" xfId="161" quotePrefix="1" applyNumberFormat="1" applyFont="1" applyAlignment="1">
      <alignment horizontal="right" vertical="center"/>
    </xf>
    <xf numFmtId="0" fontId="21" fillId="10" borderId="21" xfId="46" applyFont="1" applyFill="1" applyBorder="1" applyAlignment="1">
      <alignment horizontal="center"/>
    </xf>
    <xf numFmtId="0" fontId="21" fillId="10" borderId="22" xfId="46" applyFont="1" applyFill="1" applyBorder="1" applyAlignment="1">
      <alignment horizontal="center"/>
    </xf>
    <xf numFmtId="0" fontId="62" fillId="21" borderId="10" xfId="161" applyFont="1" applyFill="1" applyBorder="1" applyAlignment="1">
      <alignment horizontal="centerContinuous" vertical="center"/>
    </xf>
    <xf numFmtId="0" fontId="62" fillId="26" borderId="10" xfId="161" quotePrefix="1" applyFont="1" applyFill="1" applyBorder="1" applyAlignment="1">
      <alignment horizontal="centerContinuous" vertical="center"/>
    </xf>
    <xf numFmtId="0" fontId="79" fillId="14" borderId="0" xfId="161" applyFont="1" applyFill="1">
      <alignment vertical="center"/>
    </xf>
    <xf numFmtId="14" fontId="54" fillId="0" borderId="0" xfId="161" quotePrefix="1" applyNumberFormat="1" applyFont="1">
      <alignment vertical="center"/>
    </xf>
    <xf numFmtId="0" fontId="65" fillId="0" borderId="0" xfId="180" applyFont="1" applyAlignment="1">
      <alignment vertical="top"/>
    </xf>
    <xf numFmtId="0" fontId="55" fillId="14" borderId="0" xfId="180" applyFont="1" applyFill="1" applyAlignment="1">
      <alignment horizontal="center" vertical="center"/>
    </xf>
    <xf numFmtId="0" fontId="65" fillId="14" borderId="0" xfId="180" applyFont="1" applyFill="1" applyAlignment="1">
      <alignment horizontal="center" vertical="center"/>
    </xf>
    <xf numFmtId="0" fontId="70" fillId="0" borderId="28" xfId="161" applyFont="1" applyBorder="1" applyAlignment="1">
      <alignment horizontal="left" vertical="center"/>
    </xf>
    <xf numFmtId="0" fontId="70" fillId="0" borderId="28" xfId="0" applyFont="1" applyBorder="1">
      <alignment vertical="center"/>
    </xf>
    <xf numFmtId="0" fontId="70" fillId="0" borderId="28" xfId="161" applyFont="1" applyBorder="1" applyAlignment="1">
      <alignment horizontal="center" vertical="center"/>
    </xf>
    <xf numFmtId="0" fontId="70" fillId="0" borderId="28" xfId="161" applyFont="1" applyBorder="1">
      <alignment vertical="center"/>
    </xf>
    <xf numFmtId="0" fontId="70" fillId="0" borderId="28" xfId="0" applyFont="1" applyBorder="1" applyAlignment="1">
      <alignment horizontal="center" vertical="center"/>
    </xf>
    <xf numFmtId="0" fontId="77" fillId="27" borderId="27" xfId="0" applyFont="1" applyFill="1" applyBorder="1">
      <alignment vertical="center"/>
    </xf>
    <xf numFmtId="0" fontId="54" fillId="27" borderId="28" xfId="0" applyFont="1" applyFill="1" applyBorder="1">
      <alignment vertical="center"/>
    </xf>
    <xf numFmtId="0" fontId="54" fillId="27" borderId="28" xfId="161" quotePrefix="1" applyFont="1" applyFill="1" applyBorder="1" applyAlignment="1">
      <alignment horizontal="left" vertical="center"/>
    </xf>
    <xf numFmtId="0" fontId="54" fillId="27" borderId="28" xfId="161" quotePrefix="1" applyFont="1" applyFill="1" applyBorder="1">
      <alignment vertical="center"/>
    </xf>
    <xf numFmtId="0" fontId="54" fillId="27" borderId="28" xfId="161" applyFont="1" applyFill="1" applyBorder="1">
      <alignment vertical="center"/>
    </xf>
    <xf numFmtId="0" fontId="54" fillId="27" borderId="28" xfId="161" applyFont="1" applyFill="1" applyBorder="1" applyAlignment="1">
      <alignment horizontal="left" vertical="center"/>
    </xf>
    <xf numFmtId="0" fontId="0" fillId="27" borderId="28" xfId="0" applyFill="1" applyBorder="1">
      <alignment vertical="center"/>
    </xf>
    <xf numFmtId="0" fontId="54" fillId="27" borderId="28" xfId="161" applyFont="1" applyFill="1" applyBorder="1" applyAlignment="1">
      <alignment horizontal="center" vertical="center"/>
    </xf>
    <xf numFmtId="0" fontId="55" fillId="27" borderId="33" xfId="161" applyFont="1" applyFill="1" applyBorder="1">
      <alignment vertical="center"/>
    </xf>
    <xf numFmtId="0" fontId="54" fillId="27" borderId="0" xfId="0" applyFont="1" applyFill="1">
      <alignment vertical="center"/>
    </xf>
    <xf numFmtId="0" fontId="54" fillId="27" borderId="6" xfId="0" applyFont="1" applyFill="1" applyBorder="1">
      <alignment vertical="center"/>
    </xf>
    <xf numFmtId="0" fontId="0" fillId="27" borderId="0" xfId="0" applyFill="1">
      <alignment vertical="center"/>
    </xf>
    <xf numFmtId="0" fontId="54" fillId="27" borderId="0" xfId="161" applyFont="1" applyFill="1" applyAlignment="1">
      <alignment horizontal="center" vertical="center"/>
    </xf>
    <xf numFmtId="0" fontId="54" fillId="27" borderId="0" xfId="161" applyFont="1" applyFill="1">
      <alignment vertical="center"/>
    </xf>
    <xf numFmtId="0" fontId="54" fillId="27" borderId="0" xfId="161" quotePrefix="1" applyFont="1" applyFill="1">
      <alignment vertical="center"/>
    </xf>
    <xf numFmtId="0" fontId="54" fillId="27" borderId="30" xfId="161" applyFont="1" applyFill="1" applyBorder="1" applyAlignment="1">
      <alignment horizontal="left" vertical="center"/>
    </xf>
    <xf numFmtId="0" fontId="54" fillId="27" borderId="31" xfId="161" applyFont="1" applyFill="1" applyBorder="1" applyAlignment="1">
      <alignment horizontal="left" vertical="center"/>
    </xf>
    <xf numFmtId="0" fontId="70" fillId="27" borderId="31" xfId="161" applyFont="1" applyFill="1" applyBorder="1" applyAlignment="1">
      <alignment horizontal="left" vertical="center"/>
    </xf>
    <xf numFmtId="0" fontId="70" fillId="27" borderId="31" xfId="0" applyFont="1" applyFill="1" applyBorder="1">
      <alignment vertical="center"/>
    </xf>
    <xf numFmtId="0" fontId="70" fillId="27" borderId="31" xfId="161" applyFont="1" applyFill="1" applyBorder="1" applyAlignment="1">
      <alignment horizontal="center" vertical="center"/>
    </xf>
    <xf numFmtId="0" fontId="70" fillId="27" borderId="31" xfId="161" applyFont="1" applyFill="1" applyBorder="1">
      <alignment vertical="center"/>
    </xf>
    <xf numFmtId="0" fontId="70" fillId="27" borderId="31" xfId="0" applyFont="1" applyFill="1" applyBorder="1" applyAlignment="1">
      <alignment horizontal="center" vertical="center"/>
    </xf>
    <xf numFmtId="0" fontId="54" fillId="27" borderId="31" xfId="161" applyFont="1" applyFill="1" applyBorder="1" applyAlignment="1">
      <alignment horizontal="center" vertical="center"/>
    </xf>
    <xf numFmtId="0" fontId="54" fillId="14" borderId="10" xfId="161" quotePrefix="1" applyFont="1" applyFill="1" applyBorder="1">
      <alignment vertical="center"/>
    </xf>
    <xf numFmtId="0" fontId="90" fillId="14" borderId="33" xfId="161" applyFont="1" applyFill="1" applyBorder="1">
      <alignment vertical="center"/>
    </xf>
    <xf numFmtId="0" fontId="86" fillId="0" borderId="33" xfId="161" quotePrefix="1" applyFont="1" applyBorder="1" applyAlignment="1">
      <alignment horizontal="left" vertical="center"/>
    </xf>
    <xf numFmtId="0" fontId="54" fillId="0" borderId="8" xfId="0" applyFont="1" applyBorder="1" applyAlignment="1">
      <alignment horizontal="left" vertical="center"/>
    </xf>
    <xf numFmtId="0" fontId="0" fillId="0" borderId="12" xfId="0" applyBorder="1">
      <alignment vertical="center"/>
    </xf>
    <xf numFmtId="0" fontId="0" fillId="0" borderId="34" xfId="0" applyBorder="1">
      <alignment vertical="center"/>
    </xf>
    <xf numFmtId="0" fontId="55" fillId="0" borderId="12" xfId="0" applyFont="1" applyBorder="1">
      <alignment vertical="center"/>
    </xf>
    <xf numFmtId="0" fontId="54" fillId="0" borderId="12" xfId="0" quotePrefix="1" applyFont="1" applyBorder="1">
      <alignment vertical="center"/>
    </xf>
    <xf numFmtId="0" fontId="54" fillId="0" borderId="12" xfId="0" applyFont="1" applyBorder="1" applyAlignment="1">
      <alignment horizontal="center" vertical="center"/>
    </xf>
    <xf numFmtId="0" fontId="54" fillId="0" borderId="12" xfId="0" applyFont="1" applyBorder="1" applyAlignment="1">
      <alignment horizontal="left" vertical="center"/>
    </xf>
    <xf numFmtId="0" fontId="62" fillId="19" borderId="45" xfId="161" applyFont="1" applyFill="1" applyBorder="1" applyAlignment="1">
      <alignment horizontal="center" vertical="center"/>
    </xf>
    <xf numFmtId="0" fontId="55" fillId="28" borderId="46" xfId="161" applyFont="1" applyFill="1" applyBorder="1" applyAlignment="1">
      <alignment horizontal="centerContinuous" vertical="center"/>
    </xf>
    <xf numFmtId="0" fontId="55" fillId="28" borderId="28" xfId="161" applyFont="1" applyFill="1" applyBorder="1" applyAlignment="1">
      <alignment horizontal="centerContinuous" vertical="center"/>
    </xf>
    <xf numFmtId="0" fontId="55" fillId="28" borderId="42" xfId="161" applyFont="1" applyFill="1" applyBorder="1" applyAlignment="1">
      <alignment horizontal="centerContinuous" vertical="center"/>
    </xf>
    <xf numFmtId="0" fontId="55" fillId="28" borderId="46" xfId="161" quotePrefix="1" applyFont="1" applyFill="1" applyBorder="1" applyAlignment="1">
      <alignment horizontal="centerContinuous" vertical="center"/>
    </xf>
    <xf numFmtId="0" fontId="55" fillId="28" borderId="28" xfId="161" quotePrefix="1" applyFont="1" applyFill="1" applyBorder="1" applyAlignment="1">
      <alignment horizontal="centerContinuous" vertical="center"/>
    </xf>
    <xf numFmtId="0" fontId="62" fillId="28" borderId="46" xfId="161" applyFont="1" applyFill="1" applyBorder="1" applyAlignment="1">
      <alignment horizontal="centerContinuous" vertical="center"/>
    </xf>
    <xf numFmtId="0" fontId="62" fillId="28" borderId="28" xfId="161" applyFont="1" applyFill="1" applyBorder="1" applyAlignment="1">
      <alignment horizontal="centerContinuous" vertical="center"/>
    </xf>
    <xf numFmtId="0" fontId="62" fillId="28" borderId="42" xfId="161" applyFont="1" applyFill="1" applyBorder="1" applyAlignment="1">
      <alignment horizontal="centerContinuous" vertical="center"/>
    </xf>
    <xf numFmtId="0" fontId="55" fillId="20" borderId="46" xfId="161" applyFont="1" applyFill="1" applyBorder="1" applyAlignment="1">
      <alignment horizontal="centerContinuous" vertical="center"/>
    </xf>
    <xf numFmtId="0" fontId="55" fillId="20" borderId="28" xfId="161" applyFont="1" applyFill="1" applyBorder="1" applyAlignment="1">
      <alignment horizontal="centerContinuous" vertical="center"/>
    </xf>
    <xf numFmtId="0" fontId="55" fillId="20" borderId="42" xfId="161" applyFont="1" applyFill="1" applyBorder="1" applyAlignment="1">
      <alignment horizontal="centerContinuous" vertical="center"/>
    </xf>
    <xf numFmtId="0" fontId="55" fillId="20" borderId="46" xfId="161" quotePrefix="1" applyFont="1" applyFill="1" applyBorder="1" applyAlignment="1">
      <alignment horizontal="centerContinuous" vertical="center"/>
    </xf>
    <xf numFmtId="0" fontId="55" fillId="20" borderId="28" xfId="161" quotePrefix="1" applyFont="1" applyFill="1" applyBorder="1" applyAlignment="1">
      <alignment horizontal="centerContinuous" vertical="center"/>
    </xf>
    <xf numFmtId="0" fontId="62" fillId="20" borderId="46" xfId="161" applyFont="1" applyFill="1" applyBorder="1" applyAlignment="1">
      <alignment horizontal="centerContinuous" vertical="center"/>
    </xf>
    <xf numFmtId="0" fontId="62" fillId="20" borderId="28" xfId="161" applyFont="1" applyFill="1" applyBorder="1" applyAlignment="1">
      <alignment horizontal="centerContinuous" vertical="center"/>
    </xf>
    <xf numFmtId="0" fontId="62" fillId="20" borderId="42" xfId="161" applyFont="1" applyFill="1" applyBorder="1" applyAlignment="1">
      <alignment horizontal="centerContinuous" vertical="center"/>
    </xf>
    <xf numFmtId="0" fontId="54" fillId="19" borderId="35" xfId="161" quotePrefix="1" applyFont="1" applyFill="1" applyBorder="1" applyAlignment="1">
      <alignment horizontal="center" vertical="center"/>
    </xf>
    <xf numFmtId="0" fontId="62" fillId="0" borderId="15" xfId="161" quotePrefix="1" applyFont="1" applyBorder="1" applyAlignment="1">
      <alignment horizontal="centerContinuous" vertical="center"/>
    </xf>
    <xf numFmtId="0" fontId="64" fillId="0" borderId="12" xfId="161" applyFont="1" applyBorder="1" applyAlignment="1">
      <alignment horizontal="centerContinuous" vertical="center"/>
    </xf>
    <xf numFmtId="0" fontId="64" fillId="0" borderId="13" xfId="161" applyFont="1" applyBorder="1" applyAlignment="1">
      <alignment horizontal="centerContinuous" vertical="center"/>
    </xf>
    <xf numFmtId="14" fontId="62" fillId="0" borderId="28" xfId="161" quotePrefix="1" applyNumberFormat="1" applyFont="1" applyBorder="1" applyAlignment="1">
      <alignment horizontal="centerContinuous" vertical="center"/>
    </xf>
    <xf numFmtId="0" fontId="62" fillId="0" borderId="28" xfId="161" quotePrefix="1" applyFont="1" applyBorder="1" applyAlignment="1">
      <alignment horizontal="centerContinuous" vertical="center"/>
    </xf>
    <xf numFmtId="0" fontId="64" fillId="0" borderId="28" xfId="161" applyFont="1" applyBorder="1" applyAlignment="1">
      <alignment horizontal="centerContinuous" vertical="center"/>
    </xf>
    <xf numFmtId="0" fontId="55" fillId="0" borderId="28" xfId="161" applyFont="1" applyBorder="1" applyAlignment="1">
      <alignment horizontal="center" vertical="center"/>
    </xf>
    <xf numFmtId="14" fontId="62" fillId="0" borderId="47" xfId="161" quotePrefix="1" applyNumberFormat="1" applyFont="1" applyBorder="1" applyAlignment="1">
      <alignment horizontal="centerContinuous" vertical="center"/>
    </xf>
    <xf numFmtId="14" fontId="62" fillId="0" borderId="48" xfId="161" quotePrefix="1" applyNumberFormat="1" applyFont="1" applyBorder="1" applyAlignment="1">
      <alignment horizontal="centerContinuous" vertical="center"/>
    </xf>
    <xf numFmtId="0" fontId="55" fillId="14" borderId="49" xfId="161" applyFont="1" applyFill="1" applyBorder="1" applyAlignment="1">
      <alignment horizontal="centerContinuous" vertical="center"/>
    </xf>
    <xf numFmtId="0" fontId="54" fillId="0" borderId="27" xfId="161" quotePrefix="1" applyFont="1" applyBorder="1" applyAlignment="1">
      <alignment horizontal="center" vertical="center"/>
    </xf>
    <xf numFmtId="0" fontId="62" fillId="19" borderId="23" xfId="161" applyFont="1" applyFill="1" applyBorder="1" applyAlignment="1">
      <alignment horizontal="center" vertical="center"/>
    </xf>
    <xf numFmtId="0" fontId="55" fillId="28" borderId="15" xfId="161" applyFont="1" applyFill="1" applyBorder="1" applyAlignment="1">
      <alignment horizontal="centerContinuous" vertical="center"/>
    </xf>
    <xf numFmtId="0" fontId="55" fillId="28" borderId="12" xfId="161" applyFont="1" applyFill="1" applyBorder="1" applyAlignment="1">
      <alignment horizontal="centerContinuous" vertical="center"/>
    </xf>
    <xf numFmtId="0" fontId="55" fillId="28" borderId="13" xfId="161" applyFont="1" applyFill="1" applyBorder="1" applyAlignment="1">
      <alignment horizontal="centerContinuous" vertical="center"/>
    </xf>
    <xf numFmtId="0" fontId="55" fillId="28" borderId="15" xfId="161" quotePrefix="1" applyFont="1" applyFill="1" applyBorder="1" applyAlignment="1">
      <alignment horizontal="centerContinuous" vertical="center"/>
    </xf>
    <xf numFmtId="0" fontId="55" fillId="28" borderId="12" xfId="161" quotePrefix="1" applyFont="1" applyFill="1" applyBorder="1" applyAlignment="1">
      <alignment horizontal="centerContinuous" vertical="center"/>
    </xf>
    <xf numFmtId="0" fontId="62" fillId="28" borderId="15" xfId="161" applyFont="1" applyFill="1" applyBorder="1" applyAlignment="1">
      <alignment horizontal="centerContinuous" vertical="center"/>
    </xf>
    <xf numFmtId="0" fontId="62" fillId="28" borderId="12" xfId="161" applyFont="1" applyFill="1" applyBorder="1" applyAlignment="1">
      <alignment horizontal="centerContinuous" vertical="center"/>
    </xf>
    <xf numFmtId="0" fontId="62" fillId="28" borderId="13" xfId="161" applyFont="1" applyFill="1" applyBorder="1" applyAlignment="1">
      <alignment horizontal="centerContinuous" vertical="center"/>
    </xf>
    <xf numFmtId="0" fontId="0" fillId="14" borderId="13" xfId="0" applyFill="1" applyBorder="1">
      <alignment vertical="center"/>
    </xf>
    <xf numFmtId="0" fontId="54" fillId="19" borderId="3" xfId="161" quotePrefix="1" applyFont="1" applyFill="1" applyBorder="1" applyAlignment="1">
      <alignment horizontal="center" vertical="center"/>
    </xf>
    <xf numFmtId="0" fontId="54" fillId="0" borderId="11" xfId="0" applyFont="1" applyBorder="1">
      <alignment vertical="center"/>
    </xf>
    <xf numFmtId="0" fontId="86" fillId="25" borderId="10" xfId="161" quotePrefix="1" applyFont="1" applyFill="1" applyBorder="1" applyAlignment="1">
      <alignment horizontal="left" vertical="center"/>
    </xf>
    <xf numFmtId="0" fontId="0" fillId="25" borderId="17" xfId="0" applyFill="1" applyBorder="1">
      <alignment vertical="center"/>
    </xf>
    <xf numFmtId="0" fontId="55" fillId="20" borderId="12" xfId="161" applyFont="1" applyFill="1" applyBorder="1" applyAlignment="1">
      <alignment horizontal="centerContinuous" vertical="center"/>
    </xf>
    <xf numFmtId="0" fontId="55" fillId="20" borderId="13" xfId="161" applyFont="1" applyFill="1" applyBorder="1" applyAlignment="1">
      <alignment horizontal="centerContinuous" vertical="center"/>
    </xf>
    <xf numFmtId="0" fontId="55" fillId="20" borderId="15" xfId="161" quotePrefix="1" applyFont="1" applyFill="1" applyBorder="1" applyAlignment="1">
      <alignment horizontal="centerContinuous" vertical="center"/>
    </xf>
    <xf numFmtId="0" fontId="55" fillId="20" borderId="12" xfId="161" quotePrefix="1" applyFont="1" applyFill="1" applyBorder="1" applyAlignment="1">
      <alignment horizontal="centerContinuous" vertical="center"/>
    </xf>
    <xf numFmtId="0" fontId="55" fillId="20" borderId="15" xfId="161" applyFont="1" applyFill="1" applyBorder="1" applyAlignment="1">
      <alignment horizontal="centerContinuous" vertical="center"/>
    </xf>
    <xf numFmtId="0" fontId="62" fillId="20" borderId="15" xfId="161" applyFont="1" applyFill="1" applyBorder="1" applyAlignment="1">
      <alignment horizontal="centerContinuous" vertical="center"/>
    </xf>
    <xf numFmtId="0" fontId="62" fillId="20" borderId="12" xfId="161" applyFont="1" applyFill="1" applyBorder="1" applyAlignment="1">
      <alignment horizontal="centerContinuous" vertical="center"/>
    </xf>
    <xf numFmtId="0" fontId="62" fillId="20" borderId="13" xfId="161" applyFont="1" applyFill="1" applyBorder="1" applyAlignment="1">
      <alignment horizontal="centerContinuous" vertical="center"/>
    </xf>
    <xf numFmtId="0" fontId="54" fillId="0" borderId="7" xfId="0" applyFont="1" applyBorder="1">
      <alignment vertical="center"/>
    </xf>
    <xf numFmtId="0" fontId="54" fillId="0" borderId="8" xfId="0" applyFont="1" applyBorder="1" applyAlignment="1">
      <alignment vertical="center" wrapText="1"/>
    </xf>
    <xf numFmtId="0" fontId="74" fillId="0" borderId="8" xfId="0" applyFont="1" applyBorder="1">
      <alignment vertical="center"/>
    </xf>
    <xf numFmtId="9" fontId="54" fillId="0" borderId="2" xfId="161" applyNumberFormat="1" applyFont="1" applyBorder="1">
      <alignment vertical="center"/>
    </xf>
    <xf numFmtId="0" fontId="62" fillId="26" borderId="7" xfId="161" quotePrefix="1" applyFont="1" applyFill="1" applyBorder="1" applyAlignment="1">
      <alignment horizontal="centerContinuous" vertical="center"/>
    </xf>
    <xf numFmtId="0" fontId="62" fillId="26" borderId="8" xfId="161" applyFont="1" applyFill="1" applyBorder="1" applyAlignment="1">
      <alignment horizontal="centerContinuous" vertical="center"/>
    </xf>
    <xf numFmtId="0" fontId="62" fillId="26" borderId="14" xfId="161" applyFont="1" applyFill="1" applyBorder="1" applyAlignment="1">
      <alignment horizontal="centerContinuous" vertical="center"/>
    </xf>
    <xf numFmtId="0" fontId="62" fillId="26" borderId="8" xfId="161" quotePrefix="1" applyFont="1" applyFill="1" applyBorder="1" applyAlignment="1">
      <alignment horizontal="centerContinuous" vertical="center"/>
    </xf>
    <xf numFmtId="0" fontId="62" fillId="19" borderId="37" xfId="161" applyFont="1" applyFill="1" applyBorder="1" applyAlignment="1">
      <alignment horizontal="center" vertical="center"/>
    </xf>
    <xf numFmtId="0" fontId="55" fillId="26" borderId="7" xfId="161" applyFont="1" applyFill="1" applyBorder="1" applyAlignment="1">
      <alignment horizontal="centerContinuous" vertical="center"/>
    </xf>
    <xf numFmtId="0" fontId="55" fillId="26" borderId="8" xfId="161" applyFont="1" applyFill="1" applyBorder="1" applyAlignment="1">
      <alignment horizontal="centerContinuous" vertical="center"/>
    </xf>
    <xf numFmtId="0" fontId="55" fillId="26" borderId="14" xfId="161" applyFont="1" applyFill="1" applyBorder="1" applyAlignment="1">
      <alignment horizontal="centerContinuous" vertical="center"/>
    </xf>
    <xf numFmtId="0" fontId="55" fillId="26" borderId="7" xfId="161" quotePrefix="1" applyFont="1" applyFill="1" applyBorder="1" applyAlignment="1">
      <alignment horizontal="centerContinuous" vertical="center"/>
    </xf>
    <xf numFmtId="0" fontId="55" fillId="26" borderId="8" xfId="161" quotePrefix="1" applyFont="1" applyFill="1" applyBorder="1" applyAlignment="1">
      <alignment horizontal="centerContinuous" vertical="center"/>
    </xf>
    <xf numFmtId="0" fontId="62" fillId="26" borderId="7" xfId="161" applyFont="1" applyFill="1" applyBorder="1" applyAlignment="1">
      <alignment horizontal="centerContinuous" vertical="center"/>
    </xf>
    <xf numFmtId="0" fontId="54" fillId="14" borderId="10" xfId="0" quotePrefix="1" applyFont="1" applyFill="1" applyBorder="1">
      <alignment vertical="center"/>
    </xf>
    <xf numFmtId="0" fontId="54" fillId="29" borderId="10" xfId="0" quotePrefix="1" applyFont="1" applyFill="1" applyBorder="1">
      <alignment vertical="center"/>
    </xf>
    <xf numFmtId="0" fontId="54" fillId="29" borderId="2" xfId="180" quotePrefix="1" applyFont="1" applyFill="1" applyBorder="1">
      <alignment vertical="center"/>
    </xf>
    <xf numFmtId="0" fontId="54" fillId="29" borderId="2" xfId="180" applyFont="1" applyFill="1" applyBorder="1">
      <alignment vertical="center"/>
    </xf>
    <xf numFmtId="0" fontId="54" fillId="29" borderId="2" xfId="180" applyFont="1" applyFill="1" applyBorder="1" applyAlignment="1">
      <alignment horizontal="center" vertical="center"/>
    </xf>
    <xf numFmtId="0" fontId="0" fillId="29" borderId="2" xfId="0" applyFill="1" applyBorder="1">
      <alignment vertical="center"/>
    </xf>
    <xf numFmtId="0" fontId="54" fillId="29" borderId="17" xfId="180" applyFont="1" applyFill="1" applyBorder="1" applyAlignment="1">
      <alignment horizontal="center" vertical="center"/>
    </xf>
    <xf numFmtId="0" fontId="91" fillId="25" borderId="41" xfId="161" quotePrefix="1" applyFont="1" applyFill="1" applyBorder="1" applyAlignment="1">
      <alignment horizontal="left" vertical="center"/>
    </xf>
    <xf numFmtId="0" fontId="77" fillId="14" borderId="28" xfId="0" applyFont="1" applyFill="1" applyBorder="1">
      <alignment vertical="center"/>
    </xf>
    <xf numFmtId="185" fontId="62" fillId="0" borderId="0" xfId="161" quotePrefix="1" applyNumberFormat="1" applyFont="1">
      <alignment vertical="center"/>
    </xf>
    <xf numFmtId="0" fontId="92" fillId="0" borderId="0" xfId="0" applyFont="1">
      <alignment vertical="center"/>
    </xf>
    <xf numFmtId="0" fontId="54" fillId="29" borderId="2" xfId="0" applyFont="1" applyFill="1" applyBorder="1">
      <alignment vertical="center"/>
    </xf>
    <xf numFmtId="0" fontId="66" fillId="29" borderId="2" xfId="180" applyFont="1" applyFill="1" applyBorder="1">
      <alignment vertical="center"/>
    </xf>
    <xf numFmtId="0" fontId="54" fillId="29" borderId="2" xfId="0" applyFont="1" applyFill="1" applyBorder="1" applyAlignment="1">
      <alignment vertical="center" wrapText="1"/>
    </xf>
    <xf numFmtId="0" fontId="54" fillId="29" borderId="17" xfId="0" applyFont="1" applyFill="1" applyBorder="1">
      <alignment vertical="center"/>
    </xf>
    <xf numFmtId="0" fontId="54" fillId="0" borderId="24" xfId="180" applyFont="1" applyBorder="1">
      <alignment vertical="center"/>
    </xf>
    <xf numFmtId="0" fontId="54" fillId="29" borderId="2" xfId="180" applyFont="1" applyFill="1" applyBorder="1" applyAlignment="1">
      <alignment horizontal="left" vertical="center"/>
    </xf>
    <xf numFmtId="0" fontId="55" fillId="14" borderId="41" xfId="180" quotePrefix="1" applyFont="1" applyFill="1" applyBorder="1">
      <alignment vertical="center"/>
    </xf>
    <xf numFmtId="0" fontId="54" fillId="14" borderId="10" xfId="180" quotePrefix="1" applyFont="1" applyFill="1" applyBorder="1" applyAlignment="1">
      <alignment horizontal="left" vertical="center"/>
    </xf>
    <xf numFmtId="0" fontId="54" fillId="0" borderId="33" xfId="161" applyFont="1" applyBorder="1">
      <alignment vertical="center"/>
    </xf>
    <xf numFmtId="0" fontId="93" fillId="0" borderId="0" xfId="0" applyFont="1">
      <alignment vertical="center"/>
    </xf>
    <xf numFmtId="0" fontId="80" fillId="14" borderId="44" xfId="161" quotePrefix="1" applyFont="1" applyFill="1" applyBorder="1">
      <alignment vertical="center"/>
    </xf>
    <xf numFmtId="0" fontId="54" fillId="14" borderId="50" xfId="161" applyFont="1" applyFill="1" applyBorder="1">
      <alignment vertical="center"/>
    </xf>
    <xf numFmtId="0" fontId="54" fillId="14" borderId="11" xfId="0" applyFont="1" applyFill="1" applyBorder="1">
      <alignment vertical="center"/>
    </xf>
    <xf numFmtId="0" fontId="65" fillId="0" borderId="28" xfId="0" applyFont="1" applyBorder="1">
      <alignment vertical="center"/>
    </xf>
    <xf numFmtId="0" fontId="54" fillId="14" borderId="8" xfId="180" quotePrefix="1" applyFont="1" applyFill="1" applyBorder="1">
      <alignment vertical="center"/>
    </xf>
    <xf numFmtId="0" fontId="54" fillId="14" borderId="8" xfId="180" applyFont="1" applyFill="1" applyBorder="1">
      <alignment vertical="center"/>
    </xf>
    <xf numFmtId="0" fontId="54" fillId="14" borderId="8" xfId="180" applyFont="1" applyFill="1" applyBorder="1" applyAlignment="1">
      <alignment horizontal="center" vertical="center"/>
    </xf>
    <xf numFmtId="0" fontId="54" fillId="14" borderId="25" xfId="180" applyFont="1" applyFill="1" applyBorder="1" applyAlignment="1">
      <alignment horizontal="center" vertical="center"/>
    </xf>
    <xf numFmtId="0" fontId="55" fillId="0" borderId="33" xfId="180" applyFont="1" applyBorder="1" applyAlignment="1">
      <alignment vertical="top"/>
    </xf>
    <xf numFmtId="0" fontId="55" fillId="14" borderId="17" xfId="180" applyFont="1" applyFill="1" applyBorder="1" applyAlignment="1">
      <alignment horizontal="center" vertical="center"/>
    </xf>
    <xf numFmtId="0" fontId="65" fillId="14" borderId="8" xfId="180" applyFont="1" applyFill="1" applyBorder="1" applyAlignment="1">
      <alignment horizontal="center" vertical="center"/>
    </xf>
    <xf numFmtId="0" fontId="94" fillId="24" borderId="8" xfId="161" quotePrefix="1" applyFont="1" applyFill="1" applyBorder="1" applyAlignment="1">
      <alignment horizontal="centerContinuous" vertical="center"/>
    </xf>
    <xf numFmtId="0" fontId="54" fillId="14" borderId="51" xfId="0" applyFont="1" applyFill="1" applyBorder="1">
      <alignment vertical="center"/>
    </xf>
    <xf numFmtId="0" fontId="55" fillId="30" borderId="15" xfId="161" applyFont="1" applyFill="1" applyBorder="1" applyAlignment="1">
      <alignment horizontal="centerContinuous" vertical="center"/>
    </xf>
    <xf numFmtId="0" fontId="55" fillId="30" borderId="12" xfId="161" applyFont="1" applyFill="1" applyBorder="1" applyAlignment="1">
      <alignment horizontal="centerContinuous" vertical="center"/>
    </xf>
    <xf numFmtId="0" fontId="55" fillId="30" borderId="15" xfId="161" quotePrefix="1" applyFont="1" applyFill="1" applyBorder="1" applyAlignment="1">
      <alignment horizontal="centerContinuous" vertical="center"/>
    </xf>
    <xf numFmtId="0" fontId="55" fillId="30" borderId="13" xfId="161" applyFont="1" applyFill="1" applyBorder="1" applyAlignment="1">
      <alignment horizontal="centerContinuous" vertical="center"/>
    </xf>
    <xf numFmtId="0" fontId="55" fillId="30" borderId="12" xfId="161" quotePrefix="1" applyFont="1" applyFill="1" applyBorder="1" applyAlignment="1">
      <alignment horizontal="centerContinuous" vertical="center"/>
    </xf>
    <xf numFmtId="0" fontId="62" fillId="30" borderId="15" xfId="161" applyFont="1" applyFill="1" applyBorder="1" applyAlignment="1">
      <alignment horizontal="centerContinuous" vertical="center"/>
    </xf>
    <xf numFmtId="0" fontId="62" fillId="30" borderId="12" xfId="161" applyFont="1" applyFill="1" applyBorder="1" applyAlignment="1">
      <alignment horizontal="centerContinuous" vertical="center"/>
    </xf>
    <xf numFmtId="0" fontId="62" fillId="30" borderId="13" xfId="161" applyFont="1" applyFill="1" applyBorder="1" applyAlignment="1">
      <alignment horizontal="centerContinuous" vertical="center"/>
    </xf>
    <xf numFmtId="0" fontId="62" fillId="30" borderId="10" xfId="161" applyFont="1" applyFill="1" applyBorder="1" applyAlignment="1">
      <alignment horizontal="centerContinuous" vertical="center"/>
    </xf>
    <xf numFmtId="0" fontId="62" fillId="30" borderId="15" xfId="161" quotePrefix="1" applyFont="1" applyFill="1" applyBorder="1" applyAlignment="1">
      <alignment horizontal="centerContinuous" vertical="center"/>
    </xf>
    <xf numFmtId="0" fontId="95" fillId="0" borderId="0" xfId="0" applyFont="1">
      <alignment vertical="center"/>
    </xf>
    <xf numFmtId="0" fontId="62" fillId="30" borderId="12" xfId="161" quotePrefix="1" applyFont="1" applyFill="1" applyBorder="1" applyAlignment="1">
      <alignment horizontal="centerContinuous" vertical="center"/>
    </xf>
    <xf numFmtId="0" fontId="62" fillId="30" borderId="10" xfId="161" quotePrefix="1" applyFont="1" applyFill="1" applyBorder="1" applyAlignment="1">
      <alignment horizontal="centerContinuous" vertical="center"/>
    </xf>
    <xf numFmtId="0" fontId="54" fillId="14" borderId="6" xfId="0" applyFont="1" applyFill="1" applyBorder="1">
      <alignment vertical="center"/>
    </xf>
    <xf numFmtId="0" fontId="65" fillId="0" borderId="10" xfId="161" quotePrefix="1" applyFont="1" applyBorder="1">
      <alignment vertical="center"/>
    </xf>
    <xf numFmtId="0" fontId="55" fillId="30" borderId="7" xfId="161" applyFont="1" applyFill="1" applyBorder="1" applyAlignment="1">
      <alignment horizontal="centerContinuous" vertical="center"/>
    </xf>
    <xf numFmtId="0" fontId="55" fillId="30" borderId="8" xfId="161" applyFont="1" applyFill="1" applyBorder="1" applyAlignment="1">
      <alignment horizontal="centerContinuous" vertical="center"/>
    </xf>
    <xf numFmtId="0" fontId="55" fillId="30" borderId="14" xfId="161" applyFont="1" applyFill="1" applyBorder="1" applyAlignment="1">
      <alignment horizontal="centerContinuous" vertical="center"/>
    </xf>
    <xf numFmtId="0" fontId="55" fillId="30" borderId="7" xfId="161" quotePrefix="1" applyFont="1" applyFill="1" applyBorder="1" applyAlignment="1">
      <alignment horizontal="centerContinuous" vertical="center"/>
    </xf>
    <xf numFmtId="0" fontId="55" fillId="30" borderId="8" xfId="161" quotePrefix="1" applyFont="1" applyFill="1" applyBorder="1" applyAlignment="1">
      <alignment horizontal="centerContinuous" vertical="center"/>
    </xf>
    <xf numFmtId="0" fontId="62" fillId="30" borderId="7" xfId="161" applyFont="1" applyFill="1" applyBorder="1" applyAlignment="1">
      <alignment horizontal="centerContinuous" vertical="center"/>
    </xf>
    <xf numFmtId="0" fontId="62" fillId="30" borderId="8" xfId="161" applyFont="1" applyFill="1" applyBorder="1" applyAlignment="1">
      <alignment horizontal="centerContinuous" vertical="center"/>
    </xf>
    <xf numFmtId="0" fontId="62" fillId="30" borderId="14" xfId="161" applyFont="1" applyFill="1" applyBorder="1" applyAlignment="1">
      <alignment horizontal="centerContinuous" vertical="center"/>
    </xf>
    <xf numFmtId="0" fontId="62" fillId="30" borderId="7" xfId="161" quotePrefix="1" applyFont="1" applyFill="1" applyBorder="1" applyAlignment="1">
      <alignment horizontal="centerContinuous" vertical="center"/>
    </xf>
    <xf numFmtId="0" fontId="62" fillId="30" borderId="8" xfId="161" quotePrefix="1" applyFont="1" applyFill="1" applyBorder="1" applyAlignment="1">
      <alignment horizontal="centerContinuous" vertical="center"/>
    </xf>
    <xf numFmtId="0" fontId="65" fillId="14" borderId="33" xfId="161" applyFont="1" applyFill="1" applyBorder="1">
      <alignment vertical="center"/>
    </xf>
    <xf numFmtId="0" fontId="62" fillId="24" borderId="15" xfId="161" quotePrefix="1" applyFont="1" applyFill="1" applyBorder="1" applyAlignment="1">
      <alignment horizontal="centerContinuous" vertical="center"/>
    </xf>
    <xf numFmtId="0" fontId="54" fillId="0" borderId="10" xfId="0" quotePrefix="1" applyFont="1" applyBorder="1">
      <alignment vertical="center"/>
    </xf>
    <xf numFmtId="0" fontId="54" fillId="0" borderId="2" xfId="180" quotePrefix="1" applyFont="1" applyBorder="1">
      <alignment vertical="center"/>
    </xf>
    <xf numFmtId="0" fontId="54" fillId="0" borderId="2" xfId="180" applyFont="1" applyBorder="1">
      <alignment vertical="center"/>
    </xf>
    <xf numFmtId="0" fontId="54" fillId="0" borderId="2" xfId="180" applyFont="1" applyBorder="1" applyAlignment="1">
      <alignment horizontal="center" vertical="center"/>
    </xf>
    <xf numFmtId="0" fontId="0" fillId="0" borderId="2" xfId="0" applyBorder="1">
      <alignment vertical="center"/>
    </xf>
    <xf numFmtId="0" fontId="66" fillId="0" borderId="2" xfId="180" applyFont="1" applyBorder="1">
      <alignment vertical="center"/>
    </xf>
    <xf numFmtId="0" fontId="54" fillId="0" borderId="2" xfId="0" applyFont="1" applyBorder="1" applyAlignment="1">
      <alignment vertical="center" wrapText="1"/>
    </xf>
    <xf numFmtId="0" fontId="97" fillId="10" borderId="16" xfId="46" applyFont="1" applyFill="1" applyBorder="1" applyAlignment="1">
      <alignment horizontal="centerContinuous"/>
    </xf>
    <xf numFmtId="0" fontId="97" fillId="10" borderId="9" xfId="46" applyFont="1" applyFill="1" applyBorder="1" applyAlignment="1">
      <alignment horizontal="centerContinuous"/>
    </xf>
    <xf numFmtId="0" fontId="98" fillId="14" borderId="0" xfId="0" applyFont="1" applyFill="1">
      <alignment vertical="center"/>
    </xf>
    <xf numFmtId="0" fontId="99" fillId="14" borderId="0" xfId="0" applyFont="1" applyFill="1">
      <alignment vertical="center"/>
    </xf>
    <xf numFmtId="0" fontId="97" fillId="10" borderId="6" xfId="49" applyFont="1" applyFill="1" applyBorder="1" applyAlignment="1">
      <alignment horizontal="right" vertical="center"/>
    </xf>
    <xf numFmtId="0" fontId="98" fillId="14" borderId="6" xfId="161" quotePrefix="1" applyFont="1" applyFill="1" applyBorder="1">
      <alignment vertical="center"/>
    </xf>
    <xf numFmtId="0" fontId="98" fillId="14" borderId="0" xfId="161" applyFont="1" applyFill="1">
      <alignment vertical="center"/>
    </xf>
    <xf numFmtId="0" fontId="98" fillId="14" borderId="11" xfId="161" applyFont="1" applyFill="1" applyBorder="1">
      <alignment vertical="center"/>
    </xf>
    <xf numFmtId="0" fontId="100" fillId="14" borderId="0" xfId="161" applyFont="1" applyFill="1">
      <alignment vertical="center"/>
    </xf>
    <xf numFmtId="0" fontId="98" fillId="0" borderId="0" xfId="161" applyFont="1">
      <alignment vertical="center"/>
    </xf>
    <xf numFmtId="0" fontId="98" fillId="0" borderId="0" xfId="161" quotePrefix="1" applyFont="1">
      <alignment vertical="center"/>
    </xf>
    <xf numFmtId="0" fontId="98" fillId="0" borderId="0" xfId="161" applyFont="1" applyAlignment="1">
      <alignment horizontal="center" vertical="center"/>
    </xf>
    <xf numFmtId="0" fontId="98" fillId="0" borderId="0" xfId="0" applyFont="1">
      <alignment vertical="center"/>
    </xf>
    <xf numFmtId="0" fontId="96" fillId="14" borderId="6" xfId="161" quotePrefix="1" applyFont="1" applyFill="1" applyBorder="1">
      <alignment vertical="center"/>
    </xf>
    <xf numFmtId="0" fontId="101" fillId="14" borderId="0" xfId="0" applyFont="1" applyFill="1">
      <alignment vertical="center"/>
    </xf>
    <xf numFmtId="0" fontId="98" fillId="0" borderId="0" xfId="161" quotePrefix="1" applyFont="1" applyAlignment="1">
      <alignment horizontal="left" vertical="center"/>
    </xf>
    <xf numFmtId="0" fontId="98" fillId="0" borderId="0" xfId="161" applyFont="1" applyAlignment="1">
      <alignment horizontal="left" vertical="center"/>
    </xf>
    <xf numFmtId="0" fontId="97" fillId="10" borderId="16" xfId="46" applyFont="1" applyFill="1" applyBorder="1" applyAlignment="1">
      <alignment horizontal="center"/>
    </xf>
    <xf numFmtId="0" fontId="97" fillId="10" borderId="9" xfId="46" applyFont="1" applyFill="1" applyBorder="1" applyAlignment="1">
      <alignment horizontal="center"/>
    </xf>
    <xf numFmtId="0" fontId="98" fillId="14" borderId="0" xfId="0" applyFont="1" applyFill="1" applyAlignment="1">
      <alignment vertical="center" wrapText="1"/>
    </xf>
    <xf numFmtId="0" fontId="97" fillId="10" borderId="7" xfId="49" applyFont="1" applyFill="1" applyBorder="1" applyAlignment="1">
      <alignment horizontal="right" vertical="center"/>
    </xf>
    <xf numFmtId="0" fontId="99" fillId="14" borderId="0" xfId="0" applyFont="1" applyFill="1" applyAlignment="1">
      <alignment vertical="center" wrapText="1"/>
    </xf>
    <xf numFmtId="0" fontId="104" fillId="0" borderId="52" xfId="161" quotePrefix="1" applyFont="1" applyBorder="1">
      <alignment vertical="center"/>
    </xf>
    <xf numFmtId="0" fontId="97" fillId="0" borderId="52" xfId="161" applyFont="1" applyBorder="1">
      <alignment vertical="center"/>
    </xf>
    <xf numFmtId="0" fontId="98" fillId="0" borderId="52" xfId="161" applyFont="1" applyBorder="1">
      <alignment vertical="center"/>
    </xf>
    <xf numFmtId="0" fontId="98" fillId="0" borderId="52" xfId="161" quotePrefix="1" applyFont="1" applyBorder="1">
      <alignment vertical="center"/>
    </xf>
    <xf numFmtId="0" fontId="98" fillId="0" borderId="52" xfId="161" applyFont="1" applyBorder="1" applyAlignment="1">
      <alignment horizontal="center" vertical="center"/>
    </xf>
    <xf numFmtId="0" fontId="98" fillId="0" borderId="52" xfId="0" applyFont="1" applyBorder="1">
      <alignment vertical="center"/>
    </xf>
    <xf numFmtId="0" fontId="98" fillId="0" borderId="52" xfId="0" applyFont="1" applyBorder="1" applyAlignment="1">
      <alignment vertical="center" wrapText="1"/>
    </xf>
    <xf numFmtId="0" fontId="97" fillId="0" borderId="0" xfId="161" applyFont="1">
      <alignment vertical="center"/>
    </xf>
    <xf numFmtId="0" fontId="97" fillId="0" borderId="6" xfId="161" quotePrefix="1" applyFont="1" applyBorder="1">
      <alignment vertical="center"/>
    </xf>
    <xf numFmtId="0" fontId="103" fillId="0" borderId="0" xfId="0" applyFont="1">
      <alignment vertical="center"/>
    </xf>
    <xf numFmtId="0" fontId="97" fillId="0" borderId="0" xfId="161" quotePrefix="1" applyFont="1">
      <alignment vertical="center"/>
    </xf>
    <xf numFmtId="0" fontId="97" fillId="0" borderId="0" xfId="0" applyFont="1">
      <alignment vertical="center"/>
    </xf>
    <xf numFmtId="0" fontId="97" fillId="0" borderId="11" xfId="161" applyFont="1" applyBorder="1">
      <alignment vertical="center"/>
    </xf>
    <xf numFmtId="0" fontId="103" fillId="0" borderId="0" xfId="161" applyFont="1">
      <alignment vertical="center"/>
    </xf>
    <xf numFmtId="0" fontId="97" fillId="0" borderId="0" xfId="161" applyFont="1" applyAlignment="1">
      <alignment horizontal="center" vertical="center"/>
    </xf>
    <xf numFmtId="0" fontId="105" fillId="0" borderId="0" xfId="0" applyFont="1">
      <alignment vertical="center"/>
    </xf>
    <xf numFmtId="0" fontId="97" fillId="0" borderId="0" xfId="161" quotePrefix="1" applyFont="1" applyAlignment="1">
      <alignment horizontal="center" vertical="center"/>
    </xf>
    <xf numFmtId="0" fontId="102" fillId="0" borderId="0" xfId="0" applyFont="1">
      <alignment vertical="center"/>
    </xf>
    <xf numFmtId="0" fontId="97" fillId="0" borderId="0" xfId="0" applyFont="1" applyAlignment="1">
      <alignment horizontal="left" vertical="center"/>
    </xf>
    <xf numFmtId="0" fontId="97" fillId="0" borderId="14" xfId="161" applyFont="1" applyBorder="1">
      <alignment vertical="center"/>
    </xf>
    <xf numFmtId="0" fontId="106" fillId="14" borderId="0" xfId="0" applyFont="1" applyFill="1">
      <alignment vertical="center"/>
    </xf>
    <xf numFmtId="0" fontId="106" fillId="14" borderId="0" xfId="161" applyFont="1" applyFill="1">
      <alignment vertical="center"/>
    </xf>
    <xf numFmtId="0" fontId="106" fillId="14" borderId="0" xfId="0" applyFont="1" applyFill="1" applyAlignment="1">
      <alignment horizontal="left" vertical="center"/>
    </xf>
    <xf numFmtId="0" fontId="106" fillId="19" borderId="0" xfId="0" applyFont="1" applyFill="1">
      <alignment vertical="center"/>
    </xf>
    <xf numFmtId="0" fontId="106" fillId="19" borderId="0" xfId="161" applyFont="1" applyFill="1">
      <alignment vertical="center"/>
    </xf>
    <xf numFmtId="0" fontId="106" fillId="19" borderId="0" xfId="161" applyFont="1" applyFill="1" applyAlignment="1">
      <alignment horizontal="center" vertical="center"/>
    </xf>
    <xf numFmtId="0" fontId="106" fillId="19" borderId="0" xfId="161" applyFont="1" applyFill="1" applyAlignment="1">
      <alignment horizontal="left" vertical="center"/>
    </xf>
    <xf numFmtId="0" fontId="97" fillId="19" borderId="6" xfId="161" quotePrefix="1" applyFont="1" applyFill="1" applyBorder="1">
      <alignment vertical="center"/>
    </xf>
    <xf numFmtId="0" fontId="102" fillId="19" borderId="0" xfId="0" applyFont="1" applyFill="1">
      <alignment vertical="center"/>
    </xf>
    <xf numFmtId="0" fontId="97" fillId="19" borderId="0" xfId="0" applyFont="1" applyFill="1">
      <alignment vertical="center"/>
    </xf>
    <xf numFmtId="0" fontId="106" fillId="19" borderId="0" xfId="0" applyFont="1" applyFill="1" applyAlignment="1">
      <alignment horizontal="center" vertical="center"/>
    </xf>
    <xf numFmtId="0" fontId="97" fillId="19" borderId="11" xfId="161" applyFont="1" applyFill="1" applyBorder="1">
      <alignment vertical="center"/>
    </xf>
    <xf numFmtId="0" fontId="97" fillId="19" borderId="0" xfId="161" quotePrefix="1" applyFont="1" applyFill="1">
      <alignment vertical="center"/>
    </xf>
    <xf numFmtId="0" fontId="75" fillId="14" borderId="0" xfId="0" applyFont="1" applyFill="1">
      <alignment vertical="center"/>
    </xf>
    <xf numFmtId="0" fontId="111" fillId="14" borderId="0" xfId="0" applyFont="1" applyFill="1">
      <alignment vertical="center"/>
    </xf>
    <xf numFmtId="0" fontId="102" fillId="31" borderId="0" xfId="0" applyFont="1" applyFill="1" applyAlignment="1">
      <alignment horizontal="left" vertical="center"/>
    </xf>
    <xf numFmtId="0" fontId="102" fillId="31" borderId="0" xfId="0" applyFont="1" applyFill="1">
      <alignment vertical="center"/>
    </xf>
    <xf numFmtId="0" fontId="102" fillId="14" borderId="0" xfId="0" applyFont="1" applyFill="1">
      <alignment vertical="center"/>
    </xf>
    <xf numFmtId="0" fontId="97" fillId="0" borderId="8" xfId="161" applyFont="1" applyBorder="1">
      <alignment vertical="center"/>
    </xf>
    <xf numFmtId="0" fontId="103" fillId="0" borderId="8" xfId="0" applyFont="1" applyBorder="1">
      <alignment vertical="center"/>
    </xf>
    <xf numFmtId="0" fontId="103" fillId="0" borderId="8" xfId="0" applyFont="1" applyBorder="1" applyAlignment="1">
      <alignment vertical="center" wrapText="1"/>
    </xf>
    <xf numFmtId="0" fontId="97" fillId="10" borderId="53" xfId="46" applyFont="1" applyFill="1" applyBorder="1" applyAlignment="1">
      <alignment horizontal="center"/>
    </xf>
    <xf numFmtId="0" fontId="112" fillId="0" borderId="0" xfId="161" quotePrefix="1" applyFont="1">
      <alignment vertical="center"/>
    </xf>
    <xf numFmtId="0" fontId="106" fillId="35" borderId="0" xfId="161" applyFont="1" applyFill="1">
      <alignment vertical="center"/>
    </xf>
    <xf numFmtId="0" fontId="107" fillId="35" borderId="0" xfId="161" applyFont="1" applyFill="1">
      <alignment vertical="center"/>
    </xf>
    <xf numFmtId="0" fontId="107" fillId="35" borderId="0" xfId="161" quotePrefix="1" applyFont="1" applyFill="1">
      <alignment vertical="center"/>
    </xf>
    <xf numFmtId="0" fontId="107" fillId="35" borderId="0" xfId="161" applyFont="1" applyFill="1" applyAlignment="1">
      <alignment horizontal="center" vertical="center"/>
    </xf>
    <xf numFmtId="0" fontId="107" fillId="35" borderId="0" xfId="0" applyFont="1" applyFill="1">
      <alignment vertical="center"/>
    </xf>
    <xf numFmtId="0" fontId="107" fillId="35" borderId="0" xfId="0" applyFont="1" applyFill="1" applyAlignment="1">
      <alignment vertical="center" wrapText="1"/>
    </xf>
    <xf numFmtId="0" fontId="108" fillId="35" borderId="0" xfId="161" applyFont="1" applyFill="1">
      <alignment vertical="center"/>
    </xf>
    <xf numFmtId="14" fontId="108" fillId="35" borderId="0" xfId="161" quotePrefix="1" applyNumberFormat="1" applyFont="1" applyFill="1">
      <alignment vertical="center"/>
    </xf>
    <xf numFmtId="0" fontId="108" fillId="35" borderId="0" xfId="161" quotePrefix="1" applyFont="1" applyFill="1">
      <alignment vertical="center"/>
    </xf>
    <xf numFmtId="0" fontId="106" fillId="35" borderId="0" xfId="161" quotePrefix="1" applyFont="1" applyFill="1">
      <alignment vertical="center"/>
    </xf>
    <xf numFmtId="0" fontId="106" fillId="35" borderId="0" xfId="161" applyFont="1" applyFill="1" applyAlignment="1">
      <alignment horizontal="left" vertical="center"/>
    </xf>
    <xf numFmtId="0" fontId="106" fillId="35" borderId="0" xfId="0" applyFont="1" applyFill="1">
      <alignment vertical="center"/>
    </xf>
    <xf numFmtId="0" fontId="106" fillId="35" borderId="0" xfId="161" applyFont="1" applyFill="1" applyAlignment="1">
      <alignment horizontal="center" vertical="center"/>
    </xf>
    <xf numFmtId="0" fontId="106" fillId="35" borderId="0" xfId="161" quotePrefix="1" applyFont="1" applyFill="1" applyAlignment="1">
      <alignment horizontal="left" vertical="center"/>
    </xf>
    <xf numFmtId="0" fontId="102" fillId="35" borderId="0" xfId="161" applyFont="1" applyFill="1">
      <alignment vertical="center"/>
    </xf>
    <xf numFmtId="0" fontId="117" fillId="35" borderId="0" xfId="161" applyFont="1" applyFill="1">
      <alignment vertical="center"/>
    </xf>
    <xf numFmtId="0" fontId="106" fillId="0" borderId="0" xfId="161" applyFont="1">
      <alignment vertical="center"/>
    </xf>
    <xf numFmtId="0" fontId="107" fillId="0" borderId="0" xfId="161" applyFont="1">
      <alignment vertical="center"/>
    </xf>
    <xf numFmtId="0" fontId="107" fillId="0" borderId="0" xfId="161" quotePrefix="1" applyFont="1">
      <alignment vertical="center"/>
    </xf>
    <xf numFmtId="0" fontId="107" fillId="0" borderId="0" xfId="161" applyFont="1" applyAlignment="1">
      <alignment horizontal="center" vertical="center"/>
    </xf>
    <xf numFmtId="0" fontId="107" fillId="0" borderId="0" xfId="0" applyFont="1">
      <alignment vertical="center"/>
    </xf>
    <xf numFmtId="0" fontId="107" fillId="0" borderId="0" xfId="0" applyFont="1" applyAlignment="1">
      <alignment vertical="center" wrapText="1"/>
    </xf>
    <xf numFmtId="0" fontId="108" fillId="0" borderId="0" xfId="161" applyFont="1">
      <alignment vertical="center"/>
    </xf>
    <xf numFmtId="14" fontId="108" fillId="0" borderId="0" xfId="161" quotePrefix="1" applyNumberFormat="1" applyFont="1">
      <alignment vertical="center"/>
    </xf>
    <xf numFmtId="0" fontId="108" fillId="0" borderId="0" xfId="161" quotePrefix="1" applyFont="1">
      <alignment vertical="center"/>
    </xf>
    <xf numFmtId="0" fontId="106" fillId="0" borderId="0" xfId="161" quotePrefix="1" applyFont="1">
      <alignment vertical="center"/>
    </xf>
    <xf numFmtId="0" fontId="106" fillId="0" borderId="0" xfId="161" applyFont="1" applyAlignment="1">
      <alignment horizontal="left" vertical="center"/>
    </xf>
    <xf numFmtId="0" fontId="106" fillId="0" borderId="0" xfId="0" applyFont="1">
      <alignment vertical="center"/>
    </xf>
    <xf numFmtId="0" fontId="106" fillId="0" borderId="0" xfId="161" applyFont="1" applyAlignment="1">
      <alignment horizontal="center" vertical="center"/>
    </xf>
    <xf numFmtId="0" fontId="106" fillId="0" borderId="0" xfId="161" quotePrefix="1" applyFont="1" applyAlignment="1">
      <alignment horizontal="left" vertical="center"/>
    </xf>
    <xf numFmtId="0" fontId="102" fillId="0" borderId="0" xfId="161" applyFont="1">
      <alignment vertical="center"/>
    </xf>
    <xf numFmtId="0" fontId="118" fillId="35" borderId="0" xfId="161" applyFont="1" applyFill="1">
      <alignment vertical="center"/>
    </xf>
    <xf numFmtId="0" fontId="118" fillId="0" borderId="0" xfId="161" applyFont="1">
      <alignment vertical="center"/>
    </xf>
    <xf numFmtId="0" fontId="114" fillId="0" borderId="0" xfId="161" applyFont="1">
      <alignment vertical="center"/>
    </xf>
    <xf numFmtId="0" fontId="119" fillId="0" borderId="0" xfId="161" applyFont="1" applyAlignment="1">
      <alignment vertical="top"/>
    </xf>
    <xf numFmtId="0" fontId="120" fillId="35" borderId="0" xfId="161" applyFont="1" applyFill="1">
      <alignment vertical="center"/>
    </xf>
    <xf numFmtId="0" fontId="120" fillId="35" borderId="0" xfId="161" quotePrefix="1" applyFont="1" applyFill="1">
      <alignment vertical="center"/>
    </xf>
    <xf numFmtId="0" fontId="117" fillId="14" borderId="0" xfId="0" applyFont="1" applyFill="1">
      <alignment vertical="center"/>
    </xf>
    <xf numFmtId="0" fontId="103" fillId="31" borderId="0" xfId="185" applyFont="1" applyFill="1">
      <alignment vertical="center"/>
    </xf>
    <xf numFmtId="0" fontId="103" fillId="14" borderId="0" xfId="185" applyFont="1" applyFill="1">
      <alignment vertical="center"/>
    </xf>
    <xf numFmtId="0" fontId="103" fillId="0" borderId="0" xfId="185" applyFont="1">
      <alignment vertical="center"/>
    </xf>
    <xf numFmtId="0" fontId="97" fillId="0" borderId="58" xfId="185" applyFont="1" applyBorder="1" applyAlignment="1">
      <alignment vertical="center" wrapText="1"/>
    </xf>
    <xf numFmtId="0" fontId="97" fillId="0" borderId="2" xfId="185" applyFont="1" applyBorder="1" applyAlignment="1">
      <alignment vertical="center" wrapText="1"/>
    </xf>
    <xf numFmtId="0" fontId="97" fillId="0" borderId="54" xfId="185" applyFont="1" applyBorder="1" applyAlignment="1">
      <alignment vertical="center" wrapText="1"/>
    </xf>
    <xf numFmtId="0" fontId="103" fillId="0" borderId="10" xfId="185" applyFont="1" applyBorder="1">
      <alignment vertical="center"/>
    </xf>
    <xf numFmtId="0" fontId="103" fillId="0" borderId="2" xfId="185" applyFont="1" applyBorder="1">
      <alignment vertical="center"/>
    </xf>
    <xf numFmtId="0" fontId="103" fillId="0" borderId="17" xfId="185" applyFont="1" applyBorder="1">
      <alignment vertical="center"/>
    </xf>
    <xf numFmtId="0" fontId="97" fillId="0" borderId="62" xfId="185" applyFont="1" applyBorder="1" applyAlignment="1" applyProtection="1">
      <alignment vertical="center" wrapText="1"/>
      <protection locked="0"/>
    </xf>
    <xf numFmtId="0" fontId="97" fillId="0" borderId="63" xfId="185" applyFont="1" applyBorder="1" applyAlignment="1" applyProtection="1">
      <alignment vertical="center" wrapText="1"/>
      <protection locked="0"/>
    </xf>
    <xf numFmtId="0" fontId="97" fillId="0" borderId="64" xfId="185" applyFont="1" applyBorder="1" applyAlignment="1" applyProtection="1">
      <alignment vertical="center" wrapText="1"/>
      <protection locked="0"/>
    </xf>
    <xf numFmtId="0" fontId="97" fillId="0" borderId="65" xfId="185" applyFont="1" applyBorder="1" applyAlignment="1" applyProtection="1">
      <alignment vertical="center" wrapText="1"/>
      <protection locked="0"/>
    </xf>
    <xf numFmtId="0" fontId="105" fillId="0" borderId="62" xfId="185" applyFont="1" applyBorder="1" applyAlignment="1">
      <alignment horizontal="left" vertical="center"/>
    </xf>
    <xf numFmtId="0" fontId="105" fillId="0" borderId="63" xfId="185" applyFont="1" applyBorder="1" applyAlignment="1">
      <alignment horizontal="left" vertical="center"/>
    </xf>
    <xf numFmtId="0" fontId="97" fillId="0" borderId="63" xfId="185" applyFont="1" applyBorder="1" applyAlignment="1">
      <alignment horizontal="left" vertical="center"/>
    </xf>
    <xf numFmtId="0" fontId="103" fillId="0" borderId="63" xfId="185" applyFont="1" applyBorder="1">
      <alignment vertical="center"/>
    </xf>
    <xf numFmtId="0" fontId="103" fillId="0" borderId="64" xfId="185" applyFont="1" applyBorder="1">
      <alignment vertical="center"/>
    </xf>
    <xf numFmtId="0" fontId="112" fillId="0" borderId="10" xfId="185" applyFont="1" applyBorder="1" applyProtection="1">
      <alignment vertical="center"/>
      <protection locked="0"/>
    </xf>
    <xf numFmtId="0" fontId="112" fillId="0" borderId="2" xfId="185" applyFont="1" applyBorder="1" applyProtection="1">
      <alignment vertical="center"/>
      <protection locked="0"/>
    </xf>
    <xf numFmtId="0" fontId="112" fillId="0" borderId="17" xfId="185" applyFont="1" applyBorder="1" applyProtection="1">
      <alignment vertical="center"/>
      <protection locked="0"/>
    </xf>
    <xf numFmtId="0" fontId="103" fillId="0" borderId="0" xfId="185" applyFont="1" applyProtection="1">
      <alignment vertical="center"/>
      <protection locked="0"/>
    </xf>
    <xf numFmtId="0" fontId="97" fillId="0" borderId="62" xfId="185" applyFont="1" applyBorder="1" applyAlignment="1">
      <alignment horizontal="left" vertical="center"/>
    </xf>
    <xf numFmtId="0" fontId="103" fillId="0" borderId="10" xfId="185" applyFont="1" applyBorder="1" applyProtection="1">
      <alignment vertical="center"/>
      <protection locked="0"/>
    </xf>
    <xf numFmtId="0" fontId="103" fillId="0" borderId="2" xfId="185" applyFont="1" applyBorder="1" applyProtection="1">
      <alignment vertical="center"/>
      <protection locked="0"/>
    </xf>
    <xf numFmtId="0" fontId="103" fillId="0" borderId="17" xfId="185" applyFont="1" applyBorder="1" applyProtection="1">
      <alignment vertical="center"/>
      <protection locked="0"/>
    </xf>
    <xf numFmtId="0" fontId="103" fillId="0" borderId="7" xfId="185" applyFont="1" applyBorder="1">
      <alignment vertical="center"/>
    </xf>
    <xf numFmtId="0" fontId="103" fillId="0" borderId="8" xfId="185" applyFont="1" applyBorder="1">
      <alignment vertical="center"/>
    </xf>
    <xf numFmtId="0" fontId="103" fillId="0" borderId="14" xfId="185" applyFont="1" applyBorder="1">
      <alignment vertical="center"/>
    </xf>
    <xf numFmtId="0" fontId="105" fillId="14" borderId="0" xfId="185" applyFont="1" applyFill="1">
      <alignment vertical="center"/>
    </xf>
    <xf numFmtId="0" fontId="114" fillId="14" borderId="0" xfId="185" applyFont="1" applyFill="1">
      <alignment vertical="center"/>
    </xf>
    <xf numFmtId="0" fontId="97" fillId="14" borderId="0" xfId="185" applyFont="1" applyFill="1" applyProtection="1">
      <alignment vertical="center"/>
      <protection locked="0"/>
    </xf>
    <xf numFmtId="0" fontId="103" fillId="14" borderId="0" xfId="185" applyFont="1" applyFill="1" applyAlignment="1">
      <alignment vertical="center" wrapText="1"/>
    </xf>
    <xf numFmtId="0" fontId="102" fillId="14" borderId="0" xfId="185" applyFont="1" applyFill="1" applyAlignment="1">
      <alignment vertical="center" wrapText="1"/>
    </xf>
    <xf numFmtId="0" fontId="97" fillId="14" borderId="0" xfId="185" applyFont="1" applyFill="1" applyAlignment="1">
      <alignment vertical="center" wrapText="1"/>
    </xf>
    <xf numFmtId="0" fontId="97" fillId="0" borderId="7" xfId="161" applyFont="1" applyBorder="1">
      <alignment vertical="center"/>
    </xf>
    <xf numFmtId="185" fontId="106" fillId="19" borderId="0" xfId="161" quotePrefix="1" applyNumberFormat="1" applyFont="1" applyFill="1">
      <alignment vertical="center"/>
    </xf>
    <xf numFmtId="0" fontId="125" fillId="35" borderId="0" xfId="161" applyFont="1" applyFill="1">
      <alignment vertical="center"/>
    </xf>
    <xf numFmtId="0" fontId="120" fillId="0" borderId="0" xfId="161" applyFont="1">
      <alignment vertical="center"/>
    </xf>
    <xf numFmtId="0" fontId="120" fillId="0" borderId="0" xfId="161" quotePrefix="1" applyFont="1">
      <alignment vertical="center"/>
    </xf>
    <xf numFmtId="0" fontId="109" fillId="0" borderId="0" xfId="161" applyFont="1" applyAlignment="1">
      <alignment vertical="top"/>
    </xf>
    <xf numFmtId="0" fontId="109" fillId="0" borderId="0" xfId="161" applyFont="1">
      <alignment vertical="center"/>
    </xf>
    <xf numFmtId="0" fontId="97" fillId="31" borderId="0" xfId="187" applyFont="1" applyFill="1">
      <alignment vertical="center"/>
    </xf>
    <xf numFmtId="0" fontId="97" fillId="0" borderId="0" xfId="187" applyFont="1">
      <alignment vertical="center"/>
    </xf>
    <xf numFmtId="0" fontId="103" fillId="0" borderId="0" xfId="187" applyFont="1">
      <alignment vertical="center"/>
    </xf>
    <xf numFmtId="0" fontId="121" fillId="0" borderId="0" xfId="187" applyFont="1">
      <alignment vertical="center"/>
    </xf>
    <xf numFmtId="0" fontId="122" fillId="0" borderId="0" xfId="187" applyFont="1">
      <alignment vertical="center"/>
    </xf>
    <xf numFmtId="0" fontId="123" fillId="0" borderId="0" xfId="187" applyFont="1">
      <alignment vertical="center"/>
    </xf>
    <xf numFmtId="0" fontId="124" fillId="31" borderId="0" xfId="187" applyFont="1" applyFill="1">
      <alignment vertical="center"/>
    </xf>
    <xf numFmtId="0" fontId="97" fillId="0" borderId="3" xfId="187" applyFont="1" applyBorder="1" applyAlignment="1">
      <alignment vertical="center" shrinkToFit="1"/>
    </xf>
    <xf numFmtId="0" fontId="103" fillId="0" borderId="6" xfId="187" applyFont="1" applyBorder="1">
      <alignment vertical="center"/>
    </xf>
    <xf numFmtId="0" fontId="103" fillId="31" borderId="0" xfId="184" applyFont="1" applyFill="1">
      <alignment vertical="center"/>
    </xf>
    <xf numFmtId="0" fontId="103" fillId="0" borderId="0" xfId="184" applyFont="1">
      <alignment vertical="center"/>
    </xf>
    <xf numFmtId="0" fontId="105" fillId="14" borderId="0" xfId="184" applyFont="1" applyFill="1">
      <alignment vertical="center"/>
    </xf>
    <xf numFmtId="0" fontId="114" fillId="14" borderId="0" xfId="184" applyFont="1" applyFill="1">
      <alignment vertical="center"/>
    </xf>
    <xf numFmtId="0" fontId="103" fillId="14" borderId="0" xfId="184" applyFont="1" applyFill="1" applyAlignment="1">
      <alignment vertical="center" wrapText="1"/>
    </xf>
    <xf numFmtId="0" fontId="102" fillId="14" borderId="0" xfId="184" applyFont="1" applyFill="1" applyAlignment="1">
      <alignment vertical="center" wrapText="1"/>
    </xf>
    <xf numFmtId="0" fontId="111" fillId="14" borderId="15" xfId="0" applyFont="1" applyFill="1" applyBorder="1">
      <alignment vertical="center"/>
    </xf>
    <xf numFmtId="0" fontId="102" fillId="0" borderId="12" xfId="0" applyFont="1" applyBorder="1">
      <alignment vertical="center"/>
    </xf>
    <xf numFmtId="0" fontId="102" fillId="31" borderId="12" xfId="0" applyFont="1" applyFill="1" applyBorder="1">
      <alignment vertical="center"/>
    </xf>
    <xf numFmtId="0" fontId="102" fillId="31" borderId="12" xfId="0" applyFont="1" applyFill="1" applyBorder="1" applyAlignment="1">
      <alignment horizontal="left" vertical="center"/>
    </xf>
    <xf numFmtId="0" fontId="111" fillId="14" borderId="12" xfId="0" applyFont="1" applyFill="1" applyBorder="1">
      <alignment vertical="center"/>
    </xf>
    <xf numFmtId="0" fontId="75" fillId="14" borderId="12" xfId="0" applyFont="1" applyFill="1" applyBorder="1">
      <alignment vertical="center"/>
    </xf>
    <xf numFmtId="0" fontId="75" fillId="14" borderId="13" xfId="0" applyFont="1" applyFill="1" applyBorder="1">
      <alignment vertical="center"/>
    </xf>
    <xf numFmtId="0" fontId="102" fillId="0" borderId="70" xfId="0" applyFont="1" applyBorder="1">
      <alignment vertical="center"/>
    </xf>
    <xf numFmtId="0" fontId="75" fillId="14" borderId="71" xfId="0" applyFont="1" applyFill="1" applyBorder="1">
      <alignment vertical="center"/>
    </xf>
    <xf numFmtId="0" fontId="111" fillId="14" borderId="70" xfId="0" applyFont="1" applyFill="1" applyBorder="1">
      <alignment vertical="center"/>
    </xf>
    <xf numFmtId="0" fontId="111" fillId="14" borderId="7" xfId="0" applyFont="1" applyFill="1" applyBorder="1">
      <alignment vertical="center"/>
    </xf>
    <xf numFmtId="0" fontId="111" fillId="14" borderId="8" xfId="0" applyFont="1" applyFill="1" applyBorder="1">
      <alignment vertical="center"/>
    </xf>
    <xf numFmtId="0" fontId="75" fillId="14" borderId="8" xfId="0" applyFont="1" applyFill="1" applyBorder="1">
      <alignment vertical="center"/>
    </xf>
    <xf numFmtId="0" fontId="75" fillId="14" borderId="14" xfId="0" applyFont="1" applyFill="1" applyBorder="1">
      <alignment vertical="center"/>
    </xf>
    <xf numFmtId="0" fontId="21" fillId="0" borderId="0" xfId="48" applyFont="1" applyAlignment="1">
      <alignment horizontal="center" vertical="center" wrapText="1"/>
    </xf>
    <xf numFmtId="0" fontId="21" fillId="0" borderId="0" xfId="48" applyFont="1" applyAlignment="1">
      <alignment horizontal="center" vertical="center"/>
    </xf>
    <xf numFmtId="14" fontId="83" fillId="14" borderId="0" xfId="48" applyNumberFormat="1" applyFont="1" applyFill="1" applyAlignment="1">
      <alignment horizontal="center" vertical="center"/>
    </xf>
    <xf numFmtId="0" fontId="83" fillId="14" borderId="0" xfId="48" applyFont="1" applyFill="1" applyAlignment="1">
      <alignment horizontal="center" vertical="center"/>
    </xf>
    <xf numFmtId="0" fontId="17" fillId="0" borderId="3" xfId="48" applyFont="1" applyBorder="1" applyAlignment="1">
      <alignment horizontal="center"/>
    </xf>
    <xf numFmtId="0" fontId="17" fillId="14" borderId="0" xfId="48" applyFont="1" applyFill="1" applyAlignment="1">
      <alignment horizontal="center"/>
    </xf>
    <xf numFmtId="0" fontId="20" fillId="12" borderId="3" xfId="48" applyFont="1" applyFill="1" applyBorder="1" applyAlignment="1">
      <alignment horizontal="left" vertical="center"/>
    </xf>
    <xf numFmtId="0" fontId="21" fillId="0" borderId="3" xfId="48" applyFont="1" applyBorder="1" applyAlignment="1">
      <alignment horizontal="center" vertical="center"/>
    </xf>
    <xf numFmtId="0" fontId="21" fillId="0" borderId="3" xfId="48" applyFont="1" applyBorder="1" applyAlignment="1">
      <alignment horizontal="left" vertical="center"/>
    </xf>
    <xf numFmtId="14" fontId="21" fillId="0" borderId="3" xfId="48" applyNumberFormat="1" applyFont="1" applyBorder="1" applyAlignment="1">
      <alignment horizontal="center" vertical="center"/>
    </xf>
    <xf numFmtId="0" fontId="15" fillId="16" borderId="10" xfId="50" applyFill="1" applyBorder="1" applyAlignment="1">
      <alignment horizontal="center" vertical="center"/>
    </xf>
    <xf numFmtId="0" fontId="15" fillId="16" borderId="17" xfId="50" applyFill="1" applyBorder="1" applyAlignment="1">
      <alignment horizontal="center" vertical="center"/>
    </xf>
    <xf numFmtId="0" fontId="15" fillId="16" borderId="3" xfId="50" applyFill="1" applyBorder="1" applyAlignment="1">
      <alignment horizontal="left" vertical="center"/>
    </xf>
    <xf numFmtId="0" fontId="20" fillId="12" borderId="10" xfId="48" applyFont="1" applyFill="1" applyBorder="1" applyAlignment="1">
      <alignment horizontal="left" vertical="center"/>
    </xf>
    <xf numFmtId="0" fontId="20" fillId="12" borderId="2" xfId="48" applyFont="1" applyFill="1" applyBorder="1" applyAlignment="1">
      <alignment horizontal="left" vertical="center"/>
    </xf>
    <xf numFmtId="0" fontId="20" fillId="12" borderId="17" xfId="48" applyFont="1" applyFill="1" applyBorder="1" applyAlignment="1">
      <alignment horizontal="left" vertical="center"/>
    </xf>
    <xf numFmtId="0" fontId="50" fillId="15" borderId="24" xfId="48" applyFont="1" applyFill="1" applyBorder="1" applyAlignment="1">
      <alignment vertical="center"/>
    </xf>
    <xf numFmtId="0" fontId="20" fillId="12" borderId="3" xfId="48" applyFont="1" applyFill="1" applyBorder="1" applyAlignment="1">
      <alignment vertical="center"/>
    </xf>
    <xf numFmtId="0" fontId="22" fillId="0" borderId="10" xfId="48" applyFont="1" applyBorder="1" applyAlignment="1">
      <alignment vertical="center"/>
    </xf>
    <xf numFmtId="0" fontId="22" fillId="0" borderId="2" xfId="48" applyFont="1" applyBorder="1" applyAlignment="1">
      <alignment vertical="center"/>
    </xf>
    <xf numFmtId="0" fontId="22" fillId="0" borderId="17" xfId="48" applyFont="1" applyBorder="1" applyAlignment="1">
      <alignment vertical="center"/>
    </xf>
    <xf numFmtId="0" fontId="54" fillId="14" borderId="15" xfId="0" applyFont="1" applyFill="1" applyBorder="1" applyAlignment="1">
      <alignment vertical="center" wrapText="1"/>
    </xf>
    <xf numFmtId="0" fontId="54" fillId="14" borderId="12" xfId="0" applyFont="1" applyFill="1" applyBorder="1" applyAlignment="1">
      <alignment vertical="center" wrapText="1"/>
    </xf>
    <xf numFmtId="0" fontId="54" fillId="14" borderId="13" xfId="0" applyFont="1" applyFill="1" applyBorder="1" applyAlignment="1">
      <alignment vertical="center" wrapText="1"/>
    </xf>
    <xf numFmtId="0" fontId="54" fillId="14" borderId="7" xfId="0" applyFont="1" applyFill="1" applyBorder="1" applyAlignment="1">
      <alignment vertical="center" wrapText="1"/>
    </xf>
    <xf numFmtId="0" fontId="54" fillId="14" borderId="8" xfId="0" applyFont="1" applyFill="1" applyBorder="1" applyAlignment="1">
      <alignment vertical="center" wrapText="1"/>
    </xf>
    <xf numFmtId="0" fontId="54" fillId="14" borderId="14" xfId="0" applyFont="1" applyFill="1" applyBorder="1" applyAlignment="1">
      <alignment vertical="center" wrapText="1"/>
    </xf>
    <xf numFmtId="0" fontId="20" fillId="15" borderId="25" xfId="48" applyFont="1" applyFill="1" applyBorder="1" applyAlignment="1">
      <alignment vertical="center"/>
    </xf>
    <xf numFmtId="0" fontId="21" fillId="0" borderId="3" xfId="48" applyFont="1" applyBorder="1" applyAlignment="1">
      <alignment vertical="center"/>
    </xf>
    <xf numFmtId="0" fontId="54" fillId="14" borderId="3" xfId="0" applyFont="1" applyFill="1" applyBorder="1">
      <alignment vertical="center"/>
    </xf>
    <xf numFmtId="0" fontId="19" fillId="15" borderId="23" xfId="48" applyFont="1" applyFill="1" applyBorder="1" applyAlignment="1">
      <alignment vertical="center"/>
    </xf>
    <xf numFmtId="0" fontId="56" fillId="17" borderId="8" xfId="0" applyFont="1" applyFill="1" applyBorder="1" applyAlignment="1">
      <alignment horizontal="center" vertical="center"/>
    </xf>
    <xf numFmtId="0" fontId="54" fillId="14" borderId="3" xfId="0" applyFont="1" applyFill="1" applyBorder="1" applyAlignment="1">
      <alignment vertical="center" wrapText="1"/>
    </xf>
    <xf numFmtId="0" fontId="54" fillId="0" borderId="15" xfId="0" applyFont="1" applyBorder="1" applyAlignment="1">
      <alignment horizontal="center" vertical="center"/>
    </xf>
    <xf numFmtId="0" fontId="54" fillId="0" borderId="13" xfId="0" applyFont="1" applyBorder="1" applyAlignment="1">
      <alignment horizontal="center" vertical="center"/>
    </xf>
    <xf numFmtId="0" fontId="54" fillId="0" borderId="3" xfId="0" applyFont="1" applyBorder="1" applyAlignment="1">
      <alignment horizontal="center" vertical="center"/>
    </xf>
    <xf numFmtId="0" fontId="0" fillId="0" borderId="3" xfId="0" applyBorder="1" applyAlignment="1">
      <alignment horizontal="center" vertical="center"/>
    </xf>
    <xf numFmtId="0" fontId="54" fillId="0" borderId="23" xfId="0" applyFont="1" applyBorder="1" applyAlignment="1">
      <alignment horizontal="center" vertical="center"/>
    </xf>
    <xf numFmtId="0" fontId="54" fillId="0" borderId="3" xfId="0" applyFont="1" applyBorder="1">
      <alignment vertical="center"/>
    </xf>
    <xf numFmtId="0" fontId="54" fillId="0" borderId="3" xfId="0" applyFont="1" applyBorder="1" applyAlignment="1">
      <alignment vertical="center" wrapText="1"/>
    </xf>
    <xf numFmtId="0" fontId="54" fillId="0" borderId="23" xfId="0" applyFont="1" applyBorder="1">
      <alignment vertical="center"/>
    </xf>
    <xf numFmtId="0" fontId="54" fillId="0" borderId="10" xfId="0" applyFont="1" applyBorder="1" applyAlignment="1">
      <alignment vertical="center" wrapText="1"/>
    </xf>
    <xf numFmtId="0" fontId="54" fillId="0" borderId="2" xfId="0" applyFont="1" applyBorder="1">
      <alignment vertical="center"/>
    </xf>
    <xf numFmtId="0" fontId="54" fillId="0" borderId="17" xfId="0" applyFont="1" applyBorder="1">
      <alignment vertical="center"/>
    </xf>
    <xf numFmtId="0" fontId="0" fillId="0" borderId="3" xfId="0" applyBorder="1">
      <alignment vertical="center"/>
    </xf>
    <xf numFmtId="14" fontId="54" fillId="0" borderId="3" xfId="0" applyNumberFormat="1" applyFont="1" applyBorder="1" applyAlignment="1">
      <alignment horizontal="center" vertical="center"/>
    </xf>
    <xf numFmtId="14" fontId="21" fillId="0" borderId="3" xfId="50" applyNumberFormat="1" applyFont="1" applyBorder="1" applyAlignment="1">
      <alignment horizontal="center" vertical="center"/>
    </xf>
    <xf numFmtId="0" fontId="21" fillId="0" borderId="3" xfId="50" applyFont="1" applyBorder="1" applyAlignment="1">
      <alignment horizontal="center" vertical="center"/>
    </xf>
    <xf numFmtId="14" fontId="21" fillId="0" borderId="10" xfId="50" applyNumberFormat="1" applyFont="1" applyBorder="1" applyAlignment="1">
      <alignment horizontal="center" vertical="center"/>
    </xf>
    <xf numFmtId="14" fontId="21" fillId="0" borderId="2" xfId="50" applyNumberFormat="1" applyFont="1" applyBorder="1" applyAlignment="1">
      <alignment horizontal="center" vertical="center"/>
    </xf>
    <xf numFmtId="14" fontId="21" fillId="0" borderId="17" xfId="50" applyNumberFormat="1" applyFont="1" applyBorder="1" applyAlignment="1">
      <alignment horizontal="center" vertical="center"/>
    </xf>
    <xf numFmtId="14" fontId="54" fillId="0" borderId="23" xfId="0" applyNumberFormat="1" applyFont="1" applyBorder="1" applyAlignment="1">
      <alignment horizontal="center" vertical="center"/>
    </xf>
    <xf numFmtId="0" fontId="22" fillId="0" borderId="3" xfId="48" applyFont="1" applyBorder="1" applyAlignment="1">
      <alignment vertical="center"/>
    </xf>
    <xf numFmtId="0" fontId="52" fillId="13" borderId="10" xfId="49" applyFont="1" applyFill="1" applyBorder="1" applyAlignment="1">
      <alignment horizontal="center" vertical="center"/>
    </xf>
    <xf numFmtId="0" fontId="52" fillId="13" borderId="2" xfId="49" applyFont="1" applyFill="1" applyBorder="1" applyAlignment="1">
      <alignment horizontal="center" vertical="center"/>
    </xf>
    <xf numFmtId="0" fontId="52" fillId="13" borderId="17" xfId="49" applyFont="1" applyFill="1" applyBorder="1" applyAlignment="1">
      <alignment horizontal="center" vertical="center"/>
    </xf>
    <xf numFmtId="0" fontId="21" fillId="10" borderId="10" xfId="46" applyFont="1" applyFill="1" applyBorder="1" applyAlignment="1">
      <alignment horizontal="center"/>
    </xf>
    <xf numFmtId="0" fontId="21" fillId="10" borderId="17" xfId="46" applyFont="1" applyFill="1" applyBorder="1" applyAlignment="1">
      <alignment horizontal="center"/>
    </xf>
    <xf numFmtId="0" fontId="104" fillId="0" borderId="52" xfId="161" quotePrefix="1" applyFont="1" applyBorder="1" applyAlignment="1">
      <alignment horizontal="center" vertical="center"/>
    </xf>
    <xf numFmtId="0" fontId="127" fillId="37" borderId="15" xfId="0" applyFont="1" applyFill="1" applyBorder="1" applyAlignment="1">
      <alignment horizontal="center" vertical="center"/>
    </xf>
    <xf numFmtId="0" fontId="127" fillId="37" borderId="12" xfId="0" applyFont="1" applyFill="1" applyBorder="1" applyAlignment="1">
      <alignment horizontal="center" vertical="center"/>
    </xf>
    <xf numFmtId="0" fontId="127" fillId="37" borderId="13" xfId="0" applyFont="1" applyFill="1" applyBorder="1" applyAlignment="1">
      <alignment horizontal="center" vertical="center"/>
    </xf>
    <xf numFmtId="0" fontId="97" fillId="0" borderId="0" xfId="184" applyFont="1" applyAlignment="1" applyProtection="1">
      <alignment horizontal="left" vertical="center" wrapText="1"/>
      <protection locked="0"/>
    </xf>
    <xf numFmtId="0" fontId="97" fillId="0" borderId="10" xfId="185" applyFont="1" applyBorder="1" applyAlignment="1">
      <alignment horizontal="left" vertical="center" wrapText="1"/>
    </xf>
    <xf numFmtId="0" fontId="97" fillId="0" borderId="2" xfId="185" applyFont="1" applyBorder="1" applyAlignment="1">
      <alignment horizontal="left" vertical="center" wrapText="1"/>
    </xf>
    <xf numFmtId="0" fontId="97" fillId="0" borderId="17" xfId="185" applyFont="1" applyBorder="1" applyAlignment="1">
      <alignment horizontal="left" vertical="center" wrapText="1"/>
    </xf>
    <xf numFmtId="0" fontId="97" fillId="0" borderId="10" xfId="45" applyFont="1" applyBorder="1" applyAlignment="1">
      <alignment horizontal="left" vertical="center" wrapText="1"/>
    </xf>
    <xf numFmtId="0" fontId="97" fillId="0" borderId="54" xfId="45" applyFont="1" applyBorder="1" applyAlignment="1">
      <alignment horizontal="left" vertical="center" wrapText="1"/>
    </xf>
    <xf numFmtId="0" fontId="97" fillId="0" borderId="62" xfId="185" applyFont="1" applyBorder="1" applyAlignment="1" applyProtection="1">
      <alignment vertical="center" wrapText="1"/>
      <protection locked="0"/>
    </xf>
    <xf numFmtId="0" fontId="97" fillId="0" borderId="63" xfId="185" applyFont="1" applyBorder="1" applyAlignment="1" applyProtection="1">
      <alignment vertical="center" wrapText="1"/>
      <protection locked="0"/>
    </xf>
    <xf numFmtId="0" fontId="97" fillId="0" borderId="64" xfId="185" applyFont="1" applyBorder="1" applyAlignment="1" applyProtection="1">
      <alignment vertical="center" wrapText="1"/>
      <protection locked="0"/>
    </xf>
    <xf numFmtId="0" fontId="97" fillId="0" borderId="66" xfId="185" applyFont="1" applyBorder="1" applyAlignment="1" applyProtection="1">
      <alignment horizontal="left" vertical="center" wrapText="1"/>
      <protection locked="0"/>
    </xf>
    <xf numFmtId="0" fontId="97" fillId="0" borderId="67" xfId="185" applyFont="1" applyBorder="1" applyAlignment="1" applyProtection="1">
      <alignment horizontal="left" vertical="center" wrapText="1"/>
      <protection locked="0"/>
    </xf>
    <xf numFmtId="0" fontId="97" fillId="0" borderId="65" xfId="185" applyFont="1" applyBorder="1" applyAlignment="1" applyProtection="1">
      <alignment vertical="center" wrapText="1"/>
      <protection locked="0"/>
    </xf>
    <xf numFmtId="0" fontId="97" fillId="0" borderId="66" xfId="185" applyFont="1" applyBorder="1" applyAlignment="1" applyProtection="1">
      <alignment vertical="center" wrapText="1"/>
      <protection locked="0"/>
    </xf>
    <xf numFmtId="0" fontId="97" fillId="0" borderId="67" xfId="185" applyFont="1" applyBorder="1" applyAlignment="1" applyProtection="1">
      <alignment vertical="center" wrapText="1"/>
      <protection locked="0"/>
    </xf>
    <xf numFmtId="0" fontId="97" fillId="0" borderId="65" xfId="45" applyFont="1" applyBorder="1" applyAlignment="1">
      <alignment horizontal="center" vertical="center"/>
    </xf>
    <xf numFmtId="0" fontId="97" fillId="0" borderId="66" xfId="45" applyFont="1" applyBorder="1" applyAlignment="1">
      <alignment horizontal="center" vertical="center"/>
    </xf>
    <xf numFmtId="0" fontId="97" fillId="0" borderId="67" xfId="45" applyFont="1" applyBorder="1" applyAlignment="1">
      <alignment horizontal="center" vertical="center"/>
    </xf>
    <xf numFmtId="0" fontId="97" fillId="0" borderId="58" xfId="45" applyFont="1" applyBorder="1" applyAlignment="1" applyProtection="1">
      <alignment horizontal="center" vertical="center" wrapText="1"/>
      <protection locked="0"/>
    </xf>
    <xf numFmtId="0" fontId="97" fillId="0" borderId="54" xfId="45" applyFont="1" applyBorder="1" applyAlignment="1" applyProtection="1">
      <alignment horizontal="center" vertical="center" wrapText="1"/>
      <protection locked="0"/>
    </xf>
    <xf numFmtId="0" fontId="97" fillId="0" borderId="58" xfId="185" applyFont="1" applyBorder="1" applyAlignment="1">
      <alignment vertical="center" wrapText="1"/>
    </xf>
    <xf numFmtId="0" fontId="97" fillId="0" borderId="2" xfId="185" applyFont="1" applyBorder="1" applyAlignment="1">
      <alignment vertical="center" wrapText="1"/>
    </xf>
    <xf numFmtId="0" fontId="97" fillId="0" borderId="54" xfId="185" applyFont="1" applyBorder="1" applyAlignment="1">
      <alignment vertical="center" wrapText="1"/>
    </xf>
    <xf numFmtId="0" fontId="97" fillId="0" borderId="58" xfId="185" applyFont="1" applyBorder="1" applyAlignment="1">
      <alignment horizontal="left" vertical="center" wrapText="1"/>
    </xf>
    <xf numFmtId="0" fontId="97" fillId="0" borderId="54" xfId="185" applyFont="1" applyBorder="1" applyAlignment="1">
      <alignment horizontal="left" vertical="center" wrapText="1"/>
    </xf>
    <xf numFmtId="0" fontId="97" fillId="0" borderId="58" xfId="184" applyFont="1" applyBorder="1" applyAlignment="1">
      <alignment horizontal="left" vertical="center" wrapText="1"/>
    </xf>
    <xf numFmtId="0" fontId="97" fillId="0" borderId="2" xfId="184" applyFont="1" applyBorder="1" applyAlignment="1">
      <alignment horizontal="left" vertical="center" wrapText="1"/>
    </xf>
    <xf numFmtId="0" fontId="97" fillId="0" borderId="58" xfId="45" applyFont="1" applyBorder="1" applyAlignment="1">
      <alignment vertical="center" wrapText="1"/>
    </xf>
    <xf numFmtId="0" fontId="97" fillId="0" borderId="2" xfId="45" applyFont="1" applyBorder="1" applyAlignment="1">
      <alignment vertical="center" wrapText="1"/>
    </xf>
    <xf numFmtId="0" fontId="97" fillId="0" borderId="54" xfId="45" applyFont="1" applyBorder="1" applyAlignment="1">
      <alignment vertical="center" wrapText="1"/>
    </xf>
    <xf numFmtId="49" fontId="97" fillId="0" borderId="10" xfId="45" applyNumberFormat="1" applyFont="1" applyBorder="1" applyAlignment="1">
      <alignment horizontal="left" vertical="center" wrapText="1"/>
    </xf>
    <xf numFmtId="49" fontId="97" fillId="0" borderId="54" xfId="45" applyNumberFormat="1" applyFont="1" applyBorder="1" applyAlignment="1">
      <alignment horizontal="left" vertical="center" wrapText="1"/>
    </xf>
    <xf numFmtId="0" fontId="97" fillId="0" borderId="59" xfId="185" applyFont="1" applyBorder="1" applyAlignment="1" applyProtection="1">
      <alignment vertical="center" wrapText="1"/>
      <protection locked="0"/>
    </xf>
    <xf numFmtId="0" fontId="97" fillId="0" borderId="60" xfId="185" applyFont="1" applyBorder="1" applyAlignment="1" applyProtection="1">
      <alignment vertical="center" wrapText="1"/>
      <protection locked="0"/>
    </xf>
    <xf numFmtId="0" fontId="97" fillId="0" borderId="61" xfId="185" applyFont="1" applyBorder="1" applyAlignment="1" applyProtection="1">
      <alignment vertical="center" wrapText="1"/>
      <protection locked="0"/>
    </xf>
    <xf numFmtId="0" fontId="97" fillId="0" borderId="59" xfId="45" applyFont="1" applyBorder="1" applyAlignment="1">
      <alignment horizontal="center" vertical="center"/>
    </xf>
    <xf numFmtId="0" fontId="97" fillId="0" borderId="60" xfId="45" applyFont="1" applyBorder="1" applyAlignment="1">
      <alignment horizontal="center" vertical="center"/>
    </xf>
    <xf numFmtId="0" fontId="97" fillId="0" borderId="61" xfId="45" applyFont="1" applyBorder="1" applyAlignment="1">
      <alignment horizontal="center" vertical="center"/>
    </xf>
    <xf numFmtId="0" fontId="97" fillId="0" borderId="58" xfId="185" applyFont="1" applyBorder="1" applyAlignment="1" applyProtection="1">
      <alignment vertical="center" wrapText="1"/>
      <protection locked="0"/>
    </xf>
    <xf numFmtId="0" fontId="97" fillId="0" borderId="2" xfId="185" applyFont="1" applyBorder="1" applyAlignment="1" applyProtection="1">
      <alignment vertical="center" wrapText="1"/>
      <protection locked="0"/>
    </xf>
    <xf numFmtId="0" fontId="97" fillId="0" borderId="54" xfId="185" applyFont="1" applyBorder="1" applyAlignment="1" applyProtection="1">
      <alignment vertical="center" wrapText="1"/>
      <protection locked="0"/>
    </xf>
    <xf numFmtId="0" fontId="97" fillId="0" borderId="58" xfId="45" applyFont="1" applyBorder="1" applyAlignment="1">
      <alignment horizontal="center" vertical="center"/>
    </xf>
    <xf numFmtId="0" fontId="97" fillId="0" borderId="2" xfId="45" applyFont="1" applyBorder="1" applyAlignment="1">
      <alignment horizontal="center" vertical="center"/>
    </xf>
    <xf numFmtId="0" fontId="97" fillId="0" borderId="54" xfId="45" applyFont="1" applyBorder="1" applyAlignment="1">
      <alignment horizontal="center" vertical="center"/>
    </xf>
    <xf numFmtId="0" fontId="97" fillId="0" borderId="58" xfId="185" applyFont="1" applyBorder="1" applyAlignment="1" applyProtection="1">
      <alignment horizontal="left" vertical="center" wrapText="1"/>
      <protection locked="0"/>
    </xf>
    <xf numFmtId="0" fontId="97" fillId="0" borderId="2" xfId="185" applyFont="1" applyBorder="1" applyAlignment="1" applyProtection="1">
      <alignment horizontal="left" vertical="center" wrapText="1"/>
      <protection locked="0"/>
    </xf>
    <xf numFmtId="0" fontId="97" fillId="0" borderId="54" xfId="185" applyFont="1" applyBorder="1" applyAlignment="1" applyProtection="1">
      <alignment horizontal="left" vertical="center" wrapText="1"/>
      <protection locked="0"/>
    </xf>
    <xf numFmtId="0" fontId="97" fillId="0" borderId="10" xfId="185" applyFont="1" applyBorder="1" applyAlignment="1" applyProtection="1">
      <alignment horizontal="left" vertical="center" wrapText="1"/>
      <protection locked="0"/>
    </xf>
    <xf numFmtId="0" fontId="97" fillId="0" borderId="17" xfId="185" applyFont="1" applyBorder="1" applyAlignment="1" applyProtection="1">
      <alignment horizontal="left" vertical="center" wrapText="1"/>
      <protection locked="0"/>
    </xf>
    <xf numFmtId="0" fontId="97" fillId="0" borderId="2" xfId="45" applyFont="1" applyBorder="1" applyAlignment="1">
      <alignment horizontal="left" vertical="center" wrapText="1"/>
    </xf>
    <xf numFmtId="0" fontId="97" fillId="0" borderId="17" xfId="45" applyFont="1" applyBorder="1" applyAlignment="1">
      <alignment horizontal="left" vertical="center" wrapText="1"/>
    </xf>
    <xf numFmtId="0" fontId="97" fillId="0" borderId="58" xfId="185" applyFont="1" applyBorder="1" applyAlignment="1">
      <alignment horizontal="center" vertical="center" wrapText="1"/>
    </xf>
    <xf numFmtId="0" fontId="97" fillId="0" borderId="2" xfId="185" applyFont="1" applyBorder="1" applyAlignment="1">
      <alignment horizontal="center" vertical="center" wrapText="1"/>
    </xf>
    <xf numFmtId="0" fontId="97" fillId="0" borderId="54" xfId="185" applyFont="1" applyBorder="1" applyAlignment="1">
      <alignment horizontal="center" vertical="center" wrapText="1"/>
    </xf>
    <xf numFmtId="0" fontId="97" fillId="0" borderId="62" xfId="45" applyFont="1" applyBorder="1" applyAlignment="1">
      <alignment horizontal="center" vertical="center"/>
    </xf>
    <xf numFmtId="0" fontId="97" fillId="0" borderId="63" xfId="45" applyFont="1" applyBorder="1" applyAlignment="1">
      <alignment horizontal="center" vertical="center"/>
    </xf>
    <xf numFmtId="0" fontId="97" fillId="0" borderId="64" xfId="45" applyFont="1" applyBorder="1" applyAlignment="1">
      <alignment horizontal="center" vertical="center"/>
    </xf>
    <xf numFmtId="0" fontId="97" fillId="0" borderId="55" xfId="185" applyFont="1" applyBorder="1" applyAlignment="1" applyProtection="1">
      <alignment vertical="center" wrapText="1"/>
      <protection locked="0"/>
    </xf>
    <xf numFmtId="0" fontId="97" fillId="0" borderId="56" xfId="185" applyFont="1" applyBorder="1" applyAlignment="1" applyProtection="1">
      <alignment vertical="center" wrapText="1"/>
      <protection locked="0"/>
    </xf>
    <xf numFmtId="0" fontId="97" fillId="0" borderId="57" xfId="185" applyFont="1" applyBorder="1" applyAlignment="1" applyProtection="1">
      <alignment vertical="center" wrapText="1"/>
      <protection locked="0"/>
    </xf>
    <xf numFmtId="0" fontId="97" fillId="0" borderId="62" xfId="45" applyFont="1" applyBorder="1" applyAlignment="1" applyProtection="1">
      <alignment vertical="center" wrapText="1"/>
      <protection locked="0"/>
    </xf>
    <xf numFmtId="0" fontId="97" fillId="0" borderId="63" xfId="45" applyFont="1" applyBorder="1" applyAlignment="1" applyProtection="1">
      <alignment vertical="center" wrapText="1"/>
      <protection locked="0"/>
    </xf>
    <xf numFmtId="0" fontId="97" fillId="0" borderId="68" xfId="45" applyFont="1" applyBorder="1" applyAlignment="1" applyProtection="1">
      <alignment vertical="center" wrapText="1"/>
      <protection locked="0"/>
    </xf>
    <xf numFmtId="0" fontId="97" fillId="0" borderId="3" xfId="45" applyFont="1" applyBorder="1" applyAlignment="1" applyProtection="1">
      <alignment horizontal="left" vertical="center" wrapText="1"/>
      <protection locked="0"/>
    </xf>
    <xf numFmtId="0" fontId="97" fillId="0" borderId="58" xfId="45" applyFont="1" applyBorder="1" applyAlignment="1" applyProtection="1">
      <alignment vertical="center" wrapText="1"/>
      <protection locked="0"/>
    </xf>
    <xf numFmtId="0" fontId="97" fillId="0" borderId="2" xfId="45" applyFont="1" applyBorder="1" applyAlignment="1" applyProtection="1">
      <alignment vertical="center" wrapText="1"/>
      <protection locked="0"/>
    </xf>
    <xf numFmtId="0" fontId="97" fillId="0" borderId="54" xfId="45" applyFont="1" applyBorder="1" applyAlignment="1" applyProtection="1">
      <alignment vertical="center" wrapText="1"/>
      <protection locked="0"/>
    </xf>
    <xf numFmtId="0" fontId="97" fillId="0" borderId="58" xfId="185" applyFont="1" applyBorder="1" applyAlignment="1" applyProtection="1">
      <alignment horizontal="center" vertical="center" wrapText="1"/>
      <protection locked="0"/>
    </xf>
    <xf numFmtId="0" fontId="97" fillId="0" borderId="2" xfId="185" applyFont="1" applyBorder="1" applyAlignment="1" applyProtection="1">
      <alignment horizontal="center" vertical="center" wrapText="1"/>
      <protection locked="0"/>
    </xf>
    <xf numFmtId="0" fontId="97" fillId="0" borderId="54" xfId="185" applyFont="1" applyBorder="1" applyAlignment="1" applyProtection="1">
      <alignment horizontal="center" vertical="center" wrapText="1"/>
      <protection locked="0"/>
    </xf>
    <xf numFmtId="0" fontId="97" fillId="0" borderId="69" xfId="45" applyFont="1" applyBorder="1" applyAlignment="1" applyProtection="1">
      <alignment vertical="center" wrapText="1"/>
      <protection locked="0"/>
    </xf>
    <xf numFmtId="0" fontId="97" fillId="0" borderId="64" xfId="45" applyFont="1" applyBorder="1" applyAlignment="1" applyProtection="1">
      <alignment vertical="center" wrapText="1"/>
      <protection locked="0"/>
    </xf>
    <xf numFmtId="0" fontId="105" fillId="33" borderId="23" xfId="185" applyFont="1" applyFill="1" applyBorder="1" applyAlignment="1">
      <alignment horizontal="center" vertical="center"/>
    </xf>
    <xf numFmtId="0" fontId="105" fillId="34" borderId="3" xfId="185" applyFont="1" applyFill="1" applyBorder="1" applyAlignment="1">
      <alignment horizontal="center" vertical="center"/>
    </xf>
    <xf numFmtId="0" fontId="97" fillId="34" borderId="3" xfId="185" applyFont="1" applyFill="1" applyBorder="1" applyAlignment="1">
      <alignment horizontal="center" vertical="center"/>
    </xf>
    <xf numFmtId="0" fontId="105" fillId="32" borderId="3" xfId="185" applyFont="1" applyFill="1" applyBorder="1" applyAlignment="1">
      <alignment horizontal="center" vertical="center" wrapText="1"/>
    </xf>
    <xf numFmtId="0" fontId="105" fillId="32" borderId="3" xfId="185" applyFont="1" applyFill="1" applyBorder="1" applyAlignment="1">
      <alignment horizontal="center" vertical="center"/>
    </xf>
    <xf numFmtId="0" fontId="105" fillId="32" borderId="15" xfId="185" applyFont="1" applyFill="1" applyBorder="1" applyAlignment="1">
      <alignment horizontal="center" vertical="center" wrapText="1"/>
    </xf>
    <xf numFmtId="0" fontId="105" fillId="32" borderId="12" xfId="185" applyFont="1" applyFill="1" applyBorder="1" applyAlignment="1">
      <alignment horizontal="center" vertical="center" wrapText="1"/>
    </xf>
    <xf numFmtId="0" fontId="105" fillId="32" borderId="13" xfId="185" applyFont="1" applyFill="1" applyBorder="1" applyAlignment="1">
      <alignment horizontal="center" vertical="center" wrapText="1"/>
    </xf>
    <xf numFmtId="0" fontId="105" fillId="32" borderId="7" xfId="185" applyFont="1" applyFill="1" applyBorder="1" applyAlignment="1">
      <alignment horizontal="center" vertical="center" wrapText="1"/>
    </xf>
    <xf numFmtId="0" fontId="105" fillId="32" borderId="8" xfId="185" applyFont="1" applyFill="1" applyBorder="1" applyAlignment="1">
      <alignment horizontal="center" vertical="center" wrapText="1"/>
    </xf>
    <xf numFmtId="0" fontId="105" fillId="32" borderId="14" xfId="185" applyFont="1" applyFill="1" applyBorder="1" applyAlignment="1">
      <alignment horizontal="center" vertical="center" wrapText="1"/>
    </xf>
    <xf numFmtId="0" fontId="105" fillId="32" borderId="15" xfId="185" applyFont="1" applyFill="1" applyBorder="1" applyAlignment="1">
      <alignment horizontal="center" vertical="center"/>
    </xf>
    <xf numFmtId="0" fontId="105" fillId="32" borderId="13" xfId="185" applyFont="1" applyFill="1" applyBorder="1" applyAlignment="1">
      <alignment horizontal="center" vertical="center"/>
    </xf>
    <xf numFmtId="0" fontId="105" fillId="32" borderId="7" xfId="185" applyFont="1" applyFill="1" applyBorder="1" applyAlignment="1">
      <alignment horizontal="center" vertical="center"/>
    </xf>
    <xf numFmtId="0" fontId="105" fillId="32" borderId="14" xfId="185" applyFont="1" applyFill="1" applyBorder="1" applyAlignment="1">
      <alignment horizontal="center" vertical="center"/>
    </xf>
    <xf numFmtId="0" fontId="105" fillId="34" borderId="3" xfId="185" applyFont="1" applyFill="1" applyBorder="1" applyAlignment="1" applyProtection="1">
      <alignment horizontal="center" vertical="center" wrapText="1"/>
      <protection locked="0"/>
    </xf>
    <xf numFmtId="0" fontId="105" fillId="32" borderId="15" xfId="184" applyFont="1" applyFill="1" applyBorder="1" applyAlignment="1">
      <alignment horizontal="center" vertical="center" wrapText="1"/>
    </xf>
    <xf numFmtId="0" fontId="105" fillId="32" borderId="12" xfId="184" applyFont="1" applyFill="1" applyBorder="1" applyAlignment="1">
      <alignment horizontal="center" vertical="center" wrapText="1"/>
    </xf>
    <xf numFmtId="0" fontId="105" fillId="32" borderId="7" xfId="184" applyFont="1" applyFill="1" applyBorder="1" applyAlignment="1">
      <alignment horizontal="center" vertical="center" wrapText="1"/>
    </xf>
    <xf numFmtId="0" fontId="105" fillId="32" borderId="8" xfId="184" applyFont="1" applyFill="1" applyBorder="1" applyAlignment="1">
      <alignment horizontal="center" vertical="center" wrapText="1"/>
    </xf>
    <xf numFmtId="0" fontId="97" fillId="0" borderId="58" xfId="184" applyFont="1" applyBorder="1" applyAlignment="1" applyProtection="1">
      <alignment horizontal="left" vertical="center" wrapText="1"/>
      <protection locked="0"/>
    </xf>
    <xf numFmtId="0" fontId="97" fillId="0" borderId="2" xfId="184" applyFont="1" applyBorder="1" applyAlignment="1" applyProtection="1">
      <alignment horizontal="left" vertical="center" wrapText="1"/>
      <protection locked="0"/>
    </xf>
    <xf numFmtId="0" fontId="97" fillId="0" borderId="12" xfId="184" applyFont="1" applyBorder="1" applyAlignment="1">
      <alignment horizontal="left" vertical="center" wrapText="1"/>
    </xf>
    <xf numFmtId="0" fontId="97" fillId="0" borderId="0" xfId="184" applyFont="1" applyAlignment="1">
      <alignment horizontal="left" vertical="center" wrapText="1"/>
    </xf>
    <xf numFmtId="0" fontId="105" fillId="32" borderId="3" xfId="187" applyFont="1" applyFill="1" applyBorder="1" applyAlignment="1">
      <alignment horizontal="center" vertical="center" wrapText="1"/>
    </xf>
    <xf numFmtId="0" fontId="105" fillId="32" borderId="3" xfId="187" applyFont="1" applyFill="1" applyBorder="1" applyAlignment="1">
      <alignment horizontal="center" vertical="center"/>
    </xf>
    <xf numFmtId="0" fontId="97" fillId="0" borderId="10" xfId="187" applyFont="1" applyBorder="1" applyAlignment="1">
      <alignment vertical="center" wrapText="1"/>
    </xf>
    <xf numFmtId="0" fontId="97" fillId="0" borderId="2" xfId="187" applyFont="1" applyBorder="1" applyAlignment="1">
      <alignment vertical="center" wrapText="1"/>
    </xf>
    <xf numFmtId="0" fontId="97" fillId="0" borderId="17" xfId="187" applyFont="1" applyBorder="1" applyAlignment="1">
      <alignment vertical="center" wrapText="1"/>
    </xf>
    <xf numFmtId="0" fontId="97" fillId="0" borderId="3" xfId="187" applyFont="1" applyBorder="1" applyAlignment="1">
      <alignment vertical="center" wrapText="1"/>
    </xf>
    <xf numFmtId="0" fontId="105" fillId="33" borderId="3" xfId="187" applyFont="1" applyFill="1" applyBorder="1" applyAlignment="1">
      <alignment horizontal="center" vertical="center"/>
    </xf>
    <xf numFmtId="0" fontId="105" fillId="32" borderId="15" xfId="187" applyFont="1" applyFill="1" applyBorder="1" applyAlignment="1">
      <alignment horizontal="center" vertical="center" wrapText="1"/>
    </xf>
    <xf numFmtId="0" fontId="105" fillId="32" borderId="12" xfId="187" applyFont="1" applyFill="1" applyBorder="1" applyAlignment="1">
      <alignment horizontal="center" vertical="center" wrapText="1"/>
    </xf>
    <xf numFmtId="0" fontId="105" fillId="32" borderId="13" xfId="187" applyFont="1" applyFill="1" applyBorder="1" applyAlignment="1">
      <alignment horizontal="center" vertical="center" wrapText="1"/>
    </xf>
    <xf numFmtId="0" fontId="105" fillId="32" borderId="7" xfId="187" applyFont="1" applyFill="1" applyBorder="1" applyAlignment="1">
      <alignment horizontal="center" vertical="center" wrapText="1"/>
    </xf>
    <xf numFmtId="0" fontId="105" fillId="32" borderId="8" xfId="187" applyFont="1" applyFill="1" applyBorder="1" applyAlignment="1">
      <alignment horizontal="center" vertical="center" wrapText="1"/>
    </xf>
    <xf numFmtId="0" fontId="105" fillId="32" borderId="14" xfId="187" applyFont="1" applyFill="1" applyBorder="1" applyAlignment="1">
      <alignment horizontal="center" vertical="center" wrapText="1"/>
    </xf>
    <xf numFmtId="0" fontId="97" fillId="32" borderId="3" xfId="187" applyFont="1" applyFill="1" applyBorder="1" applyAlignment="1">
      <alignment horizontal="center" vertical="center" wrapText="1"/>
    </xf>
    <xf numFmtId="0" fontId="97" fillId="14" borderId="3" xfId="187" applyFont="1" applyFill="1" applyBorder="1" applyAlignment="1" applyProtection="1">
      <alignment horizontal="center" vertical="center" wrapText="1"/>
      <protection locked="0"/>
    </xf>
    <xf numFmtId="0" fontId="97" fillId="0" borderId="10" xfId="45" applyFont="1" applyBorder="1" applyAlignment="1">
      <alignment vertical="center" wrapText="1"/>
    </xf>
    <xf numFmtId="0" fontId="97" fillId="0" borderId="17" xfId="45" applyFont="1" applyBorder="1" applyAlignment="1">
      <alignment vertical="center" wrapText="1"/>
    </xf>
    <xf numFmtId="0" fontId="97" fillId="0" borderId="10" xfId="187" applyFont="1" applyBorder="1" applyAlignment="1" applyProtection="1">
      <alignment horizontal="left" vertical="center" wrapText="1"/>
      <protection locked="0"/>
    </xf>
    <xf numFmtId="0" fontId="97" fillId="0" borderId="2" xfId="187" applyFont="1" applyBorder="1" applyAlignment="1" applyProtection="1">
      <alignment horizontal="left" vertical="center" wrapText="1"/>
      <protection locked="0"/>
    </xf>
    <xf numFmtId="0" fontId="97" fillId="0" borderId="17" xfId="187" applyFont="1" applyBorder="1" applyAlignment="1" applyProtection="1">
      <alignment horizontal="left" vertical="center" wrapText="1"/>
      <protection locked="0"/>
    </xf>
    <xf numFmtId="0" fontId="97" fillId="0" borderId="10" xfId="187" applyFont="1" applyBorder="1" applyAlignment="1">
      <alignment horizontal="center" vertical="center" wrapText="1"/>
    </xf>
    <xf numFmtId="0" fontId="97" fillId="0" borderId="2" xfId="187" applyFont="1" applyBorder="1" applyAlignment="1">
      <alignment horizontal="center" vertical="center" wrapText="1"/>
    </xf>
    <xf numFmtId="0" fontId="97" fillId="0" borderId="17" xfId="187" applyFont="1" applyBorder="1" applyAlignment="1">
      <alignment horizontal="center" vertical="center" wrapText="1"/>
    </xf>
    <xf numFmtId="0" fontId="105" fillId="32" borderId="10" xfId="187" applyFont="1" applyFill="1" applyBorder="1" applyAlignment="1">
      <alignment horizontal="center" vertical="center"/>
    </xf>
    <xf numFmtId="0" fontId="105" fillId="32" borderId="2" xfId="187" applyFont="1" applyFill="1" applyBorder="1" applyAlignment="1">
      <alignment horizontal="center" vertical="center"/>
    </xf>
    <xf numFmtId="0" fontId="105" fillId="32" borderId="17" xfId="187" applyFont="1" applyFill="1" applyBorder="1" applyAlignment="1">
      <alignment horizontal="center" vertical="center"/>
    </xf>
    <xf numFmtId="0" fontId="113" fillId="0" borderId="3" xfId="187" applyFont="1" applyBorder="1" applyAlignment="1" applyProtection="1">
      <alignment horizontal="center" vertical="center" wrapText="1"/>
      <protection locked="0"/>
    </xf>
    <xf numFmtId="0" fontId="121" fillId="0" borderId="3" xfId="187" applyFont="1" applyBorder="1" applyAlignment="1">
      <alignment vertical="center" wrapText="1"/>
    </xf>
    <xf numFmtId="0" fontId="113" fillId="0" borderId="10" xfId="187" applyFont="1" applyBorder="1" applyAlignment="1" applyProtection="1">
      <alignment horizontal="left" vertical="center" wrapText="1"/>
      <protection locked="0"/>
    </xf>
    <xf numFmtId="0" fontId="113" fillId="0" borderId="2" xfId="187" applyFont="1" applyBorder="1" applyAlignment="1" applyProtection="1">
      <alignment horizontal="left" vertical="center" wrapText="1"/>
      <protection locked="0"/>
    </xf>
    <xf numFmtId="0" fontId="113" fillId="0" borderId="17" xfId="187" applyFont="1" applyBorder="1" applyAlignment="1" applyProtection="1">
      <alignment horizontal="left" vertical="center" wrapText="1"/>
      <protection locked="0"/>
    </xf>
    <xf numFmtId="0" fontId="97" fillId="0" borderId="3" xfId="187" applyFont="1" applyBorder="1" applyAlignment="1">
      <alignment horizontal="center" vertical="center" wrapText="1"/>
    </xf>
    <xf numFmtId="0" fontId="97" fillId="32" borderId="3" xfId="187" applyFont="1" applyFill="1" applyBorder="1" applyAlignment="1">
      <alignment vertical="center" wrapText="1"/>
    </xf>
    <xf numFmtId="0" fontId="113" fillId="14" borderId="3" xfId="187" applyFont="1" applyFill="1" applyBorder="1" applyAlignment="1" applyProtection="1">
      <alignment vertical="center" wrapText="1"/>
      <protection locked="0"/>
    </xf>
    <xf numFmtId="0" fontId="97" fillId="0" borderId="3" xfId="187" applyFont="1" applyBorder="1" applyAlignment="1" applyProtection="1">
      <alignment vertical="center" wrapText="1"/>
      <protection locked="0"/>
    </xf>
    <xf numFmtId="0" fontId="97" fillId="0" borderId="3" xfId="187" applyFont="1" applyBorder="1" applyAlignment="1" applyProtection="1">
      <alignment horizontal="center" vertical="center" wrapText="1"/>
      <protection locked="0"/>
    </xf>
    <xf numFmtId="0" fontId="97" fillId="0" borderId="10" xfId="187" applyFont="1" applyBorder="1" applyAlignment="1" applyProtection="1">
      <alignment horizontal="center" vertical="center" wrapText="1"/>
      <protection locked="0"/>
    </xf>
    <xf numFmtId="0" fontId="97" fillId="0" borderId="2" xfId="187" applyFont="1" applyBorder="1" applyAlignment="1" applyProtection="1">
      <alignment horizontal="center" vertical="center" wrapText="1"/>
      <protection locked="0"/>
    </xf>
    <xf numFmtId="0" fontId="97" fillId="0" borderId="17" xfId="187" applyFont="1" applyBorder="1" applyAlignment="1" applyProtection="1">
      <alignment horizontal="center" vertical="center" wrapText="1"/>
      <protection locked="0"/>
    </xf>
    <xf numFmtId="0" fontId="123" fillId="0" borderId="3" xfId="187" applyFont="1" applyBorder="1" applyAlignment="1">
      <alignment vertical="center" wrapText="1"/>
    </xf>
    <xf numFmtId="0" fontId="97" fillId="0" borderId="10" xfId="187" quotePrefix="1" applyFont="1" applyBorder="1" applyAlignment="1">
      <alignment horizontal="center" vertical="center" wrapText="1"/>
    </xf>
    <xf numFmtId="0" fontId="97" fillId="14" borderId="3" xfId="187" applyFont="1" applyFill="1" applyBorder="1" applyAlignment="1" applyProtection="1">
      <alignment vertical="center" wrapText="1"/>
      <protection locked="0"/>
    </xf>
    <xf numFmtId="49" fontId="97" fillId="0" borderId="3" xfId="187" applyNumberFormat="1" applyFont="1" applyBorder="1" applyAlignment="1">
      <alignment vertical="center" wrapText="1"/>
    </xf>
    <xf numFmtId="0" fontId="97" fillId="0" borderId="10" xfId="187" applyFont="1" applyBorder="1" applyAlignment="1">
      <alignment horizontal="center" vertical="center" shrinkToFit="1"/>
    </xf>
    <xf numFmtId="0" fontId="97" fillId="0" borderId="2" xfId="187" applyFont="1" applyBorder="1" applyAlignment="1">
      <alignment horizontal="center" vertical="center" shrinkToFit="1"/>
    </xf>
    <xf numFmtId="0" fontId="97" fillId="0" borderId="17" xfId="187" applyFont="1" applyBorder="1" applyAlignment="1">
      <alignment horizontal="center" vertical="center" shrinkToFit="1"/>
    </xf>
    <xf numFmtId="0" fontId="105" fillId="36" borderId="2" xfId="187" applyFont="1" applyFill="1" applyBorder="1" applyAlignment="1">
      <alignment horizontal="center" vertical="center"/>
    </xf>
    <xf numFmtId="0" fontId="105" fillId="36" borderId="17" xfId="187" applyFont="1" applyFill="1" applyBorder="1" applyAlignment="1">
      <alignment horizontal="center" vertical="center"/>
    </xf>
    <xf numFmtId="0" fontId="105" fillId="5" borderId="8" xfId="187" applyFont="1" applyFill="1" applyBorder="1" applyAlignment="1">
      <alignment horizontal="center" vertical="center" wrapText="1"/>
    </xf>
    <xf numFmtId="0" fontId="105" fillId="5" borderId="14" xfId="187" applyFont="1" applyFill="1" applyBorder="1" applyAlignment="1">
      <alignment horizontal="center" vertical="center" wrapText="1"/>
    </xf>
    <xf numFmtId="0" fontId="105" fillId="5" borderId="7" xfId="187" applyFont="1" applyFill="1" applyBorder="1" applyAlignment="1">
      <alignment horizontal="center" vertical="center" wrapText="1"/>
    </xf>
    <xf numFmtId="0" fontId="105" fillId="5" borderId="3" xfId="187" applyFont="1" applyFill="1" applyBorder="1" applyAlignment="1">
      <alignment horizontal="center" vertical="center" wrapText="1"/>
    </xf>
    <xf numFmtId="0" fontId="105" fillId="5" borderId="2" xfId="187" applyFont="1" applyFill="1" applyBorder="1" applyAlignment="1">
      <alignment horizontal="center" vertical="center" wrapText="1"/>
    </xf>
    <xf numFmtId="0" fontId="105" fillId="5" borderId="17" xfId="187" applyFont="1" applyFill="1" applyBorder="1" applyAlignment="1">
      <alignment horizontal="center" vertical="center" wrapText="1"/>
    </xf>
    <xf numFmtId="0" fontId="105" fillId="5" borderId="10" xfId="187" applyFont="1" applyFill="1" applyBorder="1" applyAlignment="1">
      <alignment horizontal="center" vertical="center" wrapText="1"/>
    </xf>
    <xf numFmtId="0" fontId="97" fillId="0" borderId="10" xfId="187" applyFont="1" applyBorder="1" applyAlignment="1" applyProtection="1">
      <alignment vertical="center" wrapText="1"/>
      <protection locked="0"/>
    </xf>
    <xf numFmtId="0" fontId="97" fillId="0" borderId="2" xfId="187" applyFont="1" applyBorder="1" applyAlignment="1" applyProtection="1">
      <alignment vertical="center" wrapText="1"/>
      <protection locked="0"/>
    </xf>
    <xf numFmtId="0" fontId="97" fillId="0" borderId="17" xfId="187" applyFont="1" applyBorder="1" applyAlignment="1" applyProtection="1">
      <alignment vertical="center" wrapText="1"/>
      <protection locked="0"/>
    </xf>
    <xf numFmtId="0" fontId="97" fillId="0" borderId="10" xfId="187" applyFont="1" applyBorder="1" applyAlignment="1">
      <alignment horizontal="left" vertical="center" wrapText="1"/>
    </xf>
    <xf numFmtId="0" fontId="97" fillId="0" borderId="2" xfId="187" applyFont="1" applyBorder="1" applyAlignment="1">
      <alignment horizontal="left" vertical="center" wrapText="1"/>
    </xf>
    <xf numFmtId="0" fontId="97" fillId="0" borderId="17" xfId="187" applyFont="1" applyBorder="1" applyAlignment="1">
      <alignment horizontal="left" vertical="center" wrapText="1"/>
    </xf>
    <xf numFmtId="0" fontId="97" fillId="0" borderId="2" xfId="187" applyFont="1" applyBorder="1" applyAlignment="1">
      <alignment horizontal="center" vertical="center"/>
    </xf>
    <xf numFmtId="0" fontId="97" fillId="0" borderId="17" xfId="187" applyFont="1" applyBorder="1" applyAlignment="1">
      <alignment horizontal="center" vertical="center"/>
    </xf>
    <xf numFmtId="0" fontId="97" fillId="0" borderId="10" xfId="187" applyFont="1" applyBorder="1" applyAlignment="1">
      <alignment horizontal="center" vertical="center"/>
    </xf>
    <xf numFmtId="14" fontId="97" fillId="0" borderId="10" xfId="187" applyNumberFormat="1" applyFont="1" applyBorder="1">
      <alignment vertical="center"/>
    </xf>
    <xf numFmtId="14" fontId="97" fillId="0" borderId="2" xfId="187" applyNumberFormat="1" applyFont="1" applyBorder="1">
      <alignment vertical="center"/>
    </xf>
    <xf numFmtId="0" fontId="97" fillId="0" borderId="2" xfId="187" applyFont="1" applyBorder="1">
      <alignment vertical="center"/>
    </xf>
    <xf numFmtId="0" fontId="97" fillId="0" borderId="17" xfId="187" applyFont="1" applyBorder="1">
      <alignment vertical="center"/>
    </xf>
    <xf numFmtId="0" fontId="97" fillId="0" borderId="10" xfId="187" applyFont="1" applyBorder="1">
      <alignment vertical="center"/>
    </xf>
    <xf numFmtId="0" fontId="105" fillId="0" borderId="3" xfId="187" applyFont="1" applyBorder="1" applyAlignment="1" applyProtection="1">
      <alignment horizontal="center" vertical="center" shrinkToFit="1"/>
      <protection locked="0"/>
    </xf>
    <xf numFmtId="0" fontId="97" fillId="0" borderId="10" xfId="187" applyFont="1" applyBorder="1" applyAlignment="1">
      <alignment horizontal="left" vertical="center" shrinkToFit="1"/>
    </xf>
    <xf numFmtId="0" fontId="97" fillId="0" borderId="2" xfId="187" applyFont="1" applyBorder="1" applyAlignment="1">
      <alignment horizontal="left" vertical="center" shrinkToFit="1"/>
    </xf>
    <xf numFmtId="0" fontId="97" fillId="0" borderId="17" xfId="187" applyFont="1" applyBorder="1" applyAlignment="1">
      <alignment horizontal="left" vertical="center" shrinkToFit="1"/>
    </xf>
    <xf numFmtId="0" fontId="97" fillId="0" borderId="3" xfId="187" applyFont="1" applyBorder="1" applyAlignment="1" applyProtection="1">
      <alignment vertical="center" shrinkToFit="1"/>
      <protection locked="0"/>
    </xf>
    <xf numFmtId="0" fontId="105" fillId="0" borderId="3" xfId="187" applyFont="1" applyBorder="1" applyAlignment="1">
      <alignment horizontal="center" vertical="center" shrinkToFit="1"/>
    </xf>
    <xf numFmtId="0" fontId="97" fillId="0" borderId="10" xfId="187" applyFont="1" applyBorder="1" applyAlignment="1" applyProtection="1">
      <alignment vertical="center" shrinkToFit="1"/>
      <protection locked="0"/>
    </xf>
    <xf numFmtId="0" fontId="97" fillId="0" borderId="2" xfId="187" applyFont="1" applyBorder="1" applyAlignment="1" applyProtection="1">
      <alignment vertical="center" shrinkToFit="1"/>
      <protection locked="0"/>
    </xf>
    <xf numFmtId="0" fontId="97" fillId="0" borderId="17" xfId="187" applyFont="1" applyBorder="1" applyAlignment="1" applyProtection="1">
      <alignment vertical="center" shrinkToFit="1"/>
      <protection locked="0"/>
    </xf>
    <xf numFmtId="185" fontId="62" fillId="0" borderId="0" xfId="161" quotePrefix="1" applyNumberFormat="1" applyFont="1" applyAlignment="1">
      <alignment horizontal="right" vertical="center"/>
    </xf>
    <xf numFmtId="179" fontId="62" fillId="0" borderId="10" xfId="161" quotePrefix="1" applyNumberFormat="1" applyFont="1" applyBorder="1" applyAlignment="1">
      <alignment horizontal="right" vertical="center"/>
    </xf>
    <xf numFmtId="0" fontId="62" fillId="0" borderId="2" xfId="161" quotePrefix="1" applyFont="1" applyBorder="1" applyAlignment="1">
      <alignment horizontal="right" vertical="center"/>
    </xf>
    <xf numFmtId="0" fontId="62" fillId="0" borderId="17" xfId="161" quotePrefix="1" applyFont="1" applyBorder="1" applyAlignment="1">
      <alignment horizontal="right" vertical="center"/>
    </xf>
    <xf numFmtId="183" fontId="62" fillId="0" borderId="10" xfId="161" quotePrefix="1" applyNumberFormat="1" applyFont="1" applyBorder="1" applyAlignment="1">
      <alignment horizontal="center" vertical="center"/>
    </xf>
    <xf numFmtId="183" fontId="62" fillId="0" borderId="2" xfId="161" quotePrefix="1" applyNumberFormat="1" applyFont="1" applyBorder="1" applyAlignment="1">
      <alignment horizontal="center" vertical="center"/>
    </xf>
    <xf numFmtId="183" fontId="62" fillId="0" borderId="17" xfId="161" quotePrefix="1" applyNumberFormat="1" applyFont="1" applyBorder="1" applyAlignment="1">
      <alignment horizontal="center" vertical="center"/>
    </xf>
    <xf numFmtId="184" fontId="62" fillId="0" borderId="10" xfId="161" quotePrefix="1" applyNumberFormat="1" applyFont="1" applyBorder="1" applyAlignment="1">
      <alignment horizontal="center" vertical="center"/>
    </xf>
    <xf numFmtId="184" fontId="62" fillId="0" borderId="2" xfId="161" quotePrefix="1" applyNumberFormat="1" applyFont="1" applyBorder="1" applyAlignment="1">
      <alignment horizontal="center" vertical="center"/>
    </xf>
    <xf numFmtId="184" fontId="62" fillId="0" borderId="17" xfId="161" quotePrefix="1" applyNumberFormat="1" applyFont="1" applyBorder="1" applyAlignment="1">
      <alignment horizontal="center" vertical="center"/>
    </xf>
    <xf numFmtId="191" fontId="62" fillId="0" borderId="10" xfId="161" quotePrefix="1" applyNumberFormat="1" applyFont="1" applyBorder="1" applyAlignment="1">
      <alignment horizontal="right" vertical="center"/>
    </xf>
    <xf numFmtId="191" fontId="62" fillId="0" borderId="2" xfId="161" quotePrefix="1" applyNumberFormat="1" applyFont="1" applyBorder="1" applyAlignment="1">
      <alignment horizontal="right" vertical="center"/>
    </xf>
    <xf numFmtId="191" fontId="62" fillId="0" borderId="17" xfId="161" quotePrefix="1" applyNumberFormat="1" applyFont="1" applyBorder="1" applyAlignment="1">
      <alignment horizontal="right" vertical="center"/>
    </xf>
    <xf numFmtId="182" fontId="62" fillId="0" borderId="10" xfId="161" quotePrefix="1" applyNumberFormat="1" applyFont="1" applyBorder="1" applyAlignment="1">
      <alignment horizontal="right" vertical="center"/>
    </xf>
    <xf numFmtId="182" fontId="62" fillId="0" borderId="2" xfId="161" quotePrefix="1" applyNumberFormat="1" applyFont="1" applyBorder="1" applyAlignment="1">
      <alignment horizontal="right" vertical="center"/>
    </xf>
    <xf numFmtId="182" fontId="62" fillId="0" borderId="17" xfId="161" quotePrefix="1" applyNumberFormat="1" applyFont="1" applyBorder="1" applyAlignment="1">
      <alignment horizontal="right" vertical="center"/>
    </xf>
    <xf numFmtId="185" fontId="62" fillId="0" borderId="10" xfId="161" quotePrefix="1" applyNumberFormat="1" applyFont="1" applyBorder="1" applyAlignment="1">
      <alignment horizontal="right" vertical="center"/>
    </xf>
    <xf numFmtId="185" fontId="62" fillId="0" borderId="2" xfId="161" quotePrefix="1" applyNumberFormat="1" applyFont="1" applyBorder="1" applyAlignment="1">
      <alignment horizontal="right" vertical="center"/>
    </xf>
    <xf numFmtId="185" fontId="62" fillId="0" borderId="17" xfId="161" quotePrefix="1" applyNumberFormat="1" applyFont="1" applyBorder="1" applyAlignment="1">
      <alignment horizontal="right" vertical="center"/>
    </xf>
    <xf numFmtId="179" fontId="62" fillId="0" borderId="0" xfId="161" quotePrefix="1" applyNumberFormat="1" applyFont="1" applyAlignment="1">
      <alignment horizontal="right" vertical="center"/>
    </xf>
    <xf numFmtId="0" fontId="62" fillId="0" borderId="0" xfId="161" quotePrefix="1" applyFont="1" applyAlignment="1">
      <alignment horizontal="right" vertical="center"/>
    </xf>
    <xf numFmtId="183" fontId="62" fillId="0" borderId="0" xfId="161" quotePrefix="1" applyNumberFormat="1" applyFont="1" applyAlignment="1">
      <alignment horizontal="right" vertical="center"/>
    </xf>
    <xf numFmtId="185" fontId="62" fillId="0" borderId="31" xfId="161" quotePrefix="1" applyNumberFormat="1" applyFont="1" applyBorder="1" applyAlignment="1">
      <alignment horizontal="right" vertical="center"/>
    </xf>
    <xf numFmtId="179" fontId="62" fillId="0" borderId="2" xfId="161" quotePrefix="1" applyNumberFormat="1" applyFont="1" applyBorder="1" applyAlignment="1">
      <alignment horizontal="right" vertical="center"/>
    </xf>
    <xf numFmtId="179" fontId="62" fillId="0" borderId="17" xfId="161" quotePrefix="1" applyNumberFormat="1" applyFont="1" applyBorder="1" applyAlignment="1">
      <alignment horizontal="right" vertical="center"/>
    </xf>
    <xf numFmtId="180" fontId="62" fillId="0" borderId="10" xfId="161" quotePrefix="1" applyNumberFormat="1" applyFont="1" applyBorder="1" applyAlignment="1">
      <alignment horizontal="right" vertical="center"/>
    </xf>
    <xf numFmtId="180" fontId="62" fillId="0" borderId="2" xfId="161" quotePrefix="1" applyNumberFormat="1" applyFont="1" applyBorder="1" applyAlignment="1">
      <alignment horizontal="right" vertical="center"/>
    </xf>
    <xf numFmtId="180" fontId="62" fillId="0" borderId="17" xfId="161" quotePrefix="1" applyNumberFormat="1" applyFont="1" applyBorder="1" applyAlignment="1">
      <alignment horizontal="right" vertical="center"/>
    </xf>
    <xf numFmtId="183" fontId="62" fillId="0" borderId="10" xfId="161" quotePrefix="1" applyNumberFormat="1" applyFont="1" applyBorder="1" applyAlignment="1">
      <alignment horizontal="right" vertical="center"/>
    </xf>
    <xf numFmtId="183" fontId="62" fillId="0" borderId="2" xfId="161" quotePrefix="1" applyNumberFormat="1" applyFont="1" applyBorder="1" applyAlignment="1">
      <alignment horizontal="right" vertical="center"/>
    </xf>
    <xf numFmtId="183" fontId="62" fillId="0" borderId="17" xfId="161" quotePrefix="1" applyNumberFormat="1" applyFont="1" applyBorder="1" applyAlignment="1">
      <alignment horizontal="right" vertical="center"/>
    </xf>
    <xf numFmtId="185" fontId="62" fillId="0" borderId="10" xfId="161" applyNumberFormat="1" applyFont="1" applyBorder="1" applyAlignment="1">
      <alignment horizontal="center" vertical="center"/>
    </xf>
    <xf numFmtId="185" fontId="62" fillId="0" borderId="2" xfId="161" applyNumberFormat="1" applyFont="1" applyBorder="1" applyAlignment="1">
      <alignment horizontal="center" vertical="center"/>
    </xf>
    <xf numFmtId="185" fontId="62" fillId="0" borderId="17" xfId="161" applyNumberFormat="1" applyFont="1" applyBorder="1" applyAlignment="1">
      <alignment horizontal="center" vertical="center"/>
    </xf>
    <xf numFmtId="184" fontId="62" fillId="0" borderId="10" xfId="161" applyNumberFormat="1" applyFont="1" applyBorder="1" applyAlignment="1">
      <alignment horizontal="center" vertical="center"/>
    </xf>
    <xf numFmtId="184" fontId="62" fillId="0" borderId="2" xfId="161" applyNumberFormat="1" applyFont="1" applyBorder="1" applyAlignment="1">
      <alignment horizontal="center" vertical="center"/>
    </xf>
    <xf numFmtId="184" fontId="62" fillId="0" borderId="17" xfId="161" applyNumberFormat="1" applyFont="1" applyBorder="1" applyAlignment="1">
      <alignment horizontal="center" vertical="center"/>
    </xf>
    <xf numFmtId="184" fontId="62" fillId="0" borderId="10" xfId="161" quotePrefix="1" applyNumberFormat="1" applyFont="1" applyBorder="1" applyAlignment="1">
      <alignment horizontal="right" vertical="center"/>
    </xf>
    <xf numFmtId="184" fontId="62" fillId="0" borderId="2" xfId="161" quotePrefix="1" applyNumberFormat="1" applyFont="1" applyBorder="1" applyAlignment="1">
      <alignment horizontal="right" vertical="center"/>
    </xf>
    <xf numFmtId="184" fontId="62" fillId="0" borderId="17" xfId="161" quotePrefix="1" applyNumberFormat="1" applyFont="1" applyBorder="1" applyAlignment="1">
      <alignment horizontal="right" vertical="center"/>
    </xf>
    <xf numFmtId="185" fontId="62" fillId="0" borderId="0" xfId="161" applyNumberFormat="1" applyFont="1" applyAlignment="1">
      <alignment horizontal="right" vertical="center"/>
    </xf>
    <xf numFmtId="3" fontId="62" fillId="0" borderId="10" xfId="161" quotePrefix="1" applyNumberFormat="1" applyFont="1" applyBorder="1" applyAlignment="1">
      <alignment horizontal="right" vertical="center"/>
    </xf>
    <xf numFmtId="3" fontId="62" fillId="0" borderId="2" xfId="161" quotePrefix="1" applyNumberFormat="1" applyFont="1" applyBorder="1" applyAlignment="1">
      <alignment horizontal="right" vertical="center"/>
    </xf>
    <xf numFmtId="3" fontId="62" fillId="0" borderId="17" xfId="161" quotePrefix="1" applyNumberFormat="1" applyFont="1" applyBorder="1" applyAlignment="1">
      <alignment horizontal="right" vertical="center"/>
    </xf>
    <xf numFmtId="9" fontId="62" fillId="0" borderId="10" xfId="161" quotePrefix="1" applyNumberFormat="1" applyFont="1" applyBorder="1" applyAlignment="1">
      <alignment horizontal="right" vertical="center"/>
    </xf>
    <xf numFmtId="9" fontId="62" fillId="0" borderId="2" xfId="161" quotePrefix="1" applyNumberFormat="1" applyFont="1" applyBorder="1" applyAlignment="1">
      <alignment horizontal="right" vertical="center"/>
    </xf>
    <xf numFmtId="9" fontId="62" fillId="0" borderId="17" xfId="161" quotePrefix="1" applyNumberFormat="1" applyFont="1" applyBorder="1" applyAlignment="1">
      <alignment horizontal="right" vertical="center"/>
    </xf>
    <xf numFmtId="49" fontId="62" fillId="0" borderId="10" xfId="161" quotePrefix="1" applyNumberFormat="1" applyFont="1" applyBorder="1" applyAlignment="1">
      <alignment horizontal="center" vertical="center"/>
    </xf>
    <xf numFmtId="49" fontId="62" fillId="0" borderId="2" xfId="161" quotePrefix="1" applyNumberFormat="1" applyFont="1" applyBorder="1" applyAlignment="1">
      <alignment horizontal="center" vertical="center"/>
    </xf>
    <xf numFmtId="49" fontId="62" fillId="0" borderId="17" xfId="161" quotePrefix="1" applyNumberFormat="1" applyFont="1" applyBorder="1" applyAlignment="1">
      <alignment horizontal="center" vertical="center"/>
    </xf>
    <xf numFmtId="181" fontId="62" fillId="0" borderId="10" xfId="161" quotePrefix="1" applyNumberFormat="1" applyFont="1" applyBorder="1" applyAlignment="1">
      <alignment horizontal="right" vertical="center"/>
    </xf>
    <xf numFmtId="181" fontId="62" fillId="0" borderId="2" xfId="161" quotePrefix="1" applyNumberFormat="1" applyFont="1" applyBorder="1" applyAlignment="1">
      <alignment horizontal="right" vertical="center"/>
    </xf>
    <xf numFmtId="181" fontId="62" fillId="0" borderId="17" xfId="161" quotePrefix="1" applyNumberFormat="1" applyFont="1" applyBorder="1" applyAlignment="1">
      <alignment horizontal="right" vertical="center"/>
    </xf>
    <xf numFmtId="186" fontId="62" fillId="0" borderId="10" xfId="161" quotePrefix="1" applyNumberFormat="1" applyFont="1" applyBorder="1" applyAlignment="1">
      <alignment horizontal="right" vertical="center"/>
    </xf>
    <xf numFmtId="186" fontId="62" fillId="0" borderId="2" xfId="161" quotePrefix="1" applyNumberFormat="1" applyFont="1" applyBorder="1" applyAlignment="1">
      <alignment horizontal="right" vertical="center"/>
    </xf>
    <xf numFmtId="186" fontId="62" fillId="0" borderId="17" xfId="161" quotePrefix="1" applyNumberFormat="1" applyFont="1" applyBorder="1" applyAlignment="1">
      <alignment horizontal="right" vertical="center"/>
    </xf>
    <xf numFmtId="187" fontId="62" fillId="0" borderId="10" xfId="161" quotePrefix="1" applyNumberFormat="1" applyFont="1" applyBorder="1" applyAlignment="1">
      <alignment horizontal="right" vertical="center"/>
    </xf>
    <xf numFmtId="187" fontId="62" fillId="0" borderId="2" xfId="161" quotePrefix="1" applyNumberFormat="1" applyFont="1" applyBorder="1" applyAlignment="1">
      <alignment horizontal="right" vertical="center"/>
    </xf>
    <xf numFmtId="187" fontId="62" fillId="0" borderId="17" xfId="161" quotePrefix="1" applyNumberFormat="1" applyFont="1" applyBorder="1" applyAlignment="1">
      <alignment horizontal="right" vertical="center"/>
    </xf>
    <xf numFmtId="188" fontId="62" fillId="0" borderId="10" xfId="161" quotePrefix="1" applyNumberFormat="1" applyFont="1" applyBorder="1" applyAlignment="1">
      <alignment horizontal="right" vertical="center"/>
    </xf>
    <xf numFmtId="188" fontId="62" fillId="0" borderId="2" xfId="161" quotePrefix="1" applyNumberFormat="1" applyFont="1" applyBorder="1" applyAlignment="1">
      <alignment horizontal="right" vertical="center"/>
    </xf>
    <xf numFmtId="188" fontId="62" fillId="0" borderId="17" xfId="161" quotePrefix="1" applyNumberFormat="1" applyFont="1" applyBorder="1" applyAlignment="1">
      <alignment horizontal="right" vertical="center"/>
    </xf>
    <xf numFmtId="10" fontId="62" fillId="0" borderId="10" xfId="161" quotePrefix="1" applyNumberFormat="1" applyFont="1" applyBorder="1" applyAlignment="1">
      <alignment horizontal="right" vertical="center"/>
    </xf>
    <xf numFmtId="10" fontId="62" fillId="0" borderId="2" xfId="161" quotePrefix="1" applyNumberFormat="1" applyFont="1" applyBorder="1" applyAlignment="1">
      <alignment horizontal="right" vertical="center"/>
    </xf>
    <xf numFmtId="10" fontId="62" fillId="0" borderId="17" xfId="161" quotePrefix="1" applyNumberFormat="1" applyFont="1" applyBorder="1" applyAlignment="1">
      <alignment horizontal="right" vertical="center"/>
    </xf>
    <xf numFmtId="0" fontId="62" fillId="0" borderId="10" xfId="161" quotePrefix="1" applyFont="1" applyBorder="1" applyAlignment="1">
      <alignment horizontal="right" vertical="center"/>
    </xf>
    <xf numFmtId="189" fontId="62" fillId="21" borderId="10" xfId="161" quotePrefix="1" applyNumberFormat="1" applyFont="1" applyFill="1" applyBorder="1" applyAlignment="1">
      <alignment horizontal="right" vertical="center"/>
    </xf>
    <xf numFmtId="189" fontId="62" fillId="21" borderId="2" xfId="161" quotePrefix="1" applyNumberFormat="1" applyFont="1" applyFill="1" applyBorder="1" applyAlignment="1">
      <alignment horizontal="right" vertical="center"/>
    </xf>
    <xf numFmtId="189" fontId="62" fillId="21" borderId="17" xfId="161" quotePrefix="1" applyNumberFormat="1" applyFont="1" applyFill="1" applyBorder="1" applyAlignment="1">
      <alignment horizontal="right" vertical="center"/>
    </xf>
    <xf numFmtId="182" fontId="62" fillId="21" borderId="10" xfId="161" quotePrefix="1" applyNumberFormat="1" applyFont="1" applyFill="1" applyBorder="1" applyAlignment="1">
      <alignment horizontal="right" vertical="center"/>
    </xf>
    <xf numFmtId="182" fontId="62" fillId="21" borderId="2" xfId="161" quotePrefix="1" applyNumberFormat="1" applyFont="1" applyFill="1" applyBorder="1" applyAlignment="1">
      <alignment horizontal="right" vertical="center"/>
    </xf>
    <xf numFmtId="182" fontId="62" fillId="21" borderId="17" xfId="161" quotePrefix="1" applyNumberFormat="1" applyFont="1" applyFill="1" applyBorder="1" applyAlignment="1">
      <alignment horizontal="right" vertical="center"/>
    </xf>
    <xf numFmtId="0" fontId="0" fillId="0" borderId="2" xfId="0" applyBorder="1" applyAlignment="1">
      <alignment horizontal="right" vertical="center"/>
    </xf>
    <xf numFmtId="0" fontId="0" fillId="0" borderId="17" xfId="0" applyBorder="1" applyAlignment="1">
      <alignment horizontal="right" vertical="center"/>
    </xf>
    <xf numFmtId="182" fontId="62" fillId="24" borderId="10" xfId="161" quotePrefix="1" applyNumberFormat="1" applyFont="1" applyFill="1" applyBorder="1" applyAlignment="1">
      <alignment horizontal="right" vertical="center"/>
    </xf>
    <xf numFmtId="189" fontId="62" fillId="24" borderId="10" xfId="161" quotePrefix="1" applyNumberFormat="1" applyFont="1" applyFill="1" applyBorder="1" applyAlignment="1">
      <alignment horizontal="right" vertical="center"/>
    </xf>
    <xf numFmtId="189" fontId="62" fillId="24" borderId="2" xfId="161" quotePrefix="1" applyNumberFormat="1" applyFont="1" applyFill="1" applyBorder="1" applyAlignment="1">
      <alignment horizontal="right" vertical="center"/>
    </xf>
    <xf numFmtId="189" fontId="62" fillId="24" borderId="17" xfId="161" quotePrefix="1" applyNumberFormat="1" applyFont="1" applyFill="1" applyBorder="1" applyAlignment="1">
      <alignment horizontal="right" vertical="center"/>
    </xf>
    <xf numFmtId="185" fontId="62" fillId="0" borderId="10" xfId="161" applyNumberFormat="1" applyFont="1" applyBorder="1" applyAlignment="1">
      <alignment horizontal="right" vertical="center"/>
    </xf>
    <xf numFmtId="185" fontId="62" fillId="0" borderId="2" xfId="161" applyNumberFormat="1" applyFont="1" applyBorder="1" applyAlignment="1">
      <alignment horizontal="right" vertical="center"/>
    </xf>
    <xf numFmtId="185" fontId="62" fillId="0" borderId="17" xfId="161" applyNumberFormat="1" applyFont="1" applyBorder="1" applyAlignment="1">
      <alignment horizontal="right" vertical="center"/>
    </xf>
    <xf numFmtId="182" fontId="62" fillId="0" borderId="10" xfId="161" quotePrefix="1" applyNumberFormat="1" applyFont="1" applyBorder="1" applyAlignment="1">
      <alignment horizontal="center" vertical="center"/>
    </xf>
    <xf numFmtId="182" fontId="62" fillId="0" borderId="2" xfId="161" quotePrefix="1" applyNumberFormat="1" applyFont="1" applyBorder="1" applyAlignment="1">
      <alignment horizontal="center" vertical="center"/>
    </xf>
    <xf numFmtId="182" fontId="62" fillId="0" borderId="17" xfId="161" quotePrefix="1" applyNumberFormat="1" applyFont="1" applyBorder="1" applyAlignment="1">
      <alignment horizontal="center" vertical="center"/>
    </xf>
    <xf numFmtId="182" fontId="62" fillId="0" borderId="28" xfId="161" quotePrefix="1" applyNumberFormat="1" applyFont="1" applyBorder="1" applyAlignment="1">
      <alignment horizontal="right" vertical="center"/>
    </xf>
    <xf numFmtId="187" fontId="62" fillId="0" borderId="10" xfId="161" quotePrefix="1" applyNumberFormat="1" applyFont="1" applyBorder="1" applyAlignment="1">
      <alignment horizontal="right" vertical="center" indent="1"/>
    </xf>
    <xf numFmtId="187" fontId="62" fillId="0" borderId="2" xfId="161" quotePrefix="1" applyNumberFormat="1" applyFont="1" applyBorder="1" applyAlignment="1">
      <alignment horizontal="right" vertical="center" indent="1"/>
    </xf>
    <xf numFmtId="187" fontId="62" fillId="0" borderId="17" xfId="161" quotePrefix="1" applyNumberFormat="1" applyFont="1" applyBorder="1" applyAlignment="1">
      <alignment horizontal="right" vertical="center" indent="1"/>
    </xf>
    <xf numFmtId="0" fontId="54" fillId="14" borderId="0" xfId="0" applyFont="1" applyFill="1" applyAlignment="1">
      <alignment horizontal="center" vertical="center"/>
    </xf>
    <xf numFmtId="190" fontId="54" fillId="14" borderId="15" xfId="0" applyNumberFormat="1" applyFont="1" applyFill="1" applyBorder="1" applyAlignment="1">
      <alignment horizontal="center" vertical="center"/>
    </xf>
    <xf numFmtId="190" fontId="54" fillId="14" borderId="12" xfId="0" applyNumberFormat="1" applyFont="1" applyFill="1" applyBorder="1" applyAlignment="1">
      <alignment horizontal="center" vertical="center"/>
    </xf>
    <xf numFmtId="184" fontId="88" fillId="0" borderId="10" xfId="161" quotePrefix="1" applyNumberFormat="1" applyFont="1" applyBorder="1" applyAlignment="1">
      <alignment horizontal="center" vertical="center"/>
    </xf>
    <xf numFmtId="184" fontId="88" fillId="0" borderId="2" xfId="161" quotePrefix="1" applyNumberFormat="1" applyFont="1" applyBorder="1" applyAlignment="1">
      <alignment horizontal="center" vertical="center"/>
    </xf>
    <xf numFmtId="184" fontId="88" fillId="0" borderId="17" xfId="161" quotePrefix="1" applyNumberFormat="1" applyFont="1" applyBorder="1" applyAlignment="1">
      <alignment horizontal="center" vertical="center"/>
    </xf>
    <xf numFmtId="181" fontId="62" fillId="0" borderId="10" xfId="161" quotePrefix="1" applyNumberFormat="1" applyFont="1" applyBorder="1" applyAlignment="1">
      <alignment horizontal="center" vertical="center"/>
    </xf>
    <xf numFmtId="181" fontId="62" fillId="0" borderId="2" xfId="161" quotePrefix="1" applyNumberFormat="1" applyFont="1" applyBorder="1" applyAlignment="1">
      <alignment horizontal="center" vertical="center"/>
    </xf>
    <xf numFmtId="181" fontId="62" fillId="0" borderId="17" xfId="161" quotePrefix="1" applyNumberFormat="1" applyFont="1" applyBorder="1" applyAlignment="1">
      <alignment horizontal="center" vertical="center"/>
    </xf>
    <xf numFmtId="179" fontId="62" fillId="0" borderId="10" xfId="161" applyNumberFormat="1" applyFont="1" applyBorder="1" applyAlignment="1">
      <alignment horizontal="right" vertical="center"/>
    </xf>
    <xf numFmtId="179" fontId="62" fillId="0" borderId="2" xfId="161" applyNumberFormat="1" applyFont="1" applyBorder="1" applyAlignment="1">
      <alignment horizontal="right" vertical="center"/>
    </xf>
    <xf numFmtId="179" fontId="62" fillId="0" borderId="17" xfId="161" applyNumberFormat="1" applyFont="1" applyBorder="1" applyAlignment="1">
      <alignment horizontal="right" vertical="center"/>
    </xf>
    <xf numFmtId="182" fontId="54" fillId="14" borderId="0" xfId="0" applyNumberFormat="1" applyFont="1" applyFill="1" applyAlignment="1">
      <alignment horizontal="center" vertical="center"/>
    </xf>
    <xf numFmtId="10" fontId="0" fillId="14" borderId="0" xfId="0" applyNumberFormat="1" applyFill="1" applyAlignment="1">
      <alignment horizontal="center" vertical="center"/>
    </xf>
    <xf numFmtId="179" fontId="62" fillId="0" borderId="10" xfId="161" quotePrefix="1" applyNumberFormat="1" applyFont="1" applyBorder="1" applyAlignment="1">
      <alignment horizontal="center" vertical="center"/>
    </xf>
    <xf numFmtId="179" fontId="62" fillId="0" borderId="2" xfId="161" quotePrefix="1" applyNumberFormat="1" applyFont="1" applyBorder="1" applyAlignment="1">
      <alignment horizontal="center" vertical="center"/>
    </xf>
    <xf numFmtId="179" fontId="62" fillId="0" borderId="17" xfId="161" quotePrefix="1" applyNumberFormat="1" applyFont="1" applyBorder="1" applyAlignment="1">
      <alignment horizontal="center" vertical="center"/>
    </xf>
  </cellXfs>
  <cellStyles count="188">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CEBD2111-C0C6-4C80-BAE9-1CE666E8D550}"/>
    <cellStyle name="標準 12" xfId="186" xr:uid="{E0DDD3CA-1551-4418-A554-5A4E3C80F502}"/>
    <cellStyle name="標準 12 2" xfId="187" xr:uid="{3AEA605C-F0F9-41C4-8BDA-33ED27E74939}"/>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54">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EAEAEA"/>
      <color rgb="FFE4EBF4"/>
      <color rgb="FF339933"/>
      <color rgb="FF99FF99"/>
      <color rgb="FFFFFFCC"/>
      <color rgb="FFFF9900"/>
      <color rgb="FF013284"/>
      <color rgb="FF004098"/>
      <color rgb="FF333399"/>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6.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7.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8.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9.xml.rels><?xml version="1.0" encoding="UTF-8" standalone="yes"?>
<Relationships xmlns="http://schemas.openxmlformats.org/package/2006/relationships"><Relationship Id="rId3" Type="http://schemas.openxmlformats.org/officeDocument/2006/relationships/image" Target="../media/image7.tmp"/><Relationship Id="rId2" Type="http://schemas.openxmlformats.org/officeDocument/2006/relationships/image" Target="../media/image6.tmp"/><Relationship Id="rId1" Type="http://schemas.openxmlformats.org/officeDocument/2006/relationships/image" Target="../media/image4.tmp"/><Relationship Id="rId4" Type="http://schemas.openxmlformats.org/officeDocument/2006/relationships/image" Target="../media/image5.emf"/></Relationships>
</file>

<file path=xl/drawings/_rels/drawing10.xml.rels><?xml version="1.0" encoding="UTF-8" standalone="yes"?>
<Relationships xmlns="http://schemas.openxmlformats.org/package/2006/relationships"><Relationship Id="rId3" Type="http://schemas.openxmlformats.org/officeDocument/2006/relationships/image" Target="../media/image7.tmp"/><Relationship Id="rId2" Type="http://schemas.openxmlformats.org/officeDocument/2006/relationships/image" Target="../media/image6.tmp"/><Relationship Id="rId1" Type="http://schemas.openxmlformats.org/officeDocument/2006/relationships/image" Target="../media/image4.tmp"/><Relationship Id="rId4"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化学物質データ申請画面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17</xdr:col>
      <xdr:colOff>38100</xdr:colOff>
      <xdr:row>12</xdr:row>
      <xdr:rowOff>19050</xdr:rowOff>
    </xdr:from>
    <xdr:to>
      <xdr:col>33</xdr:col>
      <xdr:colOff>57978</xdr:colOff>
      <xdr:row>14</xdr:row>
      <xdr:rowOff>35672</xdr:rowOff>
    </xdr:to>
    <xdr:sp macro="" textlink="">
      <xdr:nvSpPr>
        <xdr:cNvPr id="2" name="正方形/長方形 1">
          <a:extLst>
            <a:ext uri="{FF2B5EF4-FFF2-40B4-BE49-F238E27FC236}">
              <a16:creationId xmlns:a16="http://schemas.microsoft.com/office/drawing/2014/main" id="{0DAB9D6C-68DE-49DD-8F9C-7CF26CA9ECC8}"/>
            </a:ext>
          </a:extLst>
        </xdr:cNvPr>
        <xdr:cNvSpPr/>
      </xdr:nvSpPr>
      <xdr:spPr>
        <a:xfrm>
          <a:off x="3114675" y="2105025"/>
          <a:ext cx="2915478" cy="34047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38100</xdr:colOff>
      <xdr:row>16</xdr:row>
      <xdr:rowOff>130175</xdr:rowOff>
    </xdr:from>
    <xdr:to>
      <xdr:col>33</xdr:col>
      <xdr:colOff>57978</xdr:colOff>
      <xdr:row>18</xdr:row>
      <xdr:rowOff>153147</xdr:rowOff>
    </xdr:to>
    <xdr:sp macro="" textlink="">
      <xdr:nvSpPr>
        <xdr:cNvPr id="3" name="正方形/長方形 2">
          <a:extLst>
            <a:ext uri="{FF2B5EF4-FFF2-40B4-BE49-F238E27FC236}">
              <a16:creationId xmlns:a16="http://schemas.microsoft.com/office/drawing/2014/main" id="{3C13976E-F2E7-4448-85DA-CFB4DCD8ADB0}"/>
            </a:ext>
          </a:extLst>
        </xdr:cNvPr>
        <xdr:cNvSpPr/>
      </xdr:nvSpPr>
      <xdr:spPr>
        <a:xfrm>
          <a:off x="3114675" y="2863850"/>
          <a:ext cx="2915478" cy="3468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19050</xdr:colOff>
      <xdr:row>37</xdr:row>
      <xdr:rowOff>19050</xdr:rowOff>
    </xdr:from>
    <xdr:to>
      <xdr:col>17</xdr:col>
      <xdr:colOff>144552</xdr:colOff>
      <xdr:row>37</xdr:row>
      <xdr:rowOff>139700</xdr:rowOff>
    </xdr:to>
    <xdr:sp macro="" textlink="">
      <xdr:nvSpPr>
        <xdr:cNvPr id="4" name="正方形/長方形 3">
          <a:extLst>
            <a:ext uri="{FF2B5EF4-FFF2-40B4-BE49-F238E27FC236}">
              <a16:creationId xmlns:a16="http://schemas.microsoft.com/office/drawing/2014/main" id="{0670F3AD-6932-449E-A20F-7FCF13BC4A99}"/>
            </a:ext>
          </a:extLst>
        </xdr:cNvPr>
        <xdr:cNvSpPr/>
      </xdr:nvSpPr>
      <xdr:spPr>
        <a:xfrm>
          <a:off x="3095625" y="61531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39</xdr:row>
      <xdr:rowOff>19050</xdr:rowOff>
    </xdr:from>
    <xdr:to>
      <xdr:col>17</xdr:col>
      <xdr:colOff>144552</xdr:colOff>
      <xdr:row>39</xdr:row>
      <xdr:rowOff>139700</xdr:rowOff>
    </xdr:to>
    <xdr:sp macro="" textlink="">
      <xdr:nvSpPr>
        <xdr:cNvPr id="5" name="正方形/長方形 4">
          <a:extLst>
            <a:ext uri="{FF2B5EF4-FFF2-40B4-BE49-F238E27FC236}">
              <a16:creationId xmlns:a16="http://schemas.microsoft.com/office/drawing/2014/main" id="{D79CE5D8-962B-4232-93D1-570893FD84C7}"/>
            </a:ext>
          </a:extLst>
        </xdr:cNvPr>
        <xdr:cNvSpPr/>
      </xdr:nvSpPr>
      <xdr:spPr>
        <a:xfrm>
          <a:off x="3095625" y="64770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41</xdr:row>
      <xdr:rowOff>19050</xdr:rowOff>
    </xdr:from>
    <xdr:to>
      <xdr:col>17</xdr:col>
      <xdr:colOff>144552</xdr:colOff>
      <xdr:row>41</xdr:row>
      <xdr:rowOff>139700</xdr:rowOff>
    </xdr:to>
    <xdr:sp macro="" textlink="">
      <xdr:nvSpPr>
        <xdr:cNvPr id="6" name="正方形/長方形 5">
          <a:extLst>
            <a:ext uri="{FF2B5EF4-FFF2-40B4-BE49-F238E27FC236}">
              <a16:creationId xmlns:a16="http://schemas.microsoft.com/office/drawing/2014/main" id="{CBB9E50F-C0DA-4F40-B7C8-D12209552C43}"/>
            </a:ext>
          </a:extLst>
        </xdr:cNvPr>
        <xdr:cNvSpPr/>
      </xdr:nvSpPr>
      <xdr:spPr>
        <a:xfrm>
          <a:off x="3095625" y="68008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43</xdr:row>
      <xdr:rowOff>19050</xdr:rowOff>
    </xdr:from>
    <xdr:to>
      <xdr:col>17</xdr:col>
      <xdr:colOff>144552</xdr:colOff>
      <xdr:row>43</xdr:row>
      <xdr:rowOff>139700</xdr:rowOff>
    </xdr:to>
    <xdr:sp macro="" textlink="">
      <xdr:nvSpPr>
        <xdr:cNvPr id="7" name="正方形/長方形 6">
          <a:extLst>
            <a:ext uri="{FF2B5EF4-FFF2-40B4-BE49-F238E27FC236}">
              <a16:creationId xmlns:a16="http://schemas.microsoft.com/office/drawing/2014/main" id="{A7A8ABF3-031A-46F1-B456-9F8E14947C43}"/>
            </a:ext>
          </a:extLst>
        </xdr:cNvPr>
        <xdr:cNvSpPr/>
      </xdr:nvSpPr>
      <xdr:spPr>
        <a:xfrm>
          <a:off x="3095625" y="71247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45</xdr:row>
      <xdr:rowOff>19050</xdr:rowOff>
    </xdr:from>
    <xdr:to>
      <xdr:col>17</xdr:col>
      <xdr:colOff>144552</xdr:colOff>
      <xdr:row>45</xdr:row>
      <xdr:rowOff>139700</xdr:rowOff>
    </xdr:to>
    <xdr:sp macro="" textlink="">
      <xdr:nvSpPr>
        <xdr:cNvPr id="8" name="正方形/長方形 7">
          <a:extLst>
            <a:ext uri="{FF2B5EF4-FFF2-40B4-BE49-F238E27FC236}">
              <a16:creationId xmlns:a16="http://schemas.microsoft.com/office/drawing/2014/main" id="{5E212721-9B47-4CD7-9D14-C2B28A3A6ED5}"/>
            </a:ext>
          </a:extLst>
        </xdr:cNvPr>
        <xdr:cNvSpPr/>
      </xdr:nvSpPr>
      <xdr:spPr>
        <a:xfrm>
          <a:off x="3095625" y="74485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47</xdr:row>
      <xdr:rowOff>19050</xdr:rowOff>
    </xdr:from>
    <xdr:to>
      <xdr:col>17</xdr:col>
      <xdr:colOff>144552</xdr:colOff>
      <xdr:row>47</xdr:row>
      <xdr:rowOff>139700</xdr:rowOff>
    </xdr:to>
    <xdr:sp macro="" textlink="">
      <xdr:nvSpPr>
        <xdr:cNvPr id="9" name="正方形/長方形 8">
          <a:extLst>
            <a:ext uri="{FF2B5EF4-FFF2-40B4-BE49-F238E27FC236}">
              <a16:creationId xmlns:a16="http://schemas.microsoft.com/office/drawing/2014/main" id="{D483D844-CC99-45D3-82F0-0074DD1E9806}"/>
            </a:ext>
          </a:extLst>
        </xdr:cNvPr>
        <xdr:cNvSpPr/>
      </xdr:nvSpPr>
      <xdr:spPr>
        <a:xfrm>
          <a:off x="3095625" y="77724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49</xdr:row>
      <xdr:rowOff>19050</xdr:rowOff>
    </xdr:from>
    <xdr:to>
      <xdr:col>17</xdr:col>
      <xdr:colOff>144552</xdr:colOff>
      <xdr:row>49</xdr:row>
      <xdr:rowOff>139700</xdr:rowOff>
    </xdr:to>
    <xdr:sp macro="" textlink="">
      <xdr:nvSpPr>
        <xdr:cNvPr id="10" name="正方形/長方形 9">
          <a:extLst>
            <a:ext uri="{FF2B5EF4-FFF2-40B4-BE49-F238E27FC236}">
              <a16:creationId xmlns:a16="http://schemas.microsoft.com/office/drawing/2014/main" id="{A5E301B5-DF02-48D9-9677-E2448B7570F8}"/>
            </a:ext>
          </a:extLst>
        </xdr:cNvPr>
        <xdr:cNvSpPr/>
      </xdr:nvSpPr>
      <xdr:spPr>
        <a:xfrm>
          <a:off x="3095625" y="80962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18</xdr:col>
      <xdr:colOff>15875</xdr:colOff>
      <xdr:row>61</xdr:row>
      <xdr:rowOff>16329</xdr:rowOff>
    </xdr:from>
    <xdr:to>
      <xdr:col>24</xdr:col>
      <xdr:colOff>131803</xdr:colOff>
      <xdr:row>63</xdr:row>
      <xdr:rowOff>97918</xdr:rowOff>
    </xdr:to>
    <xdr:sp macro="" textlink="">
      <xdr:nvSpPr>
        <xdr:cNvPr id="11" name="正方形/長方形 10">
          <a:extLst>
            <a:ext uri="{FF2B5EF4-FFF2-40B4-BE49-F238E27FC236}">
              <a16:creationId xmlns:a16="http://schemas.microsoft.com/office/drawing/2014/main" id="{9824401F-651B-46B2-8098-2E1B81B3A914}"/>
            </a:ext>
          </a:extLst>
        </xdr:cNvPr>
        <xdr:cNvSpPr/>
      </xdr:nvSpPr>
      <xdr:spPr>
        <a:xfrm>
          <a:off x="3273425" y="10036629"/>
          <a:ext cx="1201778" cy="405439"/>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ysClr val="windowText" lastClr="000000"/>
              </a:solidFill>
              <a:latin typeface="+mj-ea"/>
              <a:ea typeface="+mj-ea"/>
            </a:rPr>
            <a:t>戻る</a:t>
          </a:r>
          <a:endParaRPr kumimoji="1" lang="en-US" altLang="ja-JP" sz="900" b="0">
            <a:solidFill>
              <a:sysClr val="windowText" lastClr="000000"/>
            </a:solidFill>
            <a:latin typeface="+mj-ea"/>
            <a:ea typeface="+mj-ea"/>
          </a:endParaRPr>
        </a:p>
        <a:p>
          <a:pPr algn="ctr"/>
          <a:r>
            <a:rPr kumimoji="1" lang="en-US" altLang="ja-JP" sz="900" b="0">
              <a:solidFill>
                <a:sysClr val="windowText" lastClr="000000"/>
              </a:solidFill>
              <a:latin typeface="+mj-ea"/>
              <a:ea typeface="+mj-ea"/>
            </a:rPr>
            <a:t>(RETURN)</a:t>
          </a:r>
          <a:endParaRPr kumimoji="1" lang="ja-JP" altLang="en-US" sz="900" b="0">
            <a:solidFill>
              <a:sysClr val="windowText" lastClr="000000"/>
            </a:solidFill>
            <a:latin typeface="+mj-ea"/>
            <a:ea typeface="+mj-ea"/>
          </a:endParaRPr>
        </a:p>
      </xdr:txBody>
    </xdr:sp>
    <xdr:clientData/>
  </xdr:twoCellAnchor>
  <xdr:twoCellAnchor>
    <xdr:from>
      <xdr:col>25</xdr:col>
      <xdr:colOff>48372</xdr:colOff>
      <xdr:row>61</xdr:row>
      <xdr:rowOff>1</xdr:rowOff>
    </xdr:from>
    <xdr:to>
      <xdr:col>31</xdr:col>
      <xdr:colOff>139700</xdr:colOff>
      <xdr:row>63</xdr:row>
      <xdr:rowOff>95251</xdr:rowOff>
    </xdr:to>
    <xdr:sp macro="" textlink="">
      <xdr:nvSpPr>
        <xdr:cNvPr id="12" name="正方形/長方形 11">
          <a:extLst>
            <a:ext uri="{FF2B5EF4-FFF2-40B4-BE49-F238E27FC236}">
              <a16:creationId xmlns:a16="http://schemas.microsoft.com/office/drawing/2014/main" id="{616FA918-A6FD-40FF-832F-D6CBDD15147A}"/>
            </a:ext>
          </a:extLst>
        </xdr:cNvPr>
        <xdr:cNvSpPr/>
      </xdr:nvSpPr>
      <xdr:spPr>
        <a:xfrm>
          <a:off x="4569572" y="10020301"/>
          <a:ext cx="1183528" cy="419100"/>
        </a:xfrm>
        <a:prstGeom prst="rect">
          <a:avLst/>
        </a:prstGeom>
        <a:solidFill>
          <a:srgbClr val="00206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chemeClr val="bg1"/>
              </a:solidFill>
              <a:latin typeface="+mj-ea"/>
              <a:ea typeface="+mj-ea"/>
            </a:rPr>
            <a:t>次へ</a:t>
          </a:r>
          <a:endParaRPr kumimoji="1" lang="en-US" altLang="ja-JP" sz="900" b="0">
            <a:solidFill>
              <a:schemeClr val="bg1"/>
            </a:solidFill>
            <a:latin typeface="+mj-ea"/>
            <a:ea typeface="+mj-ea"/>
          </a:endParaRPr>
        </a:p>
        <a:p>
          <a:pPr algn="ctr"/>
          <a:r>
            <a:rPr kumimoji="1" lang="en-US" altLang="ja-JP" sz="900" b="0">
              <a:solidFill>
                <a:schemeClr val="bg1"/>
              </a:solidFill>
              <a:latin typeface="+mj-ea"/>
              <a:ea typeface="+mj-ea"/>
            </a:rPr>
            <a:t>(NEXT)</a:t>
          </a:r>
          <a:endParaRPr kumimoji="1" lang="ja-JP" altLang="en-US" sz="900" b="0">
            <a:solidFill>
              <a:schemeClr val="bg1"/>
            </a:solidFill>
            <a:latin typeface="+mj-ea"/>
            <a:ea typeface="+mj-ea"/>
          </a:endParaRPr>
        </a:p>
      </xdr:txBody>
    </xdr:sp>
    <xdr:clientData/>
  </xdr:twoCellAnchor>
  <xdr:twoCellAnchor>
    <xdr:from>
      <xdr:col>17</xdr:col>
      <xdr:colOff>0</xdr:colOff>
      <xdr:row>23</xdr:row>
      <xdr:rowOff>0</xdr:rowOff>
    </xdr:from>
    <xdr:to>
      <xdr:col>37</xdr:col>
      <xdr:colOff>45505</xdr:colOff>
      <xdr:row>32</xdr:row>
      <xdr:rowOff>8731</xdr:rowOff>
    </xdr:to>
    <xdr:grpSp>
      <xdr:nvGrpSpPr>
        <xdr:cNvPr id="13" name="グループ化 12">
          <a:extLst>
            <a:ext uri="{FF2B5EF4-FFF2-40B4-BE49-F238E27FC236}">
              <a16:creationId xmlns:a16="http://schemas.microsoft.com/office/drawing/2014/main" id="{7EF001C8-1096-4F8C-8015-93E4B1CBAB61}"/>
            </a:ext>
          </a:extLst>
        </xdr:cNvPr>
        <xdr:cNvGrpSpPr/>
      </xdr:nvGrpSpPr>
      <xdr:grpSpPr>
        <a:xfrm>
          <a:off x="3058583" y="3799417"/>
          <a:ext cx="3647014" cy="1440656"/>
          <a:chOff x="3649663" y="3595688"/>
          <a:chExt cx="3620555" cy="1505743"/>
        </a:xfrm>
      </xdr:grpSpPr>
      <xdr:sp macro="" textlink="">
        <xdr:nvSpPr>
          <xdr:cNvPr id="14" name="正方形/長方形 13">
            <a:extLst>
              <a:ext uri="{FF2B5EF4-FFF2-40B4-BE49-F238E27FC236}">
                <a16:creationId xmlns:a16="http://schemas.microsoft.com/office/drawing/2014/main" id="{74B5F4EF-73D7-50E9-A829-A99DF0E492EB}"/>
              </a:ext>
            </a:extLst>
          </xdr:cNvPr>
          <xdr:cNvSpPr/>
        </xdr:nvSpPr>
        <xdr:spPr>
          <a:xfrm>
            <a:off x="3649663" y="3626708"/>
            <a:ext cx="3448878" cy="1457223"/>
          </a:xfrm>
          <a:prstGeom prst="rect">
            <a:avLst/>
          </a:prstGeom>
          <a:ln w="952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000" baseline="0">
                <a:solidFill>
                  <a:schemeClr val="bg1">
                    <a:lumMod val="75000"/>
                  </a:schemeClr>
                </a:solidFill>
              </a:rPr>
              <a:t>Entry ex</a:t>
            </a:r>
          </a:p>
          <a:p>
            <a:pPr algn="l"/>
            <a:r>
              <a:rPr kumimoji="1" lang="en-US" altLang="ja-JP" sz="1000">
                <a:solidFill>
                  <a:schemeClr val="bg1">
                    <a:lumMod val="75000"/>
                  </a:schemeClr>
                </a:solidFill>
              </a:rPr>
              <a:t>ProductA</a:t>
            </a:r>
          </a:p>
          <a:p>
            <a:pPr algn="l"/>
            <a:r>
              <a:rPr kumimoji="1" lang="en-US" altLang="ja-JP" sz="1000">
                <a:solidFill>
                  <a:schemeClr val="bg1">
                    <a:lumMod val="75000"/>
                  </a:schemeClr>
                </a:solidFill>
              </a:rPr>
              <a:t>CL0123-4567-8-90</a:t>
            </a:r>
          </a:p>
          <a:p>
            <a:pPr algn="l"/>
            <a:r>
              <a:rPr kumimoji="1" lang="en-US" altLang="ja-JP" sz="1000">
                <a:solidFill>
                  <a:schemeClr val="bg1">
                    <a:lumMod val="75000"/>
                  </a:schemeClr>
                </a:solidFill>
              </a:rPr>
              <a:t>01234567890</a:t>
            </a:r>
            <a:endParaRPr kumimoji="1" lang="ja-JP" altLang="en-US" sz="1000">
              <a:solidFill>
                <a:schemeClr val="bg1">
                  <a:lumMod val="75000"/>
                </a:schemeClr>
              </a:solidFill>
            </a:endParaRPr>
          </a:p>
        </xdr:txBody>
      </xdr:sp>
      <xdr:pic>
        <xdr:nvPicPr>
          <xdr:cNvPr id="15" name="図 14">
            <a:extLst>
              <a:ext uri="{FF2B5EF4-FFF2-40B4-BE49-F238E27FC236}">
                <a16:creationId xmlns:a16="http://schemas.microsoft.com/office/drawing/2014/main" id="{DB45DB9D-F345-CB6C-03B0-1CEE3CC4196C}"/>
              </a:ext>
            </a:extLst>
          </xdr:cNvPr>
          <xdr:cNvPicPr>
            <a:picLocks noChangeAspect="1"/>
          </xdr:cNvPicPr>
        </xdr:nvPicPr>
        <xdr:blipFill>
          <a:blip xmlns:r="http://schemas.openxmlformats.org/officeDocument/2006/relationships" r:embed="rId1"/>
          <a:stretch>
            <a:fillRect/>
          </a:stretch>
        </xdr:blipFill>
        <xdr:spPr>
          <a:xfrm>
            <a:off x="7100888" y="3595688"/>
            <a:ext cx="169330" cy="1505743"/>
          </a:xfrm>
          <a:prstGeom prst="rect">
            <a:avLst/>
          </a:prstGeom>
        </xdr:spPr>
      </xdr:pic>
    </xdr:grpSp>
    <xdr:clientData/>
  </xdr:twoCellAnchor>
  <xdr:twoCellAnchor>
    <xdr:from>
      <xdr:col>10</xdr:col>
      <xdr:colOff>178593</xdr:colOff>
      <xdr:row>5</xdr:row>
      <xdr:rowOff>169332</xdr:rowOff>
    </xdr:from>
    <xdr:to>
      <xdr:col>13</xdr:col>
      <xdr:colOff>15081</xdr:colOff>
      <xdr:row>6</xdr:row>
      <xdr:rowOff>246062</xdr:rowOff>
    </xdr:to>
    <xdr:sp macro="" textlink="">
      <xdr:nvSpPr>
        <xdr:cNvPr id="16" name="正方形/長方形 15">
          <a:extLst>
            <a:ext uri="{FF2B5EF4-FFF2-40B4-BE49-F238E27FC236}">
              <a16:creationId xmlns:a16="http://schemas.microsoft.com/office/drawing/2014/main" id="{35D9A53C-0FA7-4033-8EEB-FFE31481008F}"/>
            </a:ext>
          </a:extLst>
        </xdr:cNvPr>
        <xdr:cNvSpPr/>
      </xdr:nvSpPr>
      <xdr:spPr>
        <a:xfrm>
          <a:off x="1991518" y="874182"/>
          <a:ext cx="373063" cy="24818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169334</xdr:colOff>
      <xdr:row>7</xdr:row>
      <xdr:rowOff>64029</xdr:rowOff>
    </xdr:from>
    <xdr:to>
      <xdr:col>12</xdr:col>
      <xdr:colOff>83080</xdr:colOff>
      <xdr:row>8</xdr:row>
      <xdr:rowOff>202142</xdr:rowOff>
    </xdr:to>
    <xdr:sp macro="" textlink="">
      <xdr:nvSpPr>
        <xdr:cNvPr id="17" name="線吹き出し 1 (枠付き) 12">
          <a:extLst>
            <a:ext uri="{FF2B5EF4-FFF2-40B4-BE49-F238E27FC236}">
              <a16:creationId xmlns:a16="http://schemas.microsoft.com/office/drawing/2014/main" id="{82868812-FF1E-44EC-9903-2D08A4738D24}"/>
            </a:ext>
          </a:extLst>
        </xdr:cNvPr>
        <xdr:cNvSpPr/>
      </xdr:nvSpPr>
      <xdr:spPr>
        <a:xfrm>
          <a:off x="1074209" y="1210204"/>
          <a:ext cx="1183746" cy="293688"/>
        </a:xfrm>
        <a:prstGeom prst="borderCallout1">
          <a:avLst>
            <a:gd name="adj1" fmla="val -4247"/>
            <a:gd name="adj2" fmla="val 28737"/>
            <a:gd name="adj3" fmla="val -21310"/>
            <a:gd name="adj4" fmla="val 8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14</xdr:col>
      <xdr:colOff>161397</xdr:colOff>
      <xdr:row>10</xdr:row>
      <xdr:rowOff>98425</xdr:rowOff>
    </xdr:from>
    <xdr:to>
      <xdr:col>17</xdr:col>
      <xdr:colOff>52653</xdr:colOff>
      <xdr:row>12</xdr:row>
      <xdr:rowOff>68526</xdr:rowOff>
    </xdr:to>
    <xdr:sp macro="" textlink="">
      <xdr:nvSpPr>
        <xdr:cNvPr id="18" name="正方形/長方形 17">
          <a:extLst>
            <a:ext uri="{FF2B5EF4-FFF2-40B4-BE49-F238E27FC236}">
              <a16:creationId xmlns:a16="http://schemas.microsoft.com/office/drawing/2014/main" id="{8C61F2D5-CE58-4A54-848F-364CD181D0CC}"/>
            </a:ext>
          </a:extLst>
        </xdr:cNvPr>
        <xdr:cNvSpPr/>
      </xdr:nvSpPr>
      <xdr:spPr>
        <a:xfrm>
          <a:off x="2698222" y="1873250"/>
          <a:ext cx="427831" cy="27807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71438</xdr:colOff>
      <xdr:row>16</xdr:row>
      <xdr:rowOff>55826</xdr:rowOff>
    </xdr:from>
    <xdr:to>
      <xdr:col>16</xdr:col>
      <xdr:colOff>157691</xdr:colOff>
      <xdr:row>18</xdr:row>
      <xdr:rowOff>14551</xdr:rowOff>
    </xdr:to>
    <xdr:sp macro="" textlink="">
      <xdr:nvSpPr>
        <xdr:cNvPr id="19" name="正方形/長方形 18">
          <a:extLst>
            <a:ext uri="{FF2B5EF4-FFF2-40B4-BE49-F238E27FC236}">
              <a16:creationId xmlns:a16="http://schemas.microsoft.com/office/drawing/2014/main" id="{E2528441-2416-4889-89B8-6C4CF6747217}"/>
            </a:ext>
          </a:extLst>
        </xdr:cNvPr>
        <xdr:cNvSpPr/>
      </xdr:nvSpPr>
      <xdr:spPr>
        <a:xfrm>
          <a:off x="2601913" y="2789501"/>
          <a:ext cx="454553" cy="2794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38630</xdr:colOff>
      <xdr:row>21</xdr:row>
      <xdr:rowOff>151076</xdr:rowOff>
    </xdr:from>
    <xdr:to>
      <xdr:col>16</xdr:col>
      <xdr:colOff>109008</xdr:colOff>
      <xdr:row>23</xdr:row>
      <xdr:rowOff>106626</xdr:rowOff>
    </xdr:to>
    <xdr:sp macro="" textlink="">
      <xdr:nvSpPr>
        <xdr:cNvPr id="20" name="正方形/長方形 19">
          <a:extLst>
            <a:ext uri="{FF2B5EF4-FFF2-40B4-BE49-F238E27FC236}">
              <a16:creationId xmlns:a16="http://schemas.microsoft.com/office/drawing/2014/main" id="{8074183E-62C3-46A8-B2E6-44251EE94A7B}"/>
            </a:ext>
          </a:extLst>
        </xdr:cNvPr>
        <xdr:cNvSpPr/>
      </xdr:nvSpPr>
      <xdr:spPr>
        <a:xfrm>
          <a:off x="2572280" y="3694376"/>
          <a:ext cx="429153" cy="2762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119064</xdr:colOff>
      <xdr:row>35</xdr:row>
      <xdr:rowOff>47360</xdr:rowOff>
    </xdr:from>
    <xdr:to>
      <xdr:col>17</xdr:col>
      <xdr:colOff>28576</xdr:colOff>
      <xdr:row>36</xdr:row>
      <xdr:rowOff>158485</xdr:rowOff>
    </xdr:to>
    <xdr:sp macro="" textlink="">
      <xdr:nvSpPr>
        <xdr:cNvPr id="21" name="正方形/長方形 20">
          <a:extLst>
            <a:ext uri="{FF2B5EF4-FFF2-40B4-BE49-F238E27FC236}">
              <a16:creationId xmlns:a16="http://schemas.microsoft.com/office/drawing/2014/main" id="{21B1FC2F-F46A-4B6E-A35B-3A4D8728CDCC}"/>
            </a:ext>
          </a:extLst>
        </xdr:cNvPr>
        <xdr:cNvSpPr/>
      </xdr:nvSpPr>
      <xdr:spPr>
        <a:xfrm>
          <a:off x="2655889" y="5860785"/>
          <a:ext cx="446087" cy="2730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107422</xdr:colOff>
      <xdr:row>63</xdr:row>
      <xdr:rowOff>143139</xdr:rowOff>
    </xdr:from>
    <xdr:to>
      <xdr:col>23</xdr:col>
      <xdr:colOff>10584</xdr:colOff>
      <xdr:row>65</xdr:row>
      <xdr:rowOff>93926</xdr:rowOff>
    </xdr:to>
    <xdr:sp macro="" textlink="">
      <xdr:nvSpPr>
        <xdr:cNvPr id="23" name="正方形/長方形 22">
          <a:extLst>
            <a:ext uri="{FF2B5EF4-FFF2-40B4-BE49-F238E27FC236}">
              <a16:creationId xmlns:a16="http://schemas.microsoft.com/office/drawing/2014/main" id="{A8129855-392F-4037-BE6C-5E47A63D4914}"/>
            </a:ext>
          </a:extLst>
        </xdr:cNvPr>
        <xdr:cNvSpPr/>
      </xdr:nvSpPr>
      <xdr:spPr>
        <a:xfrm>
          <a:off x="3723747" y="10484114"/>
          <a:ext cx="446087" cy="27781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2.6</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61120</xdr:colOff>
      <xdr:row>63</xdr:row>
      <xdr:rowOff>146314</xdr:rowOff>
    </xdr:from>
    <xdr:to>
      <xdr:col>29</xdr:col>
      <xdr:colOff>141024</xdr:colOff>
      <xdr:row>65</xdr:row>
      <xdr:rowOff>93926</xdr:rowOff>
    </xdr:to>
    <xdr:sp macro="" textlink="">
      <xdr:nvSpPr>
        <xdr:cNvPr id="24" name="正方形/長方形 23">
          <a:extLst>
            <a:ext uri="{FF2B5EF4-FFF2-40B4-BE49-F238E27FC236}">
              <a16:creationId xmlns:a16="http://schemas.microsoft.com/office/drawing/2014/main" id="{568D1609-1FF5-4674-BF95-465636E14841}"/>
            </a:ext>
          </a:extLst>
        </xdr:cNvPr>
        <xdr:cNvSpPr/>
      </xdr:nvSpPr>
      <xdr:spPr>
        <a:xfrm>
          <a:off x="4950620" y="10487289"/>
          <a:ext cx="441854" cy="27463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2.7</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74083</xdr:colOff>
      <xdr:row>51</xdr:row>
      <xdr:rowOff>105834</xdr:rowOff>
    </xdr:from>
    <xdr:to>
      <xdr:col>6</xdr:col>
      <xdr:colOff>160338</xdr:colOff>
      <xdr:row>53</xdr:row>
      <xdr:rowOff>62972</xdr:rowOff>
    </xdr:to>
    <xdr:sp macro="" textlink="">
      <xdr:nvSpPr>
        <xdr:cNvPr id="25" name="正方形/長方形 24">
          <a:extLst>
            <a:ext uri="{FF2B5EF4-FFF2-40B4-BE49-F238E27FC236}">
              <a16:creationId xmlns:a16="http://schemas.microsoft.com/office/drawing/2014/main" id="{625082F4-3279-473F-BFD0-1A8BA40AC2E5}"/>
            </a:ext>
          </a:extLst>
        </xdr:cNvPr>
        <xdr:cNvSpPr/>
      </xdr:nvSpPr>
      <xdr:spPr>
        <a:xfrm>
          <a:off x="793750" y="8350251"/>
          <a:ext cx="446088" cy="27463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80433</xdr:colOff>
      <xdr:row>12</xdr:row>
      <xdr:rowOff>82550</xdr:rowOff>
    </xdr:from>
    <xdr:to>
      <xdr:col>34</xdr:col>
      <xdr:colOff>100311</xdr:colOff>
      <xdr:row>14</xdr:row>
      <xdr:rowOff>99172</xdr:rowOff>
    </xdr:to>
    <xdr:sp macro="" textlink="">
      <xdr:nvSpPr>
        <xdr:cNvPr id="4" name="正方形/長方形 3">
          <a:extLst>
            <a:ext uri="{FF2B5EF4-FFF2-40B4-BE49-F238E27FC236}">
              <a16:creationId xmlns:a16="http://schemas.microsoft.com/office/drawing/2014/main" id="{B8F434DF-D502-4AE8-8A46-E62E459ACC80}"/>
            </a:ext>
          </a:extLst>
        </xdr:cNvPr>
        <xdr:cNvSpPr/>
      </xdr:nvSpPr>
      <xdr:spPr>
        <a:xfrm>
          <a:off x="3318933" y="2135717"/>
          <a:ext cx="2898545" cy="3341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38100</xdr:colOff>
      <xdr:row>16</xdr:row>
      <xdr:rowOff>130175</xdr:rowOff>
    </xdr:from>
    <xdr:to>
      <xdr:col>33</xdr:col>
      <xdr:colOff>57978</xdr:colOff>
      <xdr:row>18</xdr:row>
      <xdr:rowOff>153147</xdr:rowOff>
    </xdr:to>
    <xdr:sp macro="" textlink="">
      <xdr:nvSpPr>
        <xdr:cNvPr id="5" name="正方形/長方形 4">
          <a:extLst>
            <a:ext uri="{FF2B5EF4-FFF2-40B4-BE49-F238E27FC236}">
              <a16:creationId xmlns:a16="http://schemas.microsoft.com/office/drawing/2014/main" id="{FBB239E9-69BF-4D32-93D0-21D44BD008B6}"/>
            </a:ext>
          </a:extLst>
        </xdr:cNvPr>
        <xdr:cNvSpPr/>
      </xdr:nvSpPr>
      <xdr:spPr>
        <a:xfrm>
          <a:off x="3114675" y="2863850"/>
          <a:ext cx="2915478" cy="3468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19050</xdr:colOff>
      <xdr:row>37</xdr:row>
      <xdr:rowOff>19050</xdr:rowOff>
    </xdr:from>
    <xdr:to>
      <xdr:col>17</xdr:col>
      <xdr:colOff>144552</xdr:colOff>
      <xdr:row>37</xdr:row>
      <xdr:rowOff>139700</xdr:rowOff>
    </xdr:to>
    <xdr:sp macro="" textlink="">
      <xdr:nvSpPr>
        <xdr:cNvPr id="6" name="正方形/長方形 5">
          <a:extLst>
            <a:ext uri="{FF2B5EF4-FFF2-40B4-BE49-F238E27FC236}">
              <a16:creationId xmlns:a16="http://schemas.microsoft.com/office/drawing/2014/main" id="{04FE0245-EEF0-45F3-B002-701F59F8F757}"/>
            </a:ext>
          </a:extLst>
        </xdr:cNvPr>
        <xdr:cNvSpPr/>
      </xdr:nvSpPr>
      <xdr:spPr>
        <a:xfrm>
          <a:off x="3095625" y="55054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39</xdr:row>
      <xdr:rowOff>19050</xdr:rowOff>
    </xdr:from>
    <xdr:to>
      <xdr:col>17</xdr:col>
      <xdr:colOff>144552</xdr:colOff>
      <xdr:row>39</xdr:row>
      <xdr:rowOff>139700</xdr:rowOff>
    </xdr:to>
    <xdr:sp macro="" textlink="">
      <xdr:nvSpPr>
        <xdr:cNvPr id="7" name="正方形/長方形 6">
          <a:extLst>
            <a:ext uri="{FF2B5EF4-FFF2-40B4-BE49-F238E27FC236}">
              <a16:creationId xmlns:a16="http://schemas.microsoft.com/office/drawing/2014/main" id="{B165593A-3968-40CB-83B0-0655A151B393}"/>
            </a:ext>
          </a:extLst>
        </xdr:cNvPr>
        <xdr:cNvSpPr/>
      </xdr:nvSpPr>
      <xdr:spPr>
        <a:xfrm>
          <a:off x="3095625" y="56673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41</xdr:row>
      <xdr:rowOff>19050</xdr:rowOff>
    </xdr:from>
    <xdr:to>
      <xdr:col>17</xdr:col>
      <xdr:colOff>144552</xdr:colOff>
      <xdr:row>41</xdr:row>
      <xdr:rowOff>139700</xdr:rowOff>
    </xdr:to>
    <xdr:sp macro="" textlink="">
      <xdr:nvSpPr>
        <xdr:cNvPr id="8" name="正方形/長方形 7">
          <a:extLst>
            <a:ext uri="{FF2B5EF4-FFF2-40B4-BE49-F238E27FC236}">
              <a16:creationId xmlns:a16="http://schemas.microsoft.com/office/drawing/2014/main" id="{8D7718BB-1EB7-459A-AF84-D0D88F65E83B}"/>
            </a:ext>
          </a:extLst>
        </xdr:cNvPr>
        <xdr:cNvSpPr/>
      </xdr:nvSpPr>
      <xdr:spPr>
        <a:xfrm>
          <a:off x="3095625" y="58293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43</xdr:row>
      <xdr:rowOff>19050</xdr:rowOff>
    </xdr:from>
    <xdr:to>
      <xdr:col>17</xdr:col>
      <xdr:colOff>144552</xdr:colOff>
      <xdr:row>43</xdr:row>
      <xdr:rowOff>139700</xdr:rowOff>
    </xdr:to>
    <xdr:sp macro="" textlink="">
      <xdr:nvSpPr>
        <xdr:cNvPr id="9" name="正方形/長方形 8">
          <a:extLst>
            <a:ext uri="{FF2B5EF4-FFF2-40B4-BE49-F238E27FC236}">
              <a16:creationId xmlns:a16="http://schemas.microsoft.com/office/drawing/2014/main" id="{C174B000-D0DD-4835-A060-FDADBCB224A7}"/>
            </a:ext>
          </a:extLst>
        </xdr:cNvPr>
        <xdr:cNvSpPr/>
      </xdr:nvSpPr>
      <xdr:spPr>
        <a:xfrm>
          <a:off x="3095625" y="599122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45</xdr:row>
      <xdr:rowOff>19050</xdr:rowOff>
    </xdr:from>
    <xdr:to>
      <xdr:col>17</xdr:col>
      <xdr:colOff>144552</xdr:colOff>
      <xdr:row>45</xdr:row>
      <xdr:rowOff>139700</xdr:rowOff>
    </xdr:to>
    <xdr:sp macro="" textlink="">
      <xdr:nvSpPr>
        <xdr:cNvPr id="10" name="正方形/長方形 9">
          <a:extLst>
            <a:ext uri="{FF2B5EF4-FFF2-40B4-BE49-F238E27FC236}">
              <a16:creationId xmlns:a16="http://schemas.microsoft.com/office/drawing/2014/main" id="{38DAFEBD-CFB4-4F1C-BFD4-4EDC532A9F30}"/>
            </a:ext>
          </a:extLst>
        </xdr:cNvPr>
        <xdr:cNvSpPr/>
      </xdr:nvSpPr>
      <xdr:spPr>
        <a:xfrm>
          <a:off x="3095625" y="61531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47</xdr:row>
      <xdr:rowOff>19050</xdr:rowOff>
    </xdr:from>
    <xdr:to>
      <xdr:col>17</xdr:col>
      <xdr:colOff>144552</xdr:colOff>
      <xdr:row>47</xdr:row>
      <xdr:rowOff>139700</xdr:rowOff>
    </xdr:to>
    <xdr:sp macro="" textlink="">
      <xdr:nvSpPr>
        <xdr:cNvPr id="11" name="正方形/長方形 10">
          <a:extLst>
            <a:ext uri="{FF2B5EF4-FFF2-40B4-BE49-F238E27FC236}">
              <a16:creationId xmlns:a16="http://schemas.microsoft.com/office/drawing/2014/main" id="{68112BC8-D6E0-4C3F-A57F-9977F450C4E0}"/>
            </a:ext>
          </a:extLst>
        </xdr:cNvPr>
        <xdr:cNvSpPr/>
      </xdr:nvSpPr>
      <xdr:spPr>
        <a:xfrm>
          <a:off x="3095625" y="63150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49</xdr:row>
      <xdr:rowOff>19050</xdr:rowOff>
    </xdr:from>
    <xdr:to>
      <xdr:col>17</xdr:col>
      <xdr:colOff>144552</xdr:colOff>
      <xdr:row>49</xdr:row>
      <xdr:rowOff>139700</xdr:rowOff>
    </xdr:to>
    <xdr:sp macro="" textlink="">
      <xdr:nvSpPr>
        <xdr:cNvPr id="12" name="正方形/長方形 11">
          <a:extLst>
            <a:ext uri="{FF2B5EF4-FFF2-40B4-BE49-F238E27FC236}">
              <a16:creationId xmlns:a16="http://schemas.microsoft.com/office/drawing/2014/main" id="{0C3C1D7F-689B-47D1-8EF2-35ED3DA0320D}"/>
            </a:ext>
          </a:extLst>
        </xdr:cNvPr>
        <xdr:cNvSpPr/>
      </xdr:nvSpPr>
      <xdr:spPr>
        <a:xfrm>
          <a:off x="3095625" y="64770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18</xdr:col>
      <xdr:colOff>15875</xdr:colOff>
      <xdr:row>63</xdr:row>
      <xdr:rowOff>16329</xdr:rowOff>
    </xdr:from>
    <xdr:to>
      <xdr:col>24</xdr:col>
      <xdr:colOff>131803</xdr:colOff>
      <xdr:row>65</xdr:row>
      <xdr:rowOff>97918</xdr:rowOff>
    </xdr:to>
    <xdr:sp macro="" textlink="">
      <xdr:nvSpPr>
        <xdr:cNvPr id="13" name="正方形/長方形 12">
          <a:extLst>
            <a:ext uri="{FF2B5EF4-FFF2-40B4-BE49-F238E27FC236}">
              <a16:creationId xmlns:a16="http://schemas.microsoft.com/office/drawing/2014/main" id="{5F4999BD-8C01-4933-9857-CBA17C8D59A6}"/>
            </a:ext>
          </a:extLst>
        </xdr:cNvPr>
        <xdr:cNvSpPr/>
      </xdr:nvSpPr>
      <xdr:spPr>
        <a:xfrm>
          <a:off x="3273425" y="8417379"/>
          <a:ext cx="1201778" cy="405439"/>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ysClr val="windowText" lastClr="000000"/>
              </a:solidFill>
              <a:latin typeface="+mj-ea"/>
              <a:ea typeface="+mj-ea"/>
            </a:rPr>
            <a:t>戻る</a:t>
          </a:r>
          <a:endParaRPr kumimoji="1" lang="en-US" altLang="ja-JP" sz="900" b="0">
            <a:solidFill>
              <a:sysClr val="windowText" lastClr="000000"/>
            </a:solidFill>
            <a:latin typeface="+mj-ea"/>
            <a:ea typeface="+mj-ea"/>
          </a:endParaRPr>
        </a:p>
        <a:p>
          <a:pPr algn="ctr"/>
          <a:r>
            <a:rPr kumimoji="1" lang="en-US" altLang="ja-JP" sz="900" b="0">
              <a:solidFill>
                <a:sysClr val="windowText" lastClr="000000"/>
              </a:solidFill>
              <a:latin typeface="+mj-ea"/>
              <a:ea typeface="+mj-ea"/>
            </a:rPr>
            <a:t>(BACK)</a:t>
          </a:r>
          <a:endParaRPr kumimoji="1" lang="ja-JP" altLang="en-US" sz="900" b="0">
            <a:solidFill>
              <a:sysClr val="windowText" lastClr="000000"/>
            </a:solidFill>
            <a:latin typeface="+mj-ea"/>
            <a:ea typeface="+mj-ea"/>
          </a:endParaRPr>
        </a:p>
      </xdr:txBody>
    </xdr:sp>
    <xdr:clientData/>
  </xdr:twoCellAnchor>
  <xdr:twoCellAnchor>
    <xdr:from>
      <xdr:col>25</xdr:col>
      <xdr:colOff>48372</xdr:colOff>
      <xdr:row>63</xdr:row>
      <xdr:rowOff>1</xdr:rowOff>
    </xdr:from>
    <xdr:to>
      <xdr:col>31</xdr:col>
      <xdr:colOff>139700</xdr:colOff>
      <xdr:row>65</xdr:row>
      <xdr:rowOff>95251</xdr:rowOff>
    </xdr:to>
    <xdr:sp macro="" textlink="">
      <xdr:nvSpPr>
        <xdr:cNvPr id="14" name="正方形/長方形 13">
          <a:extLst>
            <a:ext uri="{FF2B5EF4-FFF2-40B4-BE49-F238E27FC236}">
              <a16:creationId xmlns:a16="http://schemas.microsoft.com/office/drawing/2014/main" id="{B1DA8F3F-00A9-431A-92E2-853D7E4F655A}"/>
            </a:ext>
          </a:extLst>
        </xdr:cNvPr>
        <xdr:cNvSpPr/>
      </xdr:nvSpPr>
      <xdr:spPr>
        <a:xfrm>
          <a:off x="4569572" y="8401051"/>
          <a:ext cx="1183528" cy="419100"/>
        </a:xfrm>
        <a:prstGeom prst="rect">
          <a:avLst/>
        </a:prstGeom>
        <a:solidFill>
          <a:srgbClr val="00206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chemeClr val="bg1"/>
              </a:solidFill>
              <a:latin typeface="+mj-ea"/>
              <a:ea typeface="+mj-ea"/>
            </a:rPr>
            <a:t>次へ</a:t>
          </a:r>
          <a:endParaRPr kumimoji="1" lang="en-US" altLang="ja-JP" sz="900" b="0">
            <a:solidFill>
              <a:schemeClr val="bg1"/>
            </a:solidFill>
            <a:latin typeface="+mj-ea"/>
            <a:ea typeface="+mj-ea"/>
          </a:endParaRPr>
        </a:p>
        <a:p>
          <a:pPr algn="ctr"/>
          <a:r>
            <a:rPr kumimoji="1" lang="en-US" altLang="ja-JP" sz="900" b="0">
              <a:solidFill>
                <a:schemeClr val="bg1"/>
              </a:solidFill>
              <a:latin typeface="+mj-ea"/>
              <a:ea typeface="+mj-ea"/>
            </a:rPr>
            <a:t>(NEXT)</a:t>
          </a:r>
          <a:endParaRPr kumimoji="1" lang="ja-JP" altLang="en-US" sz="900" b="0">
            <a:solidFill>
              <a:schemeClr val="bg1"/>
            </a:solidFill>
            <a:latin typeface="+mj-ea"/>
            <a:ea typeface="+mj-ea"/>
          </a:endParaRPr>
        </a:p>
      </xdr:txBody>
    </xdr:sp>
    <xdr:clientData/>
  </xdr:twoCellAnchor>
  <xdr:twoCellAnchor>
    <xdr:from>
      <xdr:col>17</xdr:col>
      <xdr:colOff>0</xdr:colOff>
      <xdr:row>23</xdr:row>
      <xdr:rowOff>0</xdr:rowOff>
    </xdr:from>
    <xdr:to>
      <xdr:col>37</xdr:col>
      <xdr:colOff>48680</xdr:colOff>
      <xdr:row>32</xdr:row>
      <xdr:rowOff>11906</xdr:rowOff>
    </xdr:to>
    <xdr:grpSp>
      <xdr:nvGrpSpPr>
        <xdr:cNvPr id="22" name="グループ化 21">
          <a:extLst>
            <a:ext uri="{FF2B5EF4-FFF2-40B4-BE49-F238E27FC236}">
              <a16:creationId xmlns:a16="http://schemas.microsoft.com/office/drawing/2014/main" id="{C019E2E6-FB66-4EE5-AAF4-76E4BB502B93}"/>
            </a:ext>
          </a:extLst>
        </xdr:cNvPr>
        <xdr:cNvGrpSpPr/>
      </xdr:nvGrpSpPr>
      <xdr:grpSpPr>
        <a:xfrm>
          <a:off x="3036094" y="3940969"/>
          <a:ext cx="3617380" cy="1508918"/>
          <a:chOff x="3649663" y="3595688"/>
          <a:chExt cx="3620555" cy="1505743"/>
        </a:xfrm>
      </xdr:grpSpPr>
      <xdr:sp macro="" textlink="">
        <xdr:nvSpPr>
          <xdr:cNvPr id="23" name="正方形/長方形 22">
            <a:extLst>
              <a:ext uri="{FF2B5EF4-FFF2-40B4-BE49-F238E27FC236}">
                <a16:creationId xmlns:a16="http://schemas.microsoft.com/office/drawing/2014/main" id="{4F3E5525-5995-8E5B-C96A-280C793867A1}"/>
              </a:ext>
            </a:extLst>
          </xdr:cNvPr>
          <xdr:cNvSpPr/>
        </xdr:nvSpPr>
        <xdr:spPr>
          <a:xfrm>
            <a:off x="3649663" y="3626708"/>
            <a:ext cx="3448878" cy="1457223"/>
          </a:xfrm>
          <a:prstGeom prst="rect">
            <a:avLst/>
          </a:prstGeom>
          <a:ln w="952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000" baseline="0">
                <a:solidFill>
                  <a:schemeClr val="bg1">
                    <a:lumMod val="75000"/>
                  </a:schemeClr>
                </a:solidFill>
              </a:rPr>
              <a:t>Entry ex</a:t>
            </a:r>
          </a:p>
          <a:p>
            <a:pPr algn="l"/>
            <a:r>
              <a:rPr kumimoji="1" lang="en-US" altLang="ja-JP" sz="1000">
                <a:solidFill>
                  <a:schemeClr val="bg1">
                    <a:lumMod val="75000"/>
                  </a:schemeClr>
                </a:solidFill>
              </a:rPr>
              <a:t>ProductA</a:t>
            </a:r>
          </a:p>
          <a:p>
            <a:pPr algn="l"/>
            <a:r>
              <a:rPr kumimoji="1" lang="en-US" altLang="ja-JP" sz="1000">
                <a:solidFill>
                  <a:schemeClr val="bg1">
                    <a:lumMod val="75000"/>
                  </a:schemeClr>
                </a:solidFill>
              </a:rPr>
              <a:t>CL0123-4567-8-90</a:t>
            </a:r>
          </a:p>
          <a:p>
            <a:pPr algn="l"/>
            <a:r>
              <a:rPr kumimoji="1" lang="en-US" altLang="ja-JP" sz="1000">
                <a:solidFill>
                  <a:schemeClr val="bg1">
                    <a:lumMod val="75000"/>
                  </a:schemeClr>
                </a:solidFill>
              </a:rPr>
              <a:t>01234567890</a:t>
            </a:r>
            <a:endParaRPr kumimoji="1" lang="ja-JP" altLang="en-US" sz="1000">
              <a:solidFill>
                <a:schemeClr val="bg1">
                  <a:lumMod val="75000"/>
                </a:schemeClr>
              </a:solidFill>
            </a:endParaRPr>
          </a:p>
        </xdr:txBody>
      </xdr:sp>
      <xdr:pic>
        <xdr:nvPicPr>
          <xdr:cNvPr id="24" name="図 23">
            <a:extLst>
              <a:ext uri="{FF2B5EF4-FFF2-40B4-BE49-F238E27FC236}">
                <a16:creationId xmlns:a16="http://schemas.microsoft.com/office/drawing/2014/main" id="{2C656977-5A61-76B2-09C7-A256B06B2B83}"/>
              </a:ext>
            </a:extLst>
          </xdr:cNvPr>
          <xdr:cNvPicPr>
            <a:picLocks noChangeAspect="1"/>
          </xdr:cNvPicPr>
        </xdr:nvPicPr>
        <xdr:blipFill>
          <a:blip xmlns:r="http://schemas.openxmlformats.org/officeDocument/2006/relationships" r:embed="rId1"/>
          <a:stretch>
            <a:fillRect/>
          </a:stretch>
        </xdr:blipFill>
        <xdr:spPr>
          <a:xfrm>
            <a:off x="7100888" y="3595688"/>
            <a:ext cx="169330" cy="1505743"/>
          </a:xfrm>
          <a:prstGeom prst="rect">
            <a:avLst/>
          </a:prstGeom>
        </xdr:spPr>
      </xdr:pic>
    </xdr:grpSp>
    <xdr:clientData/>
  </xdr:twoCellAnchor>
  <xdr:twoCellAnchor>
    <xdr:from>
      <xdr:col>10</xdr:col>
      <xdr:colOff>178593</xdr:colOff>
      <xdr:row>5</xdr:row>
      <xdr:rowOff>169332</xdr:rowOff>
    </xdr:from>
    <xdr:to>
      <xdr:col>13</xdr:col>
      <xdr:colOff>15081</xdr:colOff>
      <xdr:row>6</xdr:row>
      <xdr:rowOff>246062</xdr:rowOff>
    </xdr:to>
    <xdr:sp macro="" textlink="">
      <xdr:nvSpPr>
        <xdr:cNvPr id="25" name="正方形/長方形 24">
          <a:extLst>
            <a:ext uri="{FF2B5EF4-FFF2-40B4-BE49-F238E27FC236}">
              <a16:creationId xmlns:a16="http://schemas.microsoft.com/office/drawing/2014/main" id="{116906E7-072C-46DE-8710-16ABA3B30A7F}"/>
            </a:ext>
          </a:extLst>
        </xdr:cNvPr>
        <xdr:cNvSpPr/>
      </xdr:nvSpPr>
      <xdr:spPr>
        <a:xfrm>
          <a:off x="1977760" y="857249"/>
          <a:ext cx="376238" cy="246063"/>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130176</xdr:colOff>
      <xdr:row>7</xdr:row>
      <xdr:rowOff>113771</xdr:rowOff>
    </xdr:from>
    <xdr:to>
      <xdr:col>11</xdr:col>
      <xdr:colOff>95251</xdr:colOff>
      <xdr:row>8</xdr:row>
      <xdr:rowOff>258234</xdr:rowOff>
    </xdr:to>
    <xdr:sp macro="" textlink="">
      <xdr:nvSpPr>
        <xdr:cNvPr id="26" name="線吹き出し 1 (枠付き) 12">
          <a:extLst>
            <a:ext uri="{FF2B5EF4-FFF2-40B4-BE49-F238E27FC236}">
              <a16:creationId xmlns:a16="http://schemas.microsoft.com/office/drawing/2014/main" id="{74AFC3F1-C5CA-4A64-BA25-02C0EB6F4EE8}"/>
            </a:ext>
          </a:extLst>
        </xdr:cNvPr>
        <xdr:cNvSpPr/>
      </xdr:nvSpPr>
      <xdr:spPr>
        <a:xfrm>
          <a:off x="849843" y="1235604"/>
          <a:ext cx="1224491" cy="303213"/>
        </a:xfrm>
        <a:prstGeom prst="borderCallout1">
          <a:avLst>
            <a:gd name="adj1" fmla="val -4247"/>
            <a:gd name="adj2" fmla="val 28737"/>
            <a:gd name="adj3" fmla="val -35272"/>
            <a:gd name="adj4" fmla="val 14711"/>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14</xdr:col>
      <xdr:colOff>161397</xdr:colOff>
      <xdr:row>10</xdr:row>
      <xdr:rowOff>98425</xdr:rowOff>
    </xdr:from>
    <xdr:to>
      <xdr:col>17</xdr:col>
      <xdr:colOff>52653</xdr:colOff>
      <xdr:row>12</xdr:row>
      <xdr:rowOff>68526</xdr:rowOff>
    </xdr:to>
    <xdr:sp macro="" textlink="">
      <xdr:nvSpPr>
        <xdr:cNvPr id="27" name="正方形/長方形 26">
          <a:extLst>
            <a:ext uri="{FF2B5EF4-FFF2-40B4-BE49-F238E27FC236}">
              <a16:creationId xmlns:a16="http://schemas.microsoft.com/office/drawing/2014/main" id="{B230C763-AF24-4258-9047-E8C87D77D373}"/>
            </a:ext>
          </a:extLst>
        </xdr:cNvPr>
        <xdr:cNvSpPr/>
      </xdr:nvSpPr>
      <xdr:spPr>
        <a:xfrm>
          <a:off x="2680230" y="1844675"/>
          <a:ext cx="431006" cy="27701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71438</xdr:colOff>
      <xdr:row>16</xdr:row>
      <xdr:rowOff>55826</xdr:rowOff>
    </xdr:from>
    <xdr:to>
      <xdr:col>16</xdr:col>
      <xdr:colOff>157691</xdr:colOff>
      <xdr:row>18</xdr:row>
      <xdr:rowOff>14551</xdr:rowOff>
    </xdr:to>
    <xdr:sp macro="" textlink="">
      <xdr:nvSpPr>
        <xdr:cNvPr id="28" name="正方形/長方形 27">
          <a:extLst>
            <a:ext uri="{FF2B5EF4-FFF2-40B4-BE49-F238E27FC236}">
              <a16:creationId xmlns:a16="http://schemas.microsoft.com/office/drawing/2014/main" id="{F56CFCB4-7134-41C6-8BF3-57CAAA562F73}"/>
            </a:ext>
          </a:extLst>
        </xdr:cNvPr>
        <xdr:cNvSpPr/>
      </xdr:nvSpPr>
      <xdr:spPr>
        <a:xfrm>
          <a:off x="2590271" y="2743993"/>
          <a:ext cx="446087" cy="2762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38630</xdr:colOff>
      <xdr:row>21</xdr:row>
      <xdr:rowOff>151076</xdr:rowOff>
    </xdr:from>
    <xdr:to>
      <xdr:col>16</xdr:col>
      <xdr:colOff>109008</xdr:colOff>
      <xdr:row>23</xdr:row>
      <xdr:rowOff>106626</xdr:rowOff>
    </xdr:to>
    <xdr:sp macro="" textlink="">
      <xdr:nvSpPr>
        <xdr:cNvPr id="29" name="正方形/長方形 28">
          <a:extLst>
            <a:ext uri="{FF2B5EF4-FFF2-40B4-BE49-F238E27FC236}">
              <a16:creationId xmlns:a16="http://schemas.microsoft.com/office/drawing/2014/main" id="{6C44ACEC-05B2-4B09-A0EE-AC70D6A89DDA}"/>
            </a:ext>
          </a:extLst>
        </xdr:cNvPr>
        <xdr:cNvSpPr/>
      </xdr:nvSpPr>
      <xdr:spPr>
        <a:xfrm>
          <a:off x="2557463" y="3632993"/>
          <a:ext cx="430212" cy="2730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119064</xdr:colOff>
      <xdr:row>35</xdr:row>
      <xdr:rowOff>47360</xdr:rowOff>
    </xdr:from>
    <xdr:to>
      <xdr:col>17</xdr:col>
      <xdr:colOff>28576</xdr:colOff>
      <xdr:row>36</xdr:row>
      <xdr:rowOff>158485</xdr:rowOff>
    </xdr:to>
    <xdr:sp macro="" textlink="">
      <xdr:nvSpPr>
        <xdr:cNvPr id="30" name="正方形/長方形 29">
          <a:extLst>
            <a:ext uri="{FF2B5EF4-FFF2-40B4-BE49-F238E27FC236}">
              <a16:creationId xmlns:a16="http://schemas.microsoft.com/office/drawing/2014/main" id="{E64254C6-CD52-4BC7-9D6B-78B73836F790}"/>
            </a:ext>
          </a:extLst>
        </xdr:cNvPr>
        <xdr:cNvSpPr/>
      </xdr:nvSpPr>
      <xdr:spPr>
        <a:xfrm>
          <a:off x="2637897" y="5751777"/>
          <a:ext cx="449262" cy="2698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107422</xdr:colOff>
      <xdr:row>65</xdr:row>
      <xdr:rowOff>143139</xdr:rowOff>
    </xdr:from>
    <xdr:to>
      <xdr:col>23</xdr:col>
      <xdr:colOff>10584</xdr:colOff>
      <xdr:row>67</xdr:row>
      <xdr:rowOff>93926</xdr:rowOff>
    </xdr:to>
    <xdr:sp macro="" textlink="">
      <xdr:nvSpPr>
        <xdr:cNvPr id="32" name="正方形/長方形 31">
          <a:extLst>
            <a:ext uri="{FF2B5EF4-FFF2-40B4-BE49-F238E27FC236}">
              <a16:creationId xmlns:a16="http://schemas.microsoft.com/office/drawing/2014/main" id="{20FC6DBA-752B-4884-95A1-1F1D4F7C390E}"/>
            </a:ext>
          </a:extLst>
        </xdr:cNvPr>
        <xdr:cNvSpPr/>
      </xdr:nvSpPr>
      <xdr:spPr>
        <a:xfrm>
          <a:off x="3705755" y="10292556"/>
          <a:ext cx="442912" cy="26828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2.7</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61120</xdr:colOff>
      <xdr:row>65</xdr:row>
      <xdr:rowOff>146314</xdr:rowOff>
    </xdr:from>
    <xdr:to>
      <xdr:col>29</xdr:col>
      <xdr:colOff>141024</xdr:colOff>
      <xdr:row>67</xdr:row>
      <xdr:rowOff>93926</xdr:rowOff>
    </xdr:to>
    <xdr:sp macro="" textlink="">
      <xdr:nvSpPr>
        <xdr:cNvPr id="33" name="正方形/長方形 32">
          <a:extLst>
            <a:ext uri="{FF2B5EF4-FFF2-40B4-BE49-F238E27FC236}">
              <a16:creationId xmlns:a16="http://schemas.microsoft.com/office/drawing/2014/main" id="{828D0F59-C927-44D5-9A1C-48C138EF559A}"/>
            </a:ext>
          </a:extLst>
        </xdr:cNvPr>
        <xdr:cNvSpPr/>
      </xdr:nvSpPr>
      <xdr:spPr>
        <a:xfrm>
          <a:off x="4918870" y="10295731"/>
          <a:ext cx="439737" cy="26511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2.8</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74083</xdr:colOff>
      <xdr:row>52</xdr:row>
      <xdr:rowOff>105834</xdr:rowOff>
    </xdr:from>
    <xdr:to>
      <xdr:col>6</xdr:col>
      <xdr:colOff>160338</xdr:colOff>
      <xdr:row>54</xdr:row>
      <xdr:rowOff>62972</xdr:rowOff>
    </xdr:to>
    <xdr:sp macro="" textlink="">
      <xdr:nvSpPr>
        <xdr:cNvPr id="2" name="正方形/長方形 1">
          <a:extLst>
            <a:ext uri="{FF2B5EF4-FFF2-40B4-BE49-F238E27FC236}">
              <a16:creationId xmlns:a16="http://schemas.microsoft.com/office/drawing/2014/main" id="{F4E8BD13-2C41-4F6E-A503-CBED3FE2CAFE}"/>
            </a:ext>
          </a:extLst>
        </xdr:cNvPr>
        <xdr:cNvSpPr/>
      </xdr:nvSpPr>
      <xdr:spPr>
        <a:xfrm>
          <a:off x="797983" y="8503709"/>
          <a:ext cx="451380" cy="28733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178858</xdr:colOff>
      <xdr:row>53</xdr:row>
      <xdr:rowOff>116417</xdr:rowOff>
    </xdr:from>
    <xdr:to>
      <xdr:col>44</xdr:col>
      <xdr:colOff>83608</xdr:colOff>
      <xdr:row>55</xdr:row>
      <xdr:rowOff>60324</xdr:rowOff>
    </xdr:to>
    <xdr:grpSp>
      <xdr:nvGrpSpPr>
        <xdr:cNvPr id="3" name="グループ化 2">
          <a:extLst>
            <a:ext uri="{FF2B5EF4-FFF2-40B4-BE49-F238E27FC236}">
              <a16:creationId xmlns:a16="http://schemas.microsoft.com/office/drawing/2014/main" id="{DC78F3B8-33F3-4F9A-A911-0E16FC87EBD7}"/>
            </a:ext>
          </a:extLst>
        </xdr:cNvPr>
        <xdr:cNvGrpSpPr/>
      </xdr:nvGrpSpPr>
      <xdr:grpSpPr>
        <a:xfrm>
          <a:off x="7147189" y="9058011"/>
          <a:ext cx="797719" cy="277282"/>
          <a:chOff x="13567834" y="4773083"/>
          <a:chExt cx="898525" cy="275168"/>
        </a:xfrm>
      </xdr:grpSpPr>
      <xdr:grpSp>
        <xdr:nvGrpSpPr>
          <xdr:cNvPr id="15" name="グループ化 14">
            <a:extLst>
              <a:ext uri="{FF2B5EF4-FFF2-40B4-BE49-F238E27FC236}">
                <a16:creationId xmlns:a16="http://schemas.microsoft.com/office/drawing/2014/main" id="{F2C1C929-B541-F5C3-9963-A935B2095BD3}"/>
              </a:ext>
            </a:extLst>
          </xdr:cNvPr>
          <xdr:cNvGrpSpPr/>
        </xdr:nvGrpSpPr>
        <xdr:grpSpPr>
          <a:xfrm>
            <a:off x="13567834" y="4773083"/>
            <a:ext cx="898525" cy="275168"/>
            <a:chOff x="13712825" y="4519083"/>
            <a:chExt cx="898525" cy="275168"/>
          </a:xfrm>
        </xdr:grpSpPr>
        <xdr:sp macro="" textlink="">
          <xdr:nvSpPr>
            <xdr:cNvPr id="17" name="四角形: 角を丸くする 16">
              <a:extLst>
                <a:ext uri="{FF2B5EF4-FFF2-40B4-BE49-F238E27FC236}">
                  <a16:creationId xmlns:a16="http://schemas.microsoft.com/office/drawing/2014/main" id="{DF8160CB-400E-7D4E-9D3A-4734EA6CDB4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18" name="四角形: 角を丸くする 17">
              <a:extLst>
                <a:ext uri="{FF2B5EF4-FFF2-40B4-BE49-F238E27FC236}">
                  <a16:creationId xmlns:a16="http://schemas.microsoft.com/office/drawing/2014/main" id="{59AD06D9-851F-88DE-E083-52BA18E0A164}"/>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16" name="四角形: 角を丸くする 15">
            <a:extLst>
              <a:ext uri="{FF2B5EF4-FFF2-40B4-BE49-F238E27FC236}">
                <a16:creationId xmlns:a16="http://schemas.microsoft.com/office/drawing/2014/main" id="{15D4C4AF-F336-FAEC-AB59-EA8A7F80131B}"/>
              </a:ext>
            </a:extLst>
          </xdr:cNvPr>
          <xdr:cNvSpPr/>
        </xdr:nvSpPr>
        <xdr:spPr>
          <a:xfrm>
            <a:off x="14013392"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37</xdr:col>
      <xdr:colOff>88900</xdr:colOff>
      <xdr:row>52</xdr:row>
      <xdr:rowOff>25401</xdr:rowOff>
    </xdr:from>
    <xdr:to>
      <xdr:col>39</xdr:col>
      <xdr:colOff>137584</xdr:colOff>
      <xdr:row>53</xdr:row>
      <xdr:rowOff>92076</xdr:rowOff>
    </xdr:to>
    <xdr:sp macro="" textlink="">
      <xdr:nvSpPr>
        <xdr:cNvPr id="19" name="正方形/長方形 18">
          <a:extLst>
            <a:ext uri="{FF2B5EF4-FFF2-40B4-BE49-F238E27FC236}">
              <a16:creationId xmlns:a16="http://schemas.microsoft.com/office/drawing/2014/main" id="{4B59706F-22A7-476A-8BE7-D5B3203441E4}"/>
            </a:ext>
          </a:extLst>
        </xdr:cNvPr>
        <xdr:cNvSpPr/>
      </xdr:nvSpPr>
      <xdr:spPr>
        <a:xfrm>
          <a:off x="6781800" y="8429626"/>
          <a:ext cx="416984" cy="2254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56</xdr:col>
      <xdr:colOff>15876</xdr:colOff>
      <xdr:row>52</xdr:row>
      <xdr:rowOff>47624</xdr:rowOff>
    </xdr:from>
    <xdr:to>
      <xdr:col>69</xdr:col>
      <xdr:colOff>142875</xdr:colOff>
      <xdr:row>56</xdr:row>
      <xdr:rowOff>150812</xdr:rowOff>
    </xdr:to>
    <xdr:sp macro="" textlink="">
      <xdr:nvSpPr>
        <xdr:cNvPr id="20" name="吹き出し: 四角形 19">
          <a:extLst>
            <a:ext uri="{FF2B5EF4-FFF2-40B4-BE49-F238E27FC236}">
              <a16:creationId xmlns:a16="http://schemas.microsoft.com/office/drawing/2014/main" id="{AA57CCDB-CAB3-DFBA-12AC-BAC0DF9B8FC5}"/>
            </a:ext>
          </a:extLst>
        </xdr:cNvPr>
        <xdr:cNvSpPr/>
      </xdr:nvSpPr>
      <xdr:spPr>
        <a:xfrm>
          <a:off x="10239376" y="8485187"/>
          <a:ext cx="2500312" cy="738188"/>
        </a:xfrm>
        <a:prstGeom prst="wedgeRectCallout">
          <a:avLst>
            <a:gd name="adj1" fmla="val -153301"/>
            <a:gd name="adj2" fmla="val 74500"/>
          </a:avLst>
        </a:prstGeom>
        <a:ln w="12700">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1050">
              <a:solidFill>
                <a:srgbClr val="FF0000"/>
              </a:solidFill>
            </a:rPr>
            <a:t>AA</a:t>
          </a:r>
          <a:r>
            <a:rPr kumimoji="1" lang="ja-JP" altLang="en-US" sz="1050">
              <a:solidFill>
                <a:srgbClr val="FF0000"/>
              </a:solidFill>
            </a:rPr>
            <a:t>古竹</a:t>
          </a:r>
          <a:endParaRPr kumimoji="1" lang="en-US" altLang="ja-JP" sz="1050">
            <a:solidFill>
              <a:srgbClr val="FF0000"/>
            </a:solidFill>
          </a:endParaRPr>
        </a:p>
        <a:p>
          <a:pPr algn="l">
            <a:lnSpc>
              <a:spcPts val="900"/>
            </a:lnSpc>
          </a:pPr>
          <a:endParaRPr kumimoji="1" lang="en-US" altLang="ja-JP" sz="1050">
            <a:solidFill>
              <a:srgbClr val="FF0000"/>
            </a:solidFill>
          </a:endParaRPr>
        </a:p>
        <a:p>
          <a:pPr algn="l">
            <a:lnSpc>
              <a:spcPts val="900"/>
            </a:lnSpc>
          </a:pPr>
          <a:r>
            <a:rPr kumimoji="1" lang="ja-JP" altLang="en-US" sz="1050">
              <a:solidFill>
                <a:srgbClr val="FF0000"/>
              </a:solidFill>
            </a:rPr>
            <a:t>ここに表示するお知らせは最新のお知らせ何件分に設定したほうがよいでしょうか。</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D26CB18A-19CB-40D6-BAA9-D3FCE408C9F5}"/>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22</xdr:col>
      <xdr:colOff>190500</xdr:colOff>
      <xdr:row>20</xdr:row>
      <xdr:rowOff>19051</xdr:rowOff>
    </xdr:from>
    <xdr:to>
      <xdr:col>29</xdr:col>
      <xdr:colOff>104775</xdr:colOff>
      <xdr:row>23</xdr:row>
      <xdr:rowOff>9525</xdr:rowOff>
    </xdr:to>
    <xdr:sp macro="" textlink="">
      <xdr:nvSpPr>
        <xdr:cNvPr id="26" name="四角形吹き出し 11">
          <a:extLst>
            <a:ext uri="{FF2B5EF4-FFF2-40B4-BE49-F238E27FC236}">
              <a16:creationId xmlns:a16="http://schemas.microsoft.com/office/drawing/2014/main" id="{81C88106-4EC8-483E-9968-510063037A38}"/>
            </a:ext>
          </a:extLst>
        </xdr:cNvPr>
        <xdr:cNvSpPr/>
      </xdr:nvSpPr>
      <xdr:spPr>
        <a:xfrm>
          <a:off x="4591050" y="3200401"/>
          <a:ext cx="1314450" cy="390524"/>
        </a:xfrm>
        <a:prstGeom prst="wedgeRectCallout">
          <a:avLst>
            <a:gd name="adj1" fmla="val -80873"/>
            <a:gd name="adj2" fmla="val -6077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各ステップは前段選択後に表示する</a:t>
          </a:r>
          <a:endParaRPr kumimoji="1" lang="en-US" altLang="ja-JP" sz="800">
            <a:solidFill>
              <a:sysClr val="windowText" lastClr="000000"/>
            </a:solidFill>
          </a:endParaRPr>
        </a:p>
      </xdr:txBody>
    </xdr:sp>
    <xdr:clientData/>
  </xdr:twoCellAnchor>
  <xdr:twoCellAnchor>
    <xdr:from>
      <xdr:col>13</xdr:col>
      <xdr:colOff>152400</xdr:colOff>
      <xdr:row>26</xdr:row>
      <xdr:rowOff>152400</xdr:rowOff>
    </xdr:from>
    <xdr:to>
      <xdr:col>20</xdr:col>
      <xdr:colOff>152400</xdr:colOff>
      <xdr:row>28</xdr:row>
      <xdr:rowOff>152400</xdr:rowOff>
    </xdr:to>
    <xdr:sp macro="" textlink="">
      <xdr:nvSpPr>
        <xdr:cNvPr id="27" name="正方形/長方形 26">
          <a:extLst>
            <a:ext uri="{FF2B5EF4-FFF2-40B4-BE49-F238E27FC236}">
              <a16:creationId xmlns:a16="http://schemas.microsoft.com/office/drawing/2014/main" id="{6E3D40A0-E374-436F-BA84-3727C262AF44}"/>
            </a:ext>
          </a:extLst>
        </xdr:cNvPr>
        <xdr:cNvSpPr/>
      </xdr:nvSpPr>
      <xdr:spPr>
        <a:xfrm>
          <a:off x="2752725" y="42481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次へ</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17</xdr:col>
      <xdr:colOff>0</xdr:colOff>
      <xdr:row>102</xdr:row>
      <xdr:rowOff>0</xdr:rowOff>
    </xdr:from>
    <xdr:to>
      <xdr:col>24</xdr:col>
      <xdr:colOff>0</xdr:colOff>
      <xdr:row>104</xdr:row>
      <xdr:rowOff>0</xdr:rowOff>
    </xdr:to>
    <xdr:sp macro="" textlink="">
      <xdr:nvSpPr>
        <xdr:cNvPr id="84" name="正方形/長方形 83">
          <a:extLst>
            <a:ext uri="{FF2B5EF4-FFF2-40B4-BE49-F238E27FC236}">
              <a16:creationId xmlns:a16="http://schemas.microsoft.com/office/drawing/2014/main" id="{00000000-0008-0000-0300-000054000000}"/>
            </a:ext>
          </a:extLst>
        </xdr:cNvPr>
        <xdr:cNvSpPr/>
      </xdr:nvSpPr>
      <xdr:spPr>
        <a:xfrm>
          <a:off x="34004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25</xdr:col>
      <xdr:colOff>0</xdr:colOff>
      <xdr:row>102</xdr:row>
      <xdr:rowOff>0</xdr:rowOff>
    </xdr:from>
    <xdr:to>
      <xdr:col>32</xdr:col>
      <xdr:colOff>0</xdr:colOff>
      <xdr:row>104</xdr:row>
      <xdr:rowOff>0</xdr:rowOff>
    </xdr:to>
    <xdr:sp macro="" textlink="">
      <xdr:nvSpPr>
        <xdr:cNvPr id="85" name="正方形/長方形 84">
          <a:extLst>
            <a:ext uri="{FF2B5EF4-FFF2-40B4-BE49-F238E27FC236}">
              <a16:creationId xmlns:a16="http://schemas.microsoft.com/office/drawing/2014/main" id="{00000000-0008-0000-0300-000055000000}"/>
            </a:ext>
          </a:extLst>
        </xdr:cNvPr>
        <xdr:cNvSpPr/>
      </xdr:nvSpPr>
      <xdr:spPr>
        <a:xfrm>
          <a:off x="50006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33</xdr:col>
      <xdr:colOff>0</xdr:colOff>
      <xdr:row>102</xdr:row>
      <xdr:rowOff>0</xdr:rowOff>
    </xdr:from>
    <xdr:to>
      <xdr:col>40</xdr:col>
      <xdr:colOff>0</xdr:colOff>
      <xdr:row>104</xdr:row>
      <xdr:rowOff>0</xdr:rowOff>
    </xdr:to>
    <xdr:sp macro="" textlink="">
      <xdr:nvSpPr>
        <xdr:cNvPr id="56" name="正方形/長方形 55">
          <a:extLst>
            <a:ext uri="{FF2B5EF4-FFF2-40B4-BE49-F238E27FC236}">
              <a16:creationId xmlns:a16="http://schemas.microsoft.com/office/drawing/2014/main" id="{00000000-0008-0000-0300-000038000000}"/>
            </a:ext>
          </a:extLst>
        </xdr:cNvPr>
        <xdr:cNvSpPr/>
      </xdr:nvSpPr>
      <xdr:spPr>
        <a:xfrm>
          <a:off x="66008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2" name="矢印: 左 1">
          <a:extLst>
            <a:ext uri="{FF2B5EF4-FFF2-40B4-BE49-F238E27FC236}">
              <a16:creationId xmlns:a16="http://schemas.microsoft.com/office/drawing/2014/main" id="{02F19CD5-F025-357A-9AF1-A54B8D2A21E2}"/>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13C7BF72-F229-478D-9413-D7F97FE3724F}"/>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257925" y="2743200"/>
          <a:ext cx="154327" cy="154327"/>
        </a:xfrm>
        <a:prstGeom prst="rect">
          <a:avLst/>
        </a:prstGeom>
        <a:ln>
          <a:solidFill>
            <a:schemeClr val="bg1">
              <a:lumMod val="50000"/>
            </a:schemeClr>
          </a:solidFill>
        </a:ln>
      </xdr:spPr>
    </xdr:pic>
    <xdr:clientData/>
  </xdr:oneCellAnchor>
  <xdr:twoCellAnchor>
    <xdr:from>
      <xdr:col>3</xdr:col>
      <xdr:colOff>0</xdr:colOff>
      <xdr:row>50</xdr:row>
      <xdr:rowOff>57150</xdr:rowOff>
    </xdr:from>
    <xdr:to>
      <xdr:col>6</xdr:col>
      <xdr:colOff>190500</xdr:colOff>
      <xdr:row>51</xdr:row>
      <xdr:rowOff>142875</xdr:rowOff>
    </xdr:to>
    <xdr:sp macro="" textlink="">
      <xdr:nvSpPr>
        <xdr:cNvPr id="7" name="正方形/長方形 6">
          <a:extLst>
            <a:ext uri="{FF2B5EF4-FFF2-40B4-BE49-F238E27FC236}">
              <a16:creationId xmlns:a16="http://schemas.microsoft.com/office/drawing/2014/main" id="{9B7E654F-B988-43B6-741A-CAEB004A0A31}"/>
            </a:ext>
          </a:extLst>
        </xdr:cNvPr>
        <xdr:cNvSpPr/>
      </xdr:nvSpPr>
      <xdr:spPr>
        <a:xfrm>
          <a:off x="600075" y="80676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twoCellAnchor>
    <xdr:from>
      <xdr:col>12</xdr:col>
      <xdr:colOff>171450</xdr:colOff>
      <xdr:row>12</xdr:row>
      <xdr:rowOff>152401</xdr:rowOff>
    </xdr:from>
    <xdr:to>
      <xdr:col>19</xdr:col>
      <xdr:colOff>85725</xdr:colOff>
      <xdr:row>15</xdr:row>
      <xdr:rowOff>57150</xdr:rowOff>
    </xdr:to>
    <xdr:sp macro="" textlink="">
      <xdr:nvSpPr>
        <xdr:cNvPr id="23" name="四角形吹き出し 11">
          <a:extLst>
            <a:ext uri="{FF2B5EF4-FFF2-40B4-BE49-F238E27FC236}">
              <a16:creationId xmlns:a16="http://schemas.microsoft.com/office/drawing/2014/main" id="{614D56F4-D37B-3CC5-470F-2F3A76831225}"/>
            </a:ext>
          </a:extLst>
        </xdr:cNvPr>
        <xdr:cNvSpPr/>
      </xdr:nvSpPr>
      <xdr:spPr>
        <a:xfrm>
          <a:off x="2571750" y="2190751"/>
          <a:ext cx="1314450" cy="304799"/>
        </a:xfrm>
        <a:prstGeom prst="wedgeRectCallout">
          <a:avLst>
            <a:gd name="adj1" fmla="val -77975"/>
            <a:gd name="adj2" fmla="val 4921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現状は単価上申区分のみ</a:t>
          </a:r>
          <a:endParaRPr kumimoji="1" lang="en-US" altLang="ja-JP" sz="800">
            <a:solidFill>
              <a:sysClr val="windowText" lastClr="000000"/>
            </a:solidFill>
          </a:endParaRPr>
        </a:p>
      </xdr:txBody>
    </xdr:sp>
    <xdr:clientData/>
  </xdr:twoCellAnchor>
  <xdr:twoCellAnchor>
    <xdr:from>
      <xdr:col>41</xdr:col>
      <xdr:colOff>114300</xdr:colOff>
      <xdr:row>20</xdr:row>
      <xdr:rowOff>9525</xdr:rowOff>
    </xdr:from>
    <xdr:to>
      <xdr:col>47</xdr:col>
      <xdr:colOff>85725</xdr:colOff>
      <xdr:row>22</xdr:row>
      <xdr:rowOff>19049</xdr:rowOff>
    </xdr:to>
    <xdr:sp macro="" textlink="">
      <xdr:nvSpPr>
        <xdr:cNvPr id="25" name="四角形吹き出し 11">
          <a:extLst>
            <a:ext uri="{FF2B5EF4-FFF2-40B4-BE49-F238E27FC236}">
              <a16:creationId xmlns:a16="http://schemas.microsoft.com/office/drawing/2014/main" id="{3A35B3E3-9053-14F4-BE0E-F7E6DEB6839F}"/>
            </a:ext>
          </a:extLst>
        </xdr:cNvPr>
        <xdr:cNvSpPr/>
      </xdr:nvSpPr>
      <xdr:spPr>
        <a:xfrm>
          <a:off x="8315325" y="3305175"/>
          <a:ext cx="1171575" cy="238124"/>
        </a:xfrm>
        <a:prstGeom prst="wedgeRectCallout">
          <a:avLst>
            <a:gd name="adj1" fmla="val -22903"/>
            <a:gd name="adj2" fmla="val 12159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工事金額</a:t>
          </a:r>
          <a:r>
            <a:rPr kumimoji="1" lang="en-US" altLang="ja-JP" sz="800">
              <a:solidFill>
                <a:sysClr val="windowText" lastClr="000000"/>
              </a:solidFill>
            </a:rPr>
            <a:t>x</a:t>
          </a:r>
          <a:r>
            <a:rPr kumimoji="1" lang="ja-JP" altLang="en-US" sz="800">
              <a:solidFill>
                <a:sysClr val="windowText" lastClr="000000"/>
              </a:solidFill>
            </a:rPr>
            <a:t>継続期間</a:t>
          </a:r>
          <a:endParaRPr kumimoji="1" lang="en-US" altLang="ja-JP" sz="800">
            <a:solidFill>
              <a:sysClr val="windowText" lastClr="000000"/>
            </a:solidFill>
          </a:endParaRPr>
        </a:p>
      </xdr:txBody>
    </xdr:sp>
    <xdr:clientData/>
  </xdr:twoCellAnchor>
  <xdr:oneCellAnchor>
    <xdr:from>
      <xdr:col>49</xdr:col>
      <xdr:colOff>0</xdr:colOff>
      <xdr:row>26</xdr:row>
      <xdr:rowOff>0</xdr:rowOff>
    </xdr:from>
    <xdr:ext cx="201083" cy="171450"/>
    <xdr:pic>
      <xdr:nvPicPr>
        <xdr:cNvPr id="26" name="図 25">
          <a:extLst>
            <a:ext uri="{FF2B5EF4-FFF2-40B4-BE49-F238E27FC236}">
              <a16:creationId xmlns:a16="http://schemas.microsoft.com/office/drawing/2014/main" id="{88F1C993-150D-49BC-9732-3469C83DFC93}"/>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601200" y="80105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27" name="図 26">
          <a:extLst>
            <a:ext uri="{FF2B5EF4-FFF2-40B4-BE49-F238E27FC236}">
              <a16:creationId xmlns:a16="http://schemas.microsoft.com/office/drawing/2014/main" id="{A5D2811B-4ED1-4C10-8D81-4B51280EC374}"/>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80105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51</xdr:col>
      <xdr:colOff>85725</xdr:colOff>
      <xdr:row>22</xdr:row>
      <xdr:rowOff>114300</xdr:rowOff>
    </xdr:from>
    <xdr:to>
      <xdr:col>58</xdr:col>
      <xdr:colOff>0</xdr:colOff>
      <xdr:row>25</xdr:row>
      <xdr:rowOff>76199</xdr:rowOff>
    </xdr:to>
    <xdr:sp macro="" textlink="">
      <xdr:nvSpPr>
        <xdr:cNvPr id="28" name="四角形吹き出し 11">
          <a:extLst>
            <a:ext uri="{FF2B5EF4-FFF2-40B4-BE49-F238E27FC236}">
              <a16:creationId xmlns:a16="http://schemas.microsoft.com/office/drawing/2014/main" id="{0451F537-F4C8-D7CA-9156-D8DAC133BEC7}"/>
            </a:ext>
          </a:extLst>
        </xdr:cNvPr>
        <xdr:cNvSpPr/>
      </xdr:nvSpPr>
      <xdr:spPr>
        <a:xfrm>
          <a:off x="10287000" y="3695700"/>
          <a:ext cx="1314450" cy="304799"/>
        </a:xfrm>
        <a:prstGeom prst="wedgeRectCallout">
          <a:avLst>
            <a:gd name="adj1" fmla="val -68555"/>
            <a:gd name="adj2" fmla="val 10284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分類の大中小は連携。クレーム</a:t>
          </a:r>
          <a:r>
            <a:rPr kumimoji="1" lang="en-US" altLang="ja-JP" sz="800">
              <a:solidFill>
                <a:sysClr val="windowText" lastClr="000000"/>
              </a:solidFill>
            </a:rPr>
            <a:t>DB</a:t>
          </a:r>
          <a:r>
            <a:rPr kumimoji="1" lang="ja-JP" altLang="en-US" sz="800">
              <a:solidFill>
                <a:sysClr val="windowText" lastClr="000000"/>
              </a:solidFill>
            </a:rPr>
            <a:t>参照。</a:t>
          </a:r>
          <a:endParaRPr kumimoji="1" lang="en-US" altLang="ja-JP" sz="800">
            <a:solidFill>
              <a:sysClr val="windowText" lastClr="000000"/>
            </a:solidFill>
          </a:endParaRPr>
        </a:p>
      </xdr:txBody>
    </xdr:sp>
    <xdr:clientData/>
  </xdr:twoCellAnchor>
  <xdr:twoCellAnchor>
    <xdr:from>
      <xdr:col>3</xdr:col>
      <xdr:colOff>9525</xdr:colOff>
      <xdr:row>66</xdr:row>
      <xdr:rowOff>85725</xdr:rowOff>
    </xdr:from>
    <xdr:to>
      <xdr:col>7</xdr:col>
      <xdr:colOff>0</xdr:colOff>
      <xdr:row>68</xdr:row>
      <xdr:rowOff>0</xdr:rowOff>
    </xdr:to>
    <xdr:sp macro="" textlink="">
      <xdr:nvSpPr>
        <xdr:cNvPr id="5" name="正方形/長方形 4">
          <a:extLst>
            <a:ext uri="{FF2B5EF4-FFF2-40B4-BE49-F238E27FC236}">
              <a16:creationId xmlns:a16="http://schemas.microsoft.com/office/drawing/2014/main" id="{F1D5EF3E-643F-48E4-11E0-336061442327}"/>
            </a:ext>
          </a:extLst>
        </xdr:cNvPr>
        <xdr:cNvSpPr/>
      </xdr:nvSpPr>
      <xdr:spPr>
        <a:xfrm>
          <a:off x="609600" y="102679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72</xdr:row>
      <xdr:rowOff>0</xdr:rowOff>
    </xdr:from>
    <xdr:to>
      <xdr:col>8</xdr:col>
      <xdr:colOff>43669</xdr:colOff>
      <xdr:row>73</xdr:row>
      <xdr:rowOff>0</xdr:rowOff>
    </xdr:to>
    <xdr:sp macro="" textlink="">
      <xdr:nvSpPr>
        <xdr:cNvPr id="21" name="正方形/長方形 20">
          <a:extLst>
            <a:ext uri="{FF2B5EF4-FFF2-40B4-BE49-F238E27FC236}">
              <a16:creationId xmlns:a16="http://schemas.microsoft.com/office/drawing/2014/main" id="{0BA3729D-5A88-49C6-AF0B-9FFA0ACE8B7E}"/>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72</xdr:row>
      <xdr:rowOff>0</xdr:rowOff>
    </xdr:from>
    <xdr:to>
      <xdr:col>12</xdr:col>
      <xdr:colOff>0</xdr:colOff>
      <xdr:row>73</xdr:row>
      <xdr:rowOff>0</xdr:rowOff>
    </xdr:to>
    <xdr:sp macro="" textlink="">
      <xdr:nvSpPr>
        <xdr:cNvPr id="22" name="正方形/長方形 21">
          <a:extLst>
            <a:ext uri="{FF2B5EF4-FFF2-40B4-BE49-F238E27FC236}">
              <a16:creationId xmlns:a16="http://schemas.microsoft.com/office/drawing/2014/main" id="{09DD92F9-247A-43A9-9FC8-B34505BF08A9}"/>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5715</xdr:colOff>
      <xdr:row>74</xdr:row>
      <xdr:rowOff>9502</xdr:rowOff>
    </xdr:from>
    <xdr:ext cx="219106" cy="161948"/>
    <xdr:pic>
      <xdr:nvPicPr>
        <xdr:cNvPr id="24" name="図 23" descr="画面の領域">
          <a:extLst>
            <a:ext uri="{FF2B5EF4-FFF2-40B4-BE49-F238E27FC236}">
              <a16:creationId xmlns:a16="http://schemas.microsoft.com/office/drawing/2014/main" id="{532796EB-5A3D-4D10-8744-DE85F80F5C0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6265" y="11677627"/>
          <a:ext cx="219106" cy="161948"/>
        </a:xfrm>
        <a:prstGeom prst="rect">
          <a:avLst/>
        </a:prstGeom>
      </xdr:spPr>
    </xdr:pic>
    <xdr:clientData/>
  </xdr:oneCellAnchor>
  <xdr:twoCellAnchor>
    <xdr:from>
      <xdr:col>12</xdr:col>
      <xdr:colOff>123825</xdr:colOff>
      <xdr:row>21</xdr:row>
      <xdr:rowOff>66676</xdr:rowOff>
    </xdr:from>
    <xdr:to>
      <xdr:col>20</xdr:col>
      <xdr:colOff>85725</xdr:colOff>
      <xdr:row>24</xdr:row>
      <xdr:rowOff>9526</xdr:rowOff>
    </xdr:to>
    <xdr:sp macro="" textlink="">
      <xdr:nvSpPr>
        <xdr:cNvPr id="10" name="四角形吹き出し 11">
          <a:extLst>
            <a:ext uri="{FF2B5EF4-FFF2-40B4-BE49-F238E27FC236}">
              <a16:creationId xmlns:a16="http://schemas.microsoft.com/office/drawing/2014/main" id="{EC1251DB-A5C5-956B-7537-2E3212B9D52E}"/>
            </a:ext>
          </a:extLst>
        </xdr:cNvPr>
        <xdr:cNvSpPr/>
      </xdr:nvSpPr>
      <xdr:spPr>
        <a:xfrm>
          <a:off x="2524125" y="3419476"/>
          <a:ext cx="1562100" cy="342900"/>
        </a:xfrm>
        <a:prstGeom prst="wedgeRectCallout">
          <a:avLst>
            <a:gd name="adj1" fmla="val -49605"/>
            <a:gd name="adj2" fmla="val -8217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口銭率は円販売でも表示する</a:t>
          </a:r>
          <a:endParaRPr kumimoji="1" lang="en-US" altLang="ja-JP" sz="800">
            <a:solidFill>
              <a:sysClr val="windowText" lastClr="000000"/>
            </a:solidFill>
          </a:endParaRPr>
        </a:p>
      </xdr:txBody>
    </xdr:sp>
    <xdr:clientData/>
  </xdr:twoCellAnchor>
  <xdr:oneCellAnchor>
    <xdr:from>
      <xdr:col>15</xdr:col>
      <xdr:colOff>0</xdr:colOff>
      <xdr:row>87</xdr:row>
      <xdr:rowOff>0</xdr:rowOff>
    </xdr:from>
    <xdr:ext cx="201083" cy="171450"/>
    <xdr:pic>
      <xdr:nvPicPr>
        <xdr:cNvPr id="19" name="図 18">
          <a:extLst>
            <a:ext uri="{FF2B5EF4-FFF2-40B4-BE49-F238E27FC236}">
              <a16:creationId xmlns:a16="http://schemas.microsoft.com/office/drawing/2014/main" id="{6B4324E6-6753-49E8-AC60-70EC5452ACA7}"/>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17824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editAs="oneCell">
    <xdr:from>
      <xdr:col>2</xdr:col>
      <xdr:colOff>0</xdr:colOff>
      <xdr:row>77</xdr:row>
      <xdr:rowOff>152400</xdr:rowOff>
    </xdr:from>
    <xdr:to>
      <xdr:col>3</xdr:col>
      <xdr:colOff>28</xdr:colOff>
      <xdr:row>79</xdr:row>
      <xdr:rowOff>15269</xdr:rowOff>
    </xdr:to>
    <xdr:pic>
      <xdr:nvPicPr>
        <xdr:cNvPr id="30" name="図 29" descr="画面の領域">
          <a:extLst>
            <a:ext uri="{FF2B5EF4-FFF2-40B4-BE49-F238E27FC236}">
              <a16:creationId xmlns:a16="http://schemas.microsoft.com/office/drawing/2014/main" id="{58F31C2A-A6A6-405E-8D8A-2EDD6CBF3B24}"/>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97</xdr:row>
      <xdr:rowOff>9502</xdr:rowOff>
    </xdr:from>
    <xdr:ext cx="219106" cy="161948"/>
    <xdr:pic>
      <xdr:nvPicPr>
        <xdr:cNvPr id="31" name="図 30" descr="画面の領域">
          <a:extLst>
            <a:ext uri="{FF2B5EF4-FFF2-40B4-BE49-F238E27FC236}">
              <a16:creationId xmlns:a16="http://schemas.microsoft.com/office/drawing/2014/main" id="{678B2EA0-2138-4B82-8D87-2176D17B0FB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0550" y="11334727"/>
          <a:ext cx="219106" cy="161948"/>
        </a:xfrm>
        <a:prstGeom prst="rect">
          <a:avLst/>
        </a:prstGeom>
      </xdr:spPr>
    </xdr:pic>
    <xdr:clientData/>
  </xdr:oneCellAnchor>
  <xdr:oneCellAnchor>
    <xdr:from>
      <xdr:col>38</xdr:col>
      <xdr:colOff>0</xdr:colOff>
      <xdr:row>98</xdr:row>
      <xdr:rowOff>9502</xdr:rowOff>
    </xdr:from>
    <xdr:ext cx="219106" cy="161948"/>
    <xdr:pic>
      <xdr:nvPicPr>
        <xdr:cNvPr id="32" name="図 31" descr="画面の領域">
          <a:extLst>
            <a:ext uri="{FF2B5EF4-FFF2-40B4-BE49-F238E27FC236}">
              <a16:creationId xmlns:a16="http://schemas.microsoft.com/office/drawing/2014/main" id="{1E1824F7-A21D-4396-BBC6-5F152A3F167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99</xdr:row>
      <xdr:rowOff>9502</xdr:rowOff>
    </xdr:from>
    <xdr:ext cx="219106" cy="161948"/>
    <xdr:pic>
      <xdr:nvPicPr>
        <xdr:cNvPr id="33" name="図 32" descr="画面の領域">
          <a:extLst>
            <a:ext uri="{FF2B5EF4-FFF2-40B4-BE49-F238E27FC236}">
              <a16:creationId xmlns:a16="http://schemas.microsoft.com/office/drawing/2014/main" id="{0E50A762-839F-4E8E-B377-3F87C2E9085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6</xdr:col>
      <xdr:colOff>190500</xdr:colOff>
      <xdr:row>95</xdr:row>
      <xdr:rowOff>0</xdr:rowOff>
    </xdr:from>
    <xdr:ext cx="201083" cy="171450"/>
    <xdr:pic>
      <xdr:nvPicPr>
        <xdr:cNvPr id="34" name="図 33">
          <a:extLst>
            <a:ext uri="{FF2B5EF4-FFF2-40B4-BE49-F238E27FC236}">
              <a16:creationId xmlns:a16="http://schemas.microsoft.com/office/drawing/2014/main" id="{91FC4B96-76C6-14CF-F9B3-3201D9BA455E}"/>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43</xdr:col>
      <xdr:colOff>38100</xdr:colOff>
      <xdr:row>92</xdr:row>
      <xdr:rowOff>15240</xdr:rowOff>
    </xdr:from>
    <xdr:to>
      <xdr:col>58</xdr:col>
      <xdr:colOff>76201</xdr:colOff>
      <xdr:row>96</xdr:row>
      <xdr:rowOff>91440</xdr:rowOff>
    </xdr:to>
    <xdr:sp macro="" textlink="">
      <xdr:nvSpPr>
        <xdr:cNvPr id="35" name="テキスト ボックス 34">
          <a:extLst>
            <a:ext uri="{FF2B5EF4-FFF2-40B4-BE49-F238E27FC236}">
              <a16:creationId xmlns:a16="http://schemas.microsoft.com/office/drawing/2014/main" id="{41C9DB2C-D907-7AE6-DC0A-B01D00E66CE7}"/>
            </a:ext>
          </a:extLst>
        </xdr:cNvPr>
        <xdr:cNvSpPr txBox="1"/>
      </xdr:nvSpPr>
      <xdr:spPr>
        <a:xfrm>
          <a:off x="8557260" y="13944600"/>
          <a:ext cx="3009901" cy="662940"/>
        </a:xfrm>
        <a:prstGeom prst="rect">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r>
            <a:rPr kumimoji="1" lang="en-US" altLang="ja-JP" sz="900">
              <a:solidFill>
                <a:sysClr val="windowText" lastClr="000000"/>
              </a:solidFill>
            </a:rPr>
            <a:t>WF</a:t>
          </a:r>
          <a:r>
            <a:rPr kumimoji="1" lang="ja-JP" altLang="en-US" sz="900">
              <a:solidFill>
                <a:sysClr val="windowText" lastClr="000000"/>
              </a:solidFill>
            </a:rPr>
            <a:t>関連は汎用上申同等とする。</a:t>
          </a:r>
          <a:endParaRPr kumimoji="1" lang="en-US" altLang="ja-JP" sz="900">
            <a:solidFill>
              <a:sysClr val="windowText" lastClr="000000"/>
            </a:solidFill>
          </a:endParaRPr>
        </a:p>
        <a:p>
          <a:r>
            <a:rPr kumimoji="1" lang="ja-JP" altLang="en-US" sz="900">
              <a:solidFill>
                <a:sysClr val="windowText" lastClr="000000"/>
              </a:solidFill>
            </a:rPr>
            <a:t>承認者は最大</a:t>
          </a:r>
          <a:r>
            <a:rPr kumimoji="1" lang="en-US" altLang="ja-JP" sz="900">
              <a:solidFill>
                <a:sysClr val="windowText" lastClr="000000"/>
              </a:solidFill>
            </a:rPr>
            <a:t>30</a:t>
          </a:r>
          <a:r>
            <a:rPr kumimoji="1" lang="ja-JP" altLang="en-US" sz="900">
              <a:solidFill>
                <a:sysClr val="windowText" lastClr="000000"/>
              </a:solidFill>
            </a:rPr>
            <a:t>ノードまで、確認者数上限は無し。</a:t>
          </a:r>
          <a:endParaRPr kumimoji="1" lang="en-US" altLang="ja-JP" sz="900">
            <a:solidFill>
              <a:sysClr val="windowText" lastClr="000000"/>
            </a:solidFill>
          </a:endParaRPr>
        </a:p>
        <a:p>
          <a:r>
            <a:rPr kumimoji="1" lang="ja-JP" altLang="en-US" sz="900">
              <a:solidFill>
                <a:sysClr val="windowText" lastClr="000000"/>
              </a:solidFill>
            </a:rPr>
            <a:t>処理者には組織も指定可能</a:t>
          </a:r>
          <a:endParaRPr kumimoji="1" lang="en-US" altLang="ja-JP" sz="900">
            <a:solidFill>
              <a:sysClr val="windowText" lastClr="000000"/>
            </a:solidFill>
          </a:endParaRPr>
        </a:p>
      </xdr:txBody>
    </xdr:sp>
    <xdr:clientData/>
  </xdr:twoCellAnchor>
  <xdr:twoCellAnchor>
    <xdr:from>
      <xdr:col>23</xdr:col>
      <xdr:colOff>66675</xdr:colOff>
      <xdr:row>45</xdr:row>
      <xdr:rowOff>19050</xdr:rowOff>
    </xdr:from>
    <xdr:to>
      <xdr:col>37</xdr:col>
      <xdr:colOff>161925</xdr:colOff>
      <xdr:row>47</xdr:row>
      <xdr:rowOff>19050</xdr:rowOff>
    </xdr:to>
    <xdr:sp macro="" textlink="">
      <xdr:nvSpPr>
        <xdr:cNvPr id="38" name="テキスト ボックス 37">
          <a:extLst>
            <a:ext uri="{FF2B5EF4-FFF2-40B4-BE49-F238E27FC236}">
              <a16:creationId xmlns:a16="http://schemas.microsoft.com/office/drawing/2014/main" id="{B9228494-C759-48D4-BF67-B4F182F12F0C}"/>
            </a:ext>
          </a:extLst>
        </xdr:cNvPr>
        <xdr:cNvSpPr txBox="1"/>
      </xdr:nvSpPr>
      <xdr:spPr>
        <a:xfrm>
          <a:off x="4667250" y="6972300"/>
          <a:ext cx="2895600" cy="371475"/>
        </a:xfrm>
        <a:prstGeom prst="rect">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r>
            <a:rPr kumimoji="1" lang="ja-JP" altLang="en-US" sz="900">
              <a:solidFill>
                <a:sysClr val="windowText" lastClr="000000"/>
              </a:solidFill>
            </a:rPr>
            <a:t>カスタム品の場合については外貨販売シートを参照</a:t>
          </a:r>
          <a:endParaRPr kumimoji="1" lang="en-US" altLang="ja-JP" sz="900">
            <a:solidFill>
              <a:sysClr val="windowText" lastClr="000000"/>
            </a:solidFill>
          </a:endParaRPr>
        </a:p>
      </xdr:txBody>
    </xdr:sp>
    <xdr:clientData/>
  </xdr:twoCellAnchor>
  <xdr:twoCellAnchor>
    <xdr:from>
      <xdr:col>42</xdr:col>
      <xdr:colOff>89535</xdr:colOff>
      <xdr:row>96</xdr:row>
      <xdr:rowOff>83820</xdr:rowOff>
    </xdr:from>
    <xdr:to>
      <xdr:col>51</xdr:col>
      <xdr:colOff>152400</xdr:colOff>
      <xdr:row>99</xdr:row>
      <xdr:rowOff>19050</xdr:rowOff>
    </xdr:to>
    <xdr:sp macro="" textlink="">
      <xdr:nvSpPr>
        <xdr:cNvPr id="12" name="四角形吹き出し 11">
          <a:extLst>
            <a:ext uri="{FF2B5EF4-FFF2-40B4-BE49-F238E27FC236}">
              <a16:creationId xmlns:a16="http://schemas.microsoft.com/office/drawing/2014/main" id="{5BDFAB28-19E6-0223-3C6B-7A6DA64CCDBD}"/>
            </a:ext>
          </a:extLst>
        </xdr:cNvPr>
        <xdr:cNvSpPr/>
      </xdr:nvSpPr>
      <xdr:spPr>
        <a:xfrm>
          <a:off x="8490585" y="13752195"/>
          <a:ext cx="1863090" cy="449580"/>
        </a:xfrm>
        <a:prstGeom prst="wedgeRectCallout">
          <a:avLst>
            <a:gd name="adj1" fmla="val -72459"/>
            <a:gd name="adj2" fmla="val 241"/>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汎用上申では確認者は完了案件を参照出来るが同じ仕様とする</a:t>
          </a:r>
          <a:endParaRPr kumimoji="1" lang="en-US" altLang="ja-JP" sz="800">
            <a:solidFill>
              <a:sysClr val="windowText" lastClr="000000"/>
            </a:solidFill>
          </a:endParaRPr>
        </a:p>
      </xdr:txBody>
    </xdr:sp>
    <xdr:clientData/>
  </xdr:twoCellAnchor>
  <xdr:oneCellAnchor>
    <xdr:from>
      <xdr:col>15</xdr:col>
      <xdr:colOff>9525</xdr:colOff>
      <xdr:row>17</xdr:row>
      <xdr:rowOff>9525</xdr:rowOff>
    </xdr:from>
    <xdr:ext cx="201083" cy="171450"/>
    <xdr:pic>
      <xdr:nvPicPr>
        <xdr:cNvPr id="15" name="図 14">
          <a:extLst>
            <a:ext uri="{FF2B5EF4-FFF2-40B4-BE49-F238E27FC236}">
              <a16:creationId xmlns:a16="http://schemas.microsoft.com/office/drawing/2014/main" id="{047C44BF-A15F-CAF8-215B-9B58407085D8}"/>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9900" y="27908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23</xdr:col>
      <xdr:colOff>146684</xdr:colOff>
      <xdr:row>65</xdr:row>
      <xdr:rowOff>133349</xdr:rowOff>
    </xdr:from>
    <xdr:to>
      <xdr:col>44</xdr:col>
      <xdr:colOff>158115</xdr:colOff>
      <xdr:row>80</xdr:row>
      <xdr:rowOff>19050</xdr:rowOff>
    </xdr:to>
    <xdr:sp macro="" textlink="">
      <xdr:nvSpPr>
        <xdr:cNvPr id="17" name="テキスト ボックス 16">
          <a:extLst>
            <a:ext uri="{FF2B5EF4-FFF2-40B4-BE49-F238E27FC236}">
              <a16:creationId xmlns:a16="http://schemas.microsoft.com/office/drawing/2014/main" id="{727A13FC-9FE2-8287-0574-D9E060535063}"/>
            </a:ext>
          </a:extLst>
        </xdr:cNvPr>
        <xdr:cNvSpPr txBox="1"/>
      </xdr:nvSpPr>
      <xdr:spPr>
        <a:xfrm>
          <a:off x="4747259" y="10487024"/>
          <a:ext cx="4211956" cy="2114551"/>
        </a:xfrm>
        <a:prstGeom prst="rect">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r>
            <a:rPr kumimoji="1" lang="ja-JP" altLang="en-US" sz="900">
              <a:solidFill>
                <a:sysClr val="windowText" lastClr="000000"/>
              </a:solidFill>
            </a:rPr>
            <a:t>・明細欄の数値項目の仕様</a:t>
          </a:r>
        </a:p>
        <a:p>
          <a:r>
            <a:rPr kumimoji="1" lang="ja-JP" altLang="en-US" sz="900">
              <a:solidFill>
                <a:sysClr val="windowText" lastClr="000000"/>
              </a:solidFill>
            </a:rPr>
            <a:t>→金額欄は四捨五入して小数点第四位</a:t>
          </a:r>
          <a:endParaRPr kumimoji="1" lang="en-US" altLang="ja-JP" sz="900">
            <a:solidFill>
              <a:sysClr val="windowText" lastClr="000000"/>
            </a:solidFill>
          </a:endParaRPr>
        </a:p>
        <a:p>
          <a:r>
            <a:rPr kumimoji="1" lang="en-US" altLang="ja-JP" sz="900">
              <a:solidFill>
                <a:sysClr val="windowText" lastClr="000000"/>
              </a:solidFill>
            </a:rPr>
            <a:t>%</a:t>
          </a:r>
          <a:r>
            <a:rPr kumimoji="1" lang="ja-JP" altLang="en-US" sz="900">
              <a:solidFill>
                <a:sysClr val="windowText" lastClr="000000"/>
              </a:solidFill>
            </a:rPr>
            <a:t>は小数点第一位、数量は整数</a:t>
          </a:r>
        </a:p>
        <a:p>
          <a:endParaRPr kumimoji="1" lang="en-US" altLang="ja-JP" sz="900">
            <a:solidFill>
              <a:sysClr val="windowText" lastClr="000000"/>
            </a:solidFill>
          </a:endParaRPr>
        </a:p>
        <a:p>
          <a:r>
            <a:rPr kumimoji="1" lang="ja-JP" altLang="en-US" sz="900">
              <a:solidFill>
                <a:sysClr val="windowText" lastClr="000000"/>
              </a:solidFill>
            </a:rPr>
            <a:t>・小計、合計欄の数値項目の仕様</a:t>
          </a:r>
          <a:endParaRPr kumimoji="1" lang="en-US" altLang="ja-JP" sz="900">
            <a:solidFill>
              <a:sysClr val="windowText" lastClr="000000"/>
            </a:solidFill>
          </a:endParaRPr>
        </a:p>
        <a:p>
          <a:r>
            <a:rPr kumimoji="1" lang="ja-JP" altLang="en-US" sz="900" b="0">
              <a:solidFill>
                <a:sysClr val="windowText" lastClr="000000"/>
              </a:solidFill>
            </a:rPr>
            <a:t>→円販売の金額欄は四捨五入して整数。外貨は小数点第二位。</a:t>
          </a:r>
          <a:endParaRPr kumimoji="1" lang="en-US" altLang="ja-JP" sz="900" b="0">
            <a:solidFill>
              <a:sysClr val="windowText" lastClr="000000"/>
            </a:solidFill>
          </a:endParaRPr>
        </a:p>
        <a:p>
          <a:r>
            <a:rPr kumimoji="1" lang="en-US" altLang="ja-JP" sz="900" b="0">
              <a:solidFill>
                <a:sysClr val="windowText" lastClr="000000"/>
              </a:solidFill>
            </a:rPr>
            <a:t>%</a:t>
          </a:r>
          <a:r>
            <a:rPr kumimoji="1" lang="ja-JP" altLang="en-US" sz="900" b="0">
              <a:solidFill>
                <a:sysClr val="windowText" lastClr="000000"/>
              </a:solidFill>
            </a:rPr>
            <a:t>は小数点第一位、数量は整数</a:t>
          </a:r>
          <a:endParaRPr kumimoji="1" lang="en-US" altLang="ja-JP" sz="900" b="0">
            <a:solidFill>
              <a:sysClr val="windowText" lastClr="000000"/>
            </a:solidFill>
          </a:endParaRPr>
        </a:p>
        <a:p>
          <a:endParaRPr kumimoji="1" lang="en-US" altLang="ja-JP" sz="900">
            <a:solidFill>
              <a:srgbClr val="FF0000"/>
            </a:solidFill>
          </a:endParaRPr>
        </a:p>
        <a:p>
          <a:r>
            <a:rPr kumimoji="1" lang="en-US" altLang="ja-JP" sz="900">
              <a:solidFill>
                <a:sysClr val="windowText" lastClr="000000"/>
              </a:solidFill>
            </a:rPr>
            <a:t>【</a:t>
          </a:r>
          <a:r>
            <a:rPr kumimoji="1" lang="ja-JP" altLang="en-US" sz="900">
              <a:solidFill>
                <a:sysClr val="windowText" lastClr="000000"/>
              </a:solidFill>
            </a:rPr>
            <a:t>承認者確認用欄の色付け仕様</a:t>
          </a:r>
          <a:r>
            <a:rPr kumimoji="1" lang="en-US" altLang="ja-JP" sz="900">
              <a:solidFill>
                <a:sysClr val="windowText" lastClr="000000"/>
              </a:solidFill>
            </a:rPr>
            <a:t>】</a:t>
          </a:r>
        </a:p>
        <a:p>
          <a:r>
            <a:rPr kumimoji="1" lang="ja-JP" altLang="en-US" sz="900">
              <a:solidFill>
                <a:sysClr val="windowText" lastClr="000000"/>
              </a:solidFill>
            </a:rPr>
            <a:t>・貢献率、</a:t>
          </a:r>
          <a:r>
            <a:rPr kumimoji="1" lang="ja-JP" altLang="en-US" sz="900">
              <a:solidFill>
                <a:srgbClr val="FF0000"/>
              </a:solidFill>
            </a:rPr>
            <a:t>国内収益性、連結収益性</a:t>
          </a:r>
          <a:r>
            <a:rPr kumimoji="1" lang="ja-JP" altLang="en-US" sz="900">
              <a:solidFill>
                <a:sysClr val="windowText" lastClr="000000"/>
              </a:solidFill>
            </a:rPr>
            <a:t>：</a:t>
          </a:r>
          <a:r>
            <a:rPr kumimoji="1" lang="en-US" altLang="ja-JP" sz="900">
              <a:solidFill>
                <a:sysClr val="windowText" lastClr="000000"/>
              </a:solidFill>
            </a:rPr>
            <a:t>30%</a:t>
          </a:r>
          <a:r>
            <a:rPr kumimoji="1" lang="ja-JP" altLang="en-US" sz="900">
              <a:solidFill>
                <a:sysClr val="windowText" lastClr="000000"/>
              </a:solidFill>
            </a:rPr>
            <a:t>未満赤字</a:t>
          </a:r>
          <a:endParaRPr kumimoji="1" lang="en-US" altLang="ja-JP" sz="900">
            <a:solidFill>
              <a:sysClr val="windowText" lastClr="000000"/>
            </a:solidFill>
          </a:endParaRPr>
        </a:p>
        <a:p>
          <a:r>
            <a:rPr kumimoji="1" lang="ja-JP" altLang="en-US" sz="900">
              <a:solidFill>
                <a:sysClr val="windowText" lastClr="000000"/>
              </a:solidFill>
            </a:rPr>
            <a:t>・貢献率以外の</a:t>
          </a:r>
          <a:r>
            <a:rPr kumimoji="1" lang="en-US" altLang="ja-JP" sz="900">
              <a:solidFill>
                <a:sysClr val="windowText" lastClr="000000"/>
              </a:solidFill>
            </a:rPr>
            <a:t>%</a:t>
          </a:r>
          <a:r>
            <a:rPr kumimoji="1" lang="ja-JP" altLang="en-US" sz="900">
              <a:solidFill>
                <a:sysClr val="windowText" lastClr="000000"/>
              </a:solidFill>
            </a:rPr>
            <a:t>表示項目は、マイナスの場合赤字</a:t>
          </a:r>
          <a:endParaRPr kumimoji="1" lang="en-US" altLang="ja-JP" sz="900">
            <a:solidFill>
              <a:sysClr val="windowText" lastClr="000000"/>
            </a:solidFill>
          </a:endParaRPr>
        </a:p>
        <a:p>
          <a:r>
            <a:rPr kumimoji="1" lang="ja-JP" altLang="en-US" sz="900">
              <a:solidFill>
                <a:sysClr val="windowText" lastClr="000000"/>
              </a:solidFill>
            </a:rPr>
            <a:t>・数値項目はマイナスの場合赤字</a:t>
          </a:r>
          <a:endParaRPr kumimoji="1" lang="en-US" altLang="ja-JP" sz="900" b="1">
            <a:solidFill>
              <a:sysClr val="windowText" lastClr="000000"/>
            </a:solidFill>
          </a:endParaRPr>
        </a:p>
        <a:p>
          <a:endParaRPr kumimoji="1" lang="en-US" altLang="ja-JP" sz="900">
            <a:solidFill>
              <a:srgbClr val="FF0000"/>
            </a:solidFill>
          </a:endParaRPr>
        </a:p>
        <a:p>
          <a:endParaRPr kumimoji="1" lang="en-US" altLang="ja-JP" sz="900">
            <a:solidFill>
              <a:srgbClr val="FF0000"/>
            </a:solidFill>
          </a:endParaRPr>
        </a:p>
      </xdr:txBody>
    </xdr:sp>
    <xdr:clientData/>
  </xdr:twoCellAnchor>
  <xdr:twoCellAnchor>
    <xdr:from>
      <xdr:col>20</xdr:col>
      <xdr:colOff>171450</xdr:colOff>
      <xdr:row>35</xdr:row>
      <xdr:rowOff>85725</xdr:rowOff>
    </xdr:from>
    <xdr:to>
      <xdr:col>27</xdr:col>
      <xdr:colOff>85725</xdr:colOff>
      <xdr:row>36</xdr:row>
      <xdr:rowOff>161924</xdr:rowOff>
    </xdr:to>
    <xdr:sp macro="" textlink="">
      <xdr:nvSpPr>
        <xdr:cNvPr id="4" name="四角形吹き出し 11">
          <a:extLst>
            <a:ext uri="{FF2B5EF4-FFF2-40B4-BE49-F238E27FC236}">
              <a16:creationId xmlns:a16="http://schemas.microsoft.com/office/drawing/2014/main" id="{B42CFB17-CB6A-412B-C957-3DAAB6EB37F0}"/>
            </a:ext>
          </a:extLst>
        </xdr:cNvPr>
        <xdr:cNvSpPr/>
      </xdr:nvSpPr>
      <xdr:spPr>
        <a:xfrm>
          <a:off x="4171950" y="5610225"/>
          <a:ext cx="1314450" cy="247649"/>
        </a:xfrm>
        <a:prstGeom prst="wedgeRectCallout">
          <a:avLst>
            <a:gd name="adj1" fmla="val -68555"/>
            <a:gd name="adj2" fmla="val 10284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エラーメッセージ。現行まま</a:t>
          </a:r>
          <a:endParaRPr kumimoji="1" lang="en-US" altLang="ja-JP" sz="800">
            <a:solidFill>
              <a:sysClr val="windowText" lastClr="000000"/>
            </a:solidFill>
          </a:endParaRPr>
        </a:p>
      </xdr:txBody>
    </xdr:sp>
    <xdr:clientData/>
  </xdr:twoCellAnchor>
  <xdr:oneCellAnchor>
    <xdr:from>
      <xdr:col>15</xdr:col>
      <xdr:colOff>0</xdr:colOff>
      <xdr:row>80</xdr:row>
      <xdr:rowOff>47625</xdr:rowOff>
    </xdr:from>
    <xdr:ext cx="201083" cy="171450"/>
    <xdr:pic>
      <xdr:nvPicPr>
        <xdr:cNvPr id="3" name="図 2">
          <a:extLst>
            <a:ext uri="{FF2B5EF4-FFF2-40B4-BE49-F238E27FC236}">
              <a16:creationId xmlns:a16="http://schemas.microsoft.com/office/drawing/2014/main" id="{DF77AD2F-2B58-DA2B-4B3F-69DC6E595441}"/>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6301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123825</xdr:colOff>
      <xdr:row>50</xdr:row>
      <xdr:rowOff>57150</xdr:rowOff>
    </xdr:from>
    <xdr:to>
      <xdr:col>11</xdr:col>
      <xdr:colOff>114300</xdr:colOff>
      <xdr:row>51</xdr:row>
      <xdr:rowOff>142875</xdr:rowOff>
    </xdr:to>
    <xdr:sp macro="" textlink="">
      <xdr:nvSpPr>
        <xdr:cNvPr id="8" name="正方形/長方形 7">
          <a:extLst>
            <a:ext uri="{FF2B5EF4-FFF2-40B4-BE49-F238E27FC236}">
              <a16:creationId xmlns:a16="http://schemas.microsoft.com/office/drawing/2014/main" id="{91C22224-25D3-4FD6-8F05-999701825B5C}"/>
            </a:ext>
          </a:extLst>
        </xdr:cNvPr>
        <xdr:cNvSpPr/>
      </xdr:nvSpPr>
      <xdr:spPr>
        <a:xfrm>
          <a:off x="1524000" y="80676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9</xdr:col>
      <xdr:colOff>0</xdr:colOff>
      <xdr:row>102</xdr:row>
      <xdr:rowOff>0</xdr:rowOff>
    </xdr:from>
    <xdr:to>
      <xdr:col>16</xdr:col>
      <xdr:colOff>0</xdr:colOff>
      <xdr:row>104</xdr:row>
      <xdr:rowOff>0</xdr:rowOff>
    </xdr:to>
    <xdr:sp macro="" textlink="">
      <xdr:nvSpPr>
        <xdr:cNvPr id="9" name="正方形/長方形 8">
          <a:extLst>
            <a:ext uri="{FF2B5EF4-FFF2-40B4-BE49-F238E27FC236}">
              <a16:creationId xmlns:a16="http://schemas.microsoft.com/office/drawing/2014/main" id="{2112D696-CB67-FBAA-D0E5-C4F2AB24B2BB}"/>
            </a:ext>
          </a:extLst>
        </xdr:cNvPr>
        <xdr:cNvSpPr/>
      </xdr:nvSpPr>
      <xdr:spPr>
        <a:xfrm>
          <a:off x="18002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印刷</a:t>
          </a:r>
        </a:p>
      </xdr:txBody>
    </xdr:sp>
    <xdr:clientData/>
  </xdr:twoCellAnchor>
  <xdr:twoCellAnchor>
    <xdr:from>
      <xdr:col>9</xdr:col>
      <xdr:colOff>80010</xdr:colOff>
      <xdr:row>105</xdr:row>
      <xdr:rowOff>83820</xdr:rowOff>
    </xdr:from>
    <xdr:to>
      <xdr:col>18</xdr:col>
      <xdr:colOff>142875</xdr:colOff>
      <xdr:row>108</xdr:row>
      <xdr:rowOff>19050</xdr:rowOff>
    </xdr:to>
    <xdr:sp macro="" textlink="">
      <xdr:nvSpPr>
        <xdr:cNvPr id="11" name="四角形吹き出し 11">
          <a:extLst>
            <a:ext uri="{FF2B5EF4-FFF2-40B4-BE49-F238E27FC236}">
              <a16:creationId xmlns:a16="http://schemas.microsoft.com/office/drawing/2014/main" id="{588652E2-2A48-FB82-9577-7F8DEFD36776}"/>
            </a:ext>
          </a:extLst>
        </xdr:cNvPr>
        <xdr:cNvSpPr/>
      </xdr:nvSpPr>
      <xdr:spPr>
        <a:xfrm>
          <a:off x="1880235" y="16038195"/>
          <a:ext cx="1863090" cy="449580"/>
        </a:xfrm>
        <a:prstGeom prst="wedgeRectCallout">
          <a:avLst>
            <a:gd name="adj1" fmla="val -41784"/>
            <a:gd name="adj2" fmla="val -9933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rgbClr val="FF0000"/>
              </a:solidFill>
            </a:rPr>
            <a:t>申請、承認グリッド除いた全体を</a:t>
          </a:r>
          <a:r>
            <a:rPr kumimoji="1" lang="en-US" altLang="ja-JP" sz="800">
              <a:solidFill>
                <a:srgbClr val="FF0000"/>
              </a:solidFill>
            </a:rPr>
            <a:t>A4</a:t>
          </a:r>
          <a:r>
            <a:rPr kumimoji="1" lang="ja-JP" altLang="en-US" sz="800">
              <a:solidFill>
                <a:srgbClr val="FF0000"/>
              </a:solidFill>
            </a:rPr>
            <a:t>、</a:t>
          </a:r>
          <a:endParaRPr kumimoji="1" lang="en-US" altLang="ja-JP" sz="800">
            <a:solidFill>
              <a:srgbClr val="FF0000"/>
            </a:solidFill>
          </a:endParaRPr>
        </a:p>
        <a:p>
          <a:pPr algn="l">
            <a:lnSpc>
              <a:spcPts val="900"/>
            </a:lnSpc>
          </a:pPr>
          <a:r>
            <a:rPr kumimoji="1" lang="ja-JP" altLang="en-US" sz="800">
              <a:solidFill>
                <a:srgbClr val="FF0000"/>
              </a:solidFill>
            </a:rPr>
            <a:t>承認グリッドを</a:t>
          </a:r>
          <a:r>
            <a:rPr kumimoji="1" lang="en-US" altLang="ja-JP" sz="800">
              <a:solidFill>
                <a:srgbClr val="FF0000"/>
              </a:solidFill>
            </a:rPr>
            <a:t>A3</a:t>
          </a:r>
          <a:r>
            <a:rPr kumimoji="1" lang="ja-JP" altLang="en-US" sz="800">
              <a:solidFill>
                <a:srgbClr val="FF0000"/>
              </a:solidFill>
            </a:rPr>
            <a:t>横で出力する。</a:t>
          </a:r>
          <a:endParaRPr kumimoji="1" lang="en-US" altLang="ja-JP" sz="800">
            <a:solidFill>
              <a:srgbClr val="FF0000"/>
            </a:solidFill>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102</xdr:row>
      <xdr:rowOff>0</xdr:rowOff>
    </xdr:from>
    <xdr:to>
      <xdr:col>22</xdr:col>
      <xdr:colOff>0</xdr:colOff>
      <xdr:row>104</xdr:row>
      <xdr:rowOff>0</xdr:rowOff>
    </xdr:to>
    <xdr:sp macro="" textlink="">
      <xdr:nvSpPr>
        <xdr:cNvPr id="2" name="正方形/長方形 1">
          <a:extLst>
            <a:ext uri="{FF2B5EF4-FFF2-40B4-BE49-F238E27FC236}">
              <a16:creationId xmlns:a16="http://schemas.microsoft.com/office/drawing/2014/main" id="{8150C595-2F30-4EDC-80DA-4F6018BE7CAA}"/>
            </a:ext>
          </a:extLst>
        </xdr:cNvPr>
        <xdr:cNvSpPr/>
      </xdr:nvSpPr>
      <xdr:spPr>
        <a:xfrm>
          <a:off x="3000375" y="1206817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102</xdr:row>
      <xdr:rowOff>0</xdr:rowOff>
    </xdr:from>
    <xdr:to>
      <xdr:col>30</xdr:col>
      <xdr:colOff>0</xdr:colOff>
      <xdr:row>104</xdr:row>
      <xdr:rowOff>0</xdr:rowOff>
    </xdr:to>
    <xdr:sp macro="" textlink="">
      <xdr:nvSpPr>
        <xdr:cNvPr id="3" name="正方形/長方形 2">
          <a:extLst>
            <a:ext uri="{FF2B5EF4-FFF2-40B4-BE49-F238E27FC236}">
              <a16:creationId xmlns:a16="http://schemas.microsoft.com/office/drawing/2014/main" id="{7E5FE1E6-EB77-4569-945E-0396D3B350EB}"/>
            </a:ext>
          </a:extLst>
        </xdr:cNvPr>
        <xdr:cNvSpPr/>
      </xdr:nvSpPr>
      <xdr:spPr>
        <a:xfrm>
          <a:off x="4600575" y="1206817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102</xdr:row>
      <xdr:rowOff>0</xdr:rowOff>
    </xdr:from>
    <xdr:to>
      <xdr:col>38</xdr:col>
      <xdr:colOff>0</xdr:colOff>
      <xdr:row>104</xdr:row>
      <xdr:rowOff>0</xdr:rowOff>
    </xdr:to>
    <xdr:sp macro="" textlink="">
      <xdr:nvSpPr>
        <xdr:cNvPr id="4" name="正方形/長方形 3">
          <a:extLst>
            <a:ext uri="{FF2B5EF4-FFF2-40B4-BE49-F238E27FC236}">
              <a16:creationId xmlns:a16="http://schemas.microsoft.com/office/drawing/2014/main" id="{8CBAB78A-0063-4052-89DA-BB397818DDCC}"/>
            </a:ext>
          </a:extLst>
        </xdr:cNvPr>
        <xdr:cNvSpPr/>
      </xdr:nvSpPr>
      <xdr:spPr>
        <a:xfrm>
          <a:off x="6200775" y="1206817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E8039612-52F5-4FB1-8A57-6795F1BD806E}"/>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35F1C2D6-84E9-43A4-A829-2027ED86B1D3}"/>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49</xdr:row>
      <xdr:rowOff>85725</xdr:rowOff>
    </xdr:from>
    <xdr:to>
      <xdr:col>7</xdr:col>
      <xdr:colOff>0</xdr:colOff>
      <xdr:row>51</xdr:row>
      <xdr:rowOff>0</xdr:rowOff>
    </xdr:to>
    <xdr:sp macro="" textlink="">
      <xdr:nvSpPr>
        <xdr:cNvPr id="7" name="正方形/長方形 6">
          <a:extLst>
            <a:ext uri="{FF2B5EF4-FFF2-40B4-BE49-F238E27FC236}">
              <a16:creationId xmlns:a16="http://schemas.microsoft.com/office/drawing/2014/main" id="{AD4C4C06-75EE-4A05-8D0B-E01FF3CBDF2C}"/>
            </a:ext>
          </a:extLst>
        </xdr:cNvPr>
        <xdr:cNvSpPr/>
      </xdr:nvSpPr>
      <xdr:spPr>
        <a:xfrm>
          <a:off x="609600" y="80962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oneCellAnchor>
    <xdr:from>
      <xdr:col>49</xdr:col>
      <xdr:colOff>0</xdr:colOff>
      <xdr:row>26</xdr:row>
      <xdr:rowOff>0</xdr:rowOff>
    </xdr:from>
    <xdr:ext cx="201083" cy="171450"/>
    <xdr:pic>
      <xdr:nvPicPr>
        <xdr:cNvPr id="17" name="図 16">
          <a:extLst>
            <a:ext uri="{FF2B5EF4-FFF2-40B4-BE49-F238E27FC236}">
              <a16:creationId xmlns:a16="http://schemas.microsoft.com/office/drawing/2014/main" id="{657A8C20-A58D-4511-BC67-AA7DB2B5A7A5}"/>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801225"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18" name="図 17">
          <a:extLst>
            <a:ext uri="{FF2B5EF4-FFF2-40B4-BE49-F238E27FC236}">
              <a16:creationId xmlns:a16="http://schemas.microsoft.com/office/drawing/2014/main" id="{06D9E62F-BD12-4A50-8412-FD88973F689C}"/>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xdr:col>
      <xdr:colOff>9525</xdr:colOff>
      <xdr:row>66</xdr:row>
      <xdr:rowOff>85725</xdr:rowOff>
    </xdr:from>
    <xdr:to>
      <xdr:col>7</xdr:col>
      <xdr:colOff>0</xdr:colOff>
      <xdr:row>68</xdr:row>
      <xdr:rowOff>0</xdr:rowOff>
    </xdr:to>
    <xdr:sp macro="" textlink="">
      <xdr:nvSpPr>
        <xdr:cNvPr id="21" name="正方形/長方形 20">
          <a:extLst>
            <a:ext uri="{FF2B5EF4-FFF2-40B4-BE49-F238E27FC236}">
              <a16:creationId xmlns:a16="http://schemas.microsoft.com/office/drawing/2014/main" id="{5DBC6DD7-7DC1-4AC5-8D6E-3B75CEA2FF30}"/>
            </a:ext>
          </a:extLst>
        </xdr:cNvPr>
        <xdr:cNvSpPr/>
      </xdr:nvSpPr>
      <xdr:spPr>
        <a:xfrm>
          <a:off x="609600" y="102679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72</xdr:row>
      <xdr:rowOff>0</xdr:rowOff>
    </xdr:from>
    <xdr:to>
      <xdr:col>8</xdr:col>
      <xdr:colOff>43669</xdr:colOff>
      <xdr:row>73</xdr:row>
      <xdr:rowOff>0</xdr:rowOff>
    </xdr:to>
    <xdr:sp macro="" textlink="">
      <xdr:nvSpPr>
        <xdr:cNvPr id="22" name="正方形/長方形 21">
          <a:extLst>
            <a:ext uri="{FF2B5EF4-FFF2-40B4-BE49-F238E27FC236}">
              <a16:creationId xmlns:a16="http://schemas.microsoft.com/office/drawing/2014/main" id="{6FA3065E-AF76-4BB7-BDA4-8AF60DE73DEF}"/>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72</xdr:row>
      <xdr:rowOff>0</xdr:rowOff>
    </xdr:from>
    <xdr:to>
      <xdr:col>12</xdr:col>
      <xdr:colOff>0</xdr:colOff>
      <xdr:row>73</xdr:row>
      <xdr:rowOff>0</xdr:rowOff>
    </xdr:to>
    <xdr:sp macro="" textlink="">
      <xdr:nvSpPr>
        <xdr:cNvPr id="23" name="正方形/長方形 22">
          <a:extLst>
            <a:ext uri="{FF2B5EF4-FFF2-40B4-BE49-F238E27FC236}">
              <a16:creationId xmlns:a16="http://schemas.microsoft.com/office/drawing/2014/main" id="{6775DC0F-A953-45CD-88AF-A6C03976D035}"/>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74</xdr:row>
      <xdr:rowOff>9502</xdr:rowOff>
    </xdr:from>
    <xdr:ext cx="219106" cy="161948"/>
    <xdr:pic>
      <xdr:nvPicPr>
        <xdr:cNvPr id="24" name="図 23" descr="画面の領域">
          <a:extLst>
            <a:ext uri="{FF2B5EF4-FFF2-40B4-BE49-F238E27FC236}">
              <a16:creationId xmlns:a16="http://schemas.microsoft.com/office/drawing/2014/main" id="{56E36ABB-B079-4A5F-9E83-22C14CE7D64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200525" y="11334727"/>
          <a:ext cx="219106" cy="161948"/>
        </a:xfrm>
        <a:prstGeom prst="rect">
          <a:avLst/>
        </a:prstGeom>
      </xdr:spPr>
    </xdr:pic>
    <xdr:clientData/>
  </xdr:oneCellAnchor>
  <xdr:twoCellAnchor editAs="oneCell">
    <xdr:from>
      <xdr:col>2</xdr:col>
      <xdr:colOff>0</xdr:colOff>
      <xdr:row>77</xdr:row>
      <xdr:rowOff>152400</xdr:rowOff>
    </xdr:from>
    <xdr:to>
      <xdr:col>2</xdr:col>
      <xdr:colOff>198148</xdr:colOff>
      <xdr:row>79</xdr:row>
      <xdr:rowOff>15269</xdr:rowOff>
    </xdr:to>
    <xdr:pic>
      <xdr:nvPicPr>
        <xdr:cNvPr id="11" name="図 10" descr="画面の領域">
          <a:extLst>
            <a:ext uri="{FF2B5EF4-FFF2-40B4-BE49-F238E27FC236}">
              <a16:creationId xmlns:a16="http://schemas.microsoft.com/office/drawing/2014/main" id="{DDF5E072-3E1B-4D2B-8060-2E526153774F}"/>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97</xdr:row>
      <xdr:rowOff>9502</xdr:rowOff>
    </xdr:from>
    <xdr:ext cx="219106" cy="161948"/>
    <xdr:pic>
      <xdr:nvPicPr>
        <xdr:cNvPr id="12" name="図 11" descr="画面の領域">
          <a:extLst>
            <a:ext uri="{FF2B5EF4-FFF2-40B4-BE49-F238E27FC236}">
              <a16:creationId xmlns:a16="http://schemas.microsoft.com/office/drawing/2014/main" id="{BA00205C-7BC4-4A5A-B31C-0B4A7FA043F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98</xdr:row>
      <xdr:rowOff>9502</xdr:rowOff>
    </xdr:from>
    <xdr:ext cx="219106" cy="161948"/>
    <xdr:pic>
      <xdr:nvPicPr>
        <xdr:cNvPr id="13" name="図 12" descr="画面の領域">
          <a:extLst>
            <a:ext uri="{FF2B5EF4-FFF2-40B4-BE49-F238E27FC236}">
              <a16:creationId xmlns:a16="http://schemas.microsoft.com/office/drawing/2014/main" id="{0BF6693D-FB2C-4C9B-AE95-B213233FF67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38</xdr:col>
      <xdr:colOff>0</xdr:colOff>
      <xdr:row>99</xdr:row>
      <xdr:rowOff>9502</xdr:rowOff>
    </xdr:from>
    <xdr:ext cx="219106" cy="161948"/>
    <xdr:pic>
      <xdr:nvPicPr>
        <xdr:cNvPr id="14" name="図 13" descr="画面の領域">
          <a:extLst>
            <a:ext uri="{FF2B5EF4-FFF2-40B4-BE49-F238E27FC236}">
              <a16:creationId xmlns:a16="http://schemas.microsoft.com/office/drawing/2014/main" id="{68BAB11D-C04D-454C-859F-DB31F9D9580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363677"/>
          <a:ext cx="219106" cy="161948"/>
        </a:xfrm>
        <a:prstGeom prst="rect">
          <a:avLst/>
        </a:prstGeom>
      </xdr:spPr>
    </xdr:pic>
    <xdr:clientData/>
  </xdr:oneCellAnchor>
  <xdr:oneCellAnchor>
    <xdr:from>
      <xdr:col>6</xdr:col>
      <xdr:colOff>190500</xdr:colOff>
      <xdr:row>95</xdr:row>
      <xdr:rowOff>0</xdr:rowOff>
    </xdr:from>
    <xdr:ext cx="201083" cy="171450"/>
    <xdr:pic>
      <xdr:nvPicPr>
        <xdr:cNvPr id="15" name="図 14">
          <a:extLst>
            <a:ext uri="{FF2B5EF4-FFF2-40B4-BE49-F238E27FC236}">
              <a16:creationId xmlns:a16="http://schemas.microsoft.com/office/drawing/2014/main" id="{020EA3C4-7F6B-477B-9F03-EB8E87085CC4}"/>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9525</xdr:colOff>
      <xdr:row>17</xdr:row>
      <xdr:rowOff>0</xdr:rowOff>
    </xdr:from>
    <xdr:ext cx="201083" cy="171450"/>
    <xdr:pic>
      <xdr:nvPicPr>
        <xdr:cNvPr id="10" name="図 9">
          <a:extLst>
            <a:ext uri="{FF2B5EF4-FFF2-40B4-BE49-F238E27FC236}">
              <a16:creationId xmlns:a16="http://schemas.microsoft.com/office/drawing/2014/main" id="{4D1FC5A6-DB48-4A0B-BDFC-07A466ED2C15}"/>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9900"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87</xdr:row>
      <xdr:rowOff>0</xdr:rowOff>
    </xdr:from>
    <xdr:ext cx="201083" cy="171450"/>
    <xdr:pic>
      <xdr:nvPicPr>
        <xdr:cNvPr id="19" name="図 18">
          <a:extLst>
            <a:ext uri="{FF2B5EF4-FFF2-40B4-BE49-F238E27FC236}">
              <a16:creationId xmlns:a16="http://schemas.microsoft.com/office/drawing/2014/main" id="{AF8A48F3-3BEF-4AD8-B46E-5F2303F4E999}"/>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33254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81</xdr:row>
      <xdr:rowOff>19050</xdr:rowOff>
    </xdr:from>
    <xdr:ext cx="201083" cy="171450"/>
    <xdr:pic>
      <xdr:nvPicPr>
        <xdr:cNvPr id="20" name="図 19">
          <a:extLst>
            <a:ext uri="{FF2B5EF4-FFF2-40B4-BE49-F238E27FC236}">
              <a16:creationId xmlns:a16="http://schemas.microsoft.com/office/drawing/2014/main" id="{C1FE2133-43C9-D717-D70A-F6002ECCB91D}"/>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6587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95250</xdr:colOff>
      <xdr:row>49</xdr:row>
      <xdr:rowOff>95250</xdr:rowOff>
    </xdr:from>
    <xdr:to>
      <xdr:col>11</xdr:col>
      <xdr:colOff>85725</xdr:colOff>
      <xdr:row>51</xdr:row>
      <xdr:rowOff>9525</xdr:rowOff>
    </xdr:to>
    <xdr:sp macro="" textlink="">
      <xdr:nvSpPr>
        <xdr:cNvPr id="8" name="正方形/長方形 7">
          <a:extLst>
            <a:ext uri="{FF2B5EF4-FFF2-40B4-BE49-F238E27FC236}">
              <a16:creationId xmlns:a16="http://schemas.microsoft.com/office/drawing/2014/main" id="{20B53DD6-3696-47AD-8CC3-5D5BF0B569C4}"/>
            </a:ext>
          </a:extLst>
        </xdr:cNvPr>
        <xdr:cNvSpPr/>
      </xdr:nvSpPr>
      <xdr:spPr>
        <a:xfrm>
          <a:off x="1495425" y="793432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112</xdr:row>
      <xdr:rowOff>0</xdr:rowOff>
    </xdr:from>
    <xdr:to>
      <xdr:col>22</xdr:col>
      <xdr:colOff>0</xdr:colOff>
      <xdr:row>114</xdr:row>
      <xdr:rowOff>0</xdr:rowOff>
    </xdr:to>
    <xdr:sp macro="" textlink="">
      <xdr:nvSpPr>
        <xdr:cNvPr id="2" name="正方形/長方形 1">
          <a:extLst>
            <a:ext uri="{FF2B5EF4-FFF2-40B4-BE49-F238E27FC236}">
              <a16:creationId xmlns:a16="http://schemas.microsoft.com/office/drawing/2014/main" id="{2A00E30D-0DC8-4BD1-9728-EE0E386DE2AA}"/>
            </a:ext>
          </a:extLst>
        </xdr:cNvPr>
        <xdr:cNvSpPr/>
      </xdr:nvSpPr>
      <xdr:spPr>
        <a:xfrm>
          <a:off x="30003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112</xdr:row>
      <xdr:rowOff>0</xdr:rowOff>
    </xdr:from>
    <xdr:to>
      <xdr:col>30</xdr:col>
      <xdr:colOff>0</xdr:colOff>
      <xdr:row>114</xdr:row>
      <xdr:rowOff>0</xdr:rowOff>
    </xdr:to>
    <xdr:sp macro="" textlink="">
      <xdr:nvSpPr>
        <xdr:cNvPr id="3" name="正方形/長方形 2">
          <a:extLst>
            <a:ext uri="{FF2B5EF4-FFF2-40B4-BE49-F238E27FC236}">
              <a16:creationId xmlns:a16="http://schemas.microsoft.com/office/drawing/2014/main" id="{E0221C57-125E-4629-AF91-EBA5CD92E756}"/>
            </a:ext>
          </a:extLst>
        </xdr:cNvPr>
        <xdr:cNvSpPr/>
      </xdr:nvSpPr>
      <xdr:spPr>
        <a:xfrm>
          <a:off x="46005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112</xdr:row>
      <xdr:rowOff>0</xdr:rowOff>
    </xdr:from>
    <xdr:to>
      <xdr:col>38</xdr:col>
      <xdr:colOff>0</xdr:colOff>
      <xdr:row>114</xdr:row>
      <xdr:rowOff>0</xdr:rowOff>
    </xdr:to>
    <xdr:sp macro="" textlink="">
      <xdr:nvSpPr>
        <xdr:cNvPr id="4" name="正方形/長方形 3">
          <a:extLst>
            <a:ext uri="{FF2B5EF4-FFF2-40B4-BE49-F238E27FC236}">
              <a16:creationId xmlns:a16="http://schemas.microsoft.com/office/drawing/2014/main" id="{2F3F7596-EB19-49F2-9C36-E0D3F5BC74E7}"/>
            </a:ext>
          </a:extLst>
        </xdr:cNvPr>
        <xdr:cNvSpPr/>
      </xdr:nvSpPr>
      <xdr:spPr>
        <a:xfrm>
          <a:off x="62007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9DFD6481-CF0F-40D4-B990-9400740E44C8}"/>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7EFBD6D3-E51E-47E4-B087-D10B4C8DD183}"/>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57</xdr:row>
      <xdr:rowOff>85725</xdr:rowOff>
    </xdr:from>
    <xdr:to>
      <xdr:col>7</xdr:col>
      <xdr:colOff>0</xdr:colOff>
      <xdr:row>59</xdr:row>
      <xdr:rowOff>0</xdr:rowOff>
    </xdr:to>
    <xdr:sp macro="" textlink="">
      <xdr:nvSpPr>
        <xdr:cNvPr id="7" name="正方形/長方形 6">
          <a:extLst>
            <a:ext uri="{FF2B5EF4-FFF2-40B4-BE49-F238E27FC236}">
              <a16:creationId xmlns:a16="http://schemas.microsoft.com/office/drawing/2014/main" id="{98FB9266-BCED-49BF-B7B8-2073567FACC0}"/>
            </a:ext>
          </a:extLst>
        </xdr:cNvPr>
        <xdr:cNvSpPr/>
      </xdr:nvSpPr>
      <xdr:spPr>
        <a:xfrm>
          <a:off x="609600" y="80962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oneCellAnchor>
    <xdr:from>
      <xdr:col>49</xdr:col>
      <xdr:colOff>0</xdr:colOff>
      <xdr:row>26</xdr:row>
      <xdr:rowOff>0</xdr:rowOff>
    </xdr:from>
    <xdr:ext cx="201083" cy="171450"/>
    <xdr:pic>
      <xdr:nvPicPr>
        <xdr:cNvPr id="8" name="図 7">
          <a:extLst>
            <a:ext uri="{FF2B5EF4-FFF2-40B4-BE49-F238E27FC236}">
              <a16:creationId xmlns:a16="http://schemas.microsoft.com/office/drawing/2014/main" id="{6F31A2A4-7A42-4052-81FE-50EE00C21737}"/>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801225"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9" name="図 8">
          <a:extLst>
            <a:ext uri="{FF2B5EF4-FFF2-40B4-BE49-F238E27FC236}">
              <a16:creationId xmlns:a16="http://schemas.microsoft.com/office/drawing/2014/main" id="{80191F83-C95E-4388-9141-12847AC82EA5}"/>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xdr:col>
      <xdr:colOff>9525</xdr:colOff>
      <xdr:row>76</xdr:row>
      <xdr:rowOff>85725</xdr:rowOff>
    </xdr:from>
    <xdr:to>
      <xdr:col>7</xdr:col>
      <xdr:colOff>0</xdr:colOff>
      <xdr:row>78</xdr:row>
      <xdr:rowOff>0</xdr:rowOff>
    </xdr:to>
    <xdr:sp macro="" textlink="">
      <xdr:nvSpPr>
        <xdr:cNvPr id="10" name="正方形/長方形 9">
          <a:extLst>
            <a:ext uri="{FF2B5EF4-FFF2-40B4-BE49-F238E27FC236}">
              <a16:creationId xmlns:a16="http://schemas.microsoft.com/office/drawing/2014/main" id="{5864711D-6326-429B-BE55-1DF3825F8620}"/>
            </a:ext>
          </a:extLst>
        </xdr:cNvPr>
        <xdr:cNvSpPr/>
      </xdr:nvSpPr>
      <xdr:spPr>
        <a:xfrm>
          <a:off x="609600" y="102679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82</xdr:row>
      <xdr:rowOff>0</xdr:rowOff>
    </xdr:from>
    <xdr:to>
      <xdr:col>8</xdr:col>
      <xdr:colOff>43669</xdr:colOff>
      <xdr:row>83</xdr:row>
      <xdr:rowOff>0</xdr:rowOff>
    </xdr:to>
    <xdr:sp macro="" textlink="">
      <xdr:nvSpPr>
        <xdr:cNvPr id="11" name="正方形/長方形 10">
          <a:extLst>
            <a:ext uri="{FF2B5EF4-FFF2-40B4-BE49-F238E27FC236}">
              <a16:creationId xmlns:a16="http://schemas.microsoft.com/office/drawing/2014/main" id="{0AE12088-3648-4D6C-A124-B41AF0FBCFD7}"/>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82</xdr:row>
      <xdr:rowOff>0</xdr:rowOff>
    </xdr:from>
    <xdr:to>
      <xdr:col>12</xdr:col>
      <xdr:colOff>0</xdr:colOff>
      <xdr:row>83</xdr:row>
      <xdr:rowOff>0</xdr:rowOff>
    </xdr:to>
    <xdr:sp macro="" textlink="">
      <xdr:nvSpPr>
        <xdr:cNvPr id="12" name="正方形/長方形 11">
          <a:extLst>
            <a:ext uri="{FF2B5EF4-FFF2-40B4-BE49-F238E27FC236}">
              <a16:creationId xmlns:a16="http://schemas.microsoft.com/office/drawing/2014/main" id="{735E9687-7654-4A26-9C8E-39D1FA00248C}"/>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84</xdr:row>
      <xdr:rowOff>9502</xdr:rowOff>
    </xdr:from>
    <xdr:ext cx="219106" cy="161948"/>
    <xdr:pic>
      <xdr:nvPicPr>
        <xdr:cNvPr id="13" name="図 12" descr="画面の領域">
          <a:extLst>
            <a:ext uri="{FF2B5EF4-FFF2-40B4-BE49-F238E27FC236}">
              <a16:creationId xmlns:a16="http://schemas.microsoft.com/office/drawing/2014/main" id="{5CEED9FC-A38A-4A37-B875-E3B2393AF9B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0550" y="11334727"/>
          <a:ext cx="219106" cy="161948"/>
        </a:xfrm>
        <a:prstGeom prst="rect">
          <a:avLst/>
        </a:prstGeom>
      </xdr:spPr>
    </xdr:pic>
    <xdr:clientData/>
  </xdr:oneCellAnchor>
  <xdr:oneCellAnchor>
    <xdr:from>
      <xdr:col>15</xdr:col>
      <xdr:colOff>0</xdr:colOff>
      <xdr:row>91</xdr:row>
      <xdr:rowOff>0</xdr:rowOff>
    </xdr:from>
    <xdr:ext cx="201083" cy="171450"/>
    <xdr:pic>
      <xdr:nvPicPr>
        <xdr:cNvPr id="15" name="図 14">
          <a:extLst>
            <a:ext uri="{FF2B5EF4-FFF2-40B4-BE49-F238E27FC236}">
              <a16:creationId xmlns:a16="http://schemas.microsoft.com/office/drawing/2014/main" id="{E1179C3C-0719-4A18-B532-3C49D87B0520}"/>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2967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editAs="oneCell">
    <xdr:from>
      <xdr:col>2</xdr:col>
      <xdr:colOff>0</xdr:colOff>
      <xdr:row>87</xdr:row>
      <xdr:rowOff>152400</xdr:rowOff>
    </xdr:from>
    <xdr:to>
      <xdr:col>3</xdr:col>
      <xdr:colOff>28</xdr:colOff>
      <xdr:row>89</xdr:row>
      <xdr:rowOff>15269</xdr:rowOff>
    </xdr:to>
    <xdr:pic>
      <xdr:nvPicPr>
        <xdr:cNvPr id="25" name="図 24" descr="画面の領域">
          <a:extLst>
            <a:ext uri="{FF2B5EF4-FFF2-40B4-BE49-F238E27FC236}">
              <a16:creationId xmlns:a16="http://schemas.microsoft.com/office/drawing/2014/main" id="{37975B50-946B-4855-A4C8-ECBF2E06ED2C}"/>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107</xdr:row>
      <xdr:rowOff>9502</xdr:rowOff>
    </xdr:from>
    <xdr:ext cx="219106" cy="161948"/>
    <xdr:pic>
      <xdr:nvPicPr>
        <xdr:cNvPr id="26" name="図 25" descr="画面の領域">
          <a:extLst>
            <a:ext uri="{FF2B5EF4-FFF2-40B4-BE49-F238E27FC236}">
              <a16:creationId xmlns:a16="http://schemas.microsoft.com/office/drawing/2014/main" id="{C50667CC-2C84-455E-A48A-18E36B07354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108</xdr:row>
      <xdr:rowOff>9502</xdr:rowOff>
    </xdr:from>
    <xdr:ext cx="219106" cy="161948"/>
    <xdr:pic>
      <xdr:nvPicPr>
        <xdr:cNvPr id="27" name="図 26" descr="画面の領域">
          <a:extLst>
            <a:ext uri="{FF2B5EF4-FFF2-40B4-BE49-F238E27FC236}">
              <a16:creationId xmlns:a16="http://schemas.microsoft.com/office/drawing/2014/main" id="{907381F4-238E-4701-A406-85301961184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38</xdr:col>
      <xdr:colOff>0</xdr:colOff>
      <xdr:row>109</xdr:row>
      <xdr:rowOff>9502</xdr:rowOff>
    </xdr:from>
    <xdr:ext cx="219106" cy="161948"/>
    <xdr:pic>
      <xdr:nvPicPr>
        <xdr:cNvPr id="28" name="図 27" descr="画面の領域">
          <a:extLst>
            <a:ext uri="{FF2B5EF4-FFF2-40B4-BE49-F238E27FC236}">
              <a16:creationId xmlns:a16="http://schemas.microsoft.com/office/drawing/2014/main" id="{C4D27BA7-115E-460B-9C0F-33EC1A051F0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363677"/>
          <a:ext cx="219106" cy="161948"/>
        </a:xfrm>
        <a:prstGeom prst="rect">
          <a:avLst/>
        </a:prstGeom>
      </xdr:spPr>
    </xdr:pic>
    <xdr:clientData/>
  </xdr:oneCellAnchor>
  <xdr:oneCellAnchor>
    <xdr:from>
      <xdr:col>6</xdr:col>
      <xdr:colOff>190500</xdr:colOff>
      <xdr:row>105</xdr:row>
      <xdr:rowOff>0</xdr:rowOff>
    </xdr:from>
    <xdr:ext cx="201083" cy="171450"/>
    <xdr:pic>
      <xdr:nvPicPr>
        <xdr:cNvPr id="29" name="図 28">
          <a:extLst>
            <a:ext uri="{FF2B5EF4-FFF2-40B4-BE49-F238E27FC236}">
              <a16:creationId xmlns:a16="http://schemas.microsoft.com/office/drawing/2014/main" id="{4745E74B-D755-4018-A22F-D44E9FF40452}"/>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17</xdr:row>
      <xdr:rowOff>0</xdr:rowOff>
    </xdr:from>
    <xdr:ext cx="201083" cy="171450"/>
    <xdr:pic>
      <xdr:nvPicPr>
        <xdr:cNvPr id="14" name="図 13">
          <a:extLst>
            <a:ext uri="{FF2B5EF4-FFF2-40B4-BE49-F238E27FC236}">
              <a16:creationId xmlns:a16="http://schemas.microsoft.com/office/drawing/2014/main" id="{AB0CB4AD-C494-417F-9C46-063BBE0B2D1E}"/>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97</xdr:row>
      <xdr:rowOff>0</xdr:rowOff>
    </xdr:from>
    <xdr:ext cx="201083" cy="171450"/>
    <xdr:pic>
      <xdr:nvPicPr>
        <xdr:cNvPr id="16" name="図 15">
          <a:extLst>
            <a:ext uri="{FF2B5EF4-FFF2-40B4-BE49-F238E27FC236}">
              <a16:creationId xmlns:a16="http://schemas.microsoft.com/office/drawing/2014/main" id="{6F22A786-8988-4266-9438-1ADF2618DE3D}"/>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33254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95250</xdr:colOff>
      <xdr:row>57</xdr:row>
      <xdr:rowOff>85725</xdr:rowOff>
    </xdr:from>
    <xdr:to>
      <xdr:col>11</xdr:col>
      <xdr:colOff>85725</xdr:colOff>
      <xdr:row>59</xdr:row>
      <xdr:rowOff>0</xdr:rowOff>
    </xdr:to>
    <xdr:sp macro="" textlink="">
      <xdr:nvSpPr>
        <xdr:cNvPr id="18" name="正方形/長方形 17">
          <a:extLst>
            <a:ext uri="{FF2B5EF4-FFF2-40B4-BE49-F238E27FC236}">
              <a16:creationId xmlns:a16="http://schemas.microsoft.com/office/drawing/2014/main" id="{E7EF44D0-D1E8-4A05-BD29-A6FA1D7AE22D}"/>
            </a:ext>
          </a:extLst>
        </xdr:cNvPr>
        <xdr:cNvSpPr/>
      </xdr:nvSpPr>
      <xdr:spPr>
        <a:xfrm>
          <a:off x="1495425" y="792480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10</xdr:col>
      <xdr:colOff>38100</xdr:colOff>
      <xdr:row>69</xdr:row>
      <xdr:rowOff>0</xdr:rowOff>
    </xdr:from>
    <xdr:to>
      <xdr:col>17</xdr:col>
      <xdr:colOff>76200</xdr:colOff>
      <xdr:row>70</xdr:row>
      <xdr:rowOff>161925</xdr:rowOff>
    </xdr:to>
    <xdr:sp macro="" textlink="">
      <xdr:nvSpPr>
        <xdr:cNvPr id="17" name="四角形吹き出し 11">
          <a:extLst>
            <a:ext uri="{FF2B5EF4-FFF2-40B4-BE49-F238E27FC236}">
              <a16:creationId xmlns:a16="http://schemas.microsoft.com/office/drawing/2014/main" id="{D99D49E3-FEE8-437D-B0AE-047D4E6AC5F4}"/>
            </a:ext>
          </a:extLst>
        </xdr:cNvPr>
        <xdr:cNvSpPr/>
      </xdr:nvSpPr>
      <xdr:spPr>
        <a:xfrm>
          <a:off x="2038350" y="9667875"/>
          <a:ext cx="1438275" cy="333375"/>
        </a:xfrm>
        <a:prstGeom prst="wedgeRectCallout">
          <a:avLst>
            <a:gd name="adj1" fmla="val -59700"/>
            <a:gd name="adj2" fmla="val -386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rgbClr val="FF0000"/>
              </a:solidFill>
            </a:rPr>
            <a:t>1</a:t>
          </a:r>
          <a:r>
            <a:rPr kumimoji="1" lang="ja-JP" altLang="en-US" sz="800">
              <a:solidFill>
                <a:srgbClr val="FF0000"/>
              </a:solidFill>
            </a:rPr>
            <a:t>行目は申請通貨</a:t>
          </a:r>
          <a:endParaRPr kumimoji="1" lang="en-US" altLang="ja-JP" sz="800">
            <a:solidFill>
              <a:srgbClr val="FF0000"/>
            </a:solidFill>
          </a:endParaRPr>
        </a:p>
        <a:p>
          <a:pPr algn="l">
            <a:lnSpc>
              <a:spcPts val="900"/>
            </a:lnSpc>
          </a:pPr>
          <a:r>
            <a:rPr kumimoji="1" lang="en-US" altLang="ja-JP" sz="800">
              <a:solidFill>
                <a:srgbClr val="FF0000"/>
              </a:solidFill>
            </a:rPr>
            <a:t>2</a:t>
          </a:r>
          <a:r>
            <a:rPr kumimoji="1" lang="ja-JP" altLang="en-US" sz="800">
              <a:solidFill>
                <a:srgbClr val="FF0000"/>
              </a:solidFill>
            </a:rPr>
            <a:t>行目は</a:t>
          </a:r>
          <a:r>
            <a:rPr kumimoji="1" lang="en-US" altLang="ja-JP" sz="800">
              <a:solidFill>
                <a:srgbClr val="FF0000"/>
              </a:solidFill>
            </a:rPr>
            <a:t>JPY</a:t>
          </a:r>
          <a:r>
            <a:rPr kumimoji="1" lang="ja-JP" altLang="en-US" sz="800">
              <a:solidFill>
                <a:srgbClr val="FF0000"/>
              </a:solidFill>
            </a:rPr>
            <a:t>の表示</a:t>
          </a:r>
          <a:endParaRPr kumimoji="1" lang="en-US" altLang="ja-JP" sz="800">
            <a:solidFill>
              <a:srgbClr val="FF0000"/>
            </a:solidFill>
          </a:endParaRPr>
        </a:p>
      </xdr:txBody>
    </xdr:sp>
    <xdr:clientData/>
  </xdr:twoCellAnchor>
  <xdr:twoCellAnchor>
    <xdr:from>
      <xdr:col>23</xdr:col>
      <xdr:colOff>171450</xdr:colOff>
      <xdr:row>52</xdr:row>
      <xdr:rowOff>123825</xdr:rowOff>
    </xdr:from>
    <xdr:to>
      <xdr:col>33</xdr:col>
      <xdr:colOff>161925</xdr:colOff>
      <xdr:row>54</xdr:row>
      <xdr:rowOff>66675</xdr:rowOff>
    </xdr:to>
    <xdr:sp macro="" textlink="">
      <xdr:nvSpPr>
        <xdr:cNvPr id="19" name="四角形吹き出し 11">
          <a:extLst>
            <a:ext uri="{FF2B5EF4-FFF2-40B4-BE49-F238E27FC236}">
              <a16:creationId xmlns:a16="http://schemas.microsoft.com/office/drawing/2014/main" id="{90B5EA0D-AE79-4F81-9C0D-6F1773EFDA00}"/>
            </a:ext>
          </a:extLst>
        </xdr:cNvPr>
        <xdr:cNvSpPr/>
      </xdr:nvSpPr>
      <xdr:spPr>
        <a:xfrm>
          <a:off x="4772025" y="7077075"/>
          <a:ext cx="1990725" cy="314325"/>
        </a:xfrm>
        <a:prstGeom prst="wedgeRectCallout">
          <a:avLst>
            <a:gd name="adj1" fmla="val -34820"/>
            <a:gd name="adj2" fmla="val -108349"/>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原計通貨、申請通貨は同一チェック</a:t>
          </a:r>
          <a:endParaRPr kumimoji="1" lang="en-US" altLang="ja-JP" sz="800">
            <a:solidFill>
              <a:sysClr val="windowText" lastClr="000000"/>
            </a:solidFill>
          </a:endParaRPr>
        </a:p>
      </xdr:txBody>
    </xdr:sp>
    <xdr:clientData/>
  </xdr:twoCellAnchor>
  <xdr:twoCellAnchor>
    <xdr:from>
      <xdr:col>23</xdr:col>
      <xdr:colOff>78518</xdr:colOff>
      <xdr:row>35</xdr:row>
      <xdr:rowOff>144285</xdr:rowOff>
    </xdr:from>
    <xdr:to>
      <xdr:col>34</xdr:col>
      <xdr:colOff>161511</xdr:colOff>
      <xdr:row>39</xdr:row>
      <xdr:rowOff>47626</xdr:rowOff>
    </xdr:to>
    <xdr:sp macro="" textlink="">
      <xdr:nvSpPr>
        <xdr:cNvPr id="20" name="四角形吹き出し 11">
          <a:extLst>
            <a:ext uri="{FF2B5EF4-FFF2-40B4-BE49-F238E27FC236}">
              <a16:creationId xmlns:a16="http://schemas.microsoft.com/office/drawing/2014/main" id="{9FD2D9A4-861E-494C-BE22-82E23507556D}"/>
            </a:ext>
          </a:extLst>
        </xdr:cNvPr>
        <xdr:cNvSpPr/>
      </xdr:nvSpPr>
      <xdr:spPr>
        <a:xfrm>
          <a:off x="4679093" y="6468885"/>
          <a:ext cx="2283268" cy="474841"/>
        </a:xfrm>
        <a:prstGeom prst="wedgeRectCallout">
          <a:avLst>
            <a:gd name="adj1" fmla="val -66240"/>
            <a:gd name="adj2" fmla="val 3188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default</a:t>
          </a:r>
          <a:r>
            <a:rPr kumimoji="1" lang="ja-JP" altLang="en-US" sz="800">
              <a:solidFill>
                <a:sysClr val="windowText" lastClr="000000"/>
              </a:solidFill>
            </a:rPr>
            <a:t>は経営計画レートですが、変更できるように。客先によってはその会社のレートで変換することが求められる。（日系企業の場合）</a:t>
          </a:r>
          <a:endParaRPr kumimoji="1" lang="en-US" altLang="ja-JP" sz="800">
            <a:solidFill>
              <a:sysClr val="windowText" lastClr="000000"/>
            </a:solidFill>
          </a:endParaRPr>
        </a:p>
        <a:p>
          <a:pPr algn="l">
            <a:lnSpc>
              <a:spcPts val="900"/>
            </a:lnSpc>
          </a:pPr>
          <a:endParaRPr kumimoji="1" lang="en-US" altLang="ja-JP" sz="800">
            <a:solidFill>
              <a:srgbClr val="FF0000"/>
            </a:solidFill>
          </a:endParaRPr>
        </a:p>
        <a:p>
          <a:pPr algn="l">
            <a:lnSpc>
              <a:spcPts val="900"/>
            </a:lnSpc>
          </a:pPr>
          <a:endParaRPr kumimoji="1" lang="en-US" altLang="ja-JP" sz="800">
            <a:solidFill>
              <a:srgbClr val="FF0000"/>
            </a:solidFill>
          </a:endParaRPr>
        </a:p>
      </xdr:txBody>
    </xdr:sp>
    <xdr:clientData/>
  </xdr:twoCellAnchor>
  <xdr:twoCellAnchor>
    <xdr:from>
      <xdr:col>13</xdr:col>
      <xdr:colOff>62865</xdr:colOff>
      <xdr:row>39</xdr:row>
      <xdr:rowOff>156211</xdr:rowOff>
    </xdr:from>
    <xdr:to>
      <xdr:col>22</xdr:col>
      <xdr:colOff>32716</xdr:colOff>
      <xdr:row>42</xdr:row>
      <xdr:rowOff>26670</xdr:rowOff>
    </xdr:to>
    <xdr:sp macro="" textlink="">
      <xdr:nvSpPr>
        <xdr:cNvPr id="21" name="四角形吹き出し 11">
          <a:extLst>
            <a:ext uri="{FF2B5EF4-FFF2-40B4-BE49-F238E27FC236}">
              <a16:creationId xmlns:a16="http://schemas.microsoft.com/office/drawing/2014/main" id="{06E8ED9B-0212-494B-9BA1-0A2254FC35C0}"/>
            </a:ext>
          </a:extLst>
        </xdr:cNvPr>
        <xdr:cNvSpPr/>
      </xdr:nvSpPr>
      <xdr:spPr>
        <a:xfrm>
          <a:off x="2663190" y="7052311"/>
          <a:ext cx="1770076" cy="384809"/>
        </a:xfrm>
        <a:prstGeom prst="wedgeRectCallout">
          <a:avLst>
            <a:gd name="adj1" fmla="val -43457"/>
            <a:gd name="adj2" fmla="val -848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経営計画レート選択時は自動表示。</a:t>
          </a:r>
          <a:br>
            <a:rPr kumimoji="1" lang="en-US" altLang="ja-JP" sz="800">
              <a:solidFill>
                <a:sysClr val="windowText" lastClr="000000"/>
              </a:solidFill>
            </a:rPr>
          </a:br>
          <a:r>
            <a:rPr kumimoji="1" lang="ja-JP" altLang="en-US" sz="800">
              <a:solidFill>
                <a:sysClr val="windowText" lastClr="000000"/>
              </a:solidFill>
            </a:rPr>
            <a:t>そのれ外は手入力。必須項目とする。</a:t>
          </a:r>
          <a:endParaRPr kumimoji="1" lang="en-US" altLang="ja-JP" sz="800">
            <a:solidFill>
              <a:sysClr val="windowText" lastClr="000000"/>
            </a:solidFill>
          </a:endParaRPr>
        </a:p>
      </xdr:txBody>
    </xdr:sp>
    <xdr:clientData/>
  </xdr:twoCellAnchor>
  <xdr:twoCellAnchor>
    <xdr:from>
      <xdr:col>22</xdr:col>
      <xdr:colOff>161925</xdr:colOff>
      <xdr:row>41</xdr:row>
      <xdr:rowOff>152400</xdr:rowOff>
    </xdr:from>
    <xdr:to>
      <xdr:col>32</xdr:col>
      <xdr:colOff>0</xdr:colOff>
      <xdr:row>44</xdr:row>
      <xdr:rowOff>66675</xdr:rowOff>
    </xdr:to>
    <xdr:sp macro="" textlink="">
      <xdr:nvSpPr>
        <xdr:cNvPr id="24" name="四角形吹き出し 11">
          <a:extLst>
            <a:ext uri="{FF2B5EF4-FFF2-40B4-BE49-F238E27FC236}">
              <a16:creationId xmlns:a16="http://schemas.microsoft.com/office/drawing/2014/main" id="{4432433F-FE68-42A8-BA06-9C563588A722}"/>
            </a:ext>
          </a:extLst>
        </xdr:cNvPr>
        <xdr:cNvSpPr/>
      </xdr:nvSpPr>
      <xdr:spPr>
        <a:xfrm>
          <a:off x="4562475" y="7391400"/>
          <a:ext cx="1838325" cy="314325"/>
        </a:xfrm>
        <a:prstGeom prst="wedgeRectCallout">
          <a:avLst>
            <a:gd name="adj1" fmla="val 5977"/>
            <a:gd name="adj2" fmla="val 13710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この列まで原計通貨に応じた小数点桁数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twoCellAnchor>
    <xdr:from>
      <xdr:col>33</xdr:col>
      <xdr:colOff>85725</xdr:colOff>
      <xdr:row>41</xdr:row>
      <xdr:rowOff>152400</xdr:rowOff>
    </xdr:from>
    <xdr:to>
      <xdr:col>40</xdr:col>
      <xdr:colOff>142875</xdr:colOff>
      <xdr:row>44</xdr:row>
      <xdr:rowOff>66675</xdr:rowOff>
    </xdr:to>
    <xdr:sp macro="" textlink="">
      <xdr:nvSpPr>
        <xdr:cNvPr id="30" name="四角形吹き出し 11">
          <a:extLst>
            <a:ext uri="{FF2B5EF4-FFF2-40B4-BE49-F238E27FC236}">
              <a16:creationId xmlns:a16="http://schemas.microsoft.com/office/drawing/2014/main" id="{6167572C-4B41-477B-B7B0-AA9CB3AF80A2}"/>
            </a:ext>
          </a:extLst>
        </xdr:cNvPr>
        <xdr:cNvSpPr/>
      </xdr:nvSpPr>
      <xdr:spPr>
        <a:xfrm>
          <a:off x="6686550" y="7391400"/>
          <a:ext cx="1457325" cy="314325"/>
        </a:xfrm>
        <a:prstGeom prst="wedgeRectCallout">
          <a:avLst>
            <a:gd name="adj1" fmla="val -35474"/>
            <a:gd name="adj2" fmla="val 149227"/>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146</xdr:row>
      <xdr:rowOff>0</xdr:rowOff>
    </xdr:from>
    <xdr:to>
      <xdr:col>22</xdr:col>
      <xdr:colOff>0</xdr:colOff>
      <xdr:row>148</xdr:row>
      <xdr:rowOff>0</xdr:rowOff>
    </xdr:to>
    <xdr:sp macro="" textlink="">
      <xdr:nvSpPr>
        <xdr:cNvPr id="2" name="正方形/長方形 1">
          <a:extLst>
            <a:ext uri="{FF2B5EF4-FFF2-40B4-BE49-F238E27FC236}">
              <a16:creationId xmlns:a16="http://schemas.microsoft.com/office/drawing/2014/main" id="{8361D997-6EAE-42F9-B985-B71430A588B5}"/>
            </a:ext>
          </a:extLst>
        </xdr:cNvPr>
        <xdr:cNvSpPr/>
      </xdr:nvSpPr>
      <xdr:spPr>
        <a:xfrm>
          <a:off x="30003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146</xdr:row>
      <xdr:rowOff>0</xdr:rowOff>
    </xdr:from>
    <xdr:to>
      <xdr:col>30</xdr:col>
      <xdr:colOff>0</xdr:colOff>
      <xdr:row>148</xdr:row>
      <xdr:rowOff>0</xdr:rowOff>
    </xdr:to>
    <xdr:sp macro="" textlink="">
      <xdr:nvSpPr>
        <xdr:cNvPr id="3" name="正方形/長方形 2">
          <a:extLst>
            <a:ext uri="{FF2B5EF4-FFF2-40B4-BE49-F238E27FC236}">
              <a16:creationId xmlns:a16="http://schemas.microsoft.com/office/drawing/2014/main" id="{E4F3B550-C178-4BC5-AEBE-A28DBF4C7030}"/>
            </a:ext>
          </a:extLst>
        </xdr:cNvPr>
        <xdr:cNvSpPr/>
      </xdr:nvSpPr>
      <xdr:spPr>
        <a:xfrm>
          <a:off x="46005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146</xdr:row>
      <xdr:rowOff>0</xdr:rowOff>
    </xdr:from>
    <xdr:to>
      <xdr:col>38</xdr:col>
      <xdr:colOff>0</xdr:colOff>
      <xdr:row>148</xdr:row>
      <xdr:rowOff>0</xdr:rowOff>
    </xdr:to>
    <xdr:sp macro="" textlink="">
      <xdr:nvSpPr>
        <xdr:cNvPr id="4" name="正方形/長方形 3">
          <a:extLst>
            <a:ext uri="{FF2B5EF4-FFF2-40B4-BE49-F238E27FC236}">
              <a16:creationId xmlns:a16="http://schemas.microsoft.com/office/drawing/2014/main" id="{94872B9A-46CE-4CD6-A5AB-C6D5C647EDB9}"/>
            </a:ext>
          </a:extLst>
        </xdr:cNvPr>
        <xdr:cNvSpPr/>
      </xdr:nvSpPr>
      <xdr:spPr>
        <a:xfrm>
          <a:off x="62007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468B21AA-B832-4D15-B8F6-64E6D0394E75}"/>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476B491E-9D63-46E3-ABB6-14F2EE3D135B}"/>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72</xdr:row>
      <xdr:rowOff>85725</xdr:rowOff>
    </xdr:from>
    <xdr:to>
      <xdr:col>7</xdr:col>
      <xdr:colOff>0</xdr:colOff>
      <xdr:row>74</xdr:row>
      <xdr:rowOff>0</xdr:rowOff>
    </xdr:to>
    <xdr:sp macro="" textlink="">
      <xdr:nvSpPr>
        <xdr:cNvPr id="7" name="正方形/長方形 6">
          <a:extLst>
            <a:ext uri="{FF2B5EF4-FFF2-40B4-BE49-F238E27FC236}">
              <a16:creationId xmlns:a16="http://schemas.microsoft.com/office/drawing/2014/main" id="{D3588E5B-9AF1-4F97-9890-865763A04A77}"/>
            </a:ext>
          </a:extLst>
        </xdr:cNvPr>
        <xdr:cNvSpPr/>
      </xdr:nvSpPr>
      <xdr:spPr>
        <a:xfrm>
          <a:off x="609600" y="8181975"/>
          <a:ext cx="790575" cy="42862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oneCellAnchor>
    <xdr:from>
      <xdr:col>32</xdr:col>
      <xdr:colOff>0</xdr:colOff>
      <xdr:row>26</xdr:row>
      <xdr:rowOff>0</xdr:rowOff>
    </xdr:from>
    <xdr:ext cx="201083" cy="171450"/>
    <xdr:pic>
      <xdr:nvPicPr>
        <xdr:cNvPr id="18" name="図 17">
          <a:extLst>
            <a:ext uri="{FF2B5EF4-FFF2-40B4-BE49-F238E27FC236}">
              <a16:creationId xmlns:a16="http://schemas.microsoft.com/office/drawing/2014/main" id="{FE3F6E15-B708-4689-80BC-ECA49AAFE686}"/>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xdr:col>
      <xdr:colOff>0</xdr:colOff>
      <xdr:row>110</xdr:row>
      <xdr:rowOff>85725</xdr:rowOff>
    </xdr:from>
    <xdr:to>
      <xdr:col>6</xdr:col>
      <xdr:colOff>190500</xdr:colOff>
      <xdr:row>112</xdr:row>
      <xdr:rowOff>0</xdr:rowOff>
    </xdr:to>
    <xdr:sp macro="" textlink="">
      <xdr:nvSpPr>
        <xdr:cNvPr id="21" name="正方形/長方形 20">
          <a:extLst>
            <a:ext uri="{FF2B5EF4-FFF2-40B4-BE49-F238E27FC236}">
              <a16:creationId xmlns:a16="http://schemas.microsoft.com/office/drawing/2014/main" id="{D2475BCC-3D57-4CD1-9FEF-D333B39F0691}"/>
            </a:ext>
          </a:extLst>
        </xdr:cNvPr>
        <xdr:cNvSpPr/>
      </xdr:nvSpPr>
      <xdr:spPr>
        <a:xfrm>
          <a:off x="600075" y="1498282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116</xdr:row>
      <xdr:rowOff>0</xdr:rowOff>
    </xdr:from>
    <xdr:to>
      <xdr:col>8</xdr:col>
      <xdr:colOff>43669</xdr:colOff>
      <xdr:row>117</xdr:row>
      <xdr:rowOff>0</xdr:rowOff>
    </xdr:to>
    <xdr:sp macro="" textlink="">
      <xdr:nvSpPr>
        <xdr:cNvPr id="22" name="正方形/長方形 21">
          <a:extLst>
            <a:ext uri="{FF2B5EF4-FFF2-40B4-BE49-F238E27FC236}">
              <a16:creationId xmlns:a16="http://schemas.microsoft.com/office/drawing/2014/main" id="{C1230DC3-E851-4531-BCE4-4F138045FFE8}"/>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116</xdr:row>
      <xdr:rowOff>0</xdr:rowOff>
    </xdr:from>
    <xdr:to>
      <xdr:col>12</xdr:col>
      <xdr:colOff>0</xdr:colOff>
      <xdr:row>117</xdr:row>
      <xdr:rowOff>0</xdr:rowOff>
    </xdr:to>
    <xdr:sp macro="" textlink="">
      <xdr:nvSpPr>
        <xdr:cNvPr id="23" name="正方形/長方形 22">
          <a:extLst>
            <a:ext uri="{FF2B5EF4-FFF2-40B4-BE49-F238E27FC236}">
              <a16:creationId xmlns:a16="http://schemas.microsoft.com/office/drawing/2014/main" id="{C9D7C6F0-5ED9-4FAA-87B9-13055FC85842}"/>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118</xdr:row>
      <xdr:rowOff>9502</xdr:rowOff>
    </xdr:from>
    <xdr:ext cx="219106" cy="161948"/>
    <xdr:pic>
      <xdr:nvPicPr>
        <xdr:cNvPr id="24" name="図 23" descr="画面の領域">
          <a:extLst>
            <a:ext uri="{FF2B5EF4-FFF2-40B4-BE49-F238E27FC236}">
              <a16:creationId xmlns:a16="http://schemas.microsoft.com/office/drawing/2014/main" id="{7DEB14A4-965E-4BE1-BADB-BD506618CC8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0550" y="11334727"/>
          <a:ext cx="219106" cy="161948"/>
        </a:xfrm>
        <a:prstGeom prst="rect">
          <a:avLst/>
        </a:prstGeom>
      </xdr:spPr>
    </xdr:pic>
    <xdr:clientData/>
  </xdr:oneCellAnchor>
  <xdr:twoCellAnchor>
    <xdr:from>
      <xdr:col>21</xdr:col>
      <xdr:colOff>123824</xdr:colOff>
      <xdr:row>105</xdr:row>
      <xdr:rowOff>104775</xdr:rowOff>
    </xdr:from>
    <xdr:to>
      <xdr:col>31</xdr:col>
      <xdr:colOff>65209</xdr:colOff>
      <xdr:row>107</xdr:row>
      <xdr:rowOff>95250</xdr:rowOff>
    </xdr:to>
    <xdr:sp macro="" textlink="">
      <xdr:nvSpPr>
        <xdr:cNvPr id="30" name="四角形吹き出し 11">
          <a:extLst>
            <a:ext uri="{FF2B5EF4-FFF2-40B4-BE49-F238E27FC236}">
              <a16:creationId xmlns:a16="http://schemas.microsoft.com/office/drawing/2014/main" id="{6DBDD004-6A4C-447C-BD6E-85D79B99D0DE}"/>
            </a:ext>
          </a:extLst>
        </xdr:cNvPr>
        <xdr:cNvSpPr/>
      </xdr:nvSpPr>
      <xdr:spPr>
        <a:xfrm>
          <a:off x="4324349" y="16659225"/>
          <a:ext cx="1941635" cy="333375"/>
        </a:xfrm>
        <a:prstGeom prst="wedgeRectCallout">
          <a:avLst>
            <a:gd name="adj1" fmla="val -77253"/>
            <a:gd name="adj2" fmla="val -5944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金型、治工具で無償が選択されている場合のみ表示</a:t>
          </a:r>
          <a:endParaRPr kumimoji="1" lang="en-US" altLang="ja-JP" sz="800">
            <a:solidFill>
              <a:sysClr val="windowText" lastClr="000000"/>
            </a:solidFill>
          </a:endParaRPr>
        </a:p>
      </xdr:txBody>
    </xdr:sp>
    <xdr:clientData/>
  </xdr:twoCellAnchor>
  <xdr:twoCellAnchor>
    <xdr:from>
      <xdr:col>23</xdr:col>
      <xdr:colOff>78518</xdr:colOff>
      <xdr:row>41</xdr:row>
      <xdr:rowOff>144285</xdr:rowOff>
    </xdr:from>
    <xdr:to>
      <xdr:col>34</xdr:col>
      <xdr:colOff>161511</xdr:colOff>
      <xdr:row>45</xdr:row>
      <xdr:rowOff>47626</xdr:rowOff>
    </xdr:to>
    <xdr:sp macro="" textlink="">
      <xdr:nvSpPr>
        <xdr:cNvPr id="34" name="四角形吹き出し 11">
          <a:extLst>
            <a:ext uri="{FF2B5EF4-FFF2-40B4-BE49-F238E27FC236}">
              <a16:creationId xmlns:a16="http://schemas.microsoft.com/office/drawing/2014/main" id="{1E401332-252C-4473-8358-725C40A6F247}"/>
            </a:ext>
          </a:extLst>
        </xdr:cNvPr>
        <xdr:cNvSpPr/>
      </xdr:nvSpPr>
      <xdr:spPr>
        <a:xfrm>
          <a:off x="4679093" y="6468885"/>
          <a:ext cx="2283268" cy="474841"/>
        </a:xfrm>
        <a:prstGeom prst="wedgeRectCallout">
          <a:avLst>
            <a:gd name="adj1" fmla="val -66240"/>
            <a:gd name="adj2" fmla="val 3188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default</a:t>
          </a:r>
          <a:r>
            <a:rPr kumimoji="1" lang="ja-JP" altLang="en-US" sz="800">
              <a:solidFill>
                <a:sysClr val="windowText" lastClr="000000"/>
              </a:solidFill>
            </a:rPr>
            <a:t>は経営計画レートですが、変更できるように。客先によってはその会社のレートで変換することが求められる。（日系企業の場合）</a:t>
          </a:r>
          <a:endParaRPr kumimoji="1" lang="en-US" altLang="ja-JP" sz="800">
            <a:solidFill>
              <a:sysClr val="windowText" lastClr="000000"/>
            </a:solidFill>
          </a:endParaRPr>
        </a:p>
        <a:p>
          <a:pPr algn="l">
            <a:lnSpc>
              <a:spcPts val="900"/>
            </a:lnSpc>
          </a:pPr>
          <a:endParaRPr kumimoji="1" lang="en-US" altLang="ja-JP" sz="800">
            <a:solidFill>
              <a:srgbClr val="FF0000"/>
            </a:solidFill>
          </a:endParaRPr>
        </a:p>
        <a:p>
          <a:pPr algn="l">
            <a:lnSpc>
              <a:spcPts val="900"/>
            </a:lnSpc>
          </a:pPr>
          <a:endParaRPr kumimoji="1" lang="en-US" altLang="ja-JP" sz="800">
            <a:solidFill>
              <a:srgbClr val="FF0000"/>
            </a:solidFill>
          </a:endParaRPr>
        </a:p>
      </xdr:txBody>
    </xdr:sp>
    <xdr:clientData/>
  </xdr:twoCellAnchor>
  <xdr:twoCellAnchor>
    <xdr:from>
      <xdr:col>51</xdr:col>
      <xdr:colOff>85725</xdr:colOff>
      <xdr:row>37</xdr:row>
      <xdr:rowOff>57150</xdr:rowOff>
    </xdr:from>
    <xdr:to>
      <xdr:col>56</xdr:col>
      <xdr:colOff>85725</xdr:colOff>
      <xdr:row>41</xdr:row>
      <xdr:rowOff>0</xdr:rowOff>
    </xdr:to>
    <xdr:sp macro="" textlink="">
      <xdr:nvSpPr>
        <xdr:cNvPr id="8" name="四角形吹き出し 11">
          <a:extLst>
            <a:ext uri="{FF2B5EF4-FFF2-40B4-BE49-F238E27FC236}">
              <a16:creationId xmlns:a16="http://schemas.microsoft.com/office/drawing/2014/main" id="{824F86EF-C5D4-4BF1-A3B6-910E3426CAFF}"/>
            </a:ext>
          </a:extLst>
        </xdr:cNvPr>
        <xdr:cNvSpPr/>
      </xdr:nvSpPr>
      <xdr:spPr>
        <a:xfrm>
          <a:off x="10287000" y="5410200"/>
          <a:ext cx="1000125" cy="400050"/>
        </a:xfrm>
        <a:prstGeom prst="wedgeRectCallout">
          <a:avLst>
            <a:gd name="adj1" fmla="val -73695"/>
            <a:gd name="adj2" fmla="val 1326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カスタム品の場合のみ表示</a:t>
          </a:r>
          <a:endParaRPr kumimoji="1" lang="en-US" altLang="ja-JP" sz="800">
            <a:solidFill>
              <a:sysClr val="windowText" lastClr="000000"/>
            </a:solidFill>
          </a:endParaRPr>
        </a:p>
      </xdr:txBody>
    </xdr:sp>
    <xdr:clientData/>
  </xdr:twoCellAnchor>
  <xdr:twoCellAnchor editAs="oneCell">
    <xdr:from>
      <xdr:col>2</xdr:col>
      <xdr:colOff>0</xdr:colOff>
      <xdr:row>121</xdr:row>
      <xdr:rowOff>152400</xdr:rowOff>
    </xdr:from>
    <xdr:to>
      <xdr:col>3</xdr:col>
      <xdr:colOff>28</xdr:colOff>
      <xdr:row>123</xdr:row>
      <xdr:rowOff>19079</xdr:rowOff>
    </xdr:to>
    <xdr:pic>
      <xdr:nvPicPr>
        <xdr:cNvPr id="19" name="図 18" descr="画面の領域">
          <a:extLst>
            <a:ext uri="{FF2B5EF4-FFF2-40B4-BE49-F238E27FC236}">
              <a16:creationId xmlns:a16="http://schemas.microsoft.com/office/drawing/2014/main" id="{2449DCE9-78E4-4DCE-AB20-E6512B30D54E}"/>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141</xdr:row>
      <xdr:rowOff>9502</xdr:rowOff>
    </xdr:from>
    <xdr:ext cx="219106" cy="161948"/>
    <xdr:pic>
      <xdr:nvPicPr>
        <xdr:cNvPr id="20" name="図 19" descr="画面の領域">
          <a:extLst>
            <a:ext uri="{FF2B5EF4-FFF2-40B4-BE49-F238E27FC236}">
              <a16:creationId xmlns:a16="http://schemas.microsoft.com/office/drawing/2014/main" id="{89C1E70A-13C7-4E47-9642-40FBE041699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142</xdr:row>
      <xdr:rowOff>9502</xdr:rowOff>
    </xdr:from>
    <xdr:ext cx="219106" cy="161948"/>
    <xdr:pic>
      <xdr:nvPicPr>
        <xdr:cNvPr id="25" name="図 24" descr="画面の領域">
          <a:extLst>
            <a:ext uri="{FF2B5EF4-FFF2-40B4-BE49-F238E27FC236}">
              <a16:creationId xmlns:a16="http://schemas.microsoft.com/office/drawing/2014/main" id="{CBF22942-B607-42CA-9598-00234BDA1A8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38</xdr:col>
      <xdr:colOff>0</xdr:colOff>
      <xdr:row>143</xdr:row>
      <xdr:rowOff>9502</xdr:rowOff>
    </xdr:from>
    <xdr:ext cx="219106" cy="161948"/>
    <xdr:pic>
      <xdr:nvPicPr>
        <xdr:cNvPr id="26" name="図 25" descr="画面の領域">
          <a:extLst>
            <a:ext uri="{FF2B5EF4-FFF2-40B4-BE49-F238E27FC236}">
              <a16:creationId xmlns:a16="http://schemas.microsoft.com/office/drawing/2014/main" id="{8D1DBED1-D842-4236-91FF-4852415D444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363677"/>
          <a:ext cx="219106" cy="161948"/>
        </a:xfrm>
        <a:prstGeom prst="rect">
          <a:avLst/>
        </a:prstGeom>
      </xdr:spPr>
    </xdr:pic>
    <xdr:clientData/>
  </xdr:oneCellAnchor>
  <xdr:oneCellAnchor>
    <xdr:from>
      <xdr:col>6</xdr:col>
      <xdr:colOff>190500</xdr:colOff>
      <xdr:row>139</xdr:row>
      <xdr:rowOff>0</xdr:rowOff>
    </xdr:from>
    <xdr:ext cx="201083" cy="171450"/>
    <xdr:pic>
      <xdr:nvPicPr>
        <xdr:cNvPr id="27" name="図 26">
          <a:extLst>
            <a:ext uri="{FF2B5EF4-FFF2-40B4-BE49-F238E27FC236}">
              <a16:creationId xmlns:a16="http://schemas.microsoft.com/office/drawing/2014/main" id="{AA36BFAE-6738-4629-95AF-EA57B35F9D27}"/>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17</xdr:col>
      <xdr:colOff>47625</xdr:colOff>
      <xdr:row>102</xdr:row>
      <xdr:rowOff>104776</xdr:rowOff>
    </xdr:from>
    <xdr:to>
      <xdr:col>18</xdr:col>
      <xdr:colOff>123825</xdr:colOff>
      <xdr:row>106</xdr:row>
      <xdr:rowOff>152400</xdr:rowOff>
    </xdr:to>
    <xdr:sp macro="" textlink="">
      <xdr:nvSpPr>
        <xdr:cNvPr id="29" name="右中かっこ 28">
          <a:extLst>
            <a:ext uri="{FF2B5EF4-FFF2-40B4-BE49-F238E27FC236}">
              <a16:creationId xmlns:a16="http://schemas.microsoft.com/office/drawing/2014/main" id="{36014197-6238-267E-9450-40B3DEA98669}"/>
            </a:ext>
          </a:extLst>
        </xdr:cNvPr>
        <xdr:cNvSpPr/>
      </xdr:nvSpPr>
      <xdr:spPr>
        <a:xfrm>
          <a:off x="3448050" y="14316076"/>
          <a:ext cx="276225" cy="904874"/>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62865</xdr:colOff>
      <xdr:row>45</xdr:row>
      <xdr:rowOff>156211</xdr:rowOff>
    </xdr:from>
    <xdr:to>
      <xdr:col>22</xdr:col>
      <xdr:colOff>32716</xdr:colOff>
      <xdr:row>48</xdr:row>
      <xdr:rowOff>26670</xdr:rowOff>
    </xdr:to>
    <xdr:sp macro="" textlink="">
      <xdr:nvSpPr>
        <xdr:cNvPr id="13" name="四角形吹き出し 11">
          <a:extLst>
            <a:ext uri="{FF2B5EF4-FFF2-40B4-BE49-F238E27FC236}">
              <a16:creationId xmlns:a16="http://schemas.microsoft.com/office/drawing/2014/main" id="{09343CE1-3B6D-414F-87BA-C37AC3352E2F}"/>
            </a:ext>
          </a:extLst>
        </xdr:cNvPr>
        <xdr:cNvSpPr/>
      </xdr:nvSpPr>
      <xdr:spPr>
        <a:xfrm>
          <a:off x="2663190" y="7052311"/>
          <a:ext cx="1770076" cy="384809"/>
        </a:xfrm>
        <a:prstGeom prst="wedgeRectCallout">
          <a:avLst>
            <a:gd name="adj1" fmla="val -43457"/>
            <a:gd name="adj2" fmla="val -848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経営計画レート選択時は自動表示。</a:t>
          </a:r>
          <a:br>
            <a:rPr kumimoji="1" lang="en-US" altLang="ja-JP" sz="800">
              <a:solidFill>
                <a:sysClr val="windowText" lastClr="000000"/>
              </a:solidFill>
            </a:rPr>
          </a:br>
          <a:r>
            <a:rPr kumimoji="1" lang="ja-JP" altLang="en-US" sz="800">
              <a:solidFill>
                <a:sysClr val="windowText" lastClr="000000"/>
              </a:solidFill>
            </a:rPr>
            <a:t>そのれ外は手入力。必須項目とする。</a:t>
          </a:r>
          <a:endParaRPr kumimoji="1" lang="en-US" altLang="ja-JP" sz="800">
            <a:solidFill>
              <a:sysClr val="windowText" lastClr="000000"/>
            </a:solidFill>
          </a:endParaRPr>
        </a:p>
      </xdr:txBody>
    </xdr:sp>
    <xdr:clientData/>
  </xdr:twoCellAnchor>
  <xdr:twoCellAnchor>
    <xdr:from>
      <xdr:col>8</xdr:col>
      <xdr:colOff>74734</xdr:colOff>
      <xdr:row>107</xdr:row>
      <xdr:rowOff>104042</xdr:rowOff>
    </xdr:from>
    <xdr:to>
      <xdr:col>15</xdr:col>
      <xdr:colOff>190500</xdr:colOff>
      <xdr:row>109</xdr:row>
      <xdr:rowOff>9525</xdr:rowOff>
    </xdr:to>
    <xdr:sp macro="" textlink="">
      <xdr:nvSpPr>
        <xdr:cNvPr id="35" name="四角形吹き出し 11">
          <a:extLst>
            <a:ext uri="{FF2B5EF4-FFF2-40B4-BE49-F238E27FC236}">
              <a16:creationId xmlns:a16="http://schemas.microsoft.com/office/drawing/2014/main" id="{F6D553A7-CF88-40EA-BB6F-FDDD945CC47F}"/>
            </a:ext>
          </a:extLst>
        </xdr:cNvPr>
        <xdr:cNvSpPr/>
      </xdr:nvSpPr>
      <xdr:spPr>
        <a:xfrm>
          <a:off x="1674934" y="16658492"/>
          <a:ext cx="1515941" cy="248383"/>
        </a:xfrm>
        <a:prstGeom prst="wedgeRectCallout">
          <a:avLst>
            <a:gd name="adj1" fmla="val -44935"/>
            <a:gd name="adj2" fmla="val -146504"/>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「有」を選択した場合、赤字で表示</a:t>
          </a:r>
          <a:endParaRPr kumimoji="1" lang="en-US" altLang="ja-JP" sz="800">
            <a:solidFill>
              <a:sysClr val="windowText" lastClr="000000"/>
            </a:solidFill>
          </a:endParaRPr>
        </a:p>
      </xdr:txBody>
    </xdr:sp>
    <xdr:clientData/>
  </xdr:twoCellAnchor>
  <xdr:twoCellAnchor>
    <xdr:from>
      <xdr:col>47</xdr:col>
      <xdr:colOff>191222</xdr:colOff>
      <xdr:row>70</xdr:row>
      <xdr:rowOff>76200</xdr:rowOff>
    </xdr:from>
    <xdr:to>
      <xdr:col>57</xdr:col>
      <xdr:colOff>9000</xdr:colOff>
      <xdr:row>74</xdr:row>
      <xdr:rowOff>25572</xdr:rowOff>
    </xdr:to>
    <xdr:sp macro="" textlink="">
      <xdr:nvSpPr>
        <xdr:cNvPr id="41" name="四角形吹き出し 11">
          <a:extLst>
            <a:ext uri="{FF2B5EF4-FFF2-40B4-BE49-F238E27FC236}">
              <a16:creationId xmlns:a16="http://schemas.microsoft.com/office/drawing/2014/main" id="{6C8A2732-B5D6-42CC-8140-A5AEC8D7E6AA}"/>
            </a:ext>
          </a:extLst>
        </xdr:cNvPr>
        <xdr:cNvSpPr/>
      </xdr:nvSpPr>
      <xdr:spPr>
        <a:xfrm>
          <a:off x="9592397" y="11372850"/>
          <a:ext cx="1818028" cy="635172"/>
        </a:xfrm>
        <a:prstGeom prst="wedgeRectCallout">
          <a:avLst>
            <a:gd name="adj1" fmla="val -33736"/>
            <a:gd name="adj2" fmla="val 11131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FOB</a:t>
          </a:r>
          <a:r>
            <a:rPr kumimoji="1" lang="ja-JP" altLang="en-US" sz="800">
              <a:solidFill>
                <a:sysClr val="windowText" lastClr="000000"/>
              </a:solidFill>
            </a:rPr>
            <a:t>価格</a:t>
          </a:r>
          <a:r>
            <a:rPr kumimoji="1" lang="en-US" altLang="ja-JP" sz="800">
              <a:solidFill>
                <a:sysClr val="windowText" lastClr="000000"/>
              </a:solidFill>
            </a:rPr>
            <a:t>/(1-</a:t>
          </a:r>
          <a:r>
            <a:rPr kumimoji="1" lang="ja-JP" altLang="en-US" sz="800">
              <a:solidFill>
                <a:sysClr val="windowText" lastClr="000000"/>
              </a:solidFill>
            </a:rPr>
            <a:t>物流コスト率）</a:t>
          </a:r>
          <a:r>
            <a:rPr kumimoji="1" lang="en-US" altLang="ja-JP" sz="800">
              <a:solidFill>
                <a:sysClr val="windowText" lastClr="000000"/>
              </a:solidFill>
            </a:rPr>
            <a:t>×</a:t>
          </a:r>
          <a:r>
            <a:rPr kumimoji="1" lang="ja-JP" altLang="en-US" sz="800">
              <a:solidFill>
                <a:sysClr val="windowText" lastClr="000000"/>
              </a:solidFill>
            </a:rPr>
            <a:t>口銭率</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改修前の計算式も確認し設定する</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2022.10.20</a:t>
          </a:r>
          <a:r>
            <a:rPr kumimoji="1" lang="en-US" altLang="ja-JP" sz="800" baseline="0">
              <a:solidFill>
                <a:sysClr val="windowText" lastClr="000000"/>
              </a:solidFill>
            </a:rPr>
            <a:t> </a:t>
          </a:r>
          <a:r>
            <a:rPr kumimoji="1" lang="ja-JP" altLang="en-US" sz="800" baseline="0">
              <a:solidFill>
                <a:sysClr val="windowText" lastClr="000000"/>
              </a:solidFill>
            </a:rPr>
            <a:t> </a:t>
          </a:r>
          <a:r>
            <a:rPr kumimoji="1" lang="en-US" altLang="ja-JP" sz="800" baseline="0">
              <a:solidFill>
                <a:sysClr val="windowText" lastClr="000000"/>
              </a:solidFill>
            </a:rPr>
            <a:t>AA</a:t>
          </a:r>
        </a:p>
        <a:p>
          <a:pPr algn="l">
            <a:lnSpc>
              <a:spcPts val="900"/>
            </a:lnSpc>
          </a:pPr>
          <a:r>
            <a:rPr kumimoji="1" lang="en-US" altLang="ja-JP" sz="800">
              <a:solidFill>
                <a:sysClr val="windowText" lastClr="000000"/>
              </a:solidFill>
            </a:rPr>
            <a:t>FOB</a:t>
          </a:r>
          <a:r>
            <a:rPr kumimoji="1" lang="ja-JP" altLang="en-US" sz="800">
              <a:solidFill>
                <a:sysClr val="windowText" lastClr="000000"/>
              </a:solidFill>
            </a:rPr>
            <a:t>価格 </a:t>
          </a:r>
          <a:r>
            <a:rPr kumimoji="1" lang="en-US" altLang="ja-JP" sz="800">
              <a:solidFill>
                <a:sysClr val="windowText" lastClr="000000"/>
              </a:solidFill>
            </a:rPr>
            <a:t>- (CIF</a:t>
          </a:r>
          <a:r>
            <a:rPr kumimoji="1" lang="ja-JP" altLang="en-US" sz="800">
              <a:solidFill>
                <a:sysClr val="windowText" lastClr="000000"/>
              </a:solidFill>
            </a:rPr>
            <a:t>価格 * 口銭率</a:t>
          </a:r>
          <a:r>
            <a:rPr kumimoji="1" lang="en-US" altLang="ja-JP" sz="800">
              <a:solidFill>
                <a:sysClr val="windowText" lastClr="000000"/>
              </a:solidFill>
            </a:rPr>
            <a:t>)</a:t>
          </a:r>
        </a:p>
      </xdr:txBody>
    </xdr:sp>
    <xdr:clientData/>
  </xdr:twoCellAnchor>
  <xdr:oneCellAnchor>
    <xdr:from>
      <xdr:col>15</xdr:col>
      <xdr:colOff>0</xdr:colOff>
      <xdr:row>17</xdr:row>
      <xdr:rowOff>0</xdr:rowOff>
    </xdr:from>
    <xdr:ext cx="201083" cy="171450"/>
    <xdr:pic>
      <xdr:nvPicPr>
        <xdr:cNvPr id="14" name="図 13">
          <a:extLst>
            <a:ext uri="{FF2B5EF4-FFF2-40B4-BE49-F238E27FC236}">
              <a16:creationId xmlns:a16="http://schemas.microsoft.com/office/drawing/2014/main" id="{932E8A4B-5411-43CC-A7A3-8FD6FC33F81F}"/>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55</xdr:col>
      <xdr:colOff>28575</xdr:colOff>
      <xdr:row>61</xdr:row>
      <xdr:rowOff>123825</xdr:rowOff>
    </xdr:from>
    <xdr:to>
      <xdr:col>57</xdr:col>
      <xdr:colOff>16566</xdr:colOff>
      <xdr:row>72</xdr:row>
      <xdr:rowOff>108502</xdr:rowOff>
    </xdr:to>
    <xdr:sp macro="" textlink="">
      <xdr:nvSpPr>
        <xdr:cNvPr id="28" name="右中かっこ 27">
          <a:extLst>
            <a:ext uri="{FF2B5EF4-FFF2-40B4-BE49-F238E27FC236}">
              <a16:creationId xmlns:a16="http://schemas.microsoft.com/office/drawing/2014/main" id="{50F61282-584E-4720-8D28-AEE0CA23D9AB}"/>
            </a:ext>
          </a:extLst>
        </xdr:cNvPr>
        <xdr:cNvSpPr/>
      </xdr:nvSpPr>
      <xdr:spPr>
        <a:xfrm>
          <a:off x="11029950" y="9534525"/>
          <a:ext cx="388041" cy="2213527"/>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59</xdr:col>
      <xdr:colOff>47625</xdr:colOff>
      <xdr:row>65</xdr:row>
      <xdr:rowOff>57150</xdr:rowOff>
    </xdr:from>
    <xdr:to>
      <xdr:col>64</xdr:col>
      <xdr:colOff>47625</xdr:colOff>
      <xdr:row>67</xdr:row>
      <xdr:rowOff>114300</xdr:rowOff>
    </xdr:to>
    <xdr:sp macro="" textlink="">
      <xdr:nvSpPr>
        <xdr:cNvPr id="31" name="四角形吹き出し 11">
          <a:extLst>
            <a:ext uri="{FF2B5EF4-FFF2-40B4-BE49-F238E27FC236}">
              <a16:creationId xmlns:a16="http://schemas.microsoft.com/office/drawing/2014/main" id="{C3F3AEAE-0BBD-A89A-F2B0-490592C3C803}"/>
            </a:ext>
          </a:extLst>
        </xdr:cNvPr>
        <xdr:cNvSpPr/>
      </xdr:nvSpPr>
      <xdr:spPr>
        <a:xfrm>
          <a:off x="11849100" y="10325100"/>
          <a:ext cx="1000125" cy="400050"/>
        </a:xfrm>
        <a:prstGeom prst="wedgeRectCallout">
          <a:avLst>
            <a:gd name="adj1" fmla="val -73695"/>
            <a:gd name="adj2" fmla="val 1326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カスタム品の場合のみ表示</a:t>
          </a:r>
          <a:endParaRPr kumimoji="1" lang="en-US" altLang="ja-JP" sz="800">
            <a:solidFill>
              <a:sysClr val="windowText" lastClr="000000"/>
            </a:solidFill>
          </a:endParaRPr>
        </a:p>
      </xdr:txBody>
    </xdr:sp>
    <xdr:clientData/>
  </xdr:twoCellAnchor>
  <xdr:twoCellAnchor>
    <xdr:from>
      <xdr:col>51</xdr:col>
      <xdr:colOff>171450</xdr:colOff>
      <xdr:row>93</xdr:row>
      <xdr:rowOff>0</xdr:rowOff>
    </xdr:from>
    <xdr:to>
      <xdr:col>53</xdr:col>
      <xdr:colOff>159441</xdr:colOff>
      <xdr:row>109</xdr:row>
      <xdr:rowOff>19049</xdr:rowOff>
    </xdr:to>
    <xdr:sp macro="" textlink="">
      <xdr:nvSpPr>
        <xdr:cNvPr id="32" name="右中かっこ 31">
          <a:extLst>
            <a:ext uri="{FF2B5EF4-FFF2-40B4-BE49-F238E27FC236}">
              <a16:creationId xmlns:a16="http://schemas.microsoft.com/office/drawing/2014/main" id="{BF7D5D2E-2909-4DE2-9AAE-1B91892AA461}"/>
            </a:ext>
          </a:extLst>
        </xdr:cNvPr>
        <xdr:cNvSpPr/>
      </xdr:nvSpPr>
      <xdr:spPr>
        <a:xfrm>
          <a:off x="10372725" y="14668500"/>
          <a:ext cx="388041" cy="2590799"/>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55</xdr:col>
      <xdr:colOff>161925</xdr:colOff>
      <xdr:row>99</xdr:row>
      <xdr:rowOff>161925</xdr:rowOff>
    </xdr:from>
    <xdr:to>
      <xdr:col>61</xdr:col>
      <xdr:colOff>38100</xdr:colOff>
      <xdr:row>103</xdr:row>
      <xdr:rowOff>0</xdr:rowOff>
    </xdr:to>
    <xdr:sp macro="" textlink="">
      <xdr:nvSpPr>
        <xdr:cNvPr id="33" name="四角形吹き出し 11">
          <a:extLst>
            <a:ext uri="{FF2B5EF4-FFF2-40B4-BE49-F238E27FC236}">
              <a16:creationId xmlns:a16="http://schemas.microsoft.com/office/drawing/2014/main" id="{D5D125FB-160D-4637-B97B-37DC7CB0DC9C}"/>
            </a:ext>
          </a:extLst>
        </xdr:cNvPr>
        <xdr:cNvSpPr/>
      </xdr:nvSpPr>
      <xdr:spPr>
        <a:xfrm>
          <a:off x="11163300" y="15687675"/>
          <a:ext cx="1076325" cy="352425"/>
        </a:xfrm>
        <a:prstGeom prst="wedgeRectCallout">
          <a:avLst>
            <a:gd name="adj1" fmla="val -73695"/>
            <a:gd name="adj2" fmla="val 1326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カスタム品の場合のみ表示</a:t>
          </a:r>
          <a:endParaRPr kumimoji="1" lang="en-US" altLang="ja-JP" sz="800">
            <a:solidFill>
              <a:sysClr val="windowText" lastClr="000000"/>
            </a:solidFill>
          </a:endParaRPr>
        </a:p>
      </xdr:txBody>
    </xdr:sp>
    <xdr:clientData/>
  </xdr:twoCellAnchor>
  <xdr:twoCellAnchor>
    <xdr:from>
      <xdr:col>22</xdr:col>
      <xdr:colOff>161925</xdr:colOff>
      <xdr:row>47</xdr:row>
      <xdr:rowOff>152400</xdr:rowOff>
    </xdr:from>
    <xdr:to>
      <xdr:col>32</xdr:col>
      <xdr:colOff>0</xdr:colOff>
      <xdr:row>50</xdr:row>
      <xdr:rowOff>66675</xdr:rowOff>
    </xdr:to>
    <xdr:sp macro="" textlink="">
      <xdr:nvSpPr>
        <xdr:cNvPr id="9" name="四角形吹き出し 11">
          <a:extLst>
            <a:ext uri="{FF2B5EF4-FFF2-40B4-BE49-F238E27FC236}">
              <a16:creationId xmlns:a16="http://schemas.microsoft.com/office/drawing/2014/main" id="{67428259-F5D2-BA5C-6C9A-63677372AD40}"/>
            </a:ext>
          </a:extLst>
        </xdr:cNvPr>
        <xdr:cNvSpPr/>
      </xdr:nvSpPr>
      <xdr:spPr>
        <a:xfrm>
          <a:off x="4562475" y="7391400"/>
          <a:ext cx="1838325" cy="314325"/>
        </a:xfrm>
        <a:prstGeom prst="wedgeRectCallout">
          <a:avLst>
            <a:gd name="adj1" fmla="val 5977"/>
            <a:gd name="adj2" fmla="val 13710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この列まで原計通貨に応じた小数点桁数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twoCellAnchor>
    <xdr:from>
      <xdr:col>33</xdr:col>
      <xdr:colOff>85725</xdr:colOff>
      <xdr:row>47</xdr:row>
      <xdr:rowOff>152400</xdr:rowOff>
    </xdr:from>
    <xdr:to>
      <xdr:col>40</xdr:col>
      <xdr:colOff>142875</xdr:colOff>
      <xdr:row>50</xdr:row>
      <xdr:rowOff>66675</xdr:rowOff>
    </xdr:to>
    <xdr:sp macro="" textlink="">
      <xdr:nvSpPr>
        <xdr:cNvPr id="10" name="四角形吹き出し 11">
          <a:extLst>
            <a:ext uri="{FF2B5EF4-FFF2-40B4-BE49-F238E27FC236}">
              <a16:creationId xmlns:a16="http://schemas.microsoft.com/office/drawing/2014/main" id="{13BF6904-352E-C04C-6044-0A69DD29AF83}"/>
            </a:ext>
          </a:extLst>
        </xdr:cNvPr>
        <xdr:cNvSpPr/>
      </xdr:nvSpPr>
      <xdr:spPr>
        <a:xfrm>
          <a:off x="6686550" y="7391400"/>
          <a:ext cx="1457325" cy="314325"/>
        </a:xfrm>
        <a:prstGeom prst="wedgeRectCallout">
          <a:avLst>
            <a:gd name="adj1" fmla="val -35474"/>
            <a:gd name="adj2" fmla="val 149227"/>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oneCellAnchor>
    <xdr:from>
      <xdr:col>15</xdr:col>
      <xdr:colOff>0</xdr:colOff>
      <xdr:row>125</xdr:row>
      <xdr:rowOff>0</xdr:rowOff>
    </xdr:from>
    <xdr:ext cx="201083" cy="171450"/>
    <xdr:pic>
      <xdr:nvPicPr>
        <xdr:cNvPr id="12" name="図 11">
          <a:extLst>
            <a:ext uri="{FF2B5EF4-FFF2-40B4-BE49-F238E27FC236}">
              <a16:creationId xmlns:a16="http://schemas.microsoft.com/office/drawing/2014/main" id="{DB824C79-9639-406E-A53F-41BB8BF5BDE1}"/>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6396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131</xdr:row>
      <xdr:rowOff>0</xdr:rowOff>
    </xdr:from>
    <xdr:ext cx="201083" cy="171450"/>
    <xdr:pic>
      <xdr:nvPicPr>
        <xdr:cNvPr id="36" name="図 35">
          <a:extLst>
            <a:ext uri="{FF2B5EF4-FFF2-40B4-BE49-F238E27FC236}">
              <a16:creationId xmlns:a16="http://schemas.microsoft.com/office/drawing/2014/main" id="{EBC9784F-BFDC-4BFC-B613-59E3557E9EFE}"/>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33254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85725</xdr:colOff>
      <xdr:row>72</xdr:row>
      <xdr:rowOff>85725</xdr:rowOff>
    </xdr:from>
    <xdr:to>
      <xdr:col>11</xdr:col>
      <xdr:colOff>76200</xdr:colOff>
      <xdr:row>74</xdr:row>
      <xdr:rowOff>0</xdr:rowOff>
    </xdr:to>
    <xdr:sp macro="" textlink="">
      <xdr:nvSpPr>
        <xdr:cNvPr id="15" name="正方形/長方形 14">
          <a:extLst>
            <a:ext uri="{FF2B5EF4-FFF2-40B4-BE49-F238E27FC236}">
              <a16:creationId xmlns:a16="http://schemas.microsoft.com/office/drawing/2014/main" id="{F39EBE78-F1A3-45C6-ABBB-2ABD08BEF1EF}"/>
            </a:ext>
          </a:extLst>
        </xdr:cNvPr>
        <xdr:cNvSpPr/>
      </xdr:nvSpPr>
      <xdr:spPr>
        <a:xfrm>
          <a:off x="1485900" y="11725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24</xdr:col>
      <xdr:colOff>180975</xdr:colOff>
      <xdr:row>58</xdr:row>
      <xdr:rowOff>123825</xdr:rowOff>
    </xdr:from>
    <xdr:to>
      <xdr:col>34</xdr:col>
      <xdr:colOff>171450</xdr:colOff>
      <xdr:row>60</xdr:row>
      <xdr:rowOff>95250</xdr:rowOff>
    </xdr:to>
    <xdr:sp macro="" textlink="">
      <xdr:nvSpPr>
        <xdr:cNvPr id="16" name="四角形吹き出し 11">
          <a:extLst>
            <a:ext uri="{FF2B5EF4-FFF2-40B4-BE49-F238E27FC236}">
              <a16:creationId xmlns:a16="http://schemas.microsoft.com/office/drawing/2014/main" id="{F4BBB47B-B91F-7E63-B0E4-93060FC378BF}"/>
            </a:ext>
          </a:extLst>
        </xdr:cNvPr>
        <xdr:cNvSpPr/>
      </xdr:nvSpPr>
      <xdr:spPr>
        <a:xfrm>
          <a:off x="4981575" y="9020175"/>
          <a:ext cx="1990725" cy="314325"/>
        </a:xfrm>
        <a:prstGeom prst="wedgeRectCallout">
          <a:avLst>
            <a:gd name="adj1" fmla="val -34820"/>
            <a:gd name="adj2" fmla="val -108349"/>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原計通貨、申請通貨は同一チェック</a:t>
          </a:r>
          <a:endParaRPr kumimoji="1" lang="en-US" altLang="ja-JP" sz="800">
            <a:solidFill>
              <a:sysClr val="windowText" lastClr="000000"/>
            </a:solidFill>
          </a:endParaRPr>
        </a:p>
      </xdr:txBody>
    </xdr:sp>
    <xdr:clientData/>
  </xdr:twoCellAnchor>
  <xdr:twoCellAnchor>
    <xdr:from>
      <xdr:col>9</xdr:col>
      <xdr:colOff>123825</xdr:colOff>
      <xdr:row>85</xdr:row>
      <xdr:rowOff>28575</xdr:rowOff>
    </xdr:from>
    <xdr:to>
      <xdr:col>16</xdr:col>
      <xdr:colOff>161925</xdr:colOff>
      <xdr:row>87</xdr:row>
      <xdr:rowOff>161925</xdr:rowOff>
    </xdr:to>
    <xdr:sp macro="" textlink="">
      <xdr:nvSpPr>
        <xdr:cNvPr id="38" name="四角形吹き出し 11">
          <a:extLst>
            <a:ext uri="{FF2B5EF4-FFF2-40B4-BE49-F238E27FC236}">
              <a16:creationId xmlns:a16="http://schemas.microsoft.com/office/drawing/2014/main" id="{D9065EE2-9C76-7AAE-F863-76B7526CDA89}"/>
            </a:ext>
          </a:extLst>
        </xdr:cNvPr>
        <xdr:cNvSpPr/>
      </xdr:nvSpPr>
      <xdr:spPr>
        <a:xfrm>
          <a:off x="1924050" y="13325475"/>
          <a:ext cx="1438275" cy="476250"/>
        </a:xfrm>
        <a:prstGeom prst="wedgeRectCallout">
          <a:avLst>
            <a:gd name="adj1" fmla="val -59700"/>
            <a:gd name="adj2" fmla="val -386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1</a:t>
          </a:r>
          <a:r>
            <a:rPr kumimoji="1" lang="ja-JP" altLang="en-US" sz="800">
              <a:solidFill>
                <a:sysClr val="windowText" lastClr="000000"/>
              </a:solidFill>
            </a:rPr>
            <a:t>行目は申請通貨</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2</a:t>
          </a:r>
          <a:r>
            <a:rPr kumimoji="1" lang="ja-JP" altLang="en-US" sz="800">
              <a:solidFill>
                <a:sysClr val="windowText" lastClr="000000"/>
              </a:solidFill>
            </a:rPr>
            <a:t>行目は</a:t>
          </a:r>
          <a:r>
            <a:rPr kumimoji="1" lang="en-US" altLang="ja-JP" sz="800">
              <a:solidFill>
                <a:sysClr val="windowText" lastClr="000000"/>
              </a:solidFill>
            </a:rPr>
            <a:t>JPY</a:t>
          </a:r>
          <a:r>
            <a:rPr kumimoji="1" lang="ja-JP" altLang="en-US" sz="800">
              <a:solidFill>
                <a:sysClr val="windowText" lastClr="000000"/>
              </a:solidFill>
            </a:rPr>
            <a:t>の表示。ただし申請通貨</a:t>
          </a:r>
          <a:r>
            <a:rPr kumimoji="1" lang="en-US" altLang="ja-JP" sz="800">
              <a:solidFill>
                <a:sysClr val="windowText" lastClr="000000"/>
              </a:solidFill>
            </a:rPr>
            <a:t>=JPY</a:t>
          </a:r>
          <a:r>
            <a:rPr kumimoji="1" lang="ja-JP" altLang="en-US" sz="800">
              <a:solidFill>
                <a:sysClr val="windowText" lastClr="000000"/>
              </a:solidFill>
            </a:rPr>
            <a:t>の場合は表示不要</a:t>
          </a:r>
          <a:endParaRPr kumimoji="1" lang="en-US" altLang="ja-JP" sz="800">
            <a:solidFill>
              <a:sysClr val="windowText" lastClr="000000"/>
            </a:solidFill>
          </a:endParaRPr>
        </a:p>
      </xdr:txBody>
    </xdr:sp>
    <xdr:clientData/>
  </xdr:twoCellAnchor>
  <xdr:twoCellAnchor>
    <xdr:from>
      <xdr:col>30</xdr:col>
      <xdr:colOff>28576</xdr:colOff>
      <xdr:row>95</xdr:row>
      <xdr:rowOff>152400</xdr:rowOff>
    </xdr:from>
    <xdr:to>
      <xdr:col>33</xdr:col>
      <xdr:colOff>152401</xdr:colOff>
      <xdr:row>96</xdr:row>
      <xdr:rowOff>171449</xdr:rowOff>
    </xdr:to>
    <xdr:sp macro="" textlink="">
      <xdr:nvSpPr>
        <xdr:cNvPr id="39" name="四角形吹き出し 11">
          <a:extLst>
            <a:ext uri="{FF2B5EF4-FFF2-40B4-BE49-F238E27FC236}">
              <a16:creationId xmlns:a16="http://schemas.microsoft.com/office/drawing/2014/main" id="{8EE65368-F519-8B05-BBFE-0280271ACD50}"/>
            </a:ext>
          </a:extLst>
        </xdr:cNvPr>
        <xdr:cNvSpPr/>
      </xdr:nvSpPr>
      <xdr:spPr>
        <a:xfrm>
          <a:off x="6029326" y="15506700"/>
          <a:ext cx="723900" cy="190499"/>
        </a:xfrm>
        <a:prstGeom prst="wedgeRectCallout">
          <a:avLst>
            <a:gd name="adj1" fmla="val -67028"/>
            <a:gd name="adj2" fmla="val 619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小計欄</a:t>
          </a:r>
          <a:endParaRPr kumimoji="1" lang="en-US" altLang="ja-JP" sz="800">
            <a:solidFill>
              <a:sysClr val="windowText" lastClr="000000"/>
            </a:solidFill>
          </a:endParaRPr>
        </a:p>
      </xdr:txBody>
    </xdr:sp>
    <xdr:clientData/>
  </xdr:twoCellAnchor>
  <xdr:twoCellAnchor>
    <xdr:from>
      <xdr:col>30</xdr:col>
      <xdr:colOff>28576</xdr:colOff>
      <xdr:row>100</xdr:row>
      <xdr:rowOff>142875</xdr:rowOff>
    </xdr:from>
    <xdr:to>
      <xdr:col>33</xdr:col>
      <xdr:colOff>152401</xdr:colOff>
      <xdr:row>101</xdr:row>
      <xdr:rowOff>161924</xdr:rowOff>
    </xdr:to>
    <xdr:sp macro="" textlink="">
      <xdr:nvSpPr>
        <xdr:cNvPr id="40" name="四角形吹き出し 11">
          <a:extLst>
            <a:ext uri="{FF2B5EF4-FFF2-40B4-BE49-F238E27FC236}">
              <a16:creationId xmlns:a16="http://schemas.microsoft.com/office/drawing/2014/main" id="{82D9EA37-D135-5844-3263-8A8612F265FB}"/>
            </a:ext>
          </a:extLst>
        </xdr:cNvPr>
        <xdr:cNvSpPr/>
      </xdr:nvSpPr>
      <xdr:spPr>
        <a:xfrm>
          <a:off x="6029326" y="16011525"/>
          <a:ext cx="723900" cy="190499"/>
        </a:xfrm>
        <a:prstGeom prst="wedgeRectCallout">
          <a:avLst>
            <a:gd name="adj1" fmla="val -67028"/>
            <a:gd name="adj2" fmla="val 619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小計欄</a:t>
          </a:r>
          <a:endParaRPr kumimoji="1" lang="en-US" altLang="ja-JP" sz="800">
            <a:solidFill>
              <a:sysClr val="windowText" lastClr="000000"/>
            </a:solidFill>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113</xdr:row>
      <xdr:rowOff>0</xdr:rowOff>
    </xdr:from>
    <xdr:to>
      <xdr:col>22</xdr:col>
      <xdr:colOff>0</xdr:colOff>
      <xdr:row>115</xdr:row>
      <xdr:rowOff>0</xdr:rowOff>
    </xdr:to>
    <xdr:sp macro="" textlink="">
      <xdr:nvSpPr>
        <xdr:cNvPr id="2" name="正方形/長方形 1">
          <a:extLst>
            <a:ext uri="{FF2B5EF4-FFF2-40B4-BE49-F238E27FC236}">
              <a16:creationId xmlns:a16="http://schemas.microsoft.com/office/drawing/2014/main" id="{5B42A3FF-4E4E-4FC3-A78C-C565F515A49D}"/>
            </a:ext>
          </a:extLst>
        </xdr:cNvPr>
        <xdr:cNvSpPr/>
      </xdr:nvSpPr>
      <xdr:spPr>
        <a:xfrm>
          <a:off x="3000375" y="167830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113</xdr:row>
      <xdr:rowOff>0</xdr:rowOff>
    </xdr:from>
    <xdr:to>
      <xdr:col>30</xdr:col>
      <xdr:colOff>0</xdr:colOff>
      <xdr:row>115</xdr:row>
      <xdr:rowOff>0</xdr:rowOff>
    </xdr:to>
    <xdr:sp macro="" textlink="">
      <xdr:nvSpPr>
        <xdr:cNvPr id="3" name="正方形/長方形 2">
          <a:extLst>
            <a:ext uri="{FF2B5EF4-FFF2-40B4-BE49-F238E27FC236}">
              <a16:creationId xmlns:a16="http://schemas.microsoft.com/office/drawing/2014/main" id="{313834E4-2DFF-48F4-81A8-668ACC7A1DD0}"/>
            </a:ext>
          </a:extLst>
        </xdr:cNvPr>
        <xdr:cNvSpPr/>
      </xdr:nvSpPr>
      <xdr:spPr>
        <a:xfrm>
          <a:off x="4600575" y="167830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113</xdr:row>
      <xdr:rowOff>0</xdr:rowOff>
    </xdr:from>
    <xdr:to>
      <xdr:col>38</xdr:col>
      <xdr:colOff>0</xdr:colOff>
      <xdr:row>115</xdr:row>
      <xdr:rowOff>0</xdr:rowOff>
    </xdr:to>
    <xdr:sp macro="" textlink="">
      <xdr:nvSpPr>
        <xdr:cNvPr id="4" name="正方形/長方形 3">
          <a:extLst>
            <a:ext uri="{FF2B5EF4-FFF2-40B4-BE49-F238E27FC236}">
              <a16:creationId xmlns:a16="http://schemas.microsoft.com/office/drawing/2014/main" id="{BCDF2590-7BB4-48CA-B44C-445935AAC85C}"/>
            </a:ext>
          </a:extLst>
        </xdr:cNvPr>
        <xdr:cNvSpPr/>
      </xdr:nvSpPr>
      <xdr:spPr>
        <a:xfrm>
          <a:off x="6200775" y="167830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7D1D9B35-E5EA-4994-A54C-11D3B9CF66A9}"/>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C36B6AAB-4BC6-4B53-B374-0618A29B6BC4}"/>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56</xdr:row>
      <xdr:rowOff>85725</xdr:rowOff>
    </xdr:from>
    <xdr:to>
      <xdr:col>7</xdr:col>
      <xdr:colOff>0</xdr:colOff>
      <xdr:row>58</xdr:row>
      <xdr:rowOff>0</xdr:rowOff>
    </xdr:to>
    <xdr:sp macro="" textlink="">
      <xdr:nvSpPr>
        <xdr:cNvPr id="7" name="正方形/長方形 6">
          <a:extLst>
            <a:ext uri="{FF2B5EF4-FFF2-40B4-BE49-F238E27FC236}">
              <a16:creationId xmlns:a16="http://schemas.microsoft.com/office/drawing/2014/main" id="{C1D8B0A4-0269-4A32-8B95-01CA2FC8A5EB}"/>
            </a:ext>
          </a:extLst>
        </xdr:cNvPr>
        <xdr:cNvSpPr/>
      </xdr:nvSpPr>
      <xdr:spPr>
        <a:xfrm>
          <a:off x="609600" y="10582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twoCellAnchor>
    <xdr:from>
      <xdr:col>3</xdr:col>
      <xdr:colOff>0</xdr:colOff>
      <xdr:row>77</xdr:row>
      <xdr:rowOff>85725</xdr:rowOff>
    </xdr:from>
    <xdr:to>
      <xdr:col>6</xdr:col>
      <xdr:colOff>190500</xdr:colOff>
      <xdr:row>79</xdr:row>
      <xdr:rowOff>0</xdr:rowOff>
    </xdr:to>
    <xdr:sp macro="" textlink="">
      <xdr:nvSpPr>
        <xdr:cNvPr id="10" name="正方形/長方形 9">
          <a:extLst>
            <a:ext uri="{FF2B5EF4-FFF2-40B4-BE49-F238E27FC236}">
              <a16:creationId xmlns:a16="http://schemas.microsoft.com/office/drawing/2014/main" id="{9EE9A3C6-FF56-464A-9041-72B117D1FC13}"/>
            </a:ext>
          </a:extLst>
        </xdr:cNvPr>
        <xdr:cNvSpPr/>
      </xdr:nvSpPr>
      <xdr:spPr>
        <a:xfrm>
          <a:off x="600075" y="15154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83</xdr:row>
      <xdr:rowOff>0</xdr:rowOff>
    </xdr:from>
    <xdr:to>
      <xdr:col>8</xdr:col>
      <xdr:colOff>43669</xdr:colOff>
      <xdr:row>84</xdr:row>
      <xdr:rowOff>0</xdr:rowOff>
    </xdr:to>
    <xdr:sp macro="" textlink="">
      <xdr:nvSpPr>
        <xdr:cNvPr id="11" name="正方形/長方形 10">
          <a:extLst>
            <a:ext uri="{FF2B5EF4-FFF2-40B4-BE49-F238E27FC236}">
              <a16:creationId xmlns:a16="http://schemas.microsoft.com/office/drawing/2014/main" id="{1A3C0415-354B-4296-A859-04E9E86492BA}"/>
            </a:ext>
          </a:extLst>
        </xdr:cNvPr>
        <xdr:cNvSpPr/>
      </xdr:nvSpPr>
      <xdr:spPr>
        <a:xfrm>
          <a:off x="600075" y="15868650"/>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83</xdr:row>
      <xdr:rowOff>0</xdr:rowOff>
    </xdr:from>
    <xdr:to>
      <xdr:col>12</xdr:col>
      <xdr:colOff>0</xdr:colOff>
      <xdr:row>84</xdr:row>
      <xdr:rowOff>0</xdr:rowOff>
    </xdr:to>
    <xdr:sp macro="" textlink="">
      <xdr:nvSpPr>
        <xdr:cNvPr id="12" name="正方形/長方形 11">
          <a:extLst>
            <a:ext uri="{FF2B5EF4-FFF2-40B4-BE49-F238E27FC236}">
              <a16:creationId xmlns:a16="http://schemas.microsoft.com/office/drawing/2014/main" id="{AA5F1555-F76A-4DB1-8925-42D5DD13FA85}"/>
            </a:ext>
          </a:extLst>
        </xdr:cNvPr>
        <xdr:cNvSpPr/>
      </xdr:nvSpPr>
      <xdr:spPr>
        <a:xfrm>
          <a:off x="1756556" y="15868650"/>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85</xdr:row>
      <xdr:rowOff>9502</xdr:rowOff>
    </xdr:from>
    <xdr:ext cx="219106" cy="161948"/>
    <xdr:pic>
      <xdr:nvPicPr>
        <xdr:cNvPr id="13" name="図 12" descr="画面の領域">
          <a:extLst>
            <a:ext uri="{FF2B5EF4-FFF2-40B4-BE49-F238E27FC236}">
              <a16:creationId xmlns:a16="http://schemas.microsoft.com/office/drawing/2014/main" id="{684F93F2-830E-4D07-A99E-39D4445834FA}"/>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400550" y="16221052"/>
          <a:ext cx="219106" cy="161948"/>
        </a:xfrm>
        <a:prstGeom prst="rect">
          <a:avLst/>
        </a:prstGeom>
      </xdr:spPr>
    </xdr:pic>
    <xdr:clientData/>
  </xdr:oneCellAnchor>
  <xdr:twoCellAnchor editAs="oneCell">
    <xdr:from>
      <xdr:col>2</xdr:col>
      <xdr:colOff>0</xdr:colOff>
      <xdr:row>88</xdr:row>
      <xdr:rowOff>152400</xdr:rowOff>
    </xdr:from>
    <xdr:to>
      <xdr:col>2</xdr:col>
      <xdr:colOff>198148</xdr:colOff>
      <xdr:row>90</xdr:row>
      <xdr:rowOff>15269</xdr:rowOff>
    </xdr:to>
    <xdr:pic>
      <xdr:nvPicPr>
        <xdr:cNvPr id="25" name="図 24" descr="画面の領域">
          <a:extLst>
            <a:ext uri="{FF2B5EF4-FFF2-40B4-BE49-F238E27FC236}">
              <a16:creationId xmlns:a16="http://schemas.microsoft.com/office/drawing/2014/main" id="{876C42EE-F3E7-4A4D-9000-6E410CF8ED6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0050" y="17621250"/>
          <a:ext cx="198148" cy="205769"/>
        </a:xfrm>
        <a:prstGeom prst="rect">
          <a:avLst/>
        </a:prstGeom>
        <a:solidFill>
          <a:schemeClr val="bg1">
            <a:lumMod val="85000"/>
          </a:schemeClr>
        </a:solidFill>
      </xdr:spPr>
    </xdr:pic>
    <xdr:clientData/>
  </xdr:twoCellAnchor>
  <xdr:oneCellAnchor>
    <xdr:from>
      <xdr:col>38</xdr:col>
      <xdr:colOff>0</xdr:colOff>
      <xdr:row>108</xdr:row>
      <xdr:rowOff>9502</xdr:rowOff>
    </xdr:from>
    <xdr:ext cx="219106" cy="161948"/>
    <xdr:pic>
      <xdr:nvPicPr>
        <xdr:cNvPr id="26" name="図 25" descr="画面の領域">
          <a:extLst>
            <a:ext uri="{FF2B5EF4-FFF2-40B4-BE49-F238E27FC236}">
              <a16:creationId xmlns:a16="http://schemas.microsoft.com/office/drawing/2014/main" id="{4572524F-BBA1-4DDC-85DE-D2BCAE8D5D23}"/>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9764352"/>
          <a:ext cx="219106" cy="161948"/>
        </a:xfrm>
        <a:prstGeom prst="rect">
          <a:avLst/>
        </a:prstGeom>
      </xdr:spPr>
    </xdr:pic>
    <xdr:clientData/>
  </xdr:oneCellAnchor>
  <xdr:oneCellAnchor>
    <xdr:from>
      <xdr:col>38</xdr:col>
      <xdr:colOff>0</xdr:colOff>
      <xdr:row>109</xdr:row>
      <xdr:rowOff>9502</xdr:rowOff>
    </xdr:from>
    <xdr:ext cx="219106" cy="161948"/>
    <xdr:pic>
      <xdr:nvPicPr>
        <xdr:cNvPr id="27" name="図 26" descr="画面の領域">
          <a:extLst>
            <a:ext uri="{FF2B5EF4-FFF2-40B4-BE49-F238E27FC236}">
              <a16:creationId xmlns:a16="http://schemas.microsoft.com/office/drawing/2014/main" id="{47DB8A0C-72C1-4646-9EB4-7604F531177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9935802"/>
          <a:ext cx="219106" cy="161948"/>
        </a:xfrm>
        <a:prstGeom prst="rect">
          <a:avLst/>
        </a:prstGeom>
      </xdr:spPr>
    </xdr:pic>
    <xdr:clientData/>
  </xdr:oneCellAnchor>
  <xdr:oneCellAnchor>
    <xdr:from>
      <xdr:col>38</xdr:col>
      <xdr:colOff>0</xdr:colOff>
      <xdr:row>110</xdr:row>
      <xdr:rowOff>9502</xdr:rowOff>
    </xdr:from>
    <xdr:ext cx="219106" cy="161948"/>
    <xdr:pic>
      <xdr:nvPicPr>
        <xdr:cNvPr id="28" name="図 27" descr="画面の領域">
          <a:extLst>
            <a:ext uri="{FF2B5EF4-FFF2-40B4-BE49-F238E27FC236}">
              <a16:creationId xmlns:a16="http://schemas.microsoft.com/office/drawing/2014/main" id="{2085A4C6-C3BC-4187-8ADA-68F9A8516E7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20107252"/>
          <a:ext cx="219106" cy="161948"/>
        </a:xfrm>
        <a:prstGeom prst="rect">
          <a:avLst/>
        </a:prstGeom>
      </xdr:spPr>
    </xdr:pic>
    <xdr:clientData/>
  </xdr:oneCellAnchor>
  <xdr:oneCellAnchor>
    <xdr:from>
      <xdr:col>6</xdr:col>
      <xdr:colOff>190500</xdr:colOff>
      <xdr:row>106</xdr:row>
      <xdr:rowOff>0</xdr:rowOff>
    </xdr:from>
    <xdr:ext cx="201083" cy="171450"/>
    <xdr:pic>
      <xdr:nvPicPr>
        <xdr:cNvPr id="29" name="図 28">
          <a:extLst>
            <a:ext uri="{FF2B5EF4-FFF2-40B4-BE49-F238E27FC236}">
              <a16:creationId xmlns:a16="http://schemas.microsoft.com/office/drawing/2014/main" id="{35F77A82-BFCB-4541-93AA-4C1931940DA9}"/>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390650" y="194119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15" name="図 14">
          <a:extLst>
            <a:ext uri="{FF2B5EF4-FFF2-40B4-BE49-F238E27FC236}">
              <a16:creationId xmlns:a16="http://schemas.microsoft.com/office/drawing/2014/main" id="{5FE21EFA-D30A-438D-B2C9-D15A82C7BDA3}"/>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17" name="図 16">
          <a:extLst>
            <a:ext uri="{FF2B5EF4-FFF2-40B4-BE49-F238E27FC236}">
              <a16:creationId xmlns:a16="http://schemas.microsoft.com/office/drawing/2014/main" id="{3FEE4D7F-5264-41E6-B10F-1BCAD12F8B11}"/>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17</xdr:row>
      <xdr:rowOff>0</xdr:rowOff>
    </xdr:from>
    <xdr:ext cx="201083" cy="171450"/>
    <xdr:pic>
      <xdr:nvPicPr>
        <xdr:cNvPr id="33" name="図 32">
          <a:extLst>
            <a:ext uri="{FF2B5EF4-FFF2-40B4-BE49-F238E27FC236}">
              <a16:creationId xmlns:a16="http://schemas.microsoft.com/office/drawing/2014/main" id="{35CB49F6-BB1F-41FE-8F80-A96B694B2A35}"/>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31</xdr:col>
      <xdr:colOff>9525</xdr:colOff>
      <xdr:row>43</xdr:row>
      <xdr:rowOff>38100</xdr:rowOff>
    </xdr:from>
    <xdr:to>
      <xdr:col>40</xdr:col>
      <xdr:colOff>47625</xdr:colOff>
      <xdr:row>45</xdr:row>
      <xdr:rowOff>123825</xdr:rowOff>
    </xdr:to>
    <xdr:sp macro="" textlink="">
      <xdr:nvSpPr>
        <xdr:cNvPr id="8" name="四角形吹き出し 11">
          <a:extLst>
            <a:ext uri="{FF2B5EF4-FFF2-40B4-BE49-F238E27FC236}">
              <a16:creationId xmlns:a16="http://schemas.microsoft.com/office/drawing/2014/main" id="{DB21661E-C8BA-46E4-8AAE-AC8C3E11DFF0}"/>
            </a:ext>
          </a:extLst>
        </xdr:cNvPr>
        <xdr:cNvSpPr/>
      </xdr:nvSpPr>
      <xdr:spPr>
        <a:xfrm>
          <a:off x="6210300" y="6819900"/>
          <a:ext cx="1838325" cy="314325"/>
        </a:xfrm>
        <a:prstGeom prst="wedgeRectCallout">
          <a:avLst>
            <a:gd name="adj1" fmla="val 5977"/>
            <a:gd name="adj2" fmla="val 13710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この列まで原計通貨に応じた小数点桁数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twoCellAnchor>
    <xdr:from>
      <xdr:col>41</xdr:col>
      <xdr:colOff>133350</xdr:colOff>
      <xdr:row>43</xdr:row>
      <xdr:rowOff>38100</xdr:rowOff>
    </xdr:from>
    <xdr:to>
      <xdr:col>48</xdr:col>
      <xdr:colOff>190500</xdr:colOff>
      <xdr:row>45</xdr:row>
      <xdr:rowOff>123825</xdr:rowOff>
    </xdr:to>
    <xdr:sp macro="" textlink="">
      <xdr:nvSpPr>
        <xdr:cNvPr id="14" name="四角形吹き出し 11">
          <a:extLst>
            <a:ext uri="{FF2B5EF4-FFF2-40B4-BE49-F238E27FC236}">
              <a16:creationId xmlns:a16="http://schemas.microsoft.com/office/drawing/2014/main" id="{DF844AA9-7447-49F6-8E97-40FE027A355A}"/>
            </a:ext>
          </a:extLst>
        </xdr:cNvPr>
        <xdr:cNvSpPr/>
      </xdr:nvSpPr>
      <xdr:spPr>
        <a:xfrm>
          <a:off x="8334375" y="6819900"/>
          <a:ext cx="1457325" cy="314325"/>
        </a:xfrm>
        <a:prstGeom prst="wedgeRectCallout">
          <a:avLst>
            <a:gd name="adj1" fmla="val -46585"/>
            <a:gd name="adj2" fmla="val 12801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oneCellAnchor>
    <xdr:from>
      <xdr:col>15</xdr:col>
      <xdr:colOff>0</xdr:colOff>
      <xdr:row>92</xdr:row>
      <xdr:rowOff>0</xdr:rowOff>
    </xdr:from>
    <xdr:ext cx="201083" cy="171450"/>
    <xdr:pic>
      <xdr:nvPicPr>
        <xdr:cNvPr id="16" name="図 15">
          <a:extLst>
            <a:ext uri="{FF2B5EF4-FFF2-40B4-BE49-F238E27FC236}">
              <a16:creationId xmlns:a16="http://schemas.microsoft.com/office/drawing/2014/main" id="{B5705EBF-FF38-44FC-82F8-AD03FFCCC252}"/>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193548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98</xdr:row>
      <xdr:rowOff>0</xdr:rowOff>
    </xdr:from>
    <xdr:ext cx="201083" cy="171450"/>
    <xdr:pic>
      <xdr:nvPicPr>
        <xdr:cNvPr id="18" name="図 17">
          <a:extLst>
            <a:ext uri="{FF2B5EF4-FFF2-40B4-BE49-F238E27FC236}">
              <a16:creationId xmlns:a16="http://schemas.microsoft.com/office/drawing/2014/main" id="{2D8C2CA8-AF2D-4A2F-AA30-6AB3F9536482}"/>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200406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85725</xdr:colOff>
      <xdr:row>56</xdr:row>
      <xdr:rowOff>85725</xdr:rowOff>
    </xdr:from>
    <xdr:to>
      <xdr:col>11</xdr:col>
      <xdr:colOff>76200</xdr:colOff>
      <xdr:row>58</xdr:row>
      <xdr:rowOff>0</xdr:rowOff>
    </xdr:to>
    <xdr:sp macro="" textlink="">
      <xdr:nvSpPr>
        <xdr:cNvPr id="19" name="正方形/長方形 18">
          <a:extLst>
            <a:ext uri="{FF2B5EF4-FFF2-40B4-BE49-F238E27FC236}">
              <a16:creationId xmlns:a16="http://schemas.microsoft.com/office/drawing/2014/main" id="{0FE392E0-0A80-43C5-A1CC-E3653371AD3A}"/>
            </a:ext>
          </a:extLst>
        </xdr:cNvPr>
        <xdr:cNvSpPr/>
      </xdr:nvSpPr>
      <xdr:spPr>
        <a:xfrm>
          <a:off x="1485900" y="88677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109</xdr:row>
      <xdr:rowOff>0</xdr:rowOff>
    </xdr:from>
    <xdr:to>
      <xdr:col>22</xdr:col>
      <xdr:colOff>0</xdr:colOff>
      <xdr:row>111</xdr:row>
      <xdr:rowOff>0</xdr:rowOff>
    </xdr:to>
    <xdr:sp macro="" textlink="">
      <xdr:nvSpPr>
        <xdr:cNvPr id="2" name="正方形/長方形 1">
          <a:extLst>
            <a:ext uri="{FF2B5EF4-FFF2-40B4-BE49-F238E27FC236}">
              <a16:creationId xmlns:a16="http://schemas.microsoft.com/office/drawing/2014/main" id="{FA2175C6-7F03-4E61-8A76-3C36014DFC92}"/>
            </a:ext>
          </a:extLst>
        </xdr:cNvPr>
        <xdr:cNvSpPr/>
      </xdr:nvSpPr>
      <xdr:spPr>
        <a:xfrm>
          <a:off x="3000375" y="1695450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109</xdr:row>
      <xdr:rowOff>0</xdr:rowOff>
    </xdr:from>
    <xdr:to>
      <xdr:col>30</xdr:col>
      <xdr:colOff>0</xdr:colOff>
      <xdr:row>111</xdr:row>
      <xdr:rowOff>0</xdr:rowOff>
    </xdr:to>
    <xdr:sp macro="" textlink="">
      <xdr:nvSpPr>
        <xdr:cNvPr id="3" name="正方形/長方形 2">
          <a:extLst>
            <a:ext uri="{FF2B5EF4-FFF2-40B4-BE49-F238E27FC236}">
              <a16:creationId xmlns:a16="http://schemas.microsoft.com/office/drawing/2014/main" id="{C8BA7484-FB42-4FCF-9FFB-67708C27D0D9}"/>
            </a:ext>
          </a:extLst>
        </xdr:cNvPr>
        <xdr:cNvSpPr/>
      </xdr:nvSpPr>
      <xdr:spPr>
        <a:xfrm>
          <a:off x="4600575" y="1695450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109</xdr:row>
      <xdr:rowOff>0</xdr:rowOff>
    </xdr:from>
    <xdr:to>
      <xdr:col>38</xdr:col>
      <xdr:colOff>0</xdr:colOff>
      <xdr:row>111</xdr:row>
      <xdr:rowOff>0</xdr:rowOff>
    </xdr:to>
    <xdr:sp macro="" textlink="">
      <xdr:nvSpPr>
        <xdr:cNvPr id="4" name="正方形/長方形 3">
          <a:extLst>
            <a:ext uri="{FF2B5EF4-FFF2-40B4-BE49-F238E27FC236}">
              <a16:creationId xmlns:a16="http://schemas.microsoft.com/office/drawing/2014/main" id="{92615D9C-857B-4744-A6D7-A452763794BC}"/>
            </a:ext>
          </a:extLst>
        </xdr:cNvPr>
        <xdr:cNvSpPr/>
      </xdr:nvSpPr>
      <xdr:spPr>
        <a:xfrm>
          <a:off x="6200775" y="1695450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EE679313-AA01-4378-BFE0-52E86C603938}"/>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180DFBDD-5FDC-439E-9F46-AEF523A2612E}"/>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56</xdr:row>
      <xdr:rowOff>85725</xdr:rowOff>
    </xdr:from>
    <xdr:to>
      <xdr:col>7</xdr:col>
      <xdr:colOff>0</xdr:colOff>
      <xdr:row>58</xdr:row>
      <xdr:rowOff>0</xdr:rowOff>
    </xdr:to>
    <xdr:sp macro="" textlink="">
      <xdr:nvSpPr>
        <xdr:cNvPr id="7" name="正方形/長方形 6">
          <a:extLst>
            <a:ext uri="{FF2B5EF4-FFF2-40B4-BE49-F238E27FC236}">
              <a16:creationId xmlns:a16="http://schemas.microsoft.com/office/drawing/2014/main" id="{BAEC1DF1-B2C4-4B33-84E5-D2B3604AB064}"/>
            </a:ext>
          </a:extLst>
        </xdr:cNvPr>
        <xdr:cNvSpPr/>
      </xdr:nvSpPr>
      <xdr:spPr>
        <a:xfrm>
          <a:off x="609600" y="10582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twoCellAnchor>
    <xdr:from>
      <xdr:col>3</xdr:col>
      <xdr:colOff>0</xdr:colOff>
      <xdr:row>73</xdr:row>
      <xdr:rowOff>85725</xdr:rowOff>
    </xdr:from>
    <xdr:to>
      <xdr:col>6</xdr:col>
      <xdr:colOff>190500</xdr:colOff>
      <xdr:row>75</xdr:row>
      <xdr:rowOff>0</xdr:rowOff>
    </xdr:to>
    <xdr:sp macro="" textlink="">
      <xdr:nvSpPr>
        <xdr:cNvPr id="10" name="正方形/長方形 9">
          <a:extLst>
            <a:ext uri="{FF2B5EF4-FFF2-40B4-BE49-F238E27FC236}">
              <a16:creationId xmlns:a16="http://schemas.microsoft.com/office/drawing/2014/main" id="{8399818F-5F0A-43FC-AAFC-D18B112A98C6}"/>
            </a:ext>
          </a:extLst>
        </xdr:cNvPr>
        <xdr:cNvSpPr/>
      </xdr:nvSpPr>
      <xdr:spPr>
        <a:xfrm>
          <a:off x="600075" y="1532572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79</xdr:row>
      <xdr:rowOff>0</xdr:rowOff>
    </xdr:from>
    <xdr:to>
      <xdr:col>8</xdr:col>
      <xdr:colOff>43669</xdr:colOff>
      <xdr:row>80</xdr:row>
      <xdr:rowOff>0</xdr:rowOff>
    </xdr:to>
    <xdr:sp macro="" textlink="">
      <xdr:nvSpPr>
        <xdr:cNvPr id="11" name="正方形/長方形 10">
          <a:extLst>
            <a:ext uri="{FF2B5EF4-FFF2-40B4-BE49-F238E27FC236}">
              <a16:creationId xmlns:a16="http://schemas.microsoft.com/office/drawing/2014/main" id="{C1A87268-0949-40FC-B032-F9F28562860A}"/>
            </a:ext>
          </a:extLst>
        </xdr:cNvPr>
        <xdr:cNvSpPr/>
      </xdr:nvSpPr>
      <xdr:spPr>
        <a:xfrm>
          <a:off x="600075" y="16040100"/>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79</xdr:row>
      <xdr:rowOff>0</xdr:rowOff>
    </xdr:from>
    <xdr:to>
      <xdr:col>12</xdr:col>
      <xdr:colOff>0</xdr:colOff>
      <xdr:row>80</xdr:row>
      <xdr:rowOff>0</xdr:rowOff>
    </xdr:to>
    <xdr:sp macro="" textlink="">
      <xdr:nvSpPr>
        <xdr:cNvPr id="12" name="正方形/長方形 11">
          <a:extLst>
            <a:ext uri="{FF2B5EF4-FFF2-40B4-BE49-F238E27FC236}">
              <a16:creationId xmlns:a16="http://schemas.microsoft.com/office/drawing/2014/main" id="{32F3DE82-4C82-422B-91F1-31FB8447F575}"/>
            </a:ext>
          </a:extLst>
        </xdr:cNvPr>
        <xdr:cNvSpPr/>
      </xdr:nvSpPr>
      <xdr:spPr>
        <a:xfrm>
          <a:off x="1756556" y="16040100"/>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81</xdr:row>
      <xdr:rowOff>9502</xdr:rowOff>
    </xdr:from>
    <xdr:ext cx="219106" cy="161948"/>
    <xdr:pic>
      <xdr:nvPicPr>
        <xdr:cNvPr id="13" name="図 12" descr="画面の領域">
          <a:extLst>
            <a:ext uri="{FF2B5EF4-FFF2-40B4-BE49-F238E27FC236}">
              <a16:creationId xmlns:a16="http://schemas.microsoft.com/office/drawing/2014/main" id="{37DE3216-9508-47E8-8E92-4EA1590DE72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400550" y="16392502"/>
          <a:ext cx="219106" cy="161948"/>
        </a:xfrm>
        <a:prstGeom prst="rect">
          <a:avLst/>
        </a:prstGeom>
      </xdr:spPr>
    </xdr:pic>
    <xdr:clientData/>
  </xdr:oneCellAnchor>
  <xdr:twoCellAnchor>
    <xdr:from>
      <xdr:col>45</xdr:col>
      <xdr:colOff>76200</xdr:colOff>
      <xdr:row>56</xdr:row>
      <xdr:rowOff>0</xdr:rowOff>
    </xdr:from>
    <xdr:to>
      <xdr:col>53</xdr:col>
      <xdr:colOff>66675</xdr:colOff>
      <xdr:row>59</xdr:row>
      <xdr:rowOff>66676</xdr:rowOff>
    </xdr:to>
    <xdr:sp macro="" textlink="">
      <xdr:nvSpPr>
        <xdr:cNvPr id="23" name="四角形吹き出し 11">
          <a:extLst>
            <a:ext uri="{FF2B5EF4-FFF2-40B4-BE49-F238E27FC236}">
              <a16:creationId xmlns:a16="http://schemas.microsoft.com/office/drawing/2014/main" id="{A2056365-3806-B7C9-F686-6612E6E03C17}"/>
            </a:ext>
          </a:extLst>
        </xdr:cNvPr>
        <xdr:cNvSpPr/>
      </xdr:nvSpPr>
      <xdr:spPr>
        <a:xfrm>
          <a:off x="9077325" y="11582399"/>
          <a:ext cx="1590675" cy="523877"/>
        </a:xfrm>
        <a:prstGeom prst="wedgeRectCallout">
          <a:avLst>
            <a:gd name="adj1" fmla="val 14928"/>
            <a:gd name="adj2" fmla="val 104761"/>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申請価格の計算式を確認する</a:t>
          </a:r>
          <a:r>
            <a:rPr kumimoji="1" lang="en-US" altLang="ja-JP" sz="800">
              <a:solidFill>
                <a:sysClr val="windowText" lastClr="000000"/>
              </a:solidFill>
            </a:rPr>
            <a:t>2022.10.20  AA</a:t>
          </a:r>
        </a:p>
        <a:p>
          <a:pPr algn="l">
            <a:lnSpc>
              <a:spcPts val="900"/>
            </a:lnSpc>
          </a:pPr>
          <a:r>
            <a:rPr kumimoji="1" lang="en-US" altLang="ja-JP" sz="800">
              <a:solidFill>
                <a:sysClr val="windowText" lastClr="000000"/>
              </a:solidFill>
            </a:rPr>
            <a:t>FOB</a:t>
          </a:r>
          <a:r>
            <a:rPr kumimoji="1" lang="ja-JP" altLang="en-US" sz="800">
              <a:solidFill>
                <a:sysClr val="windowText" lastClr="000000"/>
              </a:solidFill>
            </a:rPr>
            <a:t>価格 </a:t>
          </a:r>
          <a:r>
            <a:rPr kumimoji="1" lang="en-US" altLang="ja-JP" sz="800">
              <a:solidFill>
                <a:sysClr val="windowText" lastClr="000000"/>
              </a:solidFill>
            </a:rPr>
            <a:t>- (CIF</a:t>
          </a:r>
          <a:r>
            <a:rPr kumimoji="1" lang="ja-JP" altLang="en-US" sz="800">
              <a:solidFill>
                <a:sysClr val="windowText" lastClr="000000"/>
              </a:solidFill>
            </a:rPr>
            <a:t>価格 * 口銭率</a:t>
          </a:r>
          <a:r>
            <a:rPr kumimoji="1" lang="en-US" altLang="ja-JP" sz="800">
              <a:solidFill>
                <a:sysClr val="windowText" lastClr="000000"/>
              </a:solidFill>
            </a:rPr>
            <a:t>)</a:t>
          </a:r>
        </a:p>
        <a:p>
          <a:pPr algn="l">
            <a:lnSpc>
              <a:spcPts val="900"/>
            </a:lnSpc>
          </a:pPr>
          <a:endParaRPr kumimoji="1" lang="en-US" altLang="ja-JP" sz="800">
            <a:solidFill>
              <a:sysClr val="windowText" lastClr="000000"/>
            </a:solidFill>
          </a:endParaRPr>
        </a:p>
      </xdr:txBody>
    </xdr:sp>
    <xdr:clientData/>
  </xdr:twoCellAnchor>
  <xdr:twoCellAnchor editAs="oneCell">
    <xdr:from>
      <xdr:col>2</xdr:col>
      <xdr:colOff>0</xdr:colOff>
      <xdr:row>84</xdr:row>
      <xdr:rowOff>152400</xdr:rowOff>
    </xdr:from>
    <xdr:to>
      <xdr:col>3</xdr:col>
      <xdr:colOff>28</xdr:colOff>
      <xdr:row>86</xdr:row>
      <xdr:rowOff>19079</xdr:rowOff>
    </xdr:to>
    <xdr:pic>
      <xdr:nvPicPr>
        <xdr:cNvPr id="16" name="図 15" descr="画面の領域">
          <a:extLst>
            <a:ext uri="{FF2B5EF4-FFF2-40B4-BE49-F238E27FC236}">
              <a16:creationId xmlns:a16="http://schemas.microsoft.com/office/drawing/2014/main" id="{3B5E84CC-F78F-43BF-8F6C-9833420E559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0050" y="11849100"/>
          <a:ext cx="198148" cy="205769"/>
        </a:xfrm>
        <a:prstGeom prst="rect">
          <a:avLst/>
        </a:prstGeom>
        <a:solidFill>
          <a:schemeClr val="bg1">
            <a:lumMod val="85000"/>
          </a:schemeClr>
        </a:solidFill>
      </xdr:spPr>
    </xdr:pic>
    <xdr:clientData/>
  </xdr:twoCellAnchor>
  <xdr:oneCellAnchor>
    <xdr:from>
      <xdr:col>38</xdr:col>
      <xdr:colOff>0</xdr:colOff>
      <xdr:row>104</xdr:row>
      <xdr:rowOff>9502</xdr:rowOff>
    </xdr:from>
    <xdr:ext cx="219106" cy="161948"/>
    <xdr:pic>
      <xdr:nvPicPr>
        <xdr:cNvPr id="17" name="図 16" descr="画面の領域">
          <a:extLst>
            <a:ext uri="{FF2B5EF4-FFF2-40B4-BE49-F238E27FC236}">
              <a16:creationId xmlns:a16="http://schemas.microsoft.com/office/drawing/2014/main" id="{5D13003C-2616-4106-89D2-6F8DBD4A8244}"/>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3992202"/>
          <a:ext cx="219106" cy="161948"/>
        </a:xfrm>
        <a:prstGeom prst="rect">
          <a:avLst/>
        </a:prstGeom>
      </xdr:spPr>
    </xdr:pic>
    <xdr:clientData/>
  </xdr:oneCellAnchor>
  <xdr:oneCellAnchor>
    <xdr:from>
      <xdr:col>38</xdr:col>
      <xdr:colOff>0</xdr:colOff>
      <xdr:row>105</xdr:row>
      <xdr:rowOff>9502</xdr:rowOff>
    </xdr:from>
    <xdr:ext cx="219106" cy="161948"/>
    <xdr:pic>
      <xdr:nvPicPr>
        <xdr:cNvPr id="18" name="図 17" descr="画面の領域">
          <a:extLst>
            <a:ext uri="{FF2B5EF4-FFF2-40B4-BE49-F238E27FC236}">
              <a16:creationId xmlns:a16="http://schemas.microsoft.com/office/drawing/2014/main" id="{856CBFCD-43ED-4526-91B6-2D2321C09DC4}"/>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4163652"/>
          <a:ext cx="219106" cy="161948"/>
        </a:xfrm>
        <a:prstGeom prst="rect">
          <a:avLst/>
        </a:prstGeom>
      </xdr:spPr>
    </xdr:pic>
    <xdr:clientData/>
  </xdr:oneCellAnchor>
  <xdr:oneCellAnchor>
    <xdr:from>
      <xdr:col>38</xdr:col>
      <xdr:colOff>0</xdr:colOff>
      <xdr:row>106</xdr:row>
      <xdr:rowOff>9502</xdr:rowOff>
    </xdr:from>
    <xdr:ext cx="219106" cy="161948"/>
    <xdr:pic>
      <xdr:nvPicPr>
        <xdr:cNvPr id="19" name="図 18" descr="画面の領域">
          <a:extLst>
            <a:ext uri="{FF2B5EF4-FFF2-40B4-BE49-F238E27FC236}">
              <a16:creationId xmlns:a16="http://schemas.microsoft.com/office/drawing/2014/main" id="{0CB3E6E8-03EB-46A0-B28B-973242E6840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4335102"/>
          <a:ext cx="219106" cy="161948"/>
        </a:xfrm>
        <a:prstGeom prst="rect">
          <a:avLst/>
        </a:prstGeom>
      </xdr:spPr>
    </xdr:pic>
    <xdr:clientData/>
  </xdr:oneCellAnchor>
  <xdr:oneCellAnchor>
    <xdr:from>
      <xdr:col>6</xdr:col>
      <xdr:colOff>190500</xdr:colOff>
      <xdr:row>102</xdr:row>
      <xdr:rowOff>0</xdr:rowOff>
    </xdr:from>
    <xdr:ext cx="201083" cy="171450"/>
    <xdr:pic>
      <xdr:nvPicPr>
        <xdr:cNvPr id="20" name="図 19">
          <a:extLst>
            <a:ext uri="{FF2B5EF4-FFF2-40B4-BE49-F238E27FC236}">
              <a16:creationId xmlns:a16="http://schemas.microsoft.com/office/drawing/2014/main" id="{F27D5283-CCDF-4824-BA1A-C299DEE51597}"/>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390650" y="136398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22" name="図 21">
          <a:extLst>
            <a:ext uri="{FF2B5EF4-FFF2-40B4-BE49-F238E27FC236}">
              <a16:creationId xmlns:a16="http://schemas.microsoft.com/office/drawing/2014/main" id="{D8FA51ED-F86D-4D96-B7C0-0D32F27B115E}"/>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26" name="図 25">
          <a:extLst>
            <a:ext uri="{FF2B5EF4-FFF2-40B4-BE49-F238E27FC236}">
              <a16:creationId xmlns:a16="http://schemas.microsoft.com/office/drawing/2014/main" id="{901EE48C-3B75-4389-8C13-C56CBCA9B1E7}"/>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17</xdr:row>
      <xdr:rowOff>0</xdr:rowOff>
    </xdr:from>
    <xdr:ext cx="201083" cy="171450"/>
    <xdr:pic>
      <xdr:nvPicPr>
        <xdr:cNvPr id="8" name="図 7">
          <a:extLst>
            <a:ext uri="{FF2B5EF4-FFF2-40B4-BE49-F238E27FC236}">
              <a16:creationId xmlns:a16="http://schemas.microsoft.com/office/drawing/2014/main" id="{CE2250BB-491C-4103-B119-BA7B62BF15B8}"/>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88</xdr:row>
      <xdr:rowOff>0</xdr:rowOff>
    </xdr:from>
    <xdr:ext cx="201083" cy="171450"/>
    <xdr:pic>
      <xdr:nvPicPr>
        <xdr:cNvPr id="9" name="図 8">
          <a:extLst>
            <a:ext uri="{FF2B5EF4-FFF2-40B4-BE49-F238E27FC236}">
              <a16:creationId xmlns:a16="http://schemas.microsoft.com/office/drawing/2014/main" id="{BEE88940-0833-4D65-93A1-A1776DA5D46B}"/>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139255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94</xdr:row>
      <xdr:rowOff>0</xdr:rowOff>
    </xdr:from>
    <xdr:ext cx="201083" cy="171450"/>
    <xdr:pic>
      <xdr:nvPicPr>
        <xdr:cNvPr id="21" name="図 20">
          <a:extLst>
            <a:ext uri="{FF2B5EF4-FFF2-40B4-BE49-F238E27FC236}">
              <a16:creationId xmlns:a16="http://schemas.microsoft.com/office/drawing/2014/main" id="{1041A5B3-8B90-4609-BCD5-C2F7B8C54157}"/>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146113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123825</xdr:colOff>
      <xdr:row>56</xdr:row>
      <xdr:rowOff>85725</xdr:rowOff>
    </xdr:from>
    <xdr:to>
      <xdr:col>11</xdr:col>
      <xdr:colOff>114300</xdr:colOff>
      <xdr:row>58</xdr:row>
      <xdr:rowOff>0</xdr:rowOff>
    </xdr:to>
    <xdr:sp macro="" textlink="">
      <xdr:nvSpPr>
        <xdr:cNvPr id="14" name="正方形/長方形 13">
          <a:extLst>
            <a:ext uri="{FF2B5EF4-FFF2-40B4-BE49-F238E27FC236}">
              <a16:creationId xmlns:a16="http://schemas.microsoft.com/office/drawing/2014/main" id="{8F4C95BB-93EA-4D0A-AC5D-31D2945DC518}"/>
            </a:ext>
          </a:extLst>
        </xdr:cNvPr>
        <xdr:cNvSpPr/>
      </xdr:nvSpPr>
      <xdr:spPr>
        <a:xfrm>
          <a:off x="1524000" y="88677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3.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rinterSettings" Target="../printerSettings/printerSettings9.bin"/><Relationship Id="rId4"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8.xml"/><Relationship Id="rId1" Type="http://schemas.openxmlformats.org/officeDocument/2006/relationships/printerSettings" Target="../printerSettings/printerSettings11.bin"/><Relationship Id="rId4"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9.xml"/><Relationship Id="rId1" Type="http://schemas.openxmlformats.org/officeDocument/2006/relationships/printerSettings" Target="../printerSettings/printerSettings12.bin"/><Relationship Id="rId4"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10.xml"/><Relationship Id="rId1" Type="http://schemas.openxmlformats.org/officeDocument/2006/relationships/printerSettings" Target="../printerSettings/printerSettings13.bin"/><Relationship Id="rId4" Type="http://schemas.openxmlformats.org/officeDocument/2006/relationships/comments" Target="../comments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712" t="str">
        <f ca="1">TEXT(変更来歴!AT2,"yyyy年 mm月 dd日") &amp; " " &amp; 変更来歴!AT3</f>
        <v>2026年 05月 20日 r1.2</v>
      </c>
      <c r="C22" s="713"/>
      <c r="D22" s="713"/>
      <c r="E22" s="713"/>
      <c r="F22" s="713"/>
      <c r="G22" s="713"/>
      <c r="H22" s="713"/>
    </row>
    <row r="23" spans="2:8" ht="14.25" customHeight="1"/>
    <row r="24" spans="2:8" ht="14.25" customHeight="1"/>
    <row r="25" spans="2:8" ht="14.25" customHeight="1"/>
    <row r="26" spans="2:8" ht="14.25" customHeight="1"/>
    <row r="27" spans="2:8" ht="14.25" customHeight="1"/>
    <row r="28" spans="2:8" ht="14.25" customHeight="1">
      <c r="C28" s="714" t="s">
        <v>28</v>
      </c>
      <c r="D28" s="714"/>
      <c r="E28" s="714"/>
      <c r="F28" s="714" t="s">
        <v>0</v>
      </c>
      <c r="G28" s="714"/>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715"/>
      <c r="D33" s="715"/>
      <c r="E33" s="715"/>
      <c r="F33" s="715"/>
      <c r="G33" s="715"/>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710"/>
    </row>
    <row r="39" spans="3:20" ht="14.25" customHeight="1">
      <c r="K39" s="17"/>
      <c r="L39" s="12"/>
      <c r="M39" s="8"/>
      <c r="N39" s="12"/>
      <c r="O39" s="8"/>
      <c r="P39" s="8"/>
      <c r="Q39" s="8"/>
      <c r="R39" s="14"/>
      <c r="S39" s="19"/>
      <c r="T39" s="711"/>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710"/>
    </row>
    <row r="43" spans="3:20" s="8" customFormat="1" ht="14.25" customHeight="1">
      <c r="K43" s="17"/>
      <c r="L43" s="12"/>
      <c r="N43" s="12"/>
      <c r="R43" s="14"/>
      <c r="S43" s="19"/>
      <c r="T43" s="710"/>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710"/>
    </row>
    <row r="47" spans="3:20" ht="14.25" customHeight="1">
      <c r="K47" s="17"/>
      <c r="L47" s="12"/>
      <c r="M47" s="8"/>
      <c r="N47" s="12"/>
      <c r="O47" s="8"/>
      <c r="P47" s="8"/>
      <c r="Q47" s="8"/>
      <c r="R47" s="14"/>
      <c r="S47" s="19"/>
      <c r="T47" s="710"/>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710"/>
    </row>
    <row r="51" spans="11:20" ht="14.25" customHeight="1">
      <c r="K51" s="17"/>
      <c r="L51" s="12"/>
      <c r="M51" s="8"/>
      <c r="N51" s="12"/>
      <c r="O51" s="8"/>
      <c r="P51" s="8"/>
      <c r="Q51" s="8"/>
      <c r="R51" s="14"/>
      <c r="S51" s="19"/>
      <c r="T51" s="710"/>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710"/>
    </row>
    <row r="55" spans="11:20">
      <c r="K55" s="17"/>
      <c r="L55" s="12"/>
      <c r="M55" s="8"/>
      <c r="N55" s="12"/>
      <c r="O55" s="8"/>
      <c r="P55" s="8"/>
      <c r="Q55" s="8"/>
      <c r="R55" s="14"/>
      <c r="S55" s="19"/>
      <c r="T55" s="711"/>
    </row>
    <row r="57" spans="11:20">
      <c r="K57" s="11"/>
      <c r="L57" s="12"/>
      <c r="M57" s="8"/>
      <c r="N57" s="12"/>
      <c r="O57" s="13"/>
      <c r="P57" s="14"/>
      <c r="Q57" s="15"/>
      <c r="R57" s="14"/>
      <c r="S57" s="16"/>
      <c r="T57" s="14"/>
    </row>
    <row r="58" spans="11:20">
      <c r="K58" s="17"/>
      <c r="L58" s="12"/>
      <c r="M58" s="18"/>
      <c r="N58" s="12"/>
      <c r="O58" s="8"/>
      <c r="P58" s="14"/>
      <c r="Q58" s="15"/>
      <c r="R58" s="14"/>
      <c r="S58" s="16"/>
      <c r="T58" s="710"/>
    </row>
    <row r="59" spans="11:20">
      <c r="K59" s="17"/>
      <c r="L59" s="12"/>
      <c r="M59" s="8"/>
      <c r="N59" s="12"/>
      <c r="O59" s="8"/>
      <c r="P59" s="8"/>
      <c r="Q59" s="8"/>
      <c r="R59" s="14"/>
      <c r="S59" s="19"/>
      <c r="T59" s="711"/>
    </row>
    <row r="61" spans="11:20">
      <c r="K61" s="11"/>
      <c r="L61" s="12"/>
      <c r="M61" s="8"/>
      <c r="N61" s="12"/>
      <c r="O61" s="13"/>
      <c r="P61" s="14"/>
      <c r="Q61" s="15"/>
      <c r="R61" s="14"/>
      <c r="S61" s="16"/>
      <c r="T61" s="14"/>
    </row>
    <row r="62" spans="11:20">
      <c r="K62" s="17"/>
      <c r="L62" s="12"/>
      <c r="M62" s="18"/>
      <c r="N62" s="12"/>
      <c r="O62" s="8"/>
      <c r="P62" s="14"/>
      <c r="Q62" s="15"/>
      <c r="R62" s="14"/>
      <c r="S62" s="16"/>
      <c r="T62" s="710"/>
    </row>
    <row r="63" spans="11:20">
      <c r="K63" s="17"/>
      <c r="L63" s="12"/>
      <c r="M63" s="8"/>
      <c r="N63" s="12"/>
      <c r="O63" s="8"/>
      <c r="P63" s="8"/>
      <c r="Q63" s="8"/>
      <c r="R63" s="14"/>
      <c r="S63" s="19"/>
      <c r="T63" s="711"/>
    </row>
    <row r="65" spans="11:20">
      <c r="K65" s="11"/>
      <c r="L65" s="12"/>
      <c r="M65" s="8"/>
      <c r="N65" s="12"/>
      <c r="O65" s="13"/>
      <c r="P65" s="14"/>
      <c r="Q65" s="15"/>
      <c r="R65" s="14"/>
      <c r="S65" s="16"/>
      <c r="T65" s="14"/>
    </row>
    <row r="66" spans="11:20">
      <c r="K66" s="17"/>
      <c r="L66" s="12"/>
      <c r="M66" s="18"/>
      <c r="N66" s="12"/>
      <c r="O66" s="8"/>
      <c r="P66" s="14"/>
      <c r="Q66" s="15"/>
      <c r="R66" s="14"/>
      <c r="S66" s="16"/>
      <c r="T66" s="710"/>
    </row>
    <row r="67" spans="11:20">
      <c r="K67" s="17"/>
      <c r="L67" s="12"/>
      <c r="M67" s="8"/>
      <c r="N67" s="12"/>
      <c r="O67" s="8"/>
      <c r="P67" s="8"/>
      <c r="Q67" s="8"/>
      <c r="R67" s="14"/>
      <c r="S67" s="19"/>
      <c r="T67" s="711"/>
    </row>
    <row r="69" spans="11:20">
      <c r="K69" s="11"/>
      <c r="L69" s="12"/>
      <c r="M69" s="8"/>
      <c r="N69" s="12"/>
      <c r="O69" s="13"/>
      <c r="P69" s="14"/>
      <c r="Q69" s="15"/>
      <c r="R69" s="14"/>
      <c r="S69" s="16"/>
      <c r="T69" s="14"/>
    </row>
    <row r="70" spans="11:20">
      <c r="K70" s="17"/>
      <c r="L70" s="12"/>
      <c r="M70" s="18"/>
      <c r="N70" s="12"/>
      <c r="O70" s="8"/>
      <c r="P70" s="14"/>
      <c r="Q70" s="15"/>
      <c r="R70" s="14"/>
      <c r="S70" s="16"/>
      <c r="T70" s="710"/>
    </row>
    <row r="71" spans="11:20">
      <c r="K71" s="17"/>
      <c r="L71" s="12"/>
      <c r="M71" s="20"/>
      <c r="N71" s="12"/>
      <c r="O71" s="8"/>
      <c r="P71" s="8"/>
      <c r="Q71" s="8"/>
      <c r="R71" s="14"/>
      <c r="S71" s="19"/>
      <c r="T71" s="711"/>
    </row>
    <row r="73" spans="11:20">
      <c r="K73" s="11"/>
      <c r="L73" s="12"/>
      <c r="M73" s="8"/>
      <c r="N73" s="12"/>
      <c r="O73" s="13"/>
      <c r="P73" s="14"/>
      <c r="Q73" s="15"/>
      <c r="R73" s="14"/>
      <c r="S73" s="16"/>
      <c r="T73" s="14"/>
    </row>
    <row r="74" spans="11:20">
      <c r="K74" s="17"/>
      <c r="L74" s="12"/>
      <c r="M74" s="18"/>
      <c r="N74" s="12"/>
      <c r="O74" s="8"/>
      <c r="P74" s="14"/>
      <c r="Q74" s="15"/>
      <c r="R74" s="14"/>
      <c r="S74" s="16"/>
      <c r="T74" s="710"/>
    </row>
    <row r="75" spans="11:20">
      <c r="K75" s="17"/>
      <c r="L75" s="12"/>
      <c r="M75" s="8"/>
      <c r="N75" s="12"/>
      <c r="O75" s="8"/>
      <c r="P75" s="8"/>
      <c r="Q75" s="8"/>
      <c r="R75" s="14"/>
      <c r="S75" s="19"/>
      <c r="T75" s="711"/>
    </row>
    <row r="77" spans="11:20">
      <c r="K77" s="11"/>
      <c r="L77" s="12"/>
      <c r="M77" s="8"/>
      <c r="N77" s="12"/>
      <c r="O77" s="13"/>
      <c r="P77" s="14"/>
      <c r="Q77" s="15"/>
      <c r="R77" s="14"/>
      <c r="S77" s="16"/>
      <c r="T77" s="14"/>
    </row>
    <row r="78" spans="11:20">
      <c r="K78" s="17"/>
      <c r="L78" s="12"/>
      <c r="M78" s="18"/>
      <c r="N78" s="12"/>
      <c r="O78" s="8"/>
      <c r="P78" s="14"/>
      <c r="Q78" s="15"/>
      <c r="R78" s="14"/>
      <c r="S78" s="16"/>
      <c r="T78" s="710"/>
    </row>
    <row r="79" spans="11:20">
      <c r="K79" s="17"/>
      <c r="L79" s="12"/>
      <c r="M79" s="20"/>
      <c r="N79" s="12"/>
      <c r="O79" s="8"/>
      <c r="P79" s="8"/>
      <c r="Q79" s="8"/>
      <c r="R79" s="14"/>
      <c r="S79" s="19"/>
      <c r="T79" s="711"/>
    </row>
    <row r="81" spans="11:20">
      <c r="K81" s="11"/>
      <c r="L81" s="12"/>
      <c r="M81" s="8"/>
      <c r="N81" s="12"/>
      <c r="O81" s="13"/>
      <c r="P81" s="14"/>
      <c r="Q81" s="15"/>
      <c r="R81" s="14"/>
      <c r="S81" s="16"/>
      <c r="T81" s="14"/>
    </row>
    <row r="82" spans="11:20">
      <c r="K82" s="17"/>
      <c r="L82" s="12"/>
      <c r="M82" s="18"/>
      <c r="N82" s="12"/>
      <c r="O82" s="8"/>
      <c r="P82" s="14"/>
      <c r="Q82" s="15"/>
      <c r="R82" s="14"/>
      <c r="S82" s="16"/>
      <c r="T82" s="710"/>
    </row>
    <row r="83" spans="11:20">
      <c r="K83" s="17"/>
      <c r="L83" s="12"/>
      <c r="M83" s="8"/>
      <c r="N83" s="12"/>
      <c r="O83" s="8"/>
      <c r="P83" s="8"/>
      <c r="Q83" s="8"/>
      <c r="R83" s="14"/>
      <c r="S83" s="19"/>
      <c r="T83" s="711"/>
    </row>
    <row r="85" spans="11:20">
      <c r="K85" s="11"/>
      <c r="L85" s="12"/>
      <c r="M85" s="8"/>
      <c r="N85" s="12"/>
      <c r="O85" s="13"/>
      <c r="P85" s="14"/>
      <c r="Q85" s="15"/>
      <c r="R85" s="14"/>
      <c r="S85" s="16"/>
      <c r="T85" s="14"/>
    </row>
    <row r="86" spans="11:20">
      <c r="K86" s="17"/>
      <c r="L86" s="12"/>
      <c r="M86" s="18"/>
      <c r="N86" s="12"/>
      <c r="O86" s="8"/>
      <c r="P86" s="14"/>
      <c r="Q86" s="15"/>
      <c r="R86" s="14"/>
      <c r="S86" s="16"/>
      <c r="T86" s="710"/>
    </row>
    <row r="87" spans="11:20">
      <c r="K87" s="17"/>
      <c r="L87" s="12"/>
      <c r="M87" s="8"/>
      <c r="N87" s="12"/>
      <c r="O87" s="8"/>
      <c r="P87" s="8"/>
      <c r="Q87" s="8"/>
      <c r="R87" s="14"/>
      <c r="S87" s="19"/>
      <c r="T87" s="711"/>
    </row>
    <row r="89" spans="11:20">
      <c r="K89" s="11"/>
      <c r="L89" s="12"/>
      <c r="M89" s="8"/>
      <c r="N89" s="12"/>
      <c r="O89" s="13"/>
      <c r="P89" s="14"/>
      <c r="Q89" s="15"/>
      <c r="R89" s="14"/>
      <c r="S89" s="16"/>
      <c r="T89" s="14"/>
    </row>
    <row r="90" spans="11:20">
      <c r="K90" s="17"/>
      <c r="L90" s="12"/>
      <c r="M90" s="18"/>
      <c r="N90" s="12"/>
      <c r="O90" s="8"/>
      <c r="P90" s="14"/>
      <c r="Q90" s="15"/>
      <c r="R90" s="14"/>
      <c r="S90" s="16"/>
      <c r="T90" s="710"/>
    </row>
    <row r="91" spans="11:20">
      <c r="K91" s="17"/>
      <c r="L91" s="12"/>
      <c r="M91" s="18"/>
      <c r="N91" s="12"/>
      <c r="O91" s="8"/>
      <c r="P91" s="8"/>
      <c r="Q91" s="8"/>
      <c r="R91" s="14"/>
      <c r="S91" s="19"/>
      <c r="T91" s="711"/>
    </row>
    <row r="93" spans="11:20">
      <c r="K93" s="11"/>
      <c r="L93" s="12"/>
      <c r="M93" s="8"/>
      <c r="N93" s="12"/>
      <c r="O93" s="13"/>
      <c r="P93" s="14"/>
      <c r="Q93" s="15"/>
      <c r="R93" s="14"/>
      <c r="S93" s="16"/>
      <c r="T93" s="14"/>
    </row>
    <row r="94" spans="11:20">
      <c r="K94" s="17"/>
      <c r="L94" s="12"/>
      <c r="M94" s="18"/>
      <c r="N94" s="12"/>
      <c r="O94" s="8"/>
      <c r="P94" s="14"/>
      <c r="Q94" s="15"/>
      <c r="R94" s="14"/>
      <c r="S94" s="16"/>
      <c r="T94" s="710"/>
    </row>
    <row r="95" spans="11:20">
      <c r="K95" s="17"/>
      <c r="L95" s="12"/>
      <c r="M95" s="20"/>
      <c r="N95" s="12"/>
      <c r="O95" s="8"/>
      <c r="P95" s="8"/>
      <c r="Q95" s="8"/>
      <c r="R95" s="14"/>
      <c r="S95" s="19"/>
      <c r="T95" s="711"/>
    </row>
    <row r="97" spans="11:20">
      <c r="K97" s="11"/>
      <c r="L97" s="12"/>
      <c r="M97" s="8"/>
      <c r="N97" s="12"/>
      <c r="O97" s="13"/>
      <c r="P97" s="14"/>
      <c r="Q97" s="15"/>
      <c r="R97" s="14"/>
      <c r="S97" s="16"/>
      <c r="T97" s="14"/>
    </row>
    <row r="98" spans="11:20">
      <c r="K98" s="17"/>
      <c r="L98" s="12"/>
      <c r="M98" s="18"/>
      <c r="N98" s="12"/>
      <c r="O98" s="8"/>
      <c r="P98" s="14"/>
      <c r="Q98" s="15"/>
      <c r="R98" s="14"/>
      <c r="S98" s="16"/>
      <c r="T98" s="710"/>
    </row>
    <row r="99" spans="11:20">
      <c r="K99" s="17"/>
      <c r="L99" s="12"/>
      <c r="M99" s="20"/>
      <c r="N99" s="12"/>
      <c r="O99" s="8"/>
      <c r="P99" s="8"/>
      <c r="Q99" s="8"/>
      <c r="R99" s="14"/>
      <c r="S99" s="19"/>
      <c r="T99" s="711"/>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710"/>
    </row>
    <row r="103" spans="11:20">
      <c r="K103" s="17"/>
      <c r="L103" s="12"/>
      <c r="M103" s="8"/>
      <c r="N103" s="12"/>
      <c r="O103" s="8"/>
      <c r="P103" s="8"/>
      <c r="Q103" s="8"/>
      <c r="R103" s="14"/>
      <c r="S103" s="19"/>
      <c r="T103" s="711"/>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710"/>
    </row>
    <row r="107" spans="11:20">
      <c r="K107" s="17"/>
      <c r="L107" s="12"/>
      <c r="M107" s="8"/>
      <c r="N107" s="12"/>
      <c r="O107" s="8"/>
      <c r="P107" s="8"/>
      <c r="Q107" s="8"/>
      <c r="R107" s="14"/>
      <c r="S107" s="19"/>
      <c r="T107" s="711"/>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710"/>
    </row>
    <row r="111" spans="11:20">
      <c r="K111" s="17"/>
      <c r="L111" s="12"/>
      <c r="M111" s="8"/>
      <c r="N111" s="12"/>
      <c r="O111" s="8"/>
      <c r="P111" s="8"/>
      <c r="Q111" s="8"/>
      <c r="R111" s="14"/>
      <c r="S111" s="19"/>
      <c r="T111" s="711"/>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710"/>
    </row>
    <row r="115" spans="11:20">
      <c r="K115" s="17"/>
      <c r="L115" s="12"/>
      <c r="M115" s="8"/>
      <c r="N115" s="12"/>
      <c r="O115" s="8"/>
      <c r="P115" s="8"/>
      <c r="Q115" s="8"/>
      <c r="R115" s="14"/>
      <c r="S115" s="19"/>
      <c r="T115" s="711"/>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710"/>
    </row>
    <row r="119" spans="11:20">
      <c r="K119" s="17"/>
      <c r="L119" s="12"/>
      <c r="M119" s="8"/>
      <c r="N119" s="12"/>
      <c r="O119" s="8"/>
      <c r="P119" s="8"/>
      <c r="Q119" s="8"/>
      <c r="R119" s="14"/>
      <c r="S119" s="19"/>
      <c r="T119" s="711"/>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710"/>
    </row>
    <row r="123" spans="11:20">
      <c r="K123" s="17"/>
      <c r="L123" s="12"/>
      <c r="M123" s="8"/>
      <c r="N123" s="12"/>
      <c r="O123" s="8"/>
      <c r="P123" s="8"/>
      <c r="Q123" s="8"/>
      <c r="R123" s="14"/>
      <c r="S123" s="19"/>
      <c r="T123" s="711"/>
    </row>
  </sheetData>
  <mergeCells count="27">
    <mergeCell ref="B22:H22"/>
    <mergeCell ref="T42:T43"/>
    <mergeCell ref="C28:E28"/>
    <mergeCell ref="F28:G28"/>
    <mergeCell ref="C33:E33"/>
    <mergeCell ref="F33:G33"/>
    <mergeCell ref="T38:T39"/>
    <mergeCell ref="T90:T91"/>
    <mergeCell ref="T46:T47"/>
    <mergeCell ref="T50:T51"/>
    <mergeCell ref="T54:T55"/>
    <mergeCell ref="T58:T59"/>
    <mergeCell ref="T62:T63"/>
    <mergeCell ref="T66:T67"/>
    <mergeCell ref="T70:T71"/>
    <mergeCell ref="T74:T75"/>
    <mergeCell ref="T78:T79"/>
    <mergeCell ref="T82:T83"/>
    <mergeCell ref="T86:T87"/>
    <mergeCell ref="T118:T119"/>
    <mergeCell ref="T122:T123"/>
    <mergeCell ref="T94:T95"/>
    <mergeCell ref="T98:T99"/>
    <mergeCell ref="T102:T103"/>
    <mergeCell ref="T106:T107"/>
    <mergeCell ref="T110:T111"/>
    <mergeCell ref="T114:T115"/>
  </mergeCells>
  <phoneticPr fontId="13"/>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740" t="s">
        <v>4</v>
      </c>
      <c r="B1" s="740"/>
      <c r="C1" s="740"/>
      <c r="D1" s="740"/>
      <c r="E1" s="740"/>
      <c r="F1" s="740"/>
      <c r="G1" s="740"/>
      <c r="H1" s="740"/>
      <c r="I1" s="727" t="s">
        <v>5</v>
      </c>
      <c r="J1" s="727"/>
      <c r="K1" s="727"/>
      <c r="L1" s="727"/>
      <c r="M1" s="738" t="s">
        <v>6</v>
      </c>
      <c r="N1" s="738"/>
      <c r="O1" s="738"/>
      <c r="P1" s="738"/>
      <c r="Q1" s="738"/>
      <c r="R1" s="738"/>
      <c r="S1" s="738"/>
      <c r="T1" s="738"/>
      <c r="U1" s="738"/>
      <c r="V1" s="738"/>
      <c r="W1" s="738"/>
      <c r="X1" s="727" t="s">
        <v>7</v>
      </c>
      <c r="Y1" s="727"/>
      <c r="Z1" s="727"/>
      <c r="AA1" s="742" t="s">
        <v>586</v>
      </c>
      <c r="AB1" s="742"/>
      <c r="AC1" s="742"/>
      <c r="AD1" s="742"/>
      <c r="AE1" s="742"/>
      <c r="AF1" s="742"/>
      <c r="AG1" s="742"/>
      <c r="AH1" s="742"/>
      <c r="AI1" s="742"/>
      <c r="AJ1" s="742"/>
      <c r="AK1" s="716" t="s">
        <v>8</v>
      </c>
      <c r="AL1" s="716"/>
      <c r="AM1" s="716"/>
      <c r="AN1" s="718" t="s">
        <v>298</v>
      </c>
      <c r="AO1" s="718"/>
      <c r="AP1" s="718"/>
      <c r="AQ1" s="716" t="s">
        <v>9</v>
      </c>
      <c r="AR1" s="716"/>
      <c r="AS1" s="716"/>
      <c r="AT1" s="719">
        <f>AL7</f>
        <v>46125</v>
      </c>
      <c r="AU1" s="719"/>
      <c r="AV1" s="719"/>
      <c r="AW1" s="719"/>
      <c r="AX1" s="723" t="s">
        <v>10</v>
      </c>
      <c r="AY1" s="724"/>
      <c r="AZ1" s="724"/>
      <c r="BA1" s="725"/>
    </row>
    <row r="2" spans="1:53">
      <c r="A2" s="726" t="s">
        <v>16</v>
      </c>
      <c r="B2" s="726"/>
      <c r="C2" s="726"/>
      <c r="D2" s="726"/>
      <c r="E2" s="726"/>
      <c r="F2" s="726"/>
      <c r="G2" s="726"/>
      <c r="H2" s="726"/>
      <c r="I2" s="727" t="s">
        <v>11</v>
      </c>
      <c r="J2" s="727"/>
      <c r="K2" s="727"/>
      <c r="L2" s="727"/>
      <c r="M2" s="728" t="s">
        <v>29</v>
      </c>
      <c r="N2" s="729"/>
      <c r="O2" s="729"/>
      <c r="P2" s="729"/>
      <c r="Q2" s="729"/>
      <c r="R2" s="729"/>
      <c r="S2" s="729"/>
      <c r="T2" s="729"/>
      <c r="U2" s="729"/>
      <c r="V2" s="729"/>
      <c r="W2" s="730"/>
      <c r="X2" s="727"/>
      <c r="Y2" s="727"/>
      <c r="Z2" s="727"/>
      <c r="AA2" s="742"/>
      <c r="AB2" s="742"/>
      <c r="AC2" s="742"/>
      <c r="AD2" s="742"/>
      <c r="AE2" s="742"/>
      <c r="AF2" s="742"/>
      <c r="AG2" s="742"/>
      <c r="AH2" s="742"/>
      <c r="AI2" s="742"/>
      <c r="AJ2" s="742"/>
      <c r="AK2" s="716" t="s">
        <v>12</v>
      </c>
      <c r="AL2" s="716"/>
      <c r="AM2" s="716"/>
      <c r="AN2" s="718" t="s">
        <v>298</v>
      </c>
      <c r="AO2" s="718"/>
      <c r="AP2" s="718"/>
      <c r="AQ2" s="716" t="s">
        <v>13</v>
      </c>
      <c r="AR2" s="716"/>
      <c r="AS2" s="716"/>
      <c r="AT2" s="719">
        <v>46162</v>
      </c>
      <c r="AU2" s="719"/>
      <c r="AV2" s="719"/>
      <c r="AW2" s="719"/>
      <c r="AX2" s="731" t="s">
        <v>31</v>
      </c>
      <c r="AY2" s="732"/>
      <c r="AZ2" s="732"/>
      <c r="BA2" s="733"/>
    </row>
    <row r="3" spans="1:53" ht="12" customHeight="1">
      <c r="A3" s="737" t="s">
        <v>26</v>
      </c>
      <c r="B3" s="737"/>
      <c r="C3" s="737"/>
      <c r="D3" s="737"/>
      <c r="E3" s="737"/>
      <c r="F3" s="737"/>
      <c r="G3" s="737"/>
      <c r="H3" s="737"/>
      <c r="I3" s="727" t="s">
        <v>14</v>
      </c>
      <c r="J3" s="727"/>
      <c r="K3" s="727"/>
      <c r="L3" s="727"/>
      <c r="M3" s="738"/>
      <c r="N3" s="738"/>
      <c r="O3" s="738"/>
      <c r="P3" s="738"/>
      <c r="Q3" s="738"/>
      <c r="R3" s="738"/>
      <c r="S3" s="738"/>
      <c r="T3" s="738"/>
      <c r="U3" s="738"/>
      <c r="V3" s="738"/>
      <c r="W3" s="738"/>
      <c r="X3" s="727" t="s">
        <v>27</v>
      </c>
      <c r="Y3" s="727"/>
      <c r="Z3" s="727"/>
      <c r="AA3" s="739" t="s">
        <v>563</v>
      </c>
      <c r="AB3" s="739"/>
      <c r="AC3" s="739"/>
      <c r="AD3" s="739"/>
      <c r="AE3" s="739"/>
      <c r="AF3" s="739"/>
      <c r="AG3" s="739"/>
      <c r="AH3" s="739"/>
      <c r="AI3" s="739"/>
      <c r="AJ3" s="739"/>
      <c r="AK3" s="739"/>
      <c r="AL3" s="739"/>
      <c r="AM3" s="739"/>
      <c r="AN3" s="739"/>
      <c r="AO3" s="739"/>
      <c r="AP3" s="739"/>
      <c r="AQ3" s="716" t="s">
        <v>15</v>
      </c>
      <c r="AR3" s="716"/>
      <c r="AS3" s="716"/>
      <c r="AT3" s="717" t="str">
        <f ca="1">INDIRECT("A" &amp; COUNTA(A7:A39) + 6)</f>
        <v>r1.2</v>
      </c>
      <c r="AU3" s="717"/>
      <c r="AV3" s="717"/>
      <c r="AW3" s="717"/>
      <c r="AX3" s="734"/>
      <c r="AY3" s="735"/>
      <c r="AZ3" s="735"/>
      <c r="BA3" s="736"/>
    </row>
    <row r="4" spans="1:53" ht="5.9" customHeight="1"/>
    <row r="5" spans="1:53" ht="14">
      <c r="A5" s="741" t="s">
        <v>25</v>
      </c>
      <c r="B5" s="741"/>
      <c r="C5" s="741"/>
      <c r="D5" s="741"/>
      <c r="E5" s="741"/>
      <c r="F5" s="741"/>
      <c r="G5" s="741"/>
      <c r="H5" s="741"/>
      <c r="I5" s="741"/>
      <c r="J5" s="741"/>
      <c r="K5" s="741"/>
      <c r="L5" s="741"/>
      <c r="M5" s="741"/>
      <c r="N5" s="741"/>
      <c r="O5" s="741"/>
      <c r="P5" s="741"/>
      <c r="Q5" s="741"/>
      <c r="R5" s="741"/>
      <c r="S5" s="741"/>
      <c r="T5" s="741"/>
      <c r="U5" s="741"/>
      <c r="V5" s="741"/>
      <c r="W5" s="741"/>
      <c r="X5" s="741"/>
      <c r="Y5" s="741"/>
      <c r="Z5" s="741"/>
      <c r="AA5" s="741"/>
      <c r="AB5" s="741"/>
      <c r="AC5" s="741"/>
      <c r="AD5" s="741"/>
      <c r="AE5" s="741"/>
      <c r="AF5" s="741"/>
      <c r="AG5" s="741"/>
      <c r="AH5" s="741"/>
      <c r="AI5" s="741"/>
      <c r="AJ5" s="741"/>
      <c r="AK5" s="741"/>
      <c r="AL5" s="741"/>
      <c r="AM5" s="741"/>
      <c r="AN5" s="741"/>
      <c r="AO5" s="741"/>
      <c r="AP5" s="741"/>
      <c r="AQ5" s="741"/>
      <c r="AR5" s="741"/>
      <c r="AS5" s="741"/>
      <c r="AT5" s="741"/>
      <c r="AU5" s="741"/>
      <c r="AV5" s="741"/>
      <c r="AW5" s="741"/>
      <c r="AX5" s="741"/>
      <c r="AY5" s="741"/>
      <c r="AZ5" s="741"/>
      <c r="BA5" s="741"/>
    </row>
    <row r="6" spans="1:53">
      <c r="A6" s="720" t="s">
        <v>24</v>
      </c>
      <c r="B6" s="721"/>
      <c r="C6" s="722" t="s">
        <v>17</v>
      </c>
      <c r="D6" s="722"/>
      <c r="E6" s="722"/>
      <c r="F6" s="722"/>
      <c r="G6" s="722"/>
      <c r="H6" s="722"/>
      <c r="I6" s="722"/>
      <c r="J6" s="722"/>
      <c r="K6" s="722"/>
      <c r="L6" s="722"/>
      <c r="M6" s="722"/>
      <c r="N6" s="722"/>
      <c r="O6" s="722"/>
      <c r="P6" s="722"/>
      <c r="Q6" s="722" t="s">
        <v>18</v>
      </c>
      <c r="R6" s="722"/>
      <c r="S6" s="722"/>
      <c r="T6" s="722"/>
      <c r="U6" s="722"/>
      <c r="V6" s="722"/>
      <c r="W6" s="722"/>
      <c r="X6" s="722"/>
      <c r="Y6" s="722"/>
      <c r="Z6" s="722"/>
      <c r="AA6" s="722"/>
      <c r="AB6" s="722"/>
      <c r="AC6" s="722"/>
      <c r="AD6" s="722"/>
      <c r="AE6" s="722"/>
      <c r="AF6" s="722"/>
      <c r="AG6" s="722"/>
      <c r="AH6" s="722"/>
      <c r="AI6" s="722"/>
      <c r="AJ6" s="722"/>
      <c r="AK6" s="722"/>
      <c r="AL6" s="722" t="s">
        <v>19</v>
      </c>
      <c r="AM6" s="722"/>
      <c r="AN6" s="722"/>
      <c r="AO6" s="722"/>
      <c r="AP6" s="722" t="s">
        <v>20</v>
      </c>
      <c r="AQ6" s="722"/>
      <c r="AR6" s="722"/>
      <c r="AS6" s="722" t="s">
        <v>21</v>
      </c>
      <c r="AT6" s="722"/>
      <c r="AU6" s="722"/>
      <c r="AV6" s="722" t="s">
        <v>22</v>
      </c>
      <c r="AW6" s="722"/>
      <c r="AX6" s="722"/>
      <c r="AY6" s="722"/>
      <c r="AZ6" s="722"/>
      <c r="BA6" s="722"/>
    </row>
    <row r="7" spans="1:53">
      <c r="A7" s="745" t="s">
        <v>258</v>
      </c>
      <c r="B7" s="745"/>
      <c r="C7" s="748" t="s">
        <v>23</v>
      </c>
      <c r="D7" s="748"/>
      <c r="E7" s="748"/>
      <c r="F7" s="748"/>
      <c r="G7" s="748"/>
      <c r="H7" s="748"/>
      <c r="I7" s="748"/>
      <c r="J7" s="748"/>
      <c r="K7" s="748"/>
      <c r="L7" s="748"/>
      <c r="M7" s="748"/>
      <c r="N7" s="748"/>
      <c r="O7" s="748"/>
      <c r="P7" s="748"/>
      <c r="Q7" s="748"/>
      <c r="R7" s="748"/>
      <c r="S7" s="748"/>
      <c r="T7" s="748"/>
      <c r="U7" s="748"/>
      <c r="V7" s="748"/>
      <c r="W7" s="748"/>
      <c r="X7" s="748"/>
      <c r="Y7" s="748"/>
      <c r="Z7" s="748"/>
      <c r="AA7" s="748"/>
      <c r="AB7" s="748"/>
      <c r="AC7" s="748"/>
      <c r="AD7" s="748"/>
      <c r="AE7" s="748"/>
      <c r="AF7" s="748"/>
      <c r="AG7" s="748"/>
      <c r="AH7" s="748"/>
      <c r="AI7" s="748"/>
      <c r="AJ7" s="748"/>
      <c r="AK7" s="748"/>
      <c r="AL7" s="756">
        <v>46125</v>
      </c>
      <c r="AM7" s="757"/>
      <c r="AN7" s="757"/>
      <c r="AO7" s="757"/>
      <c r="AP7" s="748" t="s">
        <v>298</v>
      </c>
      <c r="AQ7" s="748"/>
      <c r="AR7" s="748"/>
      <c r="AS7" s="748"/>
      <c r="AT7" s="748"/>
      <c r="AU7" s="748"/>
      <c r="AV7" s="748"/>
      <c r="AW7" s="748"/>
      <c r="AX7" s="748"/>
      <c r="AY7" s="748"/>
      <c r="AZ7" s="748"/>
      <c r="BA7" s="748"/>
    </row>
    <row r="8" spans="1:53" ht="25" customHeight="1">
      <c r="A8" s="743" t="s">
        <v>560</v>
      </c>
      <c r="B8" s="744"/>
      <c r="C8" s="749" t="s">
        <v>583</v>
      </c>
      <c r="D8" s="749"/>
      <c r="E8" s="749"/>
      <c r="F8" s="749"/>
      <c r="G8" s="749"/>
      <c r="H8" s="749"/>
      <c r="I8" s="749"/>
      <c r="J8" s="749"/>
      <c r="K8" s="749"/>
      <c r="L8" s="749"/>
      <c r="M8" s="749"/>
      <c r="N8" s="749"/>
      <c r="O8" s="749"/>
      <c r="P8" s="749"/>
      <c r="Q8" s="751" t="s">
        <v>562</v>
      </c>
      <c r="R8" s="752"/>
      <c r="S8" s="752"/>
      <c r="T8" s="752"/>
      <c r="U8" s="752"/>
      <c r="V8" s="752"/>
      <c r="W8" s="752"/>
      <c r="X8" s="752"/>
      <c r="Y8" s="752"/>
      <c r="Z8" s="752"/>
      <c r="AA8" s="752"/>
      <c r="AB8" s="752"/>
      <c r="AC8" s="752"/>
      <c r="AD8" s="752"/>
      <c r="AE8" s="752"/>
      <c r="AF8" s="752"/>
      <c r="AG8" s="752"/>
      <c r="AH8" s="752"/>
      <c r="AI8" s="752"/>
      <c r="AJ8" s="752"/>
      <c r="AK8" s="753"/>
      <c r="AL8" s="758">
        <v>46134</v>
      </c>
      <c r="AM8" s="759"/>
      <c r="AN8" s="759"/>
      <c r="AO8" s="760"/>
      <c r="AP8" s="748" t="s">
        <v>561</v>
      </c>
      <c r="AQ8" s="748"/>
      <c r="AR8" s="748"/>
      <c r="AS8" s="748"/>
      <c r="AT8" s="748"/>
      <c r="AU8" s="748"/>
      <c r="AV8" s="748"/>
      <c r="AW8" s="748"/>
      <c r="AX8" s="748"/>
      <c r="AY8" s="748"/>
      <c r="AZ8" s="748"/>
      <c r="BA8" s="748"/>
    </row>
    <row r="9" spans="1:53">
      <c r="A9" s="743" t="s">
        <v>582</v>
      </c>
      <c r="B9" s="744"/>
      <c r="C9" s="749" t="s">
        <v>584</v>
      </c>
      <c r="D9" s="749"/>
      <c r="E9" s="749"/>
      <c r="F9" s="749"/>
      <c r="G9" s="749"/>
      <c r="H9" s="749"/>
      <c r="I9" s="749"/>
      <c r="J9" s="749"/>
      <c r="K9" s="749"/>
      <c r="L9" s="749"/>
      <c r="M9" s="749"/>
      <c r="N9" s="749"/>
      <c r="O9" s="749"/>
      <c r="P9" s="749"/>
      <c r="Q9" s="751" t="s">
        <v>585</v>
      </c>
      <c r="R9" s="752"/>
      <c r="S9" s="752"/>
      <c r="T9" s="752"/>
      <c r="U9" s="752"/>
      <c r="V9" s="752"/>
      <c r="W9" s="752"/>
      <c r="X9" s="752"/>
      <c r="Y9" s="752"/>
      <c r="Z9" s="752"/>
      <c r="AA9" s="752"/>
      <c r="AB9" s="752"/>
      <c r="AC9" s="752"/>
      <c r="AD9" s="752"/>
      <c r="AE9" s="752"/>
      <c r="AF9" s="752"/>
      <c r="AG9" s="752"/>
      <c r="AH9" s="752"/>
      <c r="AI9" s="752"/>
      <c r="AJ9" s="752"/>
      <c r="AK9" s="753"/>
      <c r="AL9" s="758">
        <v>46162</v>
      </c>
      <c r="AM9" s="759"/>
      <c r="AN9" s="759"/>
      <c r="AO9" s="760"/>
      <c r="AP9" s="748" t="s">
        <v>298</v>
      </c>
      <c r="AQ9" s="748"/>
      <c r="AR9" s="748"/>
      <c r="AS9" s="748"/>
      <c r="AT9" s="748"/>
      <c r="AU9" s="748"/>
      <c r="AV9" s="748"/>
      <c r="AW9" s="748"/>
      <c r="AX9" s="748"/>
      <c r="AY9" s="748"/>
      <c r="AZ9" s="748"/>
      <c r="BA9" s="748"/>
    </row>
    <row r="10" spans="1:53">
      <c r="A10" s="745"/>
      <c r="B10" s="745"/>
      <c r="C10" s="748"/>
      <c r="D10" s="748"/>
      <c r="E10" s="748"/>
      <c r="F10" s="748"/>
      <c r="G10" s="748"/>
      <c r="H10" s="748"/>
      <c r="I10" s="748"/>
      <c r="J10" s="748"/>
      <c r="K10" s="748"/>
      <c r="L10" s="748"/>
      <c r="M10" s="748"/>
      <c r="N10" s="748"/>
      <c r="O10" s="748"/>
      <c r="P10" s="748"/>
      <c r="Q10" s="749"/>
      <c r="R10" s="748"/>
      <c r="S10" s="748"/>
      <c r="T10" s="748"/>
      <c r="U10" s="748"/>
      <c r="V10" s="748"/>
      <c r="W10" s="748"/>
      <c r="X10" s="748"/>
      <c r="Y10" s="748"/>
      <c r="Z10" s="748"/>
      <c r="AA10" s="748"/>
      <c r="AB10" s="748"/>
      <c r="AC10" s="748"/>
      <c r="AD10" s="748"/>
      <c r="AE10" s="748"/>
      <c r="AF10" s="748"/>
      <c r="AG10" s="748"/>
      <c r="AH10" s="748"/>
      <c r="AI10" s="748"/>
      <c r="AJ10" s="748"/>
      <c r="AK10" s="748"/>
      <c r="AL10" s="755"/>
      <c r="AM10" s="745"/>
      <c r="AN10" s="745"/>
      <c r="AO10" s="745"/>
      <c r="AP10" s="748"/>
      <c r="AQ10" s="748"/>
      <c r="AR10" s="748"/>
      <c r="AS10" s="748"/>
      <c r="AT10" s="748"/>
      <c r="AU10" s="748"/>
      <c r="AV10" s="748"/>
      <c r="AW10" s="748"/>
      <c r="AX10" s="748"/>
      <c r="AY10" s="748"/>
      <c r="AZ10" s="748"/>
      <c r="BA10" s="748"/>
    </row>
    <row r="11" spans="1:53">
      <c r="A11" s="745"/>
      <c r="B11" s="745"/>
      <c r="C11" s="749"/>
      <c r="D11" s="748"/>
      <c r="E11" s="748"/>
      <c r="F11" s="748"/>
      <c r="G11" s="748"/>
      <c r="H11" s="748"/>
      <c r="I11" s="748"/>
      <c r="J11" s="748"/>
      <c r="K11" s="748"/>
      <c r="L11" s="748"/>
      <c r="M11" s="748"/>
      <c r="N11" s="748"/>
      <c r="O11" s="748"/>
      <c r="P11" s="748"/>
      <c r="Q11" s="749"/>
      <c r="R11" s="748"/>
      <c r="S11" s="748"/>
      <c r="T11" s="748"/>
      <c r="U11" s="748"/>
      <c r="V11" s="748"/>
      <c r="W11" s="748"/>
      <c r="X11" s="748"/>
      <c r="Y11" s="748"/>
      <c r="Z11" s="748"/>
      <c r="AA11" s="748"/>
      <c r="AB11" s="748"/>
      <c r="AC11" s="748"/>
      <c r="AD11" s="748"/>
      <c r="AE11" s="748"/>
      <c r="AF11" s="748"/>
      <c r="AG11" s="748"/>
      <c r="AH11" s="748"/>
      <c r="AI11" s="748"/>
      <c r="AJ11" s="748"/>
      <c r="AK11" s="748"/>
      <c r="AL11" s="755"/>
      <c r="AM11" s="745"/>
      <c r="AN11" s="745"/>
      <c r="AO11" s="745"/>
      <c r="AP11" s="748"/>
      <c r="AQ11" s="748"/>
      <c r="AR11" s="748"/>
      <c r="AS11" s="748"/>
      <c r="AT11" s="748"/>
      <c r="AU11" s="748"/>
      <c r="AV11" s="748"/>
      <c r="AW11" s="748"/>
      <c r="AX11" s="748"/>
      <c r="AY11" s="748"/>
      <c r="AZ11" s="748"/>
      <c r="BA11" s="748"/>
    </row>
    <row r="12" spans="1:53">
      <c r="A12" s="745"/>
      <c r="B12" s="745"/>
      <c r="C12" s="748"/>
      <c r="D12" s="748"/>
      <c r="E12" s="748"/>
      <c r="F12" s="748"/>
      <c r="G12" s="748"/>
      <c r="H12" s="748"/>
      <c r="I12" s="748"/>
      <c r="J12" s="748"/>
      <c r="K12" s="748"/>
      <c r="L12" s="748"/>
      <c r="M12" s="748"/>
      <c r="N12" s="748"/>
      <c r="O12" s="748"/>
      <c r="P12" s="748"/>
      <c r="Q12" s="748"/>
      <c r="R12" s="748"/>
      <c r="S12" s="748"/>
      <c r="T12" s="748"/>
      <c r="U12" s="748"/>
      <c r="V12" s="748"/>
      <c r="W12" s="748"/>
      <c r="X12" s="748"/>
      <c r="Y12" s="748"/>
      <c r="Z12" s="748"/>
      <c r="AA12" s="748"/>
      <c r="AB12" s="748"/>
      <c r="AC12" s="748"/>
      <c r="AD12" s="748"/>
      <c r="AE12" s="748"/>
      <c r="AF12" s="748"/>
      <c r="AG12" s="748"/>
      <c r="AH12" s="748"/>
      <c r="AI12" s="748"/>
      <c r="AJ12" s="748"/>
      <c r="AK12" s="748"/>
      <c r="AL12" s="755"/>
      <c r="AM12" s="745"/>
      <c r="AN12" s="745"/>
      <c r="AO12" s="745"/>
      <c r="AP12" s="748"/>
      <c r="AQ12" s="748"/>
      <c r="AR12" s="748"/>
      <c r="AS12" s="748"/>
      <c r="AT12" s="748"/>
      <c r="AU12" s="748"/>
      <c r="AV12" s="748"/>
      <c r="AW12" s="748"/>
      <c r="AX12" s="748"/>
      <c r="AY12" s="748"/>
      <c r="AZ12" s="748"/>
      <c r="BA12" s="748"/>
    </row>
    <row r="13" spans="1:53">
      <c r="A13" s="747"/>
      <c r="B13" s="747"/>
      <c r="C13" s="750"/>
      <c r="D13" s="750"/>
      <c r="E13" s="750"/>
      <c r="F13" s="750"/>
      <c r="G13" s="750"/>
      <c r="H13" s="750"/>
      <c r="I13" s="750"/>
      <c r="J13" s="750"/>
      <c r="K13" s="750"/>
      <c r="L13" s="750"/>
      <c r="M13" s="750"/>
      <c r="N13" s="750"/>
      <c r="O13" s="750"/>
      <c r="P13" s="750"/>
      <c r="Q13" s="749"/>
      <c r="R13" s="748"/>
      <c r="S13" s="748"/>
      <c r="T13" s="748"/>
      <c r="U13" s="748"/>
      <c r="V13" s="748"/>
      <c r="W13" s="748"/>
      <c r="X13" s="748"/>
      <c r="Y13" s="748"/>
      <c r="Z13" s="748"/>
      <c r="AA13" s="748"/>
      <c r="AB13" s="748"/>
      <c r="AC13" s="748"/>
      <c r="AD13" s="748"/>
      <c r="AE13" s="748"/>
      <c r="AF13" s="748"/>
      <c r="AG13" s="748"/>
      <c r="AH13" s="748"/>
      <c r="AI13" s="748"/>
      <c r="AJ13" s="748"/>
      <c r="AK13" s="748"/>
      <c r="AL13" s="761"/>
      <c r="AM13" s="747"/>
      <c r="AN13" s="747"/>
      <c r="AO13" s="747"/>
      <c r="AP13" s="748"/>
      <c r="AQ13" s="748"/>
      <c r="AR13" s="748"/>
      <c r="AS13" s="750"/>
      <c r="AT13" s="750"/>
      <c r="AU13" s="750"/>
      <c r="AV13" s="750"/>
      <c r="AW13" s="750"/>
      <c r="AX13" s="750"/>
      <c r="AY13" s="750"/>
      <c r="AZ13" s="750"/>
      <c r="BA13" s="750"/>
    </row>
    <row r="14" spans="1:53">
      <c r="A14" s="745"/>
      <c r="B14" s="745"/>
      <c r="C14" s="748"/>
      <c r="D14" s="748"/>
      <c r="E14" s="748"/>
      <c r="F14" s="748"/>
      <c r="G14" s="748"/>
      <c r="H14" s="748"/>
      <c r="I14" s="748"/>
      <c r="J14" s="748"/>
      <c r="K14" s="748"/>
      <c r="L14" s="748"/>
      <c r="M14" s="748"/>
      <c r="N14" s="748"/>
      <c r="O14" s="748"/>
      <c r="P14" s="748"/>
      <c r="Q14" s="749"/>
      <c r="R14" s="748"/>
      <c r="S14" s="748"/>
      <c r="T14" s="748"/>
      <c r="U14" s="748"/>
      <c r="V14" s="748"/>
      <c r="W14" s="748"/>
      <c r="X14" s="748"/>
      <c r="Y14" s="748"/>
      <c r="Z14" s="748"/>
      <c r="AA14" s="748"/>
      <c r="AB14" s="748"/>
      <c r="AC14" s="748"/>
      <c r="AD14" s="748"/>
      <c r="AE14" s="748"/>
      <c r="AF14" s="748"/>
      <c r="AG14" s="748"/>
      <c r="AH14" s="748"/>
      <c r="AI14" s="748"/>
      <c r="AJ14" s="748"/>
      <c r="AK14" s="748"/>
      <c r="AL14" s="755"/>
      <c r="AM14" s="745"/>
      <c r="AN14" s="745"/>
      <c r="AO14" s="745"/>
      <c r="AP14" s="748"/>
      <c r="AQ14" s="748"/>
      <c r="AR14" s="748"/>
      <c r="AS14" s="748"/>
      <c r="AT14" s="748"/>
      <c r="AU14" s="748"/>
      <c r="AV14" s="748"/>
      <c r="AW14" s="748"/>
      <c r="AX14" s="748"/>
      <c r="AY14" s="748"/>
      <c r="AZ14" s="748"/>
      <c r="BA14" s="748"/>
    </row>
    <row r="15" spans="1:53">
      <c r="A15" s="745"/>
      <c r="B15" s="745"/>
      <c r="C15" s="748"/>
      <c r="D15" s="748"/>
      <c r="E15" s="748"/>
      <c r="F15" s="748"/>
      <c r="G15" s="748"/>
      <c r="H15" s="748"/>
      <c r="I15" s="748"/>
      <c r="J15" s="748"/>
      <c r="K15" s="748"/>
      <c r="L15" s="748"/>
      <c r="M15" s="748"/>
      <c r="N15" s="748"/>
      <c r="O15" s="748"/>
      <c r="P15" s="748"/>
      <c r="Q15" s="749"/>
      <c r="R15" s="748"/>
      <c r="S15" s="748"/>
      <c r="T15" s="748"/>
      <c r="U15" s="748"/>
      <c r="V15" s="748"/>
      <c r="W15" s="748"/>
      <c r="X15" s="748"/>
      <c r="Y15" s="748"/>
      <c r="Z15" s="748"/>
      <c r="AA15" s="748"/>
      <c r="AB15" s="748"/>
      <c r="AC15" s="748"/>
      <c r="AD15" s="748"/>
      <c r="AE15" s="748"/>
      <c r="AF15" s="748"/>
      <c r="AG15" s="748"/>
      <c r="AH15" s="748"/>
      <c r="AI15" s="748"/>
      <c r="AJ15" s="748"/>
      <c r="AK15" s="748"/>
      <c r="AL15" s="755"/>
      <c r="AM15" s="745"/>
      <c r="AN15" s="745"/>
      <c r="AO15" s="745"/>
      <c r="AP15" s="748"/>
      <c r="AQ15" s="748"/>
      <c r="AR15" s="748"/>
      <c r="AS15" s="748"/>
      <c r="AT15" s="748"/>
      <c r="AU15" s="748"/>
      <c r="AV15" s="748"/>
      <c r="AW15" s="748"/>
      <c r="AX15" s="748"/>
      <c r="AY15" s="748"/>
      <c r="AZ15" s="748"/>
      <c r="BA15" s="748"/>
    </row>
    <row r="16" spans="1:53">
      <c r="A16" s="745"/>
      <c r="B16" s="745"/>
      <c r="C16" s="748"/>
      <c r="D16" s="748"/>
      <c r="E16" s="748"/>
      <c r="F16" s="748"/>
      <c r="G16" s="748"/>
      <c r="H16" s="748"/>
      <c r="I16" s="748"/>
      <c r="J16" s="748"/>
      <c r="K16" s="748"/>
      <c r="L16" s="748"/>
      <c r="M16" s="748"/>
      <c r="N16" s="748"/>
      <c r="O16" s="748"/>
      <c r="P16" s="748"/>
      <c r="Q16" s="749"/>
      <c r="R16" s="748"/>
      <c r="S16" s="748"/>
      <c r="T16" s="748"/>
      <c r="U16" s="748"/>
      <c r="V16" s="748"/>
      <c r="W16" s="748"/>
      <c r="X16" s="748"/>
      <c r="Y16" s="748"/>
      <c r="Z16" s="748"/>
      <c r="AA16" s="748"/>
      <c r="AB16" s="748"/>
      <c r="AC16" s="748"/>
      <c r="AD16" s="748"/>
      <c r="AE16" s="748"/>
      <c r="AF16" s="748"/>
      <c r="AG16" s="748"/>
      <c r="AH16" s="748"/>
      <c r="AI16" s="748"/>
      <c r="AJ16" s="748"/>
      <c r="AK16" s="748"/>
      <c r="AL16" s="755"/>
      <c r="AM16" s="745"/>
      <c r="AN16" s="745"/>
      <c r="AO16" s="745"/>
      <c r="AP16" s="748"/>
      <c r="AQ16" s="748"/>
      <c r="AR16" s="748"/>
      <c r="AS16" s="748"/>
      <c r="AT16" s="748"/>
      <c r="AU16" s="748"/>
      <c r="AV16" s="748"/>
      <c r="AW16" s="748"/>
      <c r="AX16" s="748"/>
      <c r="AY16" s="748"/>
      <c r="AZ16" s="748"/>
      <c r="BA16" s="748"/>
    </row>
    <row r="17" spans="1:53">
      <c r="A17" s="746"/>
      <c r="B17" s="746"/>
      <c r="C17" s="748"/>
      <c r="D17" s="748"/>
      <c r="E17" s="748"/>
      <c r="F17" s="748"/>
      <c r="G17" s="748"/>
      <c r="H17" s="748"/>
      <c r="I17" s="748"/>
      <c r="J17" s="748"/>
      <c r="K17" s="748"/>
      <c r="L17" s="748"/>
      <c r="M17" s="748"/>
      <c r="N17" s="748"/>
      <c r="O17" s="748"/>
      <c r="P17" s="748"/>
      <c r="Q17" s="748"/>
      <c r="R17" s="754"/>
      <c r="S17" s="754"/>
      <c r="T17" s="754"/>
      <c r="U17" s="754"/>
      <c r="V17" s="754"/>
      <c r="W17" s="754"/>
      <c r="X17" s="754"/>
      <c r="Y17" s="754"/>
      <c r="Z17" s="754"/>
      <c r="AA17" s="754"/>
      <c r="AB17" s="754"/>
      <c r="AC17" s="754"/>
      <c r="AD17" s="754"/>
      <c r="AE17" s="754"/>
      <c r="AF17" s="754"/>
      <c r="AG17" s="754"/>
      <c r="AH17" s="754"/>
      <c r="AI17" s="754"/>
      <c r="AJ17" s="754"/>
      <c r="AK17" s="754"/>
      <c r="AL17" s="755"/>
      <c r="AM17" s="745"/>
      <c r="AN17" s="745"/>
      <c r="AO17" s="745"/>
      <c r="AP17" s="748"/>
      <c r="AQ17" s="754"/>
      <c r="AR17" s="754"/>
      <c r="AS17" s="754"/>
      <c r="AT17" s="754"/>
      <c r="AU17" s="754"/>
      <c r="AV17" s="754"/>
      <c r="AW17" s="754"/>
      <c r="AX17" s="754"/>
      <c r="AY17" s="754"/>
      <c r="AZ17" s="754"/>
      <c r="BA17" s="754"/>
    </row>
    <row r="18" spans="1:53">
      <c r="A18" s="746"/>
      <c r="B18" s="746"/>
      <c r="C18" s="748"/>
      <c r="D18" s="748"/>
      <c r="E18" s="748"/>
      <c r="F18" s="748"/>
      <c r="G18" s="748"/>
      <c r="H18" s="748"/>
      <c r="I18" s="748"/>
      <c r="J18" s="748"/>
      <c r="K18" s="748"/>
      <c r="L18" s="748"/>
      <c r="M18" s="748"/>
      <c r="N18" s="748"/>
      <c r="O18" s="748"/>
      <c r="P18" s="748"/>
      <c r="Q18" s="748"/>
      <c r="R18" s="754"/>
      <c r="S18" s="754"/>
      <c r="T18" s="754"/>
      <c r="U18" s="754"/>
      <c r="V18" s="754"/>
      <c r="W18" s="754"/>
      <c r="X18" s="754"/>
      <c r="Y18" s="754"/>
      <c r="Z18" s="754"/>
      <c r="AA18" s="754"/>
      <c r="AB18" s="754"/>
      <c r="AC18" s="754"/>
      <c r="AD18" s="754"/>
      <c r="AE18" s="754"/>
      <c r="AF18" s="754"/>
      <c r="AG18" s="754"/>
      <c r="AH18" s="754"/>
      <c r="AI18" s="754"/>
      <c r="AJ18" s="754"/>
      <c r="AK18" s="754"/>
      <c r="AL18" s="755"/>
      <c r="AM18" s="745"/>
      <c r="AN18" s="745"/>
      <c r="AO18" s="745"/>
      <c r="AP18" s="748"/>
      <c r="AQ18" s="754"/>
      <c r="AR18" s="754"/>
      <c r="AS18" s="754"/>
      <c r="AT18" s="754"/>
      <c r="AU18" s="754"/>
      <c r="AV18" s="754"/>
      <c r="AW18" s="754"/>
      <c r="AX18" s="754"/>
      <c r="AY18" s="754"/>
      <c r="AZ18" s="754"/>
      <c r="BA18" s="754"/>
    </row>
    <row r="19" spans="1:53">
      <c r="A19" s="745"/>
      <c r="B19" s="745"/>
      <c r="C19" s="748"/>
      <c r="D19" s="748"/>
      <c r="E19" s="748"/>
      <c r="F19" s="748"/>
      <c r="G19" s="748"/>
      <c r="H19" s="748"/>
      <c r="I19" s="748"/>
      <c r="J19" s="748"/>
      <c r="K19" s="748"/>
      <c r="L19" s="748"/>
      <c r="M19" s="748"/>
      <c r="N19" s="748"/>
      <c r="O19" s="748"/>
      <c r="P19" s="748"/>
      <c r="Q19" s="748"/>
      <c r="R19" s="748"/>
      <c r="S19" s="748"/>
      <c r="T19" s="748"/>
      <c r="U19" s="748"/>
      <c r="V19" s="748"/>
      <c r="W19" s="748"/>
      <c r="X19" s="748"/>
      <c r="Y19" s="748"/>
      <c r="Z19" s="748"/>
      <c r="AA19" s="748"/>
      <c r="AB19" s="748"/>
      <c r="AC19" s="748"/>
      <c r="AD19" s="748"/>
      <c r="AE19" s="748"/>
      <c r="AF19" s="748"/>
      <c r="AG19" s="748"/>
      <c r="AH19" s="748"/>
      <c r="AI19" s="748"/>
      <c r="AJ19" s="748"/>
      <c r="AK19" s="748"/>
      <c r="AL19" s="755"/>
      <c r="AM19" s="755"/>
      <c r="AN19" s="755"/>
      <c r="AO19" s="755"/>
      <c r="AP19" s="748"/>
      <c r="AQ19" s="748"/>
      <c r="AR19" s="748"/>
      <c r="AS19" s="748"/>
      <c r="AT19" s="748"/>
      <c r="AU19" s="748"/>
      <c r="AV19" s="748"/>
      <c r="AW19" s="748"/>
      <c r="AX19" s="748"/>
      <c r="AY19" s="748"/>
      <c r="AZ19" s="748"/>
      <c r="BA19" s="748"/>
    </row>
    <row r="20" spans="1:53">
      <c r="A20" s="745"/>
      <c r="B20" s="745"/>
      <c r="C20" s="748"/>
      <c r="D20" s="748"/>
      <c r="E20" s="748"/>
      <c r="F20" s="748"/>
      <c r="G20" s="748"/>
      <c r="H20" s="748"/>
      <c r="I20" s="748"/>
      <c r="J20" s="748"/>
      <c r="K20" s="748"/>
      <c r="L20" s="748"/>
      <c r="M20" s="748"/>
      <c r="N20" s="748"/>
      <c r="O20" s="748"/>
      <c r="P20" s="748"/>
      <c r="Q20" s="748"/>
      <c r="R20" s="748"/>
      <c r="S20" s="748"/>
      <c r="T20" s="748"/>
      <c r="U20" s="748"/>
      <c r="V20" s="748"/>
      <c r="W20" s="748"/>
      <c r="X20" s="748"/>
      <c r="Y20" s="748"/>
      <c r="Z20" s="748"/>
      <c r="AA20" s="748"/>
      <c r="AB20" s="748"/>
      <c r="AC20" s="748"/>
      <c r="AD20" s="748"/>
      <c r="AE20" s="748"/>
      <c r="AF20" s="748"/>
      <c r="AG20" s="748"/>
      <c r="AH20" s="748"/>
      <c r="AI20" s="748"/>
      <c r="AJ20" s="748"/>
      <c r="AK20" s="748"/>
      <c r="AL20" s="755"/>
      <c r="AM20" s="755"/>
      <c r="AN20" s="755"/>
      <c r="AO20" s="755"/>
      <c r="AP20" s="748"/>
      <c r="AQ20" s="748"/>
      <c r="AR20" s="748"/>
      <c r="AS20" s="748"/>
      <c r="AT20" s="748"/>
      <c r="AU20" s="748"/>
      <c r="AV20" s="748"/>
      <c r="AW20" s="748"/>
      <c r="AX20" s="748"/>
      <c r="AY20" s="748"/>
      <c r="AZ20" s="748"/>
      <c r="BA20" s="748"/>
    </row>
    <row r="21" spans="1:53" ht="13.5" customHeight="1">
      <c r="A21" s="745"/>
      <c r="B21" s="745"/>
      <c r="C21" s="748"/>
      <c r="D21" s="748"/>
      <c r="E21" s="748"/>
      <c r="F21" s="748"/>
      <c r="G21" s="748"/>
      <c r="H21" s="748"/>
      <c r="I21" s="748"/>
      <c r="J21" s="748"/>
      <c r="K21" s="748"/>
      <c r="L21" s="748"/>
      <c r="M21" s="748"/>
      <c r="N21" s="748"/>
      <c r="O21" s="748"/>
      <c r="P21" s="748"/>
      <c r="Q21" s="748"/>
      <c r="R21" s="754"/>
      <c r="S21" s="754"/>
      <c r="T21" s="754"/>
      <c r="U21" s="754"/>
      <c r="V21" s="754"/>
      <c r="W21" s="754"/>
      <c r="X21" s="754"/>
      <c r="Y21" s="754"/>
      <c r="Z21" s="754"/>
      <c r="AA21" s="754"/>
      <c r="AB21" s="754"/>
      <c r="AC21" s="754"/>
      <c r="AD21" s="754"/>
      <c r="AE21" s="754"/>
      <c r="AF21" s="754"/>
      <c r="AG21" s="754"/>
      <c r="AH21" s="754"/>
      <c r="AI21" s="754"/>
      <c r="AJ21" s="754"/>
      <c r="AK21" s="754"/>
      <c r="AL21" s="755"/>
      <c r="AM21" s="755"/>
      <c r="AN21" s="755"/>
      <c r="AO21" s="755"/>
      <c r="AP21" s="748"/>
      <c r="AQ21" s="748"/>
      <c r="AR21" s="748"/>
      <c r="AS21" s="748"/>
      <c r="AT21" s="748"/>
      <c r="AU21" s="748"/>
      <c r="AV21" s="748"/>
      <c r="AW21" s="748"/>
      <c r="AX21" s="748"/>
      <c r="AY21" s="748"/>
      <c r="AZ21" s="748"/>
      <c r="BA21" s="748"/>
    </row>
    <row r="22" spans="1:53">
      <c r="A22" s="745"/>
      <c r="B22" s="745"/>
      <c r="C22" s="748"/>
      <c r="D22" s="748"/>
      <c r="E22" s="748"/>
      <c r="F22" s="748"/>
      <c r="G22" s="748"/>
      <c r="H22" s="748"/>
      <c r="I22" s="748"/>
      <c r="J22" s="748"/>
      <c r="K22" s="748"/>
      <c r="L22" s="748"/>
      <c r="M22" s="748"/>
      <c r="N22" s="748"/>
      <c r="O22" s="748"/>
      <c r="P22" s="748"/>
      <c r="Q22" s="748"/>
      <c r="R22" s="748"/>
      <c r="S22" s="748"/>
      <c r="T22" s="748"/>
      <c r="U22" s="748"/>
      <c r="V22" s="748"/>
      <c r="W22" s="748"/>
      <c r="X22" s="748"/>
      <c r="Y22" s="748"/>
      <c r="Z22" s="748"/>
      <c r="AA22" s="748"/>
      <c r="AB22" s="748"/>
      <c r="AC22" s="748"/>
      <c r="AD22" s="748"/>
      <c r="AE22" s="748"/>
      <c r="AF22" s="748"/>
      <c r="AG22" s="748"/>
      <c r="AH22" s="748"/>
      <c r="AI22" s="748"/>
      <c r="AJ22" s="748"/>
      <c r="AK22" s="748"/>
      <c r="AL22" s="755"/>
      <c r="AM22" s="755"/>
      <c r="AN22" s="755"/>
      <c r="AO22" s="755"/>
      <c r="AP22" s="748"/>
      <c r="AQ22" s="748"/>
      <c r="AR22" s="748"/>
      <c r="AS22" s="748"/>
      <c r="AT22" s="748"/>
      <c r="AU22" s="748"/>
      <c r="AV22" s="748"/>
      <c r="AW22" s="748"/>
      <c r="AX22" s="748"/>
      <c r="AY22" s="748"/>
      <c r="AZ22" s="748"/>
      <c r="BA22" s="748"/>
    </row>
    <row r="23" spans="1:53">
      <c r="A23" s="745"/>
      <c r="B23" s="745"/>
      <c r="C23" s="748"/>
      <c r="D23" s="748"/>
      <c r="E23" s="748"/>
      <c r="F23" s="748"/>
      <c r="G23" s="748"/>
      <c r="H23" s="748"/>
      <c r="I23" s="748"/>
      <c r="J23" s="748"/>
      <c r="K23" s="748"/>
      <c r="L23" s="748"/>
      <c r="M23" s="748"/>
      <c r="N23" s="748"/>
      <c r="O23" s="748"/>
      <c r="P23" s="748"/>
      <c r="Q23" s="748"/>
      <c r="R23" s="754"/>
      <c r="S23" s="754"/>
      <c r="T23" s="754"/>
      <c r="U23" s="754"/>
      <c r="V23" s="754"/>
      <c r="W23" s="754"/>
      <c r="X23" s="754"/>
      <c r="Y23" s="754"/>
      <c r="Z23" s="754"/>
      <c r="AA23" s="754"/>
      <c r="AB23" s="754"/>
      <c r="AC23" s="754"/>
      <c r="AD23" s="754"/>
      <c r="AE23" s="754"/>
      <c r="AF23" s="754"/>
      <c r="AG23" s="754"/>
      <c r="AH23" s="754"/>
      <c r="AI23" s="754"/>
      <c r="AJ23" s="754"/>
      <c r="AK23" s="754"/>
      <c r="AL23" s="755"/>
      <c r="AM23" s="755"/>
      <c r="AN23" s="755"/>
      <c r="AO23" s="755"/>
      <c r="AP23" s="748"/>
      <c r="AQ23" s="748"/>
      <c r="AR23" s="748"/>
      <c r="AS23" s="748"/>
      <c r="AT23" s="748"/>
      <c r="AU23" s="748"/>
      <c r="AV23" s="748"/>
      <c r="AW23" s="748"/>
      <c r="AX23" s="748"/>
      <c r="AY23" s="748"/>
      <c r="AZ23" s="748"/>
      <c r="BA23" s="748"/>
    </row>
    <row r="24" spans="1:53">
      <c r="A24" s="745"/>
      <c r="B24" s="745"/>
      <c r="C24" s="748"/>
      <c r="D24" s="748"/>
      <c r="E24" s="748"/>
      <c r="F24" s="748"/>
      <c r="G24" s="748"/>
      <c r="H24" s="748"/>
      <c r="I24" s="748"/>
      <c r="J24" s="748"/>
      <c r="K24" s="748"/>
      <c r="L24" s="748"/>
      <c r="M24" s="748"/>
      <c r="N24" s="748"/>
      <c r="O24" s="748"/>
      <c r="P24" s="748"/>
      <c r="Q24" s="748"/>
      <c r="R24" s="748"/>
      <c r="S24" s="748"/>
      <c r="T24" s="748"/>
      <c r="U24" s="748"/>
      <c r="V24" s="748"/>
      <c r="W24" s="748"/>
      <c r="X24" s="748"/>
      <c r="Y24" s="748"/>
      <c r="Z24" s="748"/>
      <c r="AA24" s="748"/>
      <c r="AB24" s="748"/>
      <c r="AC24" s="748"/>
      <c r="AD24" s="748"/>
      <c r="AE24" s="748"/>
      <c r="AF24" s="748"/>
      <c r="AG24" s="748"/>
      <c r="AH24" s="748"/>
      <c r="AI24" s="748"/>
      <c r="AJ24" s="748"/>
      <c r="AK24" s="748"/>
      <c r="AL24" s="755"/>
      <c r="AM24" s="755"/>
      <c r="AN24" s="755"/>
      <c r="AO24" s="755"/>
      <c r="AP24" s="748"/>
      <c r="AQ24" s="748"/>
      <c r="AR24" s="748"/>
      <c r="AS24" s="748"/>
      <c r="AT24" s="748"/>
      <c r="AU24" s="748"/>
      <c r="AV24" s="748"/>
      <c r="AW24" s="748"/>
      <c r="AX24" s="748"/>
      <c r="AY24" s="748"/>
      <c r="AZ24" s="748"/>
      <c r="BA24" s="748"/>
    </row>
    <row r="25" spans="1:53">
      <c r="A25" s="745"/>
      <c r="B25" s="745"/>
      <c r="C25" s="748"/>
      <c r="D25" s="748"/>
      <c r="E25" s="748"/>
      <c r="F25" s="748"/>
      <c r="G25" s="748"/>
      <c r="H25" s="748"/>
      <c r="I25" s="748"/>
      <c r="J25" s="748"/>
      <c r="K25" s="748"/>
      <c r="L25" s="748"/>
      <c r="M25" s="748"/>
      <c r="N25" s="748"/>
      <c r="O25" s="748"/>
      <c r="P25" s="748"/>
      <c r="Q25" s="748"/>
      <c r="R25" s="748"/>
      <c r="S25" s="748"/>
      <c r="T25" s="748"/>
      <c r="U25" s="748"/>
      <c r="V25" s="748"/>
      <c r="W25" s="748"/>
      <c r="X25" s="748"/>
      <c r="Y25" s="748"/>
      <c r="Z25" s="748"/>
      <c r="AA25" s="748"/>
      <c r="AB25" s="748"/>
      <c r="AC25" s="748"/>
      <c r="AD25" s="748"/>
      <c r="AE25" s="748"/>
      <c r="AF25" s="748"/>
      <c r="AG25" s="748"/>
      <c r="AH25" s="748"/>
      <c r="AI25" s="748"/>
      <c r="AJ25" s="748"/>
      <c r="AK25" s="748"/>
      <c r="AL25" s="755"/>
      <c r="AM25" s="745"/>
      <c r="AN25" s="745"/>
      <c r="AO25" s="745"/>
      <c r="AP25" s="748"/>
      <c r="AQ25" s="748"/>
      <c r="AR25" s="748"/>
      <c r="AS25" s="748"/>
      <c r="AT25" s="748"/>
      <c r="AU25" s="748"/>
      <c r="AV25" s="748"/>
      <c r="AW25" s="748"/>
      <c r="AX25" s="748"/>
      <c r="AY25" s="748"/>
      <c r="AZ25" s="748"/>
      <c r="BA25" s="748"/>
    </row>
    <row r="26" spans="1:53">
      <c r="A26" s="745"/>
      <c r="B26" s="745"/>
      <c r="C26" s="748"/>
      <c r="D26" s="748"/>
      <c r="E26" s="748"/>
      <c r="F26" s="748"/>
      <c r="G26" s="748"/>
      <c r="H26" s="748"/>
      <c r="I26" s="748"/>
      <c r="J26" s="748"/>
      <c r="K26" s="748"/>
      <c r="L26" s="748"/>
      <c r="M26" s="748"/>
      <c r="N26" s="748"/>
      <c r="O26" s="748"/>
      <c r="P26" s="748"/>
      <c r="Q26" s="748"/>
      <c r="R26" s="748"/>
      <c r="S26" s="748"/>
      <c r="T26" s="748"/>
      <c r="U26" s="748"/>
      <c r="V26" s="748"/>
      <c r="W26" s="748"/>
      <c r="X26" s="748"/>
      <c r="Y26" s="748"/>
      <c r="Z26" s="748"/>
      <c r="AA26" s="748"/>
      <c r="AB26" s="748"/>
      <c r="AC26" s="748"/>
      <c r="AD26" s="748"/>
      <c r="AE26" s="748"/>
      <c r="AF26" s="748"/>
      <c r="AG26" s="748"/>
      <c r="AH26" s="748"/>
      <c r="AI26" s="748"/>
      <c r="AJ26" s="748"/>
      <c r="AK26" s="748"/>
      <c r="AL26" s="755"/>
      <c r="AM26" s="745"/>
      <c r="AN26" s="745"/>
      <c r="AO26" s="745"/>
      <c r="AP26" s="748"/>
      <c r="AQ26" s="748"/>
      <c r="AR26" s="748"/>
      <c r="AS26" s="748"/>
      <c r="AT26" s="748"/>
      <c r="AU26" s="748"/>
      <c r="AV26" s="748"/>
      <c r="AW26" s="748"/>
      <c r="AX26" s="748"/>
      <c r="AY26" s="748"/>
      <c r="AZ26" s="748"/>
      <c r="BA26" s="748"/>
    </row>
    <row r="27" spans="1:53">
      <c r="A27" s="745"/>
      <c r="B27" s="745"/>
      <c r="C27" s="748"/>
      <c r="D27" s="748"/>
      <c r="E27" s="748"/>
      <c r="F27" s="748"/>
      <c r="G27" s="748"/>
      <c r="H27" s="748"/>
      <c r="I27" s="748"/>
      <c r="J27" s="748"/>
      <c r="K27" s="748"/>
      <c r="L27" s="748"/>
      <c r="M27" s="748"/>
      <c r="N27" s="748"/>
      <c r="O27" s="748"/>
      <c r="P27" s="748"/>
      <c r="Q27" s="748"/>
      <c r="R27" s="748"/>
      <c r="S27" s="748"/>
      <c r="T27" s="748"/>
      <c r="U27" s="748"/>
      <c r="V27" s="748"/>
      <c r="W27" s="748"/>
      <c r="X27" s="748"/>
      <c r="Y27" s="748"/>
      <c r="Z27" s="748"/>
      <c r="AA27" s="748"/>
      <c r="AB27" s="748"/>
      <c r="AC27" s="748"/>
      <c r="AD27" s="748"/>
      <c r="AE27" s="748"/>
      <c r="AF27" s="748"/>
      <c r="AG27" s="748"/>
      <c r="AH27" s="748"/>
      <c r="AI27" s="748"/>
      <c r="AJ27" s="748"/>
      <c r="AK27" s="748"/>
      <c r="AL27" s="755"/>
      <c r="AM27" s="745"/>
      <c r="AN27" s="745"/>
      <c r="AO27" s="745"/>
      <c r="AP27" s="748"/>
      <c r="AQ27" s="748"/>
      <c r="AR27" s="748"/>
      <c r="AS27" s="748"/>
      <c r="AT27" s="748"/>
      <c r="AU27" s="748"/>
      <c r="AV27" s="748"/>
      <c r="AW27" s="748"/>
      <c r="AX27" s="748"/>
      <c r="AY27" s="748"/>
      <c r="AZ27" s="748"/>
      <c r="BA27" s="748"/>
    </row>
    <row r="28" spans="1:53">
      <c r="A28" s="745"/>
      <c r="B28" s="745"/>
      <c r="C28" s="748"/>
      <c r="D28" s="748"/>
      <c r="E28" s="748"/>
      <c r="F28" s="748"/>
      <c r="G28" s="748"/>
      <c r="H28" s="748"/>
      <c r="I28" s="748"/>
      <c r="J28" s="748"/>
      <c r="K28" s="748"/>
      <c r="L28" s="748"/>
      <c r="M28" s="748"/>
      <c r="N28" s="748"/>
      <c r="O28" s="748"/>
      <c r="P28" s="748"/>
      <c r="Q28" s="748"/>
      <c r="R28" s="748"/>
      <c r="S28" s="748"/>
      <c r="T28" s="748"/>
      <c r="U28" s="748"/>
      <c r="V28" s="748"/>
      <c r="W28" s="748"/>
      <c r="X28" s="748"/>
      <c r="Y28" s="748"/>
      <c r="Z28" s="748"/>
      <c r="AA28" s="748"/>
      <c r="AB28" s="748"/>
      <c r="AC28" s="748"/>
      <c r="AD28" s="748"/>
      <c r="AE28" s="748"/>
      <c r="AF28" s="748"/>
      <c r="AG28" s="748"/>
      <c r="AH28" s="748"/>
      <c r="AI28" s="748"/>
      <c r="AJ28" s="748"/>
      <c r="AK28" s="748"/>
      <c r="AL28" s="755"/>
      <c r="AM28" s="745"/>
      <c r="AN28" s="745"/>
      <c r="AO28" s="745"/>
      <c r="AP28" s="748"/>
      <c r="AQ28" s="748"/>
      <c r="AR28" s="748"/>
      <c r="AS28" s="748"/>
      <c r="AT28" s="748"/>
      <c r="AU28" s="748"/>
      <c r="AV28" s="748"/>
      <c r="AW28" s="748"/>
      <c r="AX28" s="748"/>
      <c r="AY28" s="748"/>
      <c r="AZ28" s="748"/>
      <c r="BA28" s="748"/>
    </row>
    <row r="29" spans="1:53">
      <c r="A29" s="745"/>
      <c r="B29" s="745"/>
      <c r="C29" s="748"/>
      <c r="D29" s="748"/>
      <c r="E29" s="748"/>
      <c r="F29" s="748"/>
      <c r="G29" s="748"/>
      <c r="H29" s="748"/>
      <c r="I29" s="748"/>
      <c r="J29" s="748"/>
      <c r="K29" s="748"/>
      <c r="L29" s="748"/>
      <c r="M29" s="748"/>
      <c r="N29" s="748"/>
      <c r="O29" s="748"/>
      <c r="P29" s="748"/>
      <c r="Q29" s="748"/>
      <c r="R29" s="748"/>
      <c r="S29" s="748"/>
      <c r="T29" s="748"/>
      <c r="U29" s="748"/>
      <c r="V29" s="748"/>
      <c r="W29" s="748"/>
      <c r="X29" s="748"/>
      <c r="Y29" s="748"/>
      <c r="Z29" s="748"/>
      <c r="AA29" s="748"/>
      <c r="AB29" s="748"/>
      <c r="AC29" s="748"/>
      <c r="AD29" s="748"/>
      <c r="AE29" s="748"/>
      <c r="AF29" s="748"/>
      <c r="AG29" s="748"/>
      <c r="AH29" s="748"/>
      <c r="AI29" s="748"/>
      <c r="AJ29" s="748"/>
      <c r="AK29" s="748"/>
      <c r="AL29" s="755"/>
      <c r="AM29" s="745"/>
      <c r="AN29" s="745"/>
      <c r="AO29" s="745"/>
      <c r="AP29" s="748"/>
      <c r="AQ29" s="748"/>
      <c r="AR29" s="748"/>
      <c r="AS29" s="748"/>
      <c r="AT29" s="748"/>
      <c r="AU29" s="748"/>
      <c r="AV29" s="748"/>
      <c r="AW29" s="748"/>
      <c r="AX29" s="748"/>
      <c r="AY29" s="748"/>
      <c r="AZ29" s="748"/>
      <c r="BA29" s="748"/>
    </row>
    <row r="30" spans="1:53">
      <c r="A30" s="745"/>
      <c r="B30" s="745"/>
      <c r="C30" s="748"/>
      <c r="D30" s="748"/>
      <c r="E30" s="748"/>
      <c r="F30" s="748"/>
      <c r="G30" s="748"/>
      <c r="H30" s="748"/>
      <c r="I30" s="748"/>
      <c r="J30" s="748"/>
      <c r="K30" s="748"/>
      <c r="L30" s="748"/>
      <c r="M30" s="748"/>
      <c r="N30" s="748"/>
      <c r="O30" s="748"/>
      <c r="P30" s="748"/>
      <c r="Q30" s="748"/>
      <c r="R30" s="748"/>
      <c r="S30" s="748"/>
      <c r="T30" s="748"/>
      <c r="U30" s="748"/>
      <c r="V30" s="748"/>
      <c r="W30" s="748"/>
      <c r="X30" s="748"/>
      <c r="Y30" s="748"/>
      <c r="Z30" s="748"/>
      <c r="AA30" s="748"/>
      <c r="AB30" s="748"/>
      <c r="AC30" s="748"/>
      <c r="AD30" s="748"/>
      <c r="AE30" s="748"/>
      <c r="AF30" s="748"/>
      <c r="AG30" s="748"/>
      <c r="AH30" s="748"/>
      <c r="AI30" s="748"/>
      <c r="AJ30" s="748"/>
      <c r="AK30" s="748"/>
      <c r="AL30" s="745"/>
      <c r="AM30" s="745"/>
      <c r="AN30" s="745"/>
      <c r="AO30" s="745"/>
      <c r="AP30" s="748"/>
      <c r="AQ30" s="748"/>
      <c r="AR30" s="748"/>
      <c r="AS30" s="748"/>
      <c r="AT30" s="748"/>
      <c r="AU30" s="748"/>
      <c r="AV30" s="748"/>
      <c r="AW30" s="748"/>
      <c r="AX30" s="748"/>
      <c r="AY30" s="748"/>
      <c r="AZ30" s="748"/>
      <c r="BA30" s="748"/>
    </row>
    <row r="31" spans="1:53">
      <c r="A31" s="745"/>
      <c r="B31" s="745"/>
      <c r="C31" s="748"/>
      <c r="D31" s="748"/>
      <c r="E31" s="748"/>
      <c r="F31" s="748"/>
      <c r="G31" s="748"/>
      <c r="H31" s="748"/>
      <c r="I31" s="748"/>
      <c r="J31" s="748"/>
      <c r="K31" s="748"/>
      <c r="L31" s="748"/>
      <c r="M31" s="748"/>
      <c r="N31" s="748"/>
      <c r="O31" s="748"/>
      <c r="P31" s="748"/>
      <c r="Q31" s="748"/>
      <c r="R31" s="748"/>
      <c r="S31" s="748"/>
      <c r="T31" s="748"/>
      <c r="U31" s="748"/>
      <c r="V31" s="748"/>
      <c r="W31" s="748"/>
      <c r="X31" s="748"/>
      <c r="Y31" s="748"/>
      <c r="Z31" s="748"/>
      <c r="AA31" s="748"/>
      <c r="AB31" s="748"/>
      <c r="AC31" s="748"/>
      <c r="AD31" s="748"/>
      <c r="AE31" s="748"/>
      <c r="AF31" s="748"/>
      <c r="AG31" s="748"/>
      <c r="AH31" s="748"/>
      <c r="AI31" s="748"/>
      <c r="AJ31" s="748"/>
      <c r="AK31" s="748"/>
      <c r="AL31" s="745"/>
      <c r="AM31" s="745"/>
      <c r="AN31" s="745"/>
      <c r="AO31" s="745"/>
      <c r="AP31" s="748"/>
      <c r="AQ31" s="748"/>
      <c r="AR31" s="748"/>
      <c r="AS31" s="748"/>
      <c r="AT31" s="748"/>
      <c r="AU31" s="748"/>
      <c r="AV31" s="748"/>
      <c r="AW31" s="748"/>
      <c r="AX31" s="748"/>
      <c r="AY31" s="748"/>
      <c r="AZ31" s="748"/>
      <c r="BA31" s="748"/>
    </row>
    <row r="32" spans="1:53">
      <c r="A32" s="745"/>
      <c r="B32" s="745"/>
      <c r="C32" s="748"/>
      <c r="D32" s="748"/>
      <c r="E32" s="748"/>
      <c r="F32" s="748"/>
      <c r="G32" s="748"/>
      <c r="H32" s="748"/>
      <c r="I32" s="748"/>
      <c r="J32" s="748"/>
      <c r="K32" s="748"/>
      <c r="L32" s="748"/>
      <c r="M32" s="748"/>
      <c r="N32" s="748"/>
      <c r="O32" s="748"/>
      <c r="P32" s="748"/>
      <c r="Q32" s="748"/>
      <c r="R32" s="748"/>
      <c r="S32" s="748"/>
      <c r="T32" s="748"/>
      <c r="U32" s="748"/>
      <c r="V32" s="748"/>
      <c r="W32" s="748"/>
      <c r="X32" s="748"/>
      <c r="Y32" s="748"/>
      <c r="Z32" s="748"/>
      <c r="AA32" s="748"/>
      <c r="AB32" s="748"/>
      <c r="AC32" s="748"/>
      <c r="AD32" s="748"/>
      <c r="AE32" s="748"/>
      <c r="AF32" s="748"/>
      <c r="AG32" s="748"/>
      <c r="AH32" s="748"/>
      <c r="AI32" s="748"/>
      <c r="AJ32" s="748"/>
      <c r="AK32" s="748"/>
      <c r="AL32" s="745"/>
      <c r="AM32" s="745"/>
      <c r="AN32" s="745"/>
      <c r="AO32" s="745"/>
      <c r="AP32" s="748"/>
      <c r="AQ32" s="748"/>
      <c r="AR32" s="748"/>
      <c r="AS32" s="748"/>
      <c r="AT32" s="748"/>
      <c r="AU32" s="748"/>
      <c r="AV32" s="748"/>
      <c r="AW32" s="748"/>
      <c r="AX32" s="748"/>
      <c r="AY32" s="748"/>
      <c r="AZ32" s="748"/>
      <c r="BA32" s="748"/>
    </row>
    <row r="33" spans="1:53">
      <c r="A33" s="745"/>
      <c r="B33" s="745"/>
      <c r="C33" s="748"/>
      <c r="D33" s="748"/>
      <c r="E33" s="748"/>
      <c r="F33" s="748"/>
      <c r="G33" s="748"/>
      <c r="H33" s="748"/>
      <c r="I33" s="748"/>
      <c r="J33" s="748"/>
      <c r="K33" s="748"/>
      <c r="L33" s="748"/>
      <c r="M33" s="748"/>
      <c r="N33" s="748"/>
      <c r="O33" s="748"/>
      <c r="P33" s="748"/>
      <c r="Q33" s="748"/>
      <c r="R33" s="748"/>
      <c r="S33" s="748"/>
      <c r="T33" s="748"/>
      <c r="U33" s="748"/>
      <c r="V33" s="748"/>
      <c r="W33" s="748"/>
      <c r="X33" s="748"/>
      <c r="Y33" s="748"/>
      <c r="Z33" s="748"/>
      <c r="AA33" s="748"/>
      <c r="AB33" s="748"/>
      <c r="AC33" s="748"/>
      <c r="AD33" s="748"/>
      <c r="AE33" s="748"/>
      <c r="AF33" s="748"/>
      <c r="AG33" s="748"/>
      <c r="AH33" s="748"/>
      <c r="AI33" s="748"/>
      <c r="AJ33" s="748"/>
      <c r="AK33" s="748"/>
      <c r="AL33" s="745"/>
      <c r="AM33" s="745"/>
      <c r="AN33" s="745"/>
      <c r="AO33" s="745"/>
      <c r="AP33" s="748"/>
      <c r="AQ33" s="748"/>
      <c r="AR33" s="748"/>
      <c r="AS33" s="748"/>
      <c r="AT33" s="748"/>
      <c r="AU33" s="748"/>
      <c r="AV33" s="748"/>
      <c r="AW33" s="748"/>
      <c r="AX33" s="748"/>
      <c r="AY33" s="748"/>
      <c r="AZ33" s="748"/>
      <c r="BA33" s="748"/>
    </row>
    <row r="34" spans="1:53">
      <c r="A34" s="745"/>
      <c r="B34" s="745"/>
      <c r="C34" s="748"/>
      <c r="D34" s="748"/>
      <c r="E34" s="748"/>
      <c r="F34" s="748"/>
      <c r="G34" s="748"/>
      <c r="H34" s="748"/>
      <c r="I34" s="748"/>
      <c r="J34" s="748"/>
      <c r="K34" s="748"/>
      <c r="L34" s="748"/>
      <c r="M34" s="748"/>
      <c r="N34" s="748"/>
      <c r="O34" s="748"/>
      <c r="P34" s="748"/>
      <c r="Q34" s="748"/>
      <c r="R34" s="748"/>
      <c r="S34" s="748"/>
      <c r="T34" s="748"/>
      <c r="U34" s="748"/>
      <c r="V34" s="748"/>
      <c r="W34" s="748"/>
      <c r="X34" s="748"/>
      <c r="Y34" s="748"/>
      <c r="Z34" s="748"/>
      <c r="AA34" s="748"/>
      <c r="AB34" s="748"/>
      <c r="AC34" s="748"/>
      <c r="AD34" s="748"/>
      <c r="AE34" s="748"/>
      <c r="AF34" s="748"/>
      <c r="AG34" s="748"/>
      <c r="AH34" s="748"/>
      <c r="AI34" s="748"/>
      <c r="AJ34" s="748"/>
      <c r="AK34" s="748"/>
      <c r="AL34" s="745"/>
      <c r="AM34" s="745"/>
      <c r="AN34" s="745"/>
      <c r="AO34" s="745"/>
      <c r="AP34" s="748"/>
      <c r="AQ34" s="748"/>
      <c r="AR34" s="748"/>
      <c r="AS34" s="748"/>
      <c r="AT34" s="748"/>
      <c r="AU34" s="748"/>
      <c r="AV34" s="748"/>
      <c r="AW34" s="748"/>
      <c r="AX34" s="748"/>
      <c r="AY34" s="748"/>
      <c r="AZ34" s="748"/>
      <c r="BA34" s="748"/>
    </row>
  </sheetData>
  <mergeCells count="229">
    <mergeCell ref="AL22:AO22"/>
    <mergeCell ref="AL23:AO23"/>
    <mergeCell ref="AL24:AO24"/>
    <mergeCell ref="AL25:AO25"/>
    <mergeCell ref="AL26:AO26"/>
    <mergeCell ref="Q24:AK24"/>
    <mergeCell ref="Q25:AK25"/>
    <mergeCell ref="Q26:AK26"/>
    <mergeCell ref="AP14:AR14"/>
    <mergeCell ref="Q16:AK16"/>
    <mergeCell ref="AL16:AO16"/>
    <mergeCell ref="AP16:AR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K1:AM1"/>
    <mergeCell ref="AT3:AW3"/>
    <mergeCell ref="AN1:AP1"/>
    <mergeCell ref="AQ1:AS1"/>
    <mergeCell ref="AT1:AW1"/>
    <mergeCell ref="A6:B6"/>
    <mergeCell ref="C6:P6"/>
    <mergeCell ref="Q6:AK6"/>
    <mergeCell ref="AL6:AO6"/>
  </mergeCells>
  <phoneticPr fontId="51"/>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F1467-9C75-407F-8966-48AB7D73028F}">
  <dimension ref="A1:DX212"/>
  <sheetViews>
    <sheetView showGridLines="0" topLeftCell="A5" zoomScale="90" zoomScaleNormal="90" zoomScaleSheetLayoutView="100" workbookViewId="0">
      <pane ySplit="2" topLeftCell="A17" activePane="bottomLeft" state="frozen"/>
      <selection activeCell="A5" sqref="A5"/>
      <selection pane="bottomLeft" activeCell="A7" sqref="A7"/>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128" width="2.6328125" style="591" customWidth="1"/>
    <col min="129" max="16384" width="9" style="35"/>
  </cols>
  <sheetData>
    <row r="1" spans="1:72" ht="12" customHeight="1">
      <c r="A1" s="740" t="s">
        <v>4</v>
      </c>
      <c r="B1" s="740"/>
      <c r="C1" s="740"/>
      <c r="D1" s="740"/>
      <c r="E1" s="740"/>
      <c r="F1" s="740"/>
      <c r="G1" s="740"/>
      <c r="H1" s="740"/>
      <c r="I1" s="727" t="s">
        <v>5</v>
      </c>
      <c r="J1" s="727"/>
      <c r="K1" s="727"/>
      <c r="L1" s="727"/>
      <c r="M1" s="738" t="str">
        <f>変更来歴!M1</f>
        <v>ヒロセ電機株式会社</v>
      </c>
      <c r="N1" s="738"/>
      <c r="O1" s="738"/>
      <c r="P1" s="738"/>
      <c r="Q1" s="738"/>
      <c r="R1" s="738"/>
      <c r="S1" s="738"/>
      <c r="T1" s="738"/>
      <c r="U1" s="738"/>
      <c r="V1" s="738"/>
      <c r="W1" s="738"/>
      <c r="X1" s="727" t="s">
        <v>7</v>
      </c>
      <c r="Y1" s="727"/>
      <c r="Z1" s="727"/>
      <c r="AA1" s="742" t="str">
        <f>変更来歴!AA1</f>
        <v>化学物質データ申請</v>
      </c>
      <c r="AB1" s="742"/>
      <c r="AC1" s="742"/>
      <c r="AD1" s="742"/>
      <c r="AE1" s="742"/>
      <c r="AF1" s="742"/>
      <c r="AG1" s="742"/>
      <c r="AH1" s="742"/>
      <c r="AI1" s="742"/>
      <c r="AJ1" s="742"/>
      <c r="AK1" s="716" t="s">
        <v>8</v>
      </c>
      <c r="AL1" s="716"/>
      <c r="AM1" s="716"/>
      <c r="AN1" s="718" t="str">
        <f>変更来歴!AP7</f>
        <v>古竹</v>
      </c>
      <c r="AO1" s="718"/>
      <c r="AP1" s="718"/>
      <c r="AQ1" s="718"/>
      <c r="AR1" s="718"/>
      <c r="AS1" s="716" t="s">
        <v>9</v>
      </c>
      <c r="AT1" s="716"/>
      <c r="AU1" s="716"/>
      <c r="AV1" s="719">
        <f>変更来歴!AL7</f>
        <v>46125</v>
      </c>
      <c r="AW1" s="717"/>
      <c r="AX1" s="717"/>
      <c r="AY1" s="717"/>
      <c r="AZ1" s="723" t="s">
        <v>10</v>
      </c>
      <c r="BA1" s="724"/>
      <c r="BB1" s="724"/>
      <c r="BC1" s="725"/>
    </row>
    <row r="2" spans="1:72">
      <c r="A2" s="726" t="s">
        <v>16</v>
      </c>
      <c r="B2" s="726"/>
      <c r="C2" s="726"/>
      <c r="D2" s="726"/>
      <c r="E2" s="726"/>
      <c r="F2" s="726"/>
      <c r="G2" s="726"/>
      <c r="H2" s="726"/>
      <c r="I2" s="727" t="s">
        <v>11</v>
      </c>
      <c r="J2" s="727"/>
      <c r="K2" s="727"/>
      <c r="L2" s="727"/>
      <c r="M2" s="762" t="str">
        <f>変更来歴!M2</f>
        <v>　</v>
      </c>
      <c r="N2" s="762"/>
      <c r="O2" s="762"/>
      <c r="P2" s="762"/>
      <c r="Q2" s="762"/>
      <c r="R2" s="762"/>
      <c r="S2" s="762"/>
      <c r="T2" s="762"/>
      <c r="U2" s="762"/>
      <c r="V2" s="762"/>
      <c r="W2" s="762"/>
      <c r="X2" s="727"/>
      <c r="Y2" s="727"/>
      <c r="Z2" s="727"/>
      <c r="AA2" s="742"/>
      <c r="AB2" s="742"/>
      <c r="AC2" s="742"/>
      <c r="AD2" s="742"/>
      <c r="AE2" s="742"/>
      <c r="AF2" s="742"/>
      <c r="AG2" s="742"/>
      <c r="AH2" s="742"/>
      <c r="AI2" s="742"/>
      <c r="AJ2" s="742"/>
      <c r="AK2" s="716" t="s">
        <v>12</v>
      </c>
      <c r="AL2" s="716"/>
      <c r="AM2" s="716"/>
      <c r="AN2" s="718" t="str">
        <f ca="1">INDIRECT("変更来歴!AP" &amp; COUNTA(変更来歴!AP7:'変更来歴'!AP39) + 6)</f>
        <v>古竹</v>
      </c>
      <c r="AO2" s="718"/>
      <c r="AP2" s="718"/>
      <c r="AQ2" s="718"/>
      <c r="AR2" s="718"/>
      <c r="AS2" s="716" t="s">
        <v>13</v>
      </c>
      <c r="AT2" s="716"/>
      <c r="AU2" s="716"/>
      <c r="AV2" s="719">
        <f ca="1">INDIRECT("変更来歴!AL" &amp; COUNTA(変更来歴!AL7:'変更来歴'!AL39) + 6)</f>
        <v>46162</v>
      </c>
      <c r="AW2" s="717"/>
      <c r="AX2" s="717"/>
      <c r="AY2" s="717"/>
      <c r="AZ2" s="731" t="str">
        <f>変更来歴!AX2</f>
        <v>IMWF-53</v>
      </c>
      <c r="BA2" s="732"/>
      <c r="BB2" s="732"/>
      <c r="BC2" s="733"/>
    </row>
    <row r="3" spans="1:72" ht="12" customHeight="1">
      <c r="A3" s="737" t="str">
        <f>変更来歴!A3</f>
        <v>画面設計書</v>
      </c>
      <c r="B3" s="737"/>
      <c r="C3" s="737"/>
      <c r="D3" s="737"/>
      <c r="E3" s="737"/>
      <c r="F3" s="737"/>
      <c r="G3" s="737"/>
      <c r="H3" s="737"/>
      <c r="I3" s="727" t="s">
        <v>14</v>
      </c>
      <c r="J3" s="727"/>
      <c r="K3" s="727"/>
      <c r="L3" s="727"/>
      <c r="M3" s="738" t="str">
        <f ca="1">RIGHT(CELL("filename",A1),LEN(CELL("filename",A1))-FIND("]",CELL("filename",A1)))</f>
        <v>化学物質データ画面(日本語)</v>
      </c>
      <c r="N3" s="738"/>
      <c r="O3" s="738"/>
      <c r="P3" s="738"/>
      <c r="Q3" s="738"/>
      <c r="R3" s="738"/>
      <c r="S3" s="738"/>
      <c r="T3" s="738"/>
      <c r="U3" s="738"/>
      <c r="V3" s="738"/>
      <c r="W3" s="738"/>
      <c r="X3" s="727" t="s">
        <v>27</v>
      </c>
      <c r="Y3" s="727"/>
      <c r="Z3" s="727"/>
      <c r="AA3" s="739" t="str">
        <f ca="1">MID(CELL("filename"),FIND("]",CELL("filename"))+1,LEN(CELL("filename"))) &amp; "画面"</f>
        <v>表紙画面</v>
      </c>
      <c r="AB3" s="739"/>
      <c r="AC3" s="739"/>
      <c r="AD3" s="739"/>
      <c r="AE3" s="739"/>
      <c r="AF3" s="739"/>
      <c r="AG3" s="739"/>
      <c r="AH3" s="739"/>
      <c r="AI3" s="739"/>
      <c r="AJ3" s="739"/>
      <c r="AK3" s="739"/>
      <c r="AL3" s="739"/>
      <c r="AM3" s="739"/>
      <c r="AN3" s="739"/>
      <c r="AO3" s="739"/>
      <c r="AP3" s="739"/>
      <c r="AQ3" s="739"/>
      <c r="AR3" s="739"/>
      <c r="AS3" s="716" t="s">
        <v>15</v>
      </c>
      <c r="AT3" s="716"/>
      <c r="AU3" s="716"/>
      <c r="AV3" s="717" t="str">
        <f ca="1">INDIRECT("変更来歴!A" &amp; COUNTA(変更来歴!A7:'変更来歴'!A39) + 6)</f>
        <v>r1.2</v>
      </c>
      <c r="AW3" s="717"/>
      <c r="AX3" s="717"/>
      <c r="AY3" s="717"/>
      <c r="AZ3" s="734"/>
      <c r="BA3" s="735"/>
      <c r="BB3" s="735"/>
      <c r="BC3" s="736"/>
    </row>
    <row r="4" spans="1:72" ht="5.9" customHeight="1"/>
    <row r="5" spans="1:72" ht="13.5" customHeight="1">
      <c r="A5" s="763" t="str">
        <f ca="1">"画面レイアウト"&amp;"("&amp;MID(CELL("filename"),FIND("]",CELL("filename"))+1,LEN(CELL("filename")))&amp;")"</f>
        <v>画面レイアウト(表紙)</v>
      </c>
      <c r="B5" s="764"/>
      <c r="C5" s="764"/>
      <c r="D5" s="764"/>
      <c r="E5" s="764"/>
      <c r="F5" s="764"/>
      <c r="G5" s="764"/>
      <c r="H5" s="764"/>
      <c r="I5" s="764"/>
      <c r="J5" s="764"/>
      <c r="K5" s="764"/>
      <c r="L5" s="764"/>
      <c r="M5" s="764"/>
      <c r="N5" s="764"/>
      <c r="O5" s="764"/>
      <c r="P5" s="764"/>
      <c r="Q5" s="764"/>
      <c r="R5" s="764"/>
      <c r="S5" s="764"/>
      <c r="T5" s="764"/>
      <c r="U5" s="764"/>
      <c r="V5" s="764"/>
      <c r="W5" s="764"/>
      <c r="X5" s="764"/>
      <c r="Y5" s="764"/>
      <c r="Z5" s="764"/>
      <c r="AA5" s="764"/>
      <c r="AB5" s="764"/>
      <c r="AC5" s="764"/>
      <c r="AD5" s="764"/>
      <c r="AE5" s="764"/>
      <c r="AF5" s="764"/>
      <c r="AG5" s="764"/>
      <c r="AH5" s="764"/>
      <c r="AI5" s="764"/>
      <c r="AJ5" s="764"/>
      <c r="AK5" s="764"/>
      <c r="AL5" s="764"/>
      <c r="AM5" s="764"/>
      <c r="AN5" s="764"/>
      <c r="AO5" s="764"/>
      <c r="AP5" s="764"/>
      <c r="AQ5" s="764"/>
      <c r="AR5" s="764"/>
      <c r="AS5" s="764"/>
      <c r="AT5" s="764"/>
      <c r="AU5" s="764"/>
      <c r="AV5" s="764"/>
      <c r="AW5" s="764"/>
      <c r="AX5" s="764"/>
      <c r="AY5" s="764"/>
      <c r="AZ5" s="764"/>
      <c r="BA5" s="765"/>
      <c r="BB5" s="766" t="s">
        <v>24</v>
      </c>
      <c r="BC5" s="767"/>
      <c r="BD5" s="28"/>
    </row>
    <row r="6" spans="1:72"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72" ht="21" customHeight="1">
      <c r="A7" s="540"/>
      <c r="B7" s="585"/>
      <c r="C7" s="590" t="s">
        <v>365</v>
      </c>
      <c r="D7" s="586"/>
      <c r="E7" s="587"/>
      <c r="F7" s="587"/>
      <c r="G7" s="587"/>
      <c r="H7" s="581"/>
      <c r="I7" s="581"/>
      <c r="J7" s="675"/>
      <c r="K7" s="675"/>
      <c r="L7" s="675"/>
      <c r="M7" s="675"/>
      <c r="N7" s="584"/>
      <c r="O7" s="583"/>
      <c r="P7" s="584"/>
      <c r="Q7" s="581"/>
      <c r="R7" s="581"/>
      <c r="S7" s="581"/>
      <c r="T7" s="582"/>
      <c r="U7" s="582"/>
      <c r="V7" s="582"/>
      <c r="W7" s="582"/>
      <c r="X7" s="582"/>
      <c r="Y7" s="583"/>
      <c r="Z7" s="582"/>
      <c r="AA7" s="581"/>
      <c r="AB7" s="583"/>
      <c r="AC7" s="582"/>
      <c r="AD7" s="581"/>
      <c r="AE7" s="583"/>
      <c r="AF7" s="581"/>
      <c r="AG7" s="581"/>
      <c r="AH7" s="583"/>
      <c r="AI7" s="581"/>
      <c r="AJ7" s="581"/>
      <c r="AK7" s="588"/>
      <c r="AL7" s="581"/>
      <c r="AM7" s="581"/>
      <c r="AN7" s="581"/>
      <c r="AO7" s="581"/>
      <c r="AP7" s="581"/>
      <c r="AQ7" s="581"/>
      <c r="AR7" s="581"/>
      <c r="AS7" s="581"/>
      <c r="AT7" s="587"/>
      <c r="AU7" s="587"/>
      <c r="AV7" s="587"/>
      <c r="AW7" s="587"/>
      <c r="AX7" s="587"/>
      <c r="AY7" s="587"/>
      <c r="AZ7" s="589"/>
      <c r="BA7" s="570"/>
      <c r="BB7" s="553"/>
      <c r="BC7" s="554"/>
      <c r="BD7" s="538"/>
      <c r="BE7" s="592" t="s">
        <v>301</v>
      </c>
      <c r="BF7" s="575"/>
      <c r="BG7" s="575"/>
      <c r="BH7" s="594"/>
      <c r="BI7" s="593"/>
      <c r="BJ7" s="593"/>
      <c r="BK7" s="593"/>
      <c r="BL7" s="593"/>
      <c r="BM7" s="593"/>
      <c r="BN7" s="593"/>
      <c r="BO7" s="593"/>
      <c r="BP7" s="593"/>
      <c r="BQ7" s="593"/>
      <c r="BR7" s="593"/>
      <c r="BS7" s="592"/>
      <c r="BT7" s="592"/>
    </row>
    <row r="8" spans="1:72" ht="12.5" customHeight="1">
      <c r="A8" s="540"/>
      <c r="B8" s="566"/>
      <c r="C8" s="574"/>
      <c r="D8" s="575"/>
      <c r="E8" s="569"/>
      <c r="F8" s="569"/>
      <c r="G8" s="569"/>
      <c r="H8" s="578"/>
      <c r="I8" s="578"/>
      <c r="J8" s="578"/>
      <c r="K8" s="578"/>
      <c r="L8" s="578"/>
      <c r="M8" s="578"/>
      <c r="N8" s="578"/>
      <c r="O8" s="578"/>
      <c r="P8" s="578"/>
      <c r="Q8" s="578"/>
      <c r="R8" s="578"/>
      <c r="S8" s="578"/>
      <c r="T8" s="578"/>
      <c r="U8" s="578"/>
      <c r="V8" s="578"/>
      <c r="W8" s="578"/>
      <c r="X8" s="578"/>
      <c r="Y8" s="578"/>
      <c r="Z8" s="578"/>
      <c r="AA8" s="578"/>
      <c r="AB8" s="578"/>
      <c r="AC8" s="578"/>
      <c r="AD8" s="578"/>
      <c r="AE8" s="578"/>
      <c r="AF8" s="578"/>
      <c r="AG8" s="578"/>
      <c r="AH8" s="578"/>
      <c r="AI8" s="578"/>
      <c r="AJ8" s="578"/>
      <c r="AK8" s="578"/>
      <c r="AL8" s="578"/>
      <c r="AM8" s="578"/>
      <c r="AN8" s="578"/>
      <c r="AO8" s="578"/>
      <c r="AP8" s="578"/>
      <c r="AQ8" s="578"/>
      <c r="AR8" s="578"/>
      <c r="AS8" s="580"/>
      <c r="AT8" s="576"/>
      <c r="AU8" s="576"/>
      <c r="AV8" s="576"/>
      <c r="AW8" s="576"/>
      <c r="AX8" s="576"/>
      <c r="AY8" s="576"/>
      <c r="AZ8" s="570"/>
      <c r="BA8" s="570"/>
      <c r="BB8" s="553"/>
      <c r="BC8" s="554"/>
      <c r="BD8" s="538"/>
      <c r="BE8" s="575"/>
      <c r="BF8" s="575" t="s">
        <v>380</v>
      </c>
      <c r="BG8" s="575"/>
      <c r="BH8" s="594"/>
      <c r="BI8" s="575"/>
      <c r="BJ8" s="593"/>
      <c r="BK8" s="593"/>
      <c r="BL8" s="593"/>
      <c r="BM8" s="593"/>
      <c r="BN8" s="593"/>
      <c r="BO8" s="593"/>
      <c r="BP8" s="593"/>
      <c r="BQ8" s="592"/>
      <c r="BR8" s="592"/>
      <c r="BS8" s="592"/>
      <c r="BT8" s="592"/>
    </row>
    <row r="9" spans="1:72" ht="24" customHeight="1">
      <c r="A9" s="540"/>
      <c r="B9" s="541"/>
      <c r="C9" s="544"/>
      <c r="D9" s="544"/>
      <c r="E9" s="544"/>
      <c r="F9" s="542"/>
      <c r="G9" s="542"/>
      <c r="H9" s="558"/>
      <c r="I9" s="559"/>
      <c r="J9" s="559"/>
      <c r="K9" s="559"/>
      <c r="L9" s="559"/>
      <c r="M9" s="559"/>
      <c r="N9" s="559"/>
      <c r="O9" s="559"/>
      <c r="P9" s="559"/>
      <c r="Q9" s="559"/>
      <c r="R9" s="559"/>
      <c r="S9" s="559"/>
      <c r="T9" s="560"/>
      <c r="U9" s="560"/>
      <c r="V9" s="560"/>
      <c r="W9" s="558" t="s">
        <v>300</v>
      </c>
      <c r="X9" s="558"/>
      <c r="Y9" s="558"/>
      <c r="Z9" s="560"/>
      <c r="AA9" s="560"/>
      <c r="AB9" s="562"/>
      <c r="AC9" s="560"/>
      <c r="AD9" s="563"/>
      <c r="AE9" s="563"/>
      <c r="AF9" s="563"/>
      <c r="AG9" s="563"/>
      <c r="AH9" s="563"/>
      <c r="AI9" s="559"/>
      <c r="AJ9" s="560"/>
      <c r="AK9" s="560"/>
      <c r="AL9" s="560"/>
      <c r="AM9" s="560"/>
      <c r="AN9" s="564"/>
      <c r="AO9" s="561"/>
      <c r="AP9" s="561"/>
      <c r="AQ9" s="560"/>
      <c r="AR9" s="560"/>
      <c r="AS9" s="560"/>
      <c r="AT9" s="547"/>
      <c r="AU9" s="545"/>
      <c r="AV9" s="548"/>
      <c r="AW9" s="548"/>
      <c r="AX9" s="548"/>
      <c r="AY9" s="542"/>
      <c r="AZ9" s="543"/>
      <c r="BA9" s="543"/>
      <c r="BB9" s="536"/>
      <c r="BC9" s="537"/>
      <c r="BD9" s="538"/>
      <c r="BE9" s="592"/>
      <c r="BF9" s="592"/>
      <c r="BG9" s="595" t="s">
        <v>381</v>
      </c>
      <c r="BH9" s="592"/>
      <c r="BI9" s="592"/>
      <c r="BJ9" s="592"/>
      <c r="BK9" s="592"/>
      <c r="BL9" s="592"/>
      <c r="BM9" s="592"/>
      <c r="BN9" s="592"/>
      <c r="BO9" s="592"/>
      <c r="BP9" s="592"/>
      <c r="BQ9" s="592"/>
      <c r="BR9" s="592"/>
      <c r="BS9" s="592"/>
      <c r="BT9" s="592"/>
    </row>
    <row r="10" spans="1:72" ht="12.5" customHeight="1">
      <c r="A10" s="540"/>
      <c r="B10" s="566"/>
      <c r="C10" s="568"/>
      <c r="D10" s="568"/>
      <c r="E10" s="568"/>
      <c r="F10" s="568"/>
      <c r="G10" s="568"/>
      <c r="H10" s="600" t="s">
        <v>543</v>
      </c>
      <c r="I10" s="568"/>
      <c r="J10" s="568"/>
      <c r="K10" s="568"/>
      <c r="L10" s="568"/>
      <c r="M10" s="568"/>
      <c r="N10" s="568"/>
      <c r="O10" s="568"/>
      <c r="P10" s="568"/>
      <c r="Q10" s="568"/>
      <c r="R10" s="568"/>
      <c r="S10" s="568"/>
      <c r="T10" s="568"/>
      <c r="U10" s="568"/>
      <c r="V10" s="568"/>
      <c r="W10" s="568"/>
      <c r="X10" s="568"/>
      <c r="Y10" s="568"/>
      <c r="Z10" s="568"/>
      <c r="AA10" s="568"/>
      <c r="AB10" s="568"/>
      <c r="AC10" s="568"/>
      <c r="AD10" s="568"/>
      <c r="AE10" s="568"/>
      <c r="AF10" s="568"/>
      <c r="AG10" s="568"/>
      <c r="AH10" s="568"/>
      <c r="AI10" s="568"/>
      <c r="AJ10" s="568"/>
      <c r="AK10" s="568"/>
      <c r="AL10" s="568"/>
      <c r="AM10" s="568"/>
      <c r="AN10" s="568"/>
      <c r="AO10" s="568"/>
      <c r="AP10" s="568"/>
      <c r="AQ10" s="568"/>
      <c r="AR10" s="568"/>
      <c r="AS10" s="568"/>
      <c r="AT10" s="568"/>
      <c r="AU10" s="568"/>
      <c r="AV10" s="568"/>
      <c r="AW10" s="568"/>
      <c r="AX10" s="568"/>
      <c r="AY10" s="568"/>
      <c r="AZ10" s="570"/>
      <c r="BA10" s="570"/>
      <c r="BB10" s="553"/>
      <c r="BC10" s="554"/>
      <c r="BD10" s="538"/>
      <c r="BE10" s="575"/>
      <c r="BF10" s="592"/>
      <c r="BG10" s="592"/>
      <c r="BH10" s="592"/>
      <c r="BI10" s="592"/>
      <c r="BJ10" s="592"/>
      <c r="BK10" s="592"/>
      <c r="BL10" s="592"/>
      <c r="BM10" s="592"/>
      <c r="BN10" s="592"/>
      <c r="BO10" s="592"/>
      <c r="BP10" s="592"/>
      <c r="BQ10" s="592"/>
      <c r="BR10" s="592"/>
      <c r="BS10" s="592"/>
      <c r="BT10" s="592"/>
    </row>
    <row r="11" spans="1:72" ht="12" customHeight="1">
      <c r="A11" s="540"/>
      <c r="B11" s="549"/>
      <c r="C11" s="550"/>
      <c r="D11" s="538"/>
      <c r="E11" s="538"/>
      <c r="F11" s="538"/>
      <c r="G11" s="538"/>
      <c r="H11" s="551"/>
      <c r="I11" s="546"/>
      <c r="J11" s="545"/>
      <c r="K11" s="546"/>
      <c r="L11" s="545"/>
      <c r="M11" s="552"/>
      <c r="N11" s="552"/>
      <c r="O11" s="548"/>
      <c r="P11" s="552"/>
      <c r="Q11" s="548"/>
      <c r="R11" s="552"/>
      <c r="S11" s="539"/>
      <c r="T11" s="538"/>
      <c r="U11" s="538"/>
      <c r="V11" s="538"/>
      <c r="W11" s="538"/>
      <c r="X11" s="538"/>
      <c r="Y11" s="551"/>
      <c r="Z11" s="546"/>
      <c r="AA11" s="545"/>
      <c r="AB11" s="546"/>
      <c r="AC11" s="545"/>
      <c r="AD11" s="552"/>
      <c r="AE11" s="552"/>
      <c r="AF11" s="548"/>
      <c r="AG11" s="552"/>
      <c r="AH11" s="552"/>
      <c r="AI11" s="547"/>
      <c r="AJ11" s="552"/>
      <c r="AK11" s="548"/>
      <c r="AL11" s="538"/>
      <c r="AM11" s="538"/>
      <c r="AN11" s="538"/>
      <c r="AO11" s="538"/>
      <c r="AP11" s="538"/>
      <c r="AQ11" s="538"/>
      <c r="AR11" s="538"/>
      <c r="AS11" s="545"/>
      <c r="AT11" s="547"/>
      <c r="AU11" s="545"/>
      <c r="AV11" s="548"/>
      <c r="AW11" s="548"/>
      <c r="AX11" s="548"/>
      <c r="AY11" s="542"/>
      <c r="AZ11" s="543"/>
      <c r="BA11" s="543"/>
      <c r="BB11" s="536"/>
      <c r="BC11" s="537"/>
      <c r="BD11" s="538"/>
      <c r="BE11" s="592"/>
      <c r="BF11" s="592" t="s">
        <v>382</v>
      </c>
      <c r="BG11" s="595"/>
      <c r="BH11" s="592"/>
      <c r="BI11" s="592"/>
      <c r="BJ11" s="592"/>
      <c r="BK11" s="592"/>
      <c r="BL11" s="592"/>
      <c r="BM11" s="592"/>
      <c r="BN11" s="592"/>
      <c r="BO11" s="592"/>
      <c r="BP11" s="592"/>
      <c r="BQ11" s="592"/>
      <c r="BR11" s="592"/>
      <c r="BS11" s="592"/>
      <c r="BT11" s="592"/>
    </row>
    <row r="12" spans="1:72" ht="12.5" customHeight="1">
      <c r="A12" s="540"/>
      <c r="B12" s="541"/>
      <c r="C12" s="538"/>
      <c r="D12" s="538"/>
      <c r="E12" s="538"/>
      <c r="F12" s="539"/>
      <c r="G12" s="544"/>
      <c r="H12" s="601"/>
      <c r="I12" s="601"/>
      <c r="J12" s="601"/>
      <c r="K12" s="601"/>
      <c r="L12" s="601"/>
      <c r="M12" s="601"/>
      <c r="N12" s="601"/>
      <c r="O12" s="601"/>
      <c r="P12" s="601"/>
      <c r="Q12" s="601"/>
      <c r="R12" s="601"/>
      <c r="S12" s="601"/>
      <c r="T12" s="602"/>
      <c r="U12" s="602"/>
      <c r="V12" s="602"/>
      <c r="W12" s="602"/>
      <c r="X12" s="603"/>
      <c r="Y12" s="602"/>
      <c r="Z12" s="602"/>
      <c r="AA12" s="602"/>
      <c r="AB12" s="604"/>
      <c r="AC12" s="602"/>
      <c r="AD12" s="605"/>
      <c r="AE12" s="605"/>
      <c r="AF12" s="605"/>
      <c r="AG12" s="605"/>
      <c r="AH12" s="605"/>
      <c r="AI12" s="601"/>
      <c r="AJ12" s="602"/>
      <c r="AK12" s="602"/>
      <c r="AL12" s="602"/>
      <c r="AM12" s="602"/>
      <c r="AN12" s="606"/>
      <c r="AO12" s="603"/>
      <c r="AP12" s="603"/>
      <c r="AQ12" s="602"/>
      <c r="AR12" s="602"/>
      <c r="AS12" s="602"/>
      <c r="AT12" s="547"/>
      <c r="AU12" s="545"/>
      <c r="AV12" s="548"/>
      <c r="AW12" s="548"/>
      <c r="AX12" s="548"/>
      <c r="AY12" s="542"/>
      <c r="AZ12" s="543"/>
      <c r="BA12" s="543"/>
      <c r="BB12" s="536"/>
      <c r="BC12" s="537"/>
      <c r="BD12" s="538"/>
      <c r="BE12" s="592"/>
      <c r="BF12" s="575"/>
      <c r="BG12" s="575" t="s">
        <v>383</v>
      </c>
      <c r="BH12" s="592"/>
      <c r="BI12" s="592"/>
      <c r="BJ12" s="592"/>
      <c r="BK12" s="592"/>
      <c r="BL12" s="592"/>
      <c r="BM12" s="592"/>
      <c r="BN12" s="592"/>
      <c r="BO12" s="592"/>
      <c r="BP12" s="592"/>
      <c r="BQ12" s="592"/>
      <c r="BR12" s="592"/>
      <c r="BS12" s="592"/>
      <c r="BT12" s="592"/>
    </row>
    <row r="13" spans="1:72" ht="12.5" customHeight="1">
      <c r="A13" s="540"/>
      <c r="B13" s="566"/>
      <c r="C13" s="565"/>
      <c r="D13" s="567"/>
      <c r="E13" s="567"/>
      <c r="F13" s="567"/>
      <c r="G13" s="565"/>
      <c r="H13" s="601"/>
      <c r="I13" s="616" t="s">
        <v>366</v>
      </c>
      <c r="J13" s="601"/>
      <c r="K13" s="601"/>
      <c r="L13" s="601"/>
      <c r="M13" s="601"/>
      <c r="N13" s="601"/>
      <c r="O13" s="601"/>
      <c r="P13" s="601"/>
      <c r="Q13" s="601"/>
      <c r="R13" s="601"/>
      <c r="S13" s="601"/>
      <c r="T13" s="602"/>
      <c r="U13" s="602"/>
      <c r="V13" s="602"/>
      <c r="W13" s="602"/>
      <c r="X13" s="603"/>
      <c r="Y13" s="602"/>
      <c r="Z13" s="601"/>
      <c r="AA13" s="601"/>
      <c r="AB13" s="601"/>
      <c r="AC13" s="601"/>
      <c r="AD13" s="601"/>
      <c r="AE13" s="601"/>
      <c r="AF13" s="601"/>
      <c r="AG13" s="601"/>
      <c r="AH13" s="601"/>
      <c r="AI13" s="601"/>
      <c r="AJ13" s="601"/>
      <c r="AK13" s="601"/>
      <c r="AL13" s="601"/>
      <c r="AM13" s="601"/>
      <c r="AN13" s="601"/>
      <c r="AO13" s="601"/>
      <c r="AP13" s="601"/>
      <c r="AQ13" s="601"/>
      <c r="AR13" s="601"/>
      <c r="AS13" s="601"/>
      <c r="AT13" s="565"/>
      <c r="AU13" s="565"/>
      <c r="AV13" s="565"/>
      <c r="AW13" s="565"/>
      <c r="AX13" s="569"/>
      <c r="AY13" s="565"/>
      <c r="AZ13" s="570"/>
      <c r="BA13" s="570"/>
      <c r="BB13" s="536"/>
      <c r="BC13" s="537"/>
      <c r="BD13" s="538"/>
      <c r="BE13" s="592"/>
      <c r="BF13" s="575"/>
      <c r="BG13" s="575"/>
      <c r="BH13" s="592" t="s">
        <v>384</v>
      </c>
      <c r="BI13" s="592"/>
      <c r="BJ13" s="592"/>
      <c r="BK13" s="592"/>
      <c r="BL13" s="592"/>
      <c r="BM13" s="592"/>
      <c r="BN13" s="592"/>
      <c r="BO13" s="592"/>
      <c r="BP13" s="592"/>
      <c r="BQ13" s="592"/>
      <c r="BR13" s="592"/>
      <c r="BS13" s="592"/>
      <c r="BT13" s="592"/>
    </row>
    <row r="14" spans="1:72" ht="12.5" customHeight="1">
      <c r="A14" s="540"/>
      <c r="B14" s="566"/>
      <c r="C14" s="571"/>
      <c r="D14" s="567"/>
      <c r="E14" s="567"/>
      <c r="F14" s="567"/>
      <c r="G14" s="569"/>
      <c r="H14" s="601"/>
      <c r="I14" s="676" t="s">
        <v>544</v>
      </c>
      <c r="J14" s="608"/>
      <c r="K14" s="607"/>
      <c r="L14" s="607"/>
      <c r="M14" s="607"/>
      <c r="N14" s="607"/>
      <c r="O14" s="607"/>
      <c r="P14" s="607"/>
      <c r="Q14" s="607"/>
      <c r="R14" s="607"/>
      <c r="S14" s="607"/>
      <c r="T14" s="607"/>
      <c r="U14" s="607"/>
      <c r="V14" s="607"/>
      <c r="W14" s="607"/>
      <c r="X14" s="609"/>
      <c r="Y14" s="601"/>
      <c r="Z14" s="601"/>
      <c r="AA14" s="610"/>
      <c r="AB14" s="601"/>
      <c r="AC14" s="611"/>
      <c r="AD14" s="611"/>
      <c r="AE14" s="612"/>
      <c r="AF14" s="611"/>
      <c r="AG14" s="612"/>
      <c r="AH14" s="611"/>
      <c r="AI14" s="613"/>
      <c r="AJ14" s="611"/>
      <c r="AK14" s="612"/>
      <c r="AL14" s="612"/>
      <c r="AM14" s="612"/>
      <c r="AN14" s="612"/>
      <c r="AO14" s="612"/>
      <c r="AP14" s="612"/>
      <c r="AQ14" s="612"/>
      <c r="AR14" s="612"/>
      <c r="AS14" s="612"/>
      <c r="AT14" s="569"/>
      <c r="AU14" s="569"/>
      <c r="AV14" s="569"/>
      <c r="AW14" s="569"/>
      <c r="AX14" s="569"/>
      <c r="AY14" s="565"/>
      <c r="AZ14" s="570"/>
      <c r="BA14" s="570"/>
      <c r="BB14" s="536"/>
      <c r="BC14" s="537"/>
      <c r="BD14" s="538"/>
      <c r="BE14" s="595"/>
      <c r="BF14" s="575"/>
      <c r="BG14" s="575"/>
      <c r="BH14" s="592" t="s">
        <v>385</v>
      </c>
      <c r="BI14" s="592"/>
      <c r="BJ14" s="592"/>
      <c r="BK14" s="592"/>
      <c r="BL14" s="592"/>
      <c r="BM14" s="592"/>
      <c r="BN14" s="592"/>
      <c r="BO14" s="592"/>
      <c r="BP14" s="592"/>
      <c r="BQ14" s="592"/>
      <c r="BR14" s="592"/>
      <c r="BS14" s="592"/>
      <c r="BT14" s="592"/>
    </row>
    <row r="15" spans="1:72" ht="12.5" customHeight="1">
      <c r="A15" s="540"/>
      <c r="B15" s="566"/>
      <c r="C15" s="573"/>
      <c r="D15" s="569"/>
      <c r="E15" s="569"/>
      <c r="F15" s="569"/>
      <c r="G15" s="569"/>
      <c r="H15" s="614"/>
      <c r="I15" s="609"/>
      <c r="J15" s="607"/>
      <c r="K15" s="609"/>
      <c r="L15" s="607"/>
      <c r="M15" s="607"/>
      <c r="N15" s="607"/>
      <c r="O15" s="607"/>
      <c r="P15" s="607"/>
      <c r="Q15" s="607"/>
      <c r="R15" s="607"/>
      <c r="S15" s="607"/>
      <c r="T15" s="607"/>
      <c r="U15" s="607"/>
      <c r="V15" s="607"/>
      <c r="W15" s="607"/>
      <c r="X15" s="609"/>
      <c r="Y15" s="601"/>
      <c r="Z15" s="610"/>
      <c r="AA15" s="601"/>
      <c r="AB15" s="610"/>
      <c r="AC15" s="601"/>
      <c r="AD15" s="611"/>
      <c r="AE15" s="611"/>
      <c r="AF15" s="612"/>
      <c r="AG15" s="611"/>
      <c r="AH15" s="611"/>
      <c r="AI15" s="613"/>
      <c r="AJ15" s="611"/>
      <c r="AK15" s="612"/>
      <c r="AL15" s="612"/>
      <c r="AM15" s="612"/>
      <c r="AN15" s="612"/>
      <c r="AO15" s="612"/>
      <c r="AP15" s="612"/>
      <c r="AQ15" s="612"/>
      <c r="AR15" s="612"/>
      <c r="AS15" s="601"/>
      <c r="AT15" s="572"/>
      <c r="AU15" s="565"/>
      <c r="AV15" s="569"/>
      <c r="AW15" s="569"/>
      <c r="AX15" s="569"/>
      <c r="AY15" s="565"/>
      <c r="AZ15" s="570"/>
      <c r="BA15" s="570"/>
      <c r="BB15" s="536"/>
      <c r="BC15" s="537"/>
      <c r="BD15" s="538"/>
      <c r="BE15" s="592"/>
      <c r="BF15" s="592"/>
      <c r="BG15" s="592"/>
      <c r="BH15" s="592"/>
      <c r="BI15" s="592"/>
      <c r="BJ15" s="592"/>
      <c r="BK15" s="592"/>
      <c r="BL15" s="592"/>
      <c r="BM15" s="592"/>
      <c r="BN15" s="592"/>
      <c r="BO15" s="592"/>
      <c r="BP15" s="592"/>
      <c r="BQ15" s="592"/>
      <c r="BR15" s="592"/>
      <c r="BS15" s="592"/>
      <c r="BT15" s="592"/>
    </row>
    <row r="16" spans="1:72" ht="12.5" customHeight="1">
      <c r="A16" s="540"/>
      <c r="B16" s="566"/>
      <c r="C16" s="565"/>
      <c r="D16" s="569"/>
      <c r="E16" s="569"/>
      <c r="F16" s="569"/>
      <c r="G16" s="569"/>
      <c r="H16" s="614"/>
      <c r="I16" s="609"/>
      <c r="J16" s="607"/>
      <c r="K16" s="609"/>
      <c r="L16" s="607"/>
      <c r="M16" s="607"/>
      <c r="N16" s="607"/>
      <c r="O16" s="607"/>
      <c r="P16" s="607"/>
      <c r="Q16" s="607"/>
      <c r="R16" s="607"/>
      <c r="S16" s="607"/>
      <c r="T16" s="607"/>
      <c r="U16" s="607"/>
      <c r="V16" s="607"/>
      <c r="W16" s="607"/>
      <c r="X16" s="609"/>
      <c r="Y16" s="601"/>
      <c r="Z16" s="612"/>
      <c r="AA16" s="612"/>
      <c r="AB16" s="612"/>
      <c r="AC16" s="612"/>
      <c r="AD16" s="612"/>
      <c r="AE16" s="612"/>
      <c r="AF16" s="612"/>
      <c r="AG16" s="612"/>
      <c r="AH16" s="612"/>
      <c r="AI16" s="612"/>
      <c r="AJ16" s="612"/>
      <c r="AK16" s="612"/>
      <c r="AL16" s="612"/>
      <c r="AM16" s="601"/>
      <c r="AN16" s="601"/>
      <c r="AO16" s="601"/>
      <c r="AP16" s="601"/>
      <c r="AQ16" s="601"/>
      <c r="AR16" s="601"/>
      <c r="AS16" s="601"/>
      <c r="AT16" s="565"/>
      <c r="AU16" s="565"/>
      <c r="AV16" s="565"/>
      <c r="AW16" s="565"/>
      <c r="AX16" s="569"/>
      <c r="AY16" s="565"/>
      <c r="AZ16" s="570"/>
      <c r="BA16" s="570"/>
      <c r="BB16" s="536"/>
      <c r="BC16" s="537"/>
      <c r="BD16" s="538"/>
      <c r="BE16" s="592"/>
      <c r="BF16" s="592" t="s">
        <v>386</v>
      </c>
      <c r="BG16" s="592"/>
      <c r="BH16" s="592"/>
      <c r="BI16" s="592"/>
      <c r="BJ16" s="592"/>
      <c r="BK16" s="592"/>
      <c r="BL16" s="592"/>
      <c r="BM16" s="592"/>
      <c r="BN16" s="592"/>
      <c r="BO16" s="592"/>
      <c r="BP16" s="592"/>
      <c r="BQ16" s="592"/>
      <c r="BR16" s="592"/>
      <c r="BS16" s="592"/>
      <c r="BT16" s="592"/>
    </row>
    <row r="17" spans="1:72" ht="12.5" customHeight="1">
      <c r="A17" s="540"/>
      <c r="B17" s="541"/>
      <c r="C17" s="538"/>
      <c r="D17" s="538"/>
      <c r="E17" s="538"/>
      <c r="F17" s="539"/>
      <c r="G17" s="544"/>
      <c r="H17" s="617"/>
      <c r="I17" s="617"/>
      <c r="J17" s="617"/>
      <c r="K17" s="617"/>
      <c r="L17" s="617"/>
      <c r="M17" s="617"/>
      <c r="N17" s="617"/>
      <c r="O17" s="617"/>
      <c r="P17" s="617"/>
      <c r="Q17" s="617"/>
      <c r="R17" s="617"/>
      <c r="S17" s="617"/>
      <c r="T17" s="618"/>
      <c r="U17" s="618"/>
      <c r="V17" s="618"/>
      <c r="W17" s="618"/>
      <c r="X17" s="619"/>
      <c r="Y17" s="618"/>
      <c r="Z17" s="618"/>
      <c r="AA17" s="618"/>
      <c r="AB17" s="620"/>
      <c r="AC17" s="618"/>
      <c r="AD17" s="621"/>
      <c r="AE17" s="621"/>
      <c r="AF17" s="621"/>
      <c r="AG17" s="621"/>
      <c r="AH17" s="621"/>
      <c r="AI17" s="617"/>
      <c r="AJ17" s="618"/>
      <c r="AK17" s="618"/>
      <c r="AL17" s="618"/>
      <c r="AM17" s="618"/>
      <c r="AN17" s="622"/>
      <c r="AO17" s="619"/>
      <c r="AP17" s="619"/>
      <c r="AQ17" s="618"/>
      <c r="AR17" s="618"/>
      <c r="AS17" s="618"/>
      <c r="AT17" s="547"/>
      <c r="AU17" s="545"/>
      <c r="AV17" s="548"/>
      <c r="AW17" s="548"/>
      <c r="AX17" s="548"/>
      <c r="AY17" s="542"/>
      <c r="AZ17" s="543"/>
      <c r="BA17" s="543"/>
      <c r="BB17" s="536"/>
      <c r="BC17" s="537"/>
      <c r="BD17" s="538"/>
      <c r="BE17" s="592"/>
      <c r="BF17" s="592"/>
      <c r="BG17" s="638" t="s">
        <v>387</v>
      </c>
      <c r="BH17" s="592"/>
      <c r="BI17" s="592"/>
      <c r="BJ17" s="592"/>
      <c r="BK17" s="592"/>
      <c r="BL17" s="592"/>
      <c r="BM17" s="592"/>
      <c r="BN17" s="592"/>
      <c r="BO17" s="592"/>
      <c r="BP17" s="592"/>
      <c r="BQ17" s="592"/>
      <c r="BR17" s="592"/>
      <c r="BS17" s="592"/>
      <c r="BT17" s="592"/>
    </row>
    <row r="18" spans="1:72" ht="12.5" customHeight="1">
      <c r="A18" s="540"/>
      <c r="B18" s="566"/>
      <c r="C18" s="565"/>
      <c r="D18" s="567"/>
      <c r="E18" s="567"/>
      <c r="F18" s="567"/>
      <c r="G18" s="565"/>
      <c r="H18" s="617"/>
      <c r="I18" s="631" t="s">
        <v>299</v>
      </c>
      <c r="J18" s="617"/>
      <c r="K18" s="617"/>
      <c r="L18" s="617"/>
      <c r="M18" s="617"/>
      <c r="N18" s="617"/>
      <c r="O18" s="617"/>
      <c r="P18" s="617"/>
      <c r="Q18" s="617"/>
      <c r="R18" s="617"/>
      <c r="S18" s="617"/>
      <c r="T18" s="618"/>
      <c r="U18" s="618"/>
      <c r="V18" s="618"/>
      <c r="W18" s="618"/>
      <c r="X18" s="619"/>
      <c r="Y18" s="618"/>
      <c r="Z18" s="617"/>
      <c r="AA18" s="617"/>
      <c r="AB18" s="617"/>
      <c r="AC18" s="617"/>
      <c r="AD18" s="617"/>
      <c r="AE18" s="617"/>
      <c r="AF18" s="617"/>
      <c r="AG18" s="617"/>
      <c r="AH18" s="617"/>
      <c r="AI18" s="617"/>
      <c r="AJ18" s="617"/>
      <c r="AK18" s="617"/>
      <c r="AL18" s="617"/>
      <c r="AM18" s="617"/>
      <c r="AN18" s="617"/>
      <c r="AO18" s="617"/>
      <c r="AP18" s="617"/>
      <c r="AQ18" s="617"/>
      <c r="AR18" s="617"/>
      <c r="AS18" s="617"/>
      <c r="AT18" s="565"/>
      <c r="AU18" s="565"/>
      <c r="AV18" s="565"/>
      <c r="AW18" s="565"/>
      <c r="AX18" s="569"/>
      <c r="AY18" s="565"/>
      <c r="AZ18" s="570"/>
      <c r="BA18" s="570"/>
      <c r="BB18" s="536"/>
      <c r="BC18" s="537"/>
      <c r="BD18" s="538"/>
      <c r="BE18" s="592"/>
      <c r="BF18" s="575"/>
      <c r="BG18" s="575"/>
      <c r="BH18" s="592" t="s">
        <v>388</v>
      </c>
      <c r="BI18" s="592"/>
      <c r="BJ18" s="592"/>
      <c r="BK18" s="592"/>
      <c r="BL18" s="592"/>
      <c r="BM18" s="592"/>
      <c r="BN18" s="592"/>
      <c r="BO18" s="592"/>
      <c r="BP18" s="592"/>
      <c r="BQ18" s="592"/>
      <c r="BR18" s="592"/>
      <c r="BS18" s="592"/>
      <c r="BT18" s="592"/>
    </row>
    <row r="19" spans="1:72" ht="12.5" customHeight="1">
      <c r="A19" s="540"/>
      <c r="B19" s="566"/>
      <c r="C19" s="571"/>
      <c r="D19" s="567"/>
      <c r="E19" s="567"/>
      <c r="F19" s="567"/>
      <c r="G19" s="569"/>
      <c r="H19" s="617"/>
      <c r="I19" s="617" t="s">
        <v>545</v>
      </c>
      <c r="J19" s="624"/>
      <c r="K19" s="623"/>
      <c r="L19" s="623"/>
      <c r="M19" s="623"/>
      <c r="N19" s="623"/>
      <c r="O19" s="623"/>
      <c r="P19" s="623"/>
      <c r="Q19" s="623"/>
      <c r="R19" s="623"/>
      <c r="S19" s="623"/>
      <c r="T19" s="623"/>
      <c r="U19" s="623"/>
      <c r="V19" s="623"/>
      <c r="W19" s="623"/>
      <c r="X19" s="625"/>
      <c r="Y19" s="617"/>
      <c r="Z19" s="617"/>
      <c r="AA19" s="626"/>
      <c r="AB19" s="617"/>
      <c r="AC19" s="627"/>
      <c r="AD19" s="627"/>
      <c r="AE19" s="628"/>
      <c r="AF19" s="627"/>
      <c r="AG19" s="628"/>
      <c r="AH19" s="627"/>
      <c r="AI19" s="629"/>
      <c r="AJ19" s="627"/>
      <c r="AK19" s="628"/>
      <c r="AL19" s="628"/>
      <c r="AM19" s="628"/>
      <c r="AN19" s="628"/>
      <c r="AO19" s="628"/>
      <c r="AP19" s="628"/>
      <c r="AQ19" s="628"/>
      <c r="AR19" s="628"/>
      <c r="AS19" s="628"/>
      <c r="AT19" s="569"/>
      <c r="AU19" s="569"/>
      <c r="AV19" s="569"/>
      <c r="AW19" s="569"/>
      <c r="AX19" s="569"/>
      <c r="AY19" s="565"/>
      <c r="AZ19" s="570"/>
      <c r="BA19" s="570"/>
      <c r="BB19" s="536"/>
      <c r="BC19" s="537"/>
      <c r="BD19" s="538"/>
      <c r="BE19" s="595"/>
      <c r="BF19" s="575"/>
      <c r="BG19" s="575"/>
      <c r="BH19" s="592" t="s">
        <v>389</v>
      </c>
      <c r="BI19" s="592"/>
      <c r="BJ19" s="592"/>
      <c r="BK19" s="592"/>
      <c r="BL19" s="592"/>
      <c r="BM19" s="592"/>
      <c r="BN19" s="592"/>
      <c r="BO19" s="592"/>
      <c r="BP19" s="592"/>
      <c r="BQ19" s="592"/>
      <c r="BR19" s="592"/>
      <c r="BS19" s="592"/>
      <c r="BT19" s="592"/>
    </row>
    <row r="20" spans="1:72" s="591" customFormat="1" ht="12.5" customHeight="1">
      <c r="A20" s="540"/>
      <c r="B20" s="566"/>
      <c r="C20" s="573"/>
      <c r="D20" s="569"/>
      <c r="E20" s="569"/>
      <c r="F20" s="569"/>
      <c r="G20" s="569"/>
      <c r="H20" s="630"/>
      <c r="I20" s="625"/>
      <c r="J20" s="623"/>
      <c r="K20" s="625"/>
      <c r="L20" s="623"/>
      <c r="M20" s="623"/>
      <c r="N20" s="623"/>
      <c r="O20" s="623"/>
      <c r="P20" s="623"/>
      <c r="Q20" s="623"/>
      <c r="R20" s="617" t="s">
        <v>367</v>
      </c>
      <c r="S20" s="623"/>
      <c r="T20" s="623"/>
      <c r="U20" s="623"/>
      <c r="V20" s="623"/>
      <c r="W20" s="623"/>
      <c r="X20" s="625"/>
      <c r="Y20" s="617"/>
      <c r="Z20" s="626"/>
      <c r="AA20" s="617"/>
      <c r="AB20" s="626"/>
      <c r="AC20" s="617"/>
      <c r="AD20" s="627"/>
      <c r="AE20" s="627"/>
      <c r="AF20" s="628"/>
      <c r="AG20" s="627"/>
      <c r="AH20" s="627"/>
      <c r="AI20" s="629"/>
      <c r="AJ20" s="627"/>
      <c r="AK20" s="628"/>
      <c r="AL20" s="628"/>
      <c r="AM20" s="628"/>
      <c r="AN20" s="628"/>
      <c r="AO20" s="628"/>
      <c r="AP20" s="628"/>
      <c r="AQ20" s="628"/>
      <c r="AR20" s="628"/>
      <c r="AS20" s="617"/>
      <c r="AT20" s="572"/>
      <c r="AU20" s="565"/>
      <c r="AV20" s="569"/>
      <c r="AW20" s="569"/>
      <c r="AX20" s="569"/>
      <c r="AY20" s="565"/>
      <c r="AZ20" s="570"/>
      <c r="BA20" s="570"/>
      <c r="BB20" s="536"/>
      <c r="BC20" s="537"/>
      <c r="BD20" s="538"/>
      <c r="BE20" s="592"/>
      <c r="BF20" s="592"/>
      <c r="BG20" s="592"/>
      <c r="BH20" s="592"/>
      <c r="BI20" s="592"/>
      <c r="BJ20" s="592"/>
      <c r="BK20" s="592"/>
      <c r="BL20" s="592"/>
      <c r="BM20" s="592"/>
      <c r="BN20" s="592"/>
      <c r="BO20" s="592"/>
      <c r="BP20" s="592"/>
      <c r="BQ20" s="592"/>
      <c r="BR20" s="592"/>
      <c r="BS20" s="592"/>
      <c r="BT20" s="592"/>
    </row>
    <row r="21" spans="1:72" s="591" customFormat="1" ht="12.5" customHeight="1">
      <c r="A21" s="540"/>
      <c r="B21" s="566"/>
      <c r="C21" s="565"/>
      <c r="D21" s="569"/>
      <c r="E21" s="569"/>
      <c r="F21" s="569"/>
      <c r="G21" s="569"/>
      <c r="H21" s="630"/>
      <c r="I21" s="625"/>
      <c r="J21" s="623"/>
      <c r="K21" s="625"/>
      <c r="L21" s="623"/>
      <c r="M21" s="623"/>
      <c r="N21" s="623"/>
      <c r="O21" s="623"/>
      <c r="P21" s="623"/>
      <c r="Q21" s="623"/>
      <c r="R21" s="677" t="s">
        <v>546</v>
      </c>
      <c r="S21" s="623"/>
      <c r="T21" s="623"/>
      <c r="U21" s="623"/>
      <c r="V21" s="623"/>
      <c r="W21" s="623"/>
      <c r="X21" s="625"/>
      <c r="Y21" s="617"/>
      <c r="Z21" s="628"/>
      <c r="AA21" s="628"/>
      <c r="AB21" s="628"/>
      <c r="AC21" s="628"/>
      <c r="AD21" s="628"/>
      <c r="AE21" s="628"/>
      <c r="AF21" s="628"/>
      <c r="AG21" s="628"/>
      <c r="AH21" s="628"/>
      <c r="AI21" s="628"/>
      <c r="AJ21" s="628"/>
      <c r="AK21" s="628"/>
      <c r="AL21" s="628"/>
      <c r="AM21" s="617"/>
      <c r="AN21" s="617"/>
      <c r="AO21" s="617"/>
      <c r="AP21" s="617"/>
      <c r="AQ21" s="617"/>
      <c r="AR21" s="617"/>
      <c r="AS21" s="617"/>
      <c r="AT21" s="565"/>
      <c r="AU21" s="565"/>
      <c r="AV21" s="565"/>
      <c r="AW21" s="565"/>
      <c r="AX21" s="569"/>
      <c r="AY21" s="565"/>
      <c r="AZ21" s="570"/>
      <c r="BA21" s="570"/>
      <c r="BB21" s="536"/>
      <c r="BC21" s="537"/>
      <c r="BD21" s="538"/>
      <c r="BE21" s="592"/>
      <c r="BF21" s="592"/>
      <c r="BG21" s="592" t="s">
        <v>417</v>
      </c>
      <c r="BH21" s="592"/>
      <c r="BI21" s="592"/>
      <c r="BJ21" s="592"/>
      <c r="BK21" s="592"/>
      <c r="BL21" s="592"/>
      <c r="BM21" s="592"/>
      <c r="BN21" s="592"/>
      <c r="BO21" s="592"/>
      <c r="BP21" s="592"/>
      <c r="BQ21" s="592"/>
      <c r="BR21" s="592"/>
      <c r="BS21" s="592"/>
      <c r="BT21" s="592"/>
    </row>
    <row r="22" spans="1:72" s="591" customFormat="1" ht="12.5" customHeight="1">
      <c r="A22" s="540"/>
      <c r="B22" s="566"/>
      <c r="C22" s="565"/>
      <c r="D22" s="569"/>
      <c r="E22" s="569"/>
      <c r="F22" s="569"/>
      <c r="G22" s="569"/>
      <c r="H22" s="630"/>
      <c r="I22" s="625"/>
      <c r="J22" s="623"/>
      <c r="K22" s="625"/>
      <c r="L22" s="623"/>
      <c r="M22" s="623"/>
      <c r="N22" s="623"/>
      <c r="O22" s="623"/>
      <c r="P22" s="623"/>
      <c r="Q22" s="623"/>
      <c r="R22" s="633"/>
      <c r="S22" s="623"/>
      <c r="T22" s="623"/>
      <c r="U22" s="623"/>
      <c r="V22" s="623"/>
      <c r="W22" s="623"/>
      <c r="X22" s="625"/>
      <c r="Y22" s="617"/>
      <c r="Z22" s="628"/>
      <c r="AA22" s="628"/>
      <c r="AB22" s="628"/>
      <c r="AC22" s="628"/>
      <c r="AD22" s="628"/>
      <c r="AE22" s="628"/>
      <c r="AF22" s="628"/>
      <c r="AG22" s="628"/>
      <c r="AH22" s="628"/>
      <c r="AI22" s="628"/>
      <c r="AJ22" s="628"/>
      <c r="AK22" s="628"/>
      <c r="AL22" s="628"/>
      <c r="AM22" s="617"/>
      <c r="AN22" s="617"/>
      <c r="AO22" s="617"/>
      <c r="AP22" s="617"/>
      <c r="AQ22" s="617"/>
      <c r="AR22" s="617"/>
      <c r="AS22" s="617"/>
      <c r="AT22" s="565"/>
      <c r="AU22" s="565"/>
      <c r="AV22" s="565"/>
      <c r="AW22" s="565"/>
      <c r="AX22" s="569"/>
      <c r="AY22" s="565"/>
      <c r="AZ22" s="570"/>
      <c r="BA22" s="570"/>
      <c r="BB22" s="536"/>
      <c r="BC22" s="537"/>
      <c r="BD22" s="538"/>
      <c r="BE22" s="592"/>
      <c r="BF22" s="575"/>
      <c r="BG22" s="575"/>
      <c r="BH22" s="592" t="s">
        <v>390</v>
      </c>
      <c r="BI22" s="592"/>
      <c r="BJ22" s="592"/>
      <c r="BK22" s="592"/>
      <c r="BL22" s="592"/>
      <c r="BM22" s="592"/>
      <c r="BN22" s="592"/>
      <c r="BO22" s="592"/>
      <c r="BP22" s="592"/>
      <c r="BQ22" s="592"/>
      <c r="BR22" s="592"/>
      <c r="BS22" s="592"/>
      <c r="BT22" s="592"/>
    </row>
    <row r="23" spans="1:72" s="591" customFormat="1" ht="12.5" customHeight="1">
      <c r="A23" s="540"/>
      <c r="B23" s="541"/>
      <c r="C23" s="538"/>
      <c r="D23" s="538"/>
      <c r="E23" s="538"/>
      <c r="F23" s="539"/>
      <c r="G23" s="544"/>
      <c r="H23" s="601"/>
      <c r="I23" s="601"/>
      <c r="J23" s="601"/>
      <c r="K23" s="601"/>
      <c r="L23" s="601"/>
      <c r="M23" s="601"/>
      <c r="N23" s="601"/>
      <c r="O23" s="601"/>
      <c r="P23" s="601"/>
      <c r="Q23" s="601"/>
      <c r="R23" s="601"/>
      <c r="S23" s="601"/>
      <c r="T23" s="602"/>
      <c r="U23" s="602"/>
      <c r="V23" s="602"/>
      <c r="W23" s="602"/>
      <c r="X23" s="603"/>
      <c r="Y23" s="602"/>
      <c r="Z23" s="602"/>
      <c r="AA23" s="602"/>
      <c r="AB23" s="604"/>
      <c r="AC23" s="602"/>
      <c r="AD23" s="605"/>
      <c r="AE23" s="605"/>
      <c r="AF23" s="605"/>
      <c r="AG23" s="605"/>
      <c r="AH23" s="605"/>
      <c r="AI23" s="601"/>
      <c r="AJ23" s="602"/>
      <c r="AK23" s="602"/>
      <c r="AL23" s="602"/>
      <c r="AM23" s="602"/>
      <c r="AN23" s="606"/>
      <c r="AO23" s="603"/>
      <c r="AP23" s="603"/>
      <c r="AQ23" s="602"/>
      <c r="AR23" s="602"/>
      <c r="AS23" s="602"/>
      <c r="AT23" s="547"/>
      <c r="AU23" s="545"/>
      <c r="AV23" s="548"/>
      <c r="AW23" s="548"/>
      <c r="AX23" s="548"/>
      <c r="AY23" s="542"/>
      <c r="AZ23" s="543"/>
      <c r="BA23" s="543"/>
      <c r="BB23" s="536"/>
      <c r="BC23" s="537"/>
      <c r="BD23" s="538"/>
      <c r="BE23" s="595"/>
      <c r="BF23" s="575"/>
      <c r="BG23" s="575"/>
      <c r="BH23" s="592" t="s">
        <v>391</v>
      </c>
      <c r="BI23" s="592"/>
      <c r="BJ23" s="592"/>
      <c r="BK23" s="592"/>
      <c r="BL23" s="592"/>
      <c r="BM23" s="592"/>
      <c r="BN23" s="592"/>
      <c r="BO23" s="592"/>
      <c r="BP23" s="592"/>
      <c r="BQ23" s="592"/>
      <c r="BR23" s="592"/>
      <c r="BS23" s="592"/>
      <c r="BT23" s="592"/>
    </row>
    <row r="24" spans="1:72" s="591" customFormat="1" ht="12.5" customHeight="1">
      <c r="A24" s="540"/>
      <c r="B24" s="566"/>
      <c r="C24" s="565"/>
      <c r="D24" s="567"/>
      <c r="E24" s="567"/>
      <c r="F24" s="567"/>
      <c r="G24" s="565"/>
      <c r="H24" s="601"/>
      <c r="I24" s="615" t="s">
        <v>368</v>
      </c>
      <c r="J24" s="601"/>
      <c r="K24" s="601"/>
      <c r="L24" s="601"/>
      <c r="M24" s="601"/>
      <c r="N24" s="601"/>
      <c r="O24" s="601"/>
      <c r="P24" s="601"/>
      <c r="Q24" s="601"/>
      <c r="R24" s="601"/>
      <c r="S24" s="601"/>
      <c r="T24" s="602"/>
      <c r="U24" s="602"/>
      <c r="V24" s="602"/>
      <c r="W24" s="602"/>
      <c r="X24" s="603"/>
      <c r="Y24" s="602"/>
      <c r="Z24" s="601"/>
      <c r="AA24" s="601"/>
      <c r="AB24" s="601"/>
      <c r="AC24" s="601"/>
      <c r="AD24" s="601"/>
      <c r="AE24" s="601"/>
      <c r="AF24" s="601"/>
      <c r="AG24" s="601"/>
      <c r="AH24" s="601"/>
      <c r="AI24" s="601"/>
      <c r="AJ24" s="601"/>
      <c r="AK24" s="601"/>
      <c r="AL24" s="601"/>
      <c r="AM24" s="601"/>
      <c r="AN24" s="601"/>
      <c r="AO24" s="601"/>
      <c r="AP24" s="601"/>
      <c r="AQ24" s="601"/>
      <c r="AR24" s="601"/>
      <c r="AS24" s="601"/>
      <c r="AT24" s="565"/>
      <c r="AU24" s="565"/>
      <c r="AV24" s="565"/>
      <c r="AW24" s="565"/>
      <c r="AX24" s="569"/>
      <c r="AY24" s="565"/>
      <c r="AZ24" s="570"/>
      <c r="BA24" s="570"/>
      <c r="BB24" s="536"/>
      <c r="BC24" s="537"/>
      <c r="BD24" s="538"/>
      <c r="BE24" s="592"/>
      <c r="BF24" s="592"/>
      <c r="BG24" s="592"/>
      <c r="BH24" s="592" t="s">
        <v>392</v>
      </c>
      <c r="BI24" s="592"/>
      <c r="BJ24" s="592"/>
      <c r="BK24" s="592"/>
      <c r="BL24" s="592"/>
      <c r="BM24" s="592"/>
      <c r="BN24" s="592"/>
      <c r="BO24" s="592"/>
      <c r="BP24" s="592"/>
      <c r="BQ24" s="592"/>
      <c r="BR24" s="592"/>
      <c r="BS24" s="592"/>
      <c r="BT24" s="592"/>
    </row>
    <row r="25" spans="1:72" s="591" customFormat="1" ht="12.5" customHeight="1">
      <c r="A25" s="540"/>
      <c r="B25" s="566"/>
      <c r="C25" s="571"/>
      <c r="D25" s="567"/>
      <c r="E25" s="567"/>
      <c r="F25" s="567"/>
      <c r="G25" s="569"/>
      <c r="H25" s="601"/>
      <c r="I25" s="601" t="s">
        <v>547</v>
      </c>
      <c r="J25" s="608"/>
      <c r="K25" s="607"/>
      <c r="L25" s="607"/>
      <c r="M25" s="607"/>
      <c r="N25" s="607"/>
      <c r="O25" s="607"/>
      <c r="P25" s="607"/>
      <c r="Q25" s="607"/>
      <c r="R25" s="607"/>
      <c r="S25" s="607"/>
      <c r="T25" s="607"/>
      <c r="U25" s="607"/>
      <c r="V25" s="607"/>
      <c r="W25" s="607"/>
      <c r="X25" s="609"/>
      <c r="Y25" s="601"/>
      <c r="Z25" s="601"/>
      <c r="AA25" s="610"/>
      <c r="AB25" s="601"/>
      <c r="AC25" s="611"/>
      <c r="AD25" s="611"/>
      <c r="AE25" s="612"/>
      <c r="AF25" s="611"/>
      <c r="AG25" s="612"/>
      <c r="AH25" s="611"/>
      <c r="AI25" s="613"/>
      <c r="AJ25" s="611"/>
      <c r="AK25" s="612"/>
      <c r="AL25" s="612"/>
      <c r="AM25" s="612"/>
      <c r="AN25" s="612"/>
      <c r="AO25" s="612"/>
      <c r="AP25" s="612"/>
      <c r="AQ25" s="612"/>
      <c r="AR25" s="612"/>
      <c r="AS25" s="612"/>
      <c r="AT25" s="569"/>
      <c r="AU25" s="569"/>
      <c r="AV25" s="569"/>
      <c r="AW25" s="569"/>
      <c r="AX25" s="569"/>
      <c r="AY25" s="565"/>
      <c r="AZ25" s="570"/>
      <c r="BA25" s="570"/>
      <c r="BB25" s="536"/>
      <c r="BC25" s="537"/>
      <c r="BD25" s="538"/>
      <c r="BE25" s="592"/>
      <c r="BF25" s="592"/>
      <c r="BG25" s="592"/>
      <c r="BH25" s="592"/>
      <c r="BI25" s="592"/>
      <c r="BJ25" s="592"/>
      <c r="BK25" s="592"/>
      <c r="BL25" s="592"/>
      <c r="BM25" s="592"/>
      <c r="BN25" s="592"/>
      <c r="BO25" s="592"/>
      <c r="BP25" s="592"/>
      <c r="BQ25" s="592"/>
      <c r="BR25" s="592"/>
      <c r="BS25" s="592"/>
      <c r="BT25" s="592"/>
    </row>
    <row r="26" spans="1:72" s="591" customFormat="1" ht="12.5" customHeight="1">
      <c r="A26" s="540"/>
      <c r="B26" s="566"/>
      <c r="C26" s="573"/>
      <c r="D26" s="569"/>
      <c r="E26" s="569"/>
      <c r="F26" s="569"/>
      <c r="G26" s="569"/>
      <c r="H26" s="614"/>
      <c r="I26" s="609"/>
      <c r="J26" s="607"/>
      <c r="K26" s="609"/>
      <c r="L26" s="607"/>
      <c r="M26" s="607"/>
      <c r="N26" s="607"/>
      <c r="O26" s="607"/>
      <c r="P26" s="607"/>
      <c r="Q26" s="607"/>
      <c r="R26" s="607"/>
      <c r="S26" s="607"/>
      <c r="T26" s="607"/>
      <c r="U26" s="607"/>
      <c r="V26" s="607"/>
      <c r="W26" s="607"/>
      <c r="X26" s="609"/>
      <c r="Y26" s="601"/>
      <c r="Z26" s="610"/>
      <c r="AA26" s="601"/>
      <c r="AB26" s="610"/>
      <c r="AC26" s="601"/>
      <c r="AD26" s="611"/>
      <c r="AE26" s="611"/>
      <c r="AF26" s="612"/>
      <c r="AG26" s="611"/>
      <c r="AH26" s="611"/>
      <c r="AI26" s="613"/>
      <c r="AJ26" s="611"/>
      <c r="AK26" s="612"/>
      <c r="AL26" s="612"/>
      <c r="AM26" s="612"/>
      <c r="AN26" s="612"/>
      <c r="AO26" s="612"/>
      <c r="AP26" s="612"/>
      <c r="AQ26" s="612"/>
      <c r="AR26" s="612"/>
      <c r="AS26" s="601"/>
      <c r="AT26" s="572"/>
      <c r="AU26" s="565"/>
      <c r="AV26" s="569"/>
      <c r="AW26" s="569"/>
      <c r="AX26" s="569"/>
      <c r="AY26" s="565"/>
      <c r="AZ26" s="570"/>
      <c r="BA26" s="570"/>
      <c r="BB26" s="536"/>
      <c r="BC26" s="537"/>
      <c r="BD26" s="538"/>
      <c r="BE26" s="592"/>
      <c r="BF26" s="592"/>
      <c r="BG26" s="592" t="s">
        <v>418</v>
      </c>
      <c r="BH26" s="592"/>
      <c r="BI26" s="592"/>
      <c r="BJ26" s="592"/>
      <c r="BK26" s="592"/>
      <c r="BL26" s="592"/>
      <c r="BM26" s="592"/>
      <c r="BN26" s="592"/>
      <c r="BO26" s="592"/>
      <c r="BP26" s="592"/>
      <c r="BQ26" s="592"/>
      <c r="BR26" s="592"/>
      <c r="BS26" s="592"/>
      <c r="BT26" s="592"/>
    </row>
    <row r="27" spans="1:72" s="591" customFormat="1" ht="12.5" customHeight="1">
      <c r="A27" s="540"/>
      <c r="B27" s="566"/>
      <c r="C27" s="565"/>
      <c r="D27" s="569"/>
      <c r="E27" s="569"/>
      <c r="F27" s="569"/>
      <c r="G27" s="569"/>
      <c r="H27" s="614"/>
      <c r="I27" s="609"/>
      <c r="J27" s="607"/>
      <c r="K27" s="609"/>
      <c r="L27" s="607"/>
      <c r="M27" s="607"/>
      <c r="N27" s="607"/>
      <c r="O27" s="607"/>
      <c r="P27" s="607"/>
      <c r="Q27" s="607"/>
      <c r="R27" s="607"/>
      <c r="S27" s="607"/>
      <c r="T27" s="607"/>
      <c r="U27" s="607"/>
      <c r="V27" s="607"/>
      <c r="W27" s="607"/>
      <c r="X27" s="609"/>
      <c r="Y27" s="601"/>
      <c r="Z27" s="612"/>
      <c r="AA27" s="612"/>
      <c r="AB27" s="612"/>
      <c r="AC27" s="612"/>
      <c r="AD27" s="612"/>
      <c r="AE27" s="612"/>
      <c r="AF27" s="612"/>
      <c r="AG27" s="612"/>
      <c r="AH27" s="612"/>
      <c r="AI27" s="612"/>
      <c r="AJ27" s="612"/>
      <c r="AK27" s="612"/>
      <c r="AL27" s="612"/>
      <c r="AM27" s="601"/>
      <c r="AN27" s="601"/>
      <c r="AO27" s="601"/>
      <c r="AP27" s="601"/>
      <c r="AQ27" s="601"/>
      <c r="AR27" s="601"/>
      <c r="AS27" s="601"/>
      <c r="AT27" s="565"/>
      <c r="AU27" s="565"/>
      <c r="AV27" s="565"/>
      <c r="AW27" s="565"/>
      <c r="AX27" s="569"/>
      <c r="AY27" s="565"/>
      <c r="AZ27" s="570"/>
      <c r="BA27" s="570"/>
      <c r="BB27" s="536"/>
      <c r="BC27" s="537"/>
      <c r="BD27" s="538"/>
      <c r="BE27" s="592"/>
      <c r="BF27" s="592"/>
      <c r="BG27" s="592"/>
      <c r="BH27" s="592" t="s">
        <v>388</v>
      </c>
      <c r="BI27" s="592"/>
      <c r="BJ27" s="592"/>
      <c r="BK27" s="592"/>
      <c r="BL27" s="592"/>
      <c r="BM27" s="592"/>
      <c r="BN27" s="592"/>
      <c r="BO27" s="592"/>
      <c r="BP27" s="592"/>
      <c r="BQ27" s="592"/>
      <c r="BR27" s="592"/>
      <c r="BS27" s="592"/>
      <c r="BT27" s="592"/>
    </row>
    <row r="28" spans="1:72" s="591" customFormat="1" ht="12.5" customHeight="1">
      <c r="A28" s="540"/>
      <c r="B28" s="566"/>
      <c r="C28" s="565"/>
      <c r="D28" s="569"/>
      <c r="E28" s="569"/>
      <c r="F28" s="569"/>
      <c r="G28" s="569"/>
      <c r="H28" s="614"/>
      <c r="I28" s="609"/>
      <c r="J28" s="607"/>
      <c r="K28" s="609"/>
      <c r="L28" s="607"/>
      <c r="M28" s="607"/>
      <c r="N28" s="607"/>
      <c r="O28" s="607"/>
      <c r="P28" s="607"/>
      <c r="Q28" s="607"/>
      <c r="R28" s="607"/>
      <c r="S28" s="607"/>
      <c r="T28" s="607"/>
      <c r="U28" s="607"/>
      <c r="V28" s="607"/>
      <c r="W28" s="607"/>
      <c r="X28" s="609"/>
      <c r="Y28" s="601"/>
      <c r="Z28" s="612"/>
      <c r="AA28" s="612"/>
      <c r="AB28" s="612"/>
      <c r="AC28" s="612"/>
      <c r="AD28" s="612"/>
      <c r="AE28" s="612"/>
      <c r="AF28" s="612"/>
      <c r="AG28" s="612"/>
      <c r="AH28" s="612"/>
      <c r="AI28" s="612"/>
      <c r="AJ28" s="612"/>
      <c r="AK28" s="612"/>
      <c r="AL28" s="612"/>
      <c r="AM28" s="601"/>
      <c r="AN28" s="601"/>
      <c r="AO28" s="601"/>
      <c r="AP28" s="601"/>
      <c r="AQ28" s="601"/>
      <c r="AR28" s="601"/>
      <c r="AS28" s="601"/>
      <c r="AT28" s="565"/>
      <c r="AU28" s="565"/>
      <c r="AV28" s="565"/>
      <c r="AW28" s="565"/>
      <c r="AX28" s="569"/>
      <c r="AY28" s="565"/>
      <c r="AZ28" s="570"/>
      <c r="BA28" s="570"/>
      <c r="BB28" s="536"/>
      <c r="BC28" s="537"/>
      <c r="BD28" s="538"/>
      <c r="BE28" s="592"/>
      <c r="BF28" s="592"/>
      <c r="BG28" s="592"/>
      <c r="BH28" s="592" t="s">
        <v>393</v>
      </c>
      <c r="BI28" s="592"/>
      <c r="BJ28" s="592"/>
      <c r="BK28" s="592"/>
      <c r="BL28" s="592"/>
      <c r="BM28" s="592"/>
      <c r="BN28" s="592"/>
      <c r="BO28" s="592"/>
      <c r="BP28" s="592"/>
      <c r="BQ28" s="592"/>
      <c r="BR28" s="592"/>
      <c r="BS28" s="592"/>
      <c r="BT28" s="592"/>
    </row>
    <row r="29" spans="1:72" s="591" customFormat="1" ht="12.5" customHeight="1">
      <c r="A29" s="540"/>
      <c r="B29" s="566"/>
      <c r="C29" s="565"/>
      <c r="D29" s="569"/>
      <c r="E29" s="569"/>
      <c r="F29" s="569"/>
      <c r="G29" s="569"/>
      <c r="H29" s="614"/>
      <c r="I29" s="609"/>
      <c r="J29" s="607"/>
      <c r="K29" s="609"/>
      <c r="L29" s="607"/>
      <c r="M29" s="607"/>
      <c r="N29" s="607"/>
      <c r="O29" s="607"/>
      <c r="P29" s="607"/>
      <c r="Q29" s="607"/>
      <c r="R29" s="607"/>
      <c r="S29" s="607"/>
      <c r="T29" s="607"/>
      <c r="U29" s="607"/>
      <c r="V29" s="607"/>
      <c r="W29" s="607"/>
      <c r="X29" s="609"/>
      <c r="Y29" s="601"/>
      <c r="Z29" s="612"/>
      <c r="AA29" s="612"/>
      <c r="AB29" s="612"/>
      <c r="AC29" s="612"/>
      <c r="AD29" s="612"/>
      <c r="AE29" s="612"/>
      <c r="AF29" s="612"/>
      <c r="AG29" s="612"/>
      <c r="AH29" s="612"/>
      <c r="AI29" s="612"/>
      <c r="AJ29" s="612"/>
      <c r="AK29" s="612"/>
      <c r="AL29" s="612"/>
      <c r="AM29" s="601"/>
      <c r="AN29" s="601"/>
      <c r="AO29" s="601"/>
      <c r="AP29" s="601"/>
      <c r="AQ29" s="601"/>
      <c r="AR29" s="601"/>
      <c r="AS29" s="601"/>
      <c r="AT29" s="565"/>
      <c r="AU29" s="565"/>
      <c r="AV29" s="565"/>
      <c r="AW29" s="565"/>
      <c r="AX29" s="569"/>
      <c r="AY29" s="565"/>
      <c r="AZ29" s="570"/>
      <c r="BA29" s="570"/>
      <c r="BB29" s="536"/>
      <c r="BC29" s="537"/>
      <c r="BD29" s="538"/>
      <c r="BE29" s="592"/>
      <c r="BF29" s="592"/>
      <c r="BG29" s="592"/>
      <c r="BH29" s="592"/>
      <c r="BI29" s="592" t="s">
        <v>411</v>
      </c>
      <c r="BJ29" s="592" t="s">
        <v>412</v>
      </c>
      <c r="BK29" s="592"/>
      <c r="BL29" s="592"/>
      <c r="BM29" s="592"/>
      <c r="BN29" s="592"/>
      <c r="BO29" s="592"/>
      <c r="BP29" s="592"/>
      <c r="BQ29" s="592"/>
      <c r="BR29" s="592"/>
      <c r="BS29" s="592"/>
      <c r="BT29" s="592"/>
    </row>
    <row r="30" spans="1:72" s="591" customFormat="1" ht="12.5" customHeight="1">
      <c r="A30" s="540"/>
      <c r="B30" s="566"/>
      <c r="C30" s="565"/>
      <c r="D30" s="569"/>
      <c r="E30" s="569"/>
      <c r="F30" s="569"/>
      <c r="G30" s="569"/>
      <c r="H30" s="614"/>
      <c r="I30" s="609"/>
      <c r="J30" s="607"/>
      <c r="K30" s="609"/>
      <c r="L30" s="607"/>
      <c r="M30" s="607"/>
      <c r="N30" s="607"/>
      <c r="O30" s="607"/>
      <c r="P30" s="607"/>
      <c r="Q30" s="607"/>
      <c r="R30" s="607"/>
      <c r="S30" s="607"/>
      <c r="T30" s="607"/>
      <c r="U30" s="607"/>
      <c r="V30" s="607"/>
      <c r="W30" s="607"/>
      <c r="X30" s="609"/>
      <c r="Y30" s="601"/>
      <c r="Z30" s="612"/>
      <c r="AA30" s="612"/>
      <c r="AB30" s="612"/>
      <c r="AC30" s="612"/>
      <c r="AD30" s="612"/>
      <c r="AE30" s="612"/>
      <c r="AF30" s="612"/>
      <c r="AG30" s="612"/>
      <c r="AH30" s="612"/>
      <c r="AI30" s="612"/>
      <c r="AJ30" s="612"/>
      <c r="AK30" s="612"/>
      <c r="AL30" s="612"/>
      <c r="AM30" s="601"/>
      <c r="AN30" s="601"/>
      <c r="AO30" s="601"/>
      <c r="AP30" s="601"/>
      <c r="AQ30" s="601"/>
      <c r="AR30" s="601"/>
      <c r="AS30" s="601"/>
      <c r="AT30" s="565"/>
      <c r="AU30" s="565"/>
      <c r="AV30" s="565"/>
      <c r="AW30" s="565"/>
      <c r="AX30" s="569"/>
      <c r="AY30" s="565"/>
      <c r="AZ30" s="570"/>
      <c r="BA30" s="570"/>
      <c r="BB30" s="536"/>
      <c r="BC30" s="537"/>
      <c r="BD30" s="538"/>
      <c r="BE30" s="592"/>
      <c r="BF30" s="592"/>
      <c r="BG30" s="592"/>
      <c r="BH30" s="592"/>
      <c r="BI30" s="592" t="s">
        <v>411</v>
      </c>
      <c r="BJ30" s="592" t="s">
        <v>413</v>
      </c>
      <c r="BK30" s="592"/>
      <c r="BL30" s="592"/>
      <c r="BM30" s="592"/>
      <c r="BN30" s="592"/>
      <c r="BO30" s="592"/>
      <c r="BP30" s="592"/>
      <c r="BQ30" s="592"/>
      <c r="BR30" s="592"/>
      <c r="BS30" s="592"/>
      <c r="BT30" s="592"/>
    </row>
    <row r="31" spans="1:72" s="591" customFormat="1" ht="12.5" customHeight="1">
      <c r="A31" s="540"/>
      <c r="B31" s="566"/>
      <c r="C31" s="565"/>
      <c r="D31" s="569"/>
      <c r="E31" s="569"/>
      <c r="F31" s="569"/>
      <c r="G31" s="569"/>
      <c r="H31" s="614"/>
      <c r="I31" s="609"/>
      <c r="J31" s="607"/>
      <c r="K31" s="609"/>
      <c r="L31" s="607"/>
      <c r="M31" s="607"/>
      <c r="N31" s="607"/>
      <c r="O31" s="607"/>
      <c r="P31" s="607"/>
      <c r="Q31" s="607"/>
      <c r="R31" s="607"/>
      <c r="S31" s="607"/>
      <c r="T31" s="607"/>
      <c r="U31" s="607"/>
      <c r="V31" s="607"/>
      <c r="W31" s="607"/>
      <c r="X31" s="609"/>
      <c r="Y31" s="601"/>
      <c r="Z31" s="612"/>
      <c r="AA31" s="612"/>
      <c r="AB31" s="612"/>
      <c r="AC31" s="612"/>
      <c r="AD31" s="612"/>
      <c r="AE31" s="612"/>
      <c r="AF31" s="612"/>
      <c r="AG31" s="612"/>
      <c r="AH31" s="612"/>
      <c r="AI31" s="612"/>
      <c r="AJ31" s="612"/>
      <c r="AK31" s="612"/>
      <c r="AL31" s="612"/>
      <c r="AM31" s="601"/>
      <c r="AN31" s="601"/>
      <c r="AO31" s="601"/>
      <c r="AP31" s="601"/>
      <c r="AQ31" s="601"/>
      <c r="AR31" s="601"/>
      <c r="AS31" s="601"/>
      <c r="AT31" s="565"/>
      <c r="AU31" s="565"/>
      <c r="AV31" s="565"/>
      <c r="AW31" s="565"/>
      <c r="AX31" s="569"/>
      <c r="AY31" s="565"/>
      <c r="AZ31" s="570"/>
      <c r="BA31" s="570"/>
      <c r="BB31" s="536"/>
      <c r="BC31" s="537"/>
      <c r="BD31" s="538"/>
      <c r="BE31" s="592"/>
      <c r="BF31" s="592"/>
      <c r="BG31" s="592"/>
      <c r="BH31" s="592"/>
      <c r="BI31" s="592" t="s">
        <v>411</v>
      </c>
      <c r="BJ31" s="592" t="s">
        <v>414</v>
      </c>
      <c r="BK31" s="592"/>
      <c r="BL31" s="592"/>
      <c r="BM31" s="592"/>
      <c r="BN31" s="592"/>
      <c r="BO31" s="592"/>
      <c r="BP31" s="592"/>
      <c r="BQ31" s="592"/>
      <c r="BR31" s="592"/>
      <c r="BS31" s="592"/>
      <c r="BT31" s="592"/>
    </row>
    <row r="32" spans="1:72" s="591" customFormat="1" ht="12.5" customHeight="1">
      <c r="A32" s="540"/>
      <c r="B32" s="566"/>
      <c r="C32" s="565"/>
      <c r="D32" s="569"/>
      <c r="E32" s="569"/>
      <c r="F32" s="569"/>
      <c r="G32" s="569"/>
      <c r="H32" s="614"/>
      <c r="I32" s="609"/>
      <c r="J32" s="607"/>
      <c r="K32" s="609"/>
      <c r="L32" s="607"/>
      <c r="M32" s="607"/>
      <c r="N32" s="607"/>
      <c r="O32" s="607"/>
      <c r="P32" s="607"/>
      <c r="Q32" s="607"/>
      <c r="R32" s="607"/>
      <c r="S32" s="607"/>
      <c r="T32" s="607"/>
      <c r="U32" s="607"/>
      <c r="V32" s="607"/>
      <c r="W32" s="607"/>
      <c r="X32" s="609"/>
      <c r="Y32" s="601"/>
      <c r="Z32" s="612"/>
      <c r="AA32" s="612"/>
      <c r="AB32" s="612"/>
      <c r="AC32" s="612"/>
      <c r="AD32" s="612"/>
      <c r="AE32" s="612"/>
      <c r="AF32" s="612"/>
      <c r="AG32" s="612"/>
      <c r="AH32" s="612"/>
      <c r="AI32" s="612"/>
      <c r="AJ32" s="612"/>
      <c r="AK32" s="612"/>
      <c r="AL32" s="612"/>
      <c r="AM32" s="601"/>
      <c r="AN32" s="601"/>
      <c r="AO32" s="601"/>
      <c r="AP32" s="601"/>
      <c r="AQ32" s="601"/>
      <c r="AR32" s="601"/>
      <c r="AS32" s="601"/>
      <c r="AT32" s="565"/>
      <c r="AU32" s="565"/>
      <c r="AV32" s="565"/>
      <c r="AW32" s="565"/>
      <c r="AX32" s="569"/>
      <c r="AY32" s="565"/>
      <c r="AZ32" s="570"/>
      <c r="BA32" s="570"/>
      <c r="BB32" s="536"/>
      <c r="BC32" s="537"/>
      <c r="BD32" s="538"/>
      <c r="BE32" s="592"/>
      <c r="BF32" s="592"/>
      <c r="BG32" s="592"/>
      <c r="BH32" s="592"/>
      <c r="BI32" s="592" t="s">
        <v>411</v>
      </c>
      <c r="BJ32" s="592" t="s">
        <v>415</v>
      </c>
      <c r="BK32" s="592"/>
      <c r="BL32" s="592"/>
      <c r="BM32" s="592"/>
      <c r="BN32" s="592"/>
      <c r="BO32" s="592"/>
      <c r="BP32" s="592"/>
      <c r="BQ32" s="592"/>
      <c r="BR32" s="592"/>
      <c r="BS32" s="592"/>
      <c r="BT32" s="592"/>
    </row>
    <row r="33" spans="1:72" s="591" customFormat="1" ht="12.5" customHeight="1">
      <c r="A33" s="540"/>
      <c r="B33" s="566"/>
      <c r="C33" s="565"/>
      <c r="D33" s="569"/>
      <c r="E33" s="569"/>
      <c r="F33" s="569"/>
      <c r="G33" s="569"/>
      <c r="H33" s="614"/>
      <c r="I33" s="609"/>
      <c r="J33" s="607"/>
      <c r="K33" s="609"/>
      <c r="L33" s="607"/>
      <c r="M33" s="607"/>
      <c r="N33" s="607"/>
      <c r="O33" s="607"/>
      <c r="P33" s="607"/>
      <c r="Q33" s="607"/>
      <c r="R33" s="632" t="s">
        <v>369</v>
      </c>
      <c r="S33" s="607"/>
      <c r="T33" s="607"/>
      <c r="U33" s="607"/>
      <c r="V33" s="607"/>
      <c r="W33" s="607"/>
      <c r="X33" s="609"/>
      <c r="Y33" s="601"/>
      <c r="Z33" s="612"/>
      <c r="AA33" s="612"/>
      <c r="AB33" s="612"/>
      <c r="AC33" s="612"/>
      <c r="AD33" s="612"/>
      <c r="AE33" s="612"/>
      <c r="AF33" s="612"/>
      <c r="AG33" s="612"/>
      <c r="AH33" s="612"/>
      <c r="AI33" s="612"/>
      <c r="AJ33" s="612"/>
      <c r="AK33" s="612"/>
      <c r="AL33" s="612"/>
      <c r="AM33" s="601"/>
      <c r="AN33" s="601"/>
      <c r="AO33" s="601"/>
      <c r="AP33" s="601"/>
      <c r="AQ33" s="601"/>
      <c r="AR33" s="601"/>
      <c r="AS33" s="601"/>
      <c r="AT33" s="565"/>
      <c r="AU33" s="565"/>
      <c r="AV33" s="565"/>
      <c r="AW33" s="565"/>
      <c r="AX33" s="569"/>
      <c r="AY33" s="565"/>
      <c r="AZ33" s="570"/>
      <c r="BA33" s="570"/>
      <c r="BB33" s="536"/>
      <c r="BC33" s="537"/>
      <c r="BD33" s="538"/>
      <c r="BE33" s="592"/>
      <c r="BF33" s="592"/>
      <c r="BG33" s="592"/>
      <c r="BH33" s="592" t="s">
        <v>394</v>
      </c>
      <c r="BI33" s="592"/>
      <c r="BJ33" s="592"/>
      <c r="BK33" s="592"/>
      <c r="BL33" s="592"/>
      <c r="BM33" s="592"/>
      <c r="BN33" s="592"/>
      <c r="BO33" s="592"/>
      <c r="BP33" s="592"/>
      <c r="BQ33" s="592"/>
      <c r="BR33" s="592"/>
      <c r="BS33" s="592"/>
      <c r="BT33" s="592"/>
    </row>
    <row r="34" spans="1:72" s="591" customFormat="1" ht="12.5" customHeight="1">
      <c r="A34" s="540"/>
      <c r="B34" s="566"/>
      <c r="C34" s="565"/>
      <c r="D34" s="569"/>
      <c r="E34" s="569"/>
      <c r="F34" s="569"/>
      <c r="G34" s="569"/>
      <c r="H34" s="614"/>
      <c r="I34" s="609"/>
      <c r="J34" s="607"/>
      <c r="K34" s="609"/>
      <c r="L34" s="607"/>
      <c r="M34" s="607"/>
      <c r="N34" s="607"/>
      <c r="O34" s="607"/>
      <c r="P34" s="607"/>
      <c r="Q34" s="607"/>
      <c r="R34" s="632" t="s">
        <v>548</v>
      </c>
      <c r="S34" s="607"/>
      <c r="T34" s="607"/>
      <c r="U34" s="607"/>
      <c r="V34" s="607"/>
      <c r="W34" s="607"/>
      <c r="X34" s="609"/>
      <c r="Y34" s="601"/>
      <c r="Z34" s="612"/>
      <c r="AA34" s="612"/>
      <c r="AB34" s="612"/>
      <c r="AC34" s="612"/>
      <c r="AD34" s="612"/>
      <c r="AE34" s="612"/>
      <c r="AF34" s="612"/>
      <c r="AG34" s="612"/>
      <c r="AH34" s="612"/>
      <c r="AI34" s="612"/>
      <c r="AJ34" s="612"/>
      <c r="AK34" s="612"/>
      <c r="AL34" s="612"/>
      <c r="AM34" s="601"/>
      <c r="AN34" s="601"/>
      <c r="AO34" s="601"/>
      <c r="AP34" s="601"/>
      <c r="AQ34" s="601"/>
      <c r="AR34" s="601"/>
      <c r="AS34" s="601"/>
      <c r="AT34" s="565"/>
      <c r="AU34" s="565"/>
      <c r="AV34" s="565"/>
      <c r="AW34" s="565"/>
      <c r="AX34" s="569"/>
      <c r="AY34" s="565"/>
      <c r="AZ34" s="570"/>
      <c r="BA34" s="570"/>
      <c r="BB34" s="536"/>
      <c r="BC34" s="537"/>
      <c r="BD34" s="538"/>
      <c r="BE34" s="592"/>
      <c r="BF34" s="575"/>
      <c r="BG34" s="575"/>
      <c r="BH34" s="592" t="s">
        <v>395</v>
      </c>
      <c r="BI34" s="592"/>
      <c r="BJ34" s="592"/>
      <c r="BK34" s="592"/>
      <c r="BL34" s="592"/>
      <c r="BM34" s="592"/>
      <c r="BN34" s="592"/>
      <c r="BO34" s="592"/>
      <c r="BP34" s="592"/>
      <c r="BQ34" s="592"/>
      <c r="BR34" s="592"/>
      <c r="BS34" s="592"/>
      <c r="BT34" s="592"/>
    </row>
    <row r="35" spans="1:72" s="591" customFormat="1" ht="12.5" customHeight="1">
      <c r="A35" s="540"/>
      <c r="B35" s="566"/>
      <c r="C35" s="565"/>
      <c r="D35" s="569"/>
      <c r="E35" s="569"/>
      <c r="F35" s="569"/>
      <c r="G35" s="569"/>
      <c r="H35" s="614"/>
      <c r="I35" s="609"/>
      <c r="J35" s="607"/>
      <c r="K35" s="609"/>
      <c r="L35" s="607"/>
      <c r="M35" s="607"/>
      <c r="N35" s="607"/>
      <c r="O35" s="607"/>
      <c r="P35" s="607"/>
      <c r="Q35" s="607"/>
      <c r="R35" s="632" t="s">
        <v>370</v>
      </c>
      <c r="S35" s="607"/>
      <c r="T35" s="607"/>
      <c r="U35" s="607"/>
      <c r="V35" s="607"/>
      <c r="W35" s="607"/>
      <c r="X35" s="609"/>
      <c r="Y35" s="601"/>
      <c r="Z35" s="612"/>
      <c r="AA35" s="612"/>
      <c r="AB35" s="612"/>
      <c r="AC35" s="612"/>
      <c r="AD35" s="612"/>
      <c r="AE35" s="612"/>
      <c r="AF35" s="612"/>
      <c r="AG35" s="612"/>
      <c r="AH35" s="612"/>
      <c r="AI35" s="612"/>
      <c r="AJ35" s="612"/>
      <c r="AK35" s="612"/>
      <c r="AL35" s="612"/>
      <c r="AM35" s="601"/>
      <c r="AN35" s="601"/>
      <c r="AO35" s="601"/>
      <c r="AP35" s="601"/>
      <c r="AQ35" s="601"/>
      <c r="AR35" s="601"/>
      <c r="AS35" s="601"/>
      <c r="AT35" s="565"/>
      <c r="AU35" s="565"/>
      <c r="AV35" s="565"/>
      <c r="AW35" s="565"/>
      <c r="AX35" s="569"/>
      <c r="AY35" s="565"/>
      <c r="AZ35" s="570"/>
      <c r="BA35" s="570"/>
      <c r="BB35" s="536"/>
      <c r="BC35" s="537"/>
      <c r="BD35" s="538"/>
      <c r="BE35" s="595"/>
      <c r="BF35" s="575"/>
      <c r="BG35" s="592"/>
      <c r="BH35" s="592" t="s">
        <v>396</v>
      </c>
      <c r="BI35" s="592"/>
      <c r="BJ35" s="592"/>
      <c r="BK35" s="592"/>
      <c r="BL35" s="592"/>
      <c r="BM35" s="592"/>
      <c r="BN35" s="592"/>
      <c r="BO35" s="592"/>
      <c r="BP35" s="592"/>
      <c r="BQ35" s="592"/>
      <c r="BR35" s="592"/>
      <c r="BS35" s="592"/>
      <c r="BT35" s="592"/>
    </row>
    <row r="36" spans="1:72" s="591" customFormat="1" ht="12.5" customHeight="1">
      <c r="A36" s="540"/>
      <c r="B36" s="566"/>
      <c r="C36" s="565"/>
      <c r="D36" s="569"/>
      <c r="E36" s="569"/>
      <c r="F36" s="569"/>
      <c r="G36" s="569"/>
      <c r="H36" s="614"/>
      <c r="I36" s="609"/>
      <c r="J36" s="607"/>
      <c r="K36" s="609"/>
      <c r="L36" s="607"/>
      <c r="M36" s="607"/>
      <c r="N36" s="607"/>
      <c r="O36" s="607"/>
      <c r="P36" s="607"/>
      <c r="Q36" s="607"/>
      <c r="R36" s="632" t="s">
        <v>549</v>
      </c>
      <c r="S36" s="607"/>
      <c r="T36" s="607"/>
      <c r="U36" s="607"/>
      <c r="V36" s="607"/>
      <c r="W36" s="607"/>
      <c r="X36" s="609"/>
      <c r="Y36" s="601"/>
      <c r="Z36" s="612"/>
      <c r="AA36" s="612"/>
      <c r="AB36" s="612"/>
      <c r="AC36" s="612"/>
      <c r="AD36" s="612"/>
      <c r="AE36" s="612"/>
      <c r="AF36" s="612"/>
      <c r="AG36" s="612"/>
      <c r="AH36" s="612"/>
      <c r="AI36" s="612"/>
      <c r="AJ36" s="612"/>
      <c r="AK36" s="612"/>
      <c r="AL36" s="612"/>
      <c r="AM36" s="601"/>
      <c r="AN36" s="601"/>
      <c r="AO36" s="601"/>
      <c r="AP36" s="601"/>
      <c r="AQ36" s="601"/>
      <c r="AR36" s="601"/>
      <c r="AS36" s="601"/>
      <c r="AT36" s="565"/>
      <c r="AU36" s="565"/>
      <c r="AV36" s="565"/>
      <c r="AW36" s="565"/>
      <c r="AX36" s="569"/>
      <c r="AY36" s="565"/>
      <c r="AZ36" s="570"/>
      <c r="BA36" s="570"/>
      <c r="BB36" s="536"/>
      <c r="BC36" s="537"/>
      <c r="BD36" s="538"/>
      <c r="BE36" s="592"/>
      <c r="BF36" s="592"/>
      <c r="BG36" s="592"/>
      <c r="BH36" s="592" t="s">
        <v>397</v>
      </c>
      <c r="BI36" s="592"/>
      <c r="BJ36" s="592"/>
      <c r="BK36" s="592"/>
      <c r="BL36" s="592"/>
      <c r="BM36" s="592"/>
      <c r="BN36" s="592"/>
      <c r="BO36" s="592"/>
      <c r="BP36" s="592"/>
      <c r="BQ36" s="592"/>
      <c r="BR36" s="592"/>
      <c r="BS36" s="592"/>
      <c r="BT36" s="592"/>
    </row>
    <row r="37" spans="1:72" s="591" customFormat="1" ht="12.5" customHeight="1">
      <c r="A37" s="540"/>
      <c r="B37" s="541"/>
      <c r="C37" s="538"/>
      <c r="D37" s="538"/>
      <c r="E37" s="538"/>
      <c r="F37" s="539"/>
      <c r="G37" s="544"/>
      <c r="H37" s="617"/>
      <c r="I37" s="617"/>
      <c r="J37" s="617"/>
      <c r="K37" s="617"/>
      <c r="L37" s="617"/>
      <c r="M37" s="617"/>
      <c r="N37" s="617"/>
      <c r="O37" s="617"/>
      <c r="P37" s="617"/>
      <c r="Q37" s="617"/>
      <c r="R37" s="617"/>
      <c r="S37" s="617"/>
      <c r="T37" s="618"/>
      <c r="U37" s="618"/>
      <c r="V37" s="618"/>
      <c r="W37" s="618"/>
      <c r="X37" s="619"/>
      <c r="Y37" s="618"/>
      <c r="Z37" s="618"/>
      <c r="AA37" s="618"/>
      <c r="AB37" s="620"/>
      <c r="AC37" s="618"/>
      <c r="AD37" s="621"/>
      <c r="AE37" s="621"/>
      <c r="AF37" s="621"/>
      <c r="AG37" s="621"/>
      <c r="AH37" s="621"/>
      <c r="AI37" s="617"/>
      <c r="AJ37" s="618"/>
      <c r="AK37" s="618"/>
      <c r="AL37" s="618"/>
      <c r="AM37" s="618"/>
      <c r="AN37" s="622"/>
      <c r="AO37" s="619"/>
      <c r="AP37" s="619"/>
      <c r="AQ37" s="618"/>
      <c r="AR37" s="618"/>
      <c r="AS37" s="618"/>
      <c r="AT37" s="547"/>
      <c r="AU37" s="545"/>
      <c r="AV37" s="548"/>
      <c r="AW37" s="548"/>
      <c r="AX37" s="548"/>
      <c r="AY37" s="542"/>
      <c r="AZ37" s="543"/>
      <c r="BA37" s="543"/>
      <c r="BB37" s="536"/>
      <c r="BC37" s="537"/>
      <c r="BD37" s="538"/>
      <c r="BE37" s="592"/>
      <c r="BF37" s="592"/>
      <c r="BG37" s="592"/>
      <c r="BH37" s="592" t="s">
        <v>416</v>
      </c>
      <c r="BI37" s="592"/>
      <c r="BJ37" s="592"/>
      <c r="BK37" s="592"/>
      <c r="BL37" s="592"/>
      <c r="BM37" s="592"/>
      <c r="BN37" s="592"/>
      <c r="BO37" s="592"/>
      <c r="BP37" s="592"/>
      <c r="BQ37" s="592"/>
      <c r="BR37" s="592"/>
      <c r="BS37" s="592"/>
      <c r="BT37" s="592"/>
    </row>
    <row r="38" spans="1:72" s="591" customFormat="1" ht="12.5" customHeight="1">
      <c r="A38" s="540"/>
      <c r="B38" s="566"/>
      <c r="C38" s="565"/>
      <c r="D38" s="567"/>
      <c r="E38" s="567"/>
      <c r="F38" s="567"/>
      <c r="G38" s="565"/>
      <c r="H38" s="617"/>
      <c r="I38" s="634" t="s">
        <v>371</v>
      </c>
      <c r="J38" s="617"/>
      <c r="K38" s="617"/>
      <c r="L38" s="617"/>
      <c r="M38" s="617"/>
      <c r="N38" s="617"/>
      <c r="O38" s="617"/>
      <c r="P38" s="617"/>
      <c r="Q38" s="617"/>
      <c r="R38" s="617"/>
      <c r="S38" s="635" t="s">
        <v>372</v>
      </c>
      <c r="T38" s="618"/>
      <c r="U38" s="618"/>
      <c r="V38" s="618"/>
      <c r="W38" s="618"/>
      <c r="X38" s="619"/>
      <c r="Y38" s="618"/>
      <c r="Z38" s="617"/>
      <c r="AA38" s="617"/>
      <c r="AB38" s="617"/>
      <c r="AC38" s="617"/>
      <c r="AD38" s="617"/>
      <c r="AE38" s="617"/>
      <c r="AF38" s="617"/>
      <c r="AG38" s="617"/>
      <c r="AH38" s="617"/>
      <c r="AI38" s="617"/>
      <c r="AJ38" s="617"/>
      <c r="AK38" s="617"/>
      <c r="AL38" s="617"/>
      <c r="AM38" s="617"/>
      <c r="AN38" s="617"/>
      <c r="AO38" s="617"/>
      <c r="AP38" s="617"/>
      <c r="AQ38" s="617"/>
      <c r="AR38" s="617"/>
      <c r="AS38" s="617"/>
      <c r="AT38" s="565"/>
      <c r="AU38" s="565"/>
      <c r="AV38" s="565"/>
      <c r="AW38" s="565"/>
      <c r="AX38" s="569"/>
      <c r="AY38" s="565"/>
      <c r="AZ38" s="570"/>
      <c r="BA38" s="570"/>
      <c r="BB38" s="536"/>
      <c r="BC38" s="537"/>
      <c r="BD38" s="538"/>
      <c r="BE38" s="592"/>
      <c r="BF38" s="592"/>
      <c r="BG38" s="592"/>
      <c r="BH38" s="592" t="s">
        <v>398</v>
      </c>
      <c r="BI38" s="592"/>
      <c r="BJ38" s="592"/>
      <c r="BK38" s="592"/>
      <c r="BL38" s="592"/>
      <c r="BM38" s="592"/>
      <c r="BN38" s="592"/>
      <c r="BO38" s="592"/>
      <c r="BP38" s="592"/>
      <c r="BQ38" s="592"/>
      <c r="BR38" s="592"/>
      <c r="BS38" s="592"/>
      <c r="BT38" s="592"/>
    </row>
    <row r="39" spans="1:72" s="591" customFormat="1" ht="12.5" customHeight="1">
      <c r="A39" s="540"/>
      <c r="B39" s="566"/>
      <c r="C39" s="565"/>
      <c r="D39" s="569"/>
      <c r="E39" s="569"/>
      <c r="F39" s="569"/>
      <c r="G39" s="569"/>
      <c r="H39" s="630"/>
      <c r="I39" s="678" t="s">
        <v>550</v>
      </c>
      <c r="J39" s="623"/>
      <c r="K39" s="625"/>
      <c r="L39" s="623"/>
      <c r="M39" s="623"/>
      <c r="N39" s="623"/>
      <c r="O39" s="623"/>
      <c r="P39" s="623"/>
      <c r="Q39" s="623"/>
      <c r="R39" s="623"/>
      <c r="S39" s="679" t="s">
        <v>551</v>
      </c>
      <c r="T39" s="623"/>
      <c r="U39" s="623"/>
      <c r="V39" s="623"/>
      <c r="W39" s="623"/>
      <c r="X39" s="625"/>
      <c r="Y39" s="617"/>
      <c r="Z39" s="628"/>
      <c r="AA39" s="628"/>
      <c r="AB39" s="628"/>
      <c r="AC39" s="628"/>
      <c r="AD39" s="628"/>
      <c r="AE39" s="628"/>
      <c r="AF39" s="628"/>
      <c r="AG39" s="628"/>
      <c r="AH39" s="628"/>
      <c r="AI39" s="628"/>
      <c r="AJ39" s="628"/>
      <c r="AK39" s="628"/>
      <c r="AL39" s="628"/>
      <c r="AM39" s="617"/>
      <c r="AN39" s="617"/>
      <c r="AO39" s="617"/>
      <c r="AP39" s="617"/>
      <c r="AQ39" s="617"/>
      <c r="AR39" s="617"/>
      <c r="AS39" s="617"/>
      <c r="AT39" s="565"/>
      <c r="AU39" s="565"/>
      <c r="AV39" s="565"/>
      <c r="AW39" s="565"/>
      <c r="AX39" s="569"/>
      <c r="AY39" s="565"/>
      <c r="AZ39" s="570"/>
      <c r="BA39" s="570"/>
      <c r="BB39" s="536"/>
      <c r="BC39" s="537"/>
      <c r="BD39" s="538"/>
      <c r="BE39" s="592"/>
      <c r="BF39" s="592"/>
      <c r="BG39" s="592"/>
      <c r="BH39" s="592"/>
      <c r="BI39" s="592"/>
      <c r="BJ39" s="592"/>
      <c r="BK39" s="592"/>
      <c r="BL39" s="592"/>
      <c r="BM39" s="592"/>
      <c r="BN39" s="592"/>
      <c r="BO39" s="592"/>
      <c r="BP39" s="592"/>
      <c r="BQ39" s="592"/>
      <c r="BR39" s="592"/>
      <c r="BS39" s="592"/>
      <c r="BT39" s="592"/>
    </row>
    <row r="40" spans="1:72" s="591" customFormat="1" ht="12.5" customHeight="1">
      <c r="A40" s="540"/>
      <c r="B40" s="566"/>
      <c r="C40" s="571"/>
      <c r="D40" s="567"/>
      <c r="E40" s="567"/>
      <c r="F40" s="567"/>
      <c r="G40" s="569"/>
      <c r="H40" s="617"/>
      <c r="I40" s="623"/>
      <c r="J40" s="624"/>
      <c r="K40" s="623"/>
      <c r="L40" s="623"/>
      <c r="M40" s="623"/>
      <c r="N40" s="623"/>
      <c r="O40" s="623"/>
      <c r="P40" s="623"/>
      <c r="Q40" s="623"/>
      <c r="R40" s="617"/>
      <c r="S40" s="635" t="s">
        <v>373</v>
      </c>
      <c r="T40" s="623"/>
      <c r="U40" s="623"/>
      <c r="V40" s="623"/>
      <c r="W40" s="623"/>
      <c r="X40" s="625"/>
      <c r="Y40" s="617"/>
      <c r="Z40" s="617"/>
      <c r="AA40" s="626"/>
      <c r="AB40" s="617"/>
      <c r="AC40" s="627"/>
      <c r="AD40" s="627"/>
      <c r="AE40" s="628"/>
      <c r="AF40" s="627"/>
      <c r="AG40" s="628"/>
      <c r="AH40" s="627"/>
      <c r="AI40" s="629"/>
      <c r="AJ40" s="627"/>
      <c r="AK40" s="628"/>
      <c r="AL40" s="628"/>
      <c r="AM40" s="628"/>
      <c r="AN40" s="628"/>
      <c r="AO40" s="628"/>
      <c r="AP40" s="628"/>
      <c r="AQ40" s="628"/>
      <c r="AR40" s="628"/>
      <c r="AS40" s="628"/>
      <c r="AT40" s="569"/>
      <c r="AU40" s="569"/>
      <c r="AV40" s="569"/>
      <c r="AW40" s="569"/>
      <c r="AX40" s="569"/>
      <c r="AY40" s="565"/>
      <c r="AZ40" s="570"/>
      <c r="BA40" s="570"/>
      <c r="BB40" s="536"/>
      <c r="BC40" s="537"/>
      <c r="BD40" s="538"/>
      <c r="BE40" s="592"/>
      <c r="BF40" s="592"/>
      <c r="BG40" s="592" t="s">
        <v>419</v>
      </c>
      <c r="BH40" s="592"/>
      <c r="BI40" s="592"/>
      <c r="BJ40" s="592"/>
      <c r="BK40" s="592"/>
      <c r="BL40" s="592"/>
      <c r="BM40" s="592"/>
      <c r="BN40" s="592"/>
      <c r="BO40" s="592"/>
      <c r="BP40" s="592"/>
      <c r="BQ40" s="592"/>
      <c r="BR40" s="592"/>
      <c r="BS40" s="592"/>
      <c r="BT40" s="592"/>
    </row>
    <row r="41" spans="1:72" s="591" customFormat="1" ht="12.5" customHeight="1">
      <c r="A41" s="540"/>
      <c r="B41" s="566"/>
      <c r="C41" s="565"/>
      <c r="D41" s="569"/>
      <c r="E41" s="569"/>
      <c r="F41" s="569"/>
      <c r="G41" s="569"/>
      <c r="H41" s="630"/>
      <c r="I41" s="678"/>
      <c r="J41" s="623"/>
      <c r="K41" s="625"/>
      <c r="L41" s="623"/>
      <c r="M41" s="623"/>
      <c r="N41" s="623"/>
      <c r="O41" s="623"/>
      <c r="P41" s="623"/>
      <c r="Q41" s="623"/>
      <c r="R41" s="623"/>
      <c r="S41" s="679" t="s">
        <v>552</v>
      </c>
      <c r="T41" s="623"/>
      <c r="U41" s="623"/>
      <c r="V41" s="623"/>
      <c r="W41" s="623"/>
      <c r="X41" s="625"/>
      <c r="Y41" s="617"/>
      <c r="Z41" s="628"/>
      <c r="AA41" s="628"/>
      <c r="AB41" s="628"/>
      <c r="AC41" s="628"/>
      <c r="AD41" s="628"/>
      <c r="AE41" s="628"/>
      <c r="AF41" s="628"/>
      <c r="AG41" s="628"/>
      <c r="AH41" s="628"/>
      <c r="AI41" s="628"/>
      <c r="AJ41" s="628"/>
      <c r="AK41" s="628"/>
      <c r="AL41" s="628"/>
      <c r="AM41" s="617"/>
      <c r="AN41" s="617"/>
      <c r="AO41" s="617"/>
      <c r="AP41" s="617"/>
      <c r="AQ41" s="617"/>
      <c r="AR41" s="617"/>
      <c r="AS41" s="617"/>
      <c r="AT41" s="565"/>
      <c r="AU41" s="565"/>
      <c r="AV41" s="565"/>
      <c r="AW41" s="565"/>
      <c r="AX41" s="569"/>
      <c r="AY41" s="565"/>
      <c r="AZ41" s="570"/>
      <c r="BA41" s="570"/>
      <c r="BB41" s="536"/>
      <c r="BC41" s="537"/>
      <c r="BD41" s="538"/>
      <c r="BE41" s="592"/>
      <c r="BF41" s="592"/>
      <c r="BG41" s="592"/>
      <c r="BH41" s="592" t="s">
        <v>399</v>
      </c>
      <c r="BI41" s="592"/>
      <c r="BJ41" s="592"/>
      <c r="BK41" s="592"/>
      <c r="BL41" s="592"/>
      <c r="BM41" s="592"/>
      <c r="BN41" s="592"/>
      <c r="BO41" s="592"/>
      <c r="BP41" s="592"/>
      <c r="BQ41" s="592"/>
      <c r="BR41" s="592"/>
      <c r="BS41" s="592"/>
      <c r="BT41" s="592"/>
    </row>
    <row r="42" spans="1:72" s="591" customFormat="1" ht="12.5" customHeight="1">
      <c r="A42" s="540"/>
      <c r="B42" s="566"/>
      <c r="C42" s="573"/>
      <c r="D42" s="569"/>
      <c r="E42" s="569"/>
      <c r="F42" s="569"/>
      <c r="G42" s="569"/>
      <c r="H42" s="630"/>
      <c r="I42" s="625"/>
      <c r="J42" s="623"/>
      <c r="K42" s="625"/>
      <c r="L42" s="623"/>
      <c r="M42" s="623"/>
      <c r="N42" s="623"/>
      <c r="O42" s="623"/>
      <c r="P42" s="623"/>
      <c r="Q42" s="623"/>
      <c r="R42" s="617"/>
      <c r="S42" s="635" t="s">
        <v>374</v>
      </c>
      <c r="T42" s="623"/>
      <c r="U42" s="623"/>
      <c r="V42" s="35"/>
      <c r="W42" s="623"/>
      <c r="X42" s="625"/>
      <c r="Y42" s="617"/>
      <c r="Z42" s="626"/>
      <c r="AA42" s="617"/>
      <c r="AB42" s="626"/>
      <c r="AC42" s="617"/>
      <c r="AD42" s="627"/>
      <c r="AE42" s="627"/>
      <c r="AF42" s="628"/>
      <c r="AG42" s="627"/>
      <c r="AH42" s="627"/>
      <c r="AI42" s="629"/>
      <c r="AJ42" s="627"/>
      <c r="AK42" s="628"/>
      <c r="AL42" s="628"/>
      <c r="AM42" s="628"/>
      <c r="AN42" s="628"/>
      <c r="AO42" s="628"/>
      <c r="AP42" s="628"/>
      <c r="AQ42" s="628"/>
      <c r="AR42" s="628"/>
      <c r="AS42" s="617"/>
      <c r="AT42" s="572"/>
      <c r="AU42" s="565"/>
      <c r="AV42" s="569"/>
      <c r="AW42" s="569"/>
      <c r="AX42" s="569"/>
      <c r="AY42" s="565"/>
      <c r="AZ42" s="570"/>
      <c r="BA42" s="570"/>
      <c r="BB42" s="536"/>
      <c r="BC42" s="537"/>
      <c r="BD42" s="538"/>
      <c r="BE42" s="592"/>
      <c r="BF42" s="592"/>
      <c r="BG42" s="592"/>
      <c r="BH42" s="592" t="s">
        <v>400</v>
      </c>
      <c r="BI42" s="592"/>
      <c r="BJ42" s="592"/>
      <c r="BK42" s="592"/>
      <c r="BL42" s="592"/>
      <c r="BM42" s="592"/>
      <c r="BN42" s="592"/>
      <c r="BO42" s="592"/>
      <c r="BP42" s="592"/>
      <c r="BQ42" s="592"/>
      <c r="BR42" s="592"/>
      <c r="BS42" s="592"/>
      <c r="BT42" s="592"/>
    </row>
    <row r="43" spans="1:72" s="591" customFormat="1" ht="12.5" customHeight="1">
      <c r="A43" s="540"/>
      <c r="B43" s="566"/>
      <c r="C43" s="565"/>
      <c r="D43" s="569"/>
      <c r="E43" s="569"/>
      <c r="F43" s="569"/>
      <c r="G43" s="569"/>
      <c r="H43" s="630"/>
      <c r="I43" s="678"/>
      <c r="J43" s="623"/>
      <c r="K43" s="625"/>
      <c r="L43" s="623"/>
      <c r="M43" s="623"/>
      <c r="N43" s="623"/>
      <c r="O43" s="623"/>
      <c r="P43" s="623"/>
      <c r="Q43" s="623"/>
      <c r="R43" s="623"/>
      <c r="S43" s="679" t="s">
        <v>553</v>
      </c>
      <c r="T43" s="623"/>
      <c r="U43" s="623"/>
      <c r="V43" s="623"/>
      <c r="W43" s="623"/>
      <c r="X43" s="625"/>
      <c r="Y43" s="617"/>
      <c r="Z43" s="628"/>
      <c r="AA43" s="628"/>
      <c r="AB43" s="628"/>
      <c r="AC43" s="628"/>
      <c r="AD43" s="628"/>
      <c r="AE43" s="628"/>
      <c r="AF43" s="628"/>
      <c r="AG43" s="628"/>
      <c r="AH43" s="628"/>
      <c r="AI43" s="628"/>
      <c r="AJ43" s="628"/>
      <c r="AK43" s="628"/>
      <c r="AL43" s="628"/>
      <c r="AM43" s="617"/>
      <c r="AN43" s="617"/>
      <c r="AO43" s="617"/>
      <c r="AP43" s="617"/>
      <c r="AQ43" s="617"/>
      <c r="AR43" s="617"/>
      <c r="AS43" s="617"/>
      <c r="AT43" s="565"/>
      <c r="AU43" s="565"/>
      <c r="AV43" s="565"/>
      <c r="AW43" s="565"/>
      <c r="AX43" s="569"/>
      <c r="AY43" s="565"/>
      <c r="AZ43" s="570"/>
      <c r="BA43" s="570"/>
      <c r="BB43" s="536"/>
      <c r="BC43" s="537"/>
      <c r="BD43" s="538"/>
      <c r="BE43" s="592"/>
      <c r="BF43" s="592"/>
      <c r="BG43" s="575"/>
      <c r="BH43" s="592"/>
      <c r="BI43" s="592"/>
      <c r="BJ43" s="592"/>
      <c r="BK43" s="592"/>
      <c r="BL43" s="592"/>
      <c r="BM43" s="592"/>
      <c r="BN43" s="592"/>
      <c r="BO43" s="592"/>
      <c r="BP43" s="592"/>
      <c r="BQ43" s="592"/>
      <c r="BR43" s="592"/>
      <c r="BS43" s="592"/>
      <c r="BT43" s="592"/>
    </row>
    <row r="44" spans="1:72" s="591" customFormat="1" ht="12.5" customHeight="1">
      <c r="A44" s="540"/>
      <c r="B44" s="566"/>
      <c r="C44" s="565"/>
      <c r="D44" s="569"/>
      <c r="E44" s="569"/>
      <c r="F44" s="569"/>
      <c r="G44" s="569"/>
      <c r="H44" s="630"/>
      <c r="I44" s="625"/>
      <c r="J44" s="623"/>
      <c r="K44" s="625"/>
      <c r="L44" s="623"/>
      <c r="M44" s="623"/>
      <c r="N44" s="623"/>
      <c r="O44" s="623"/>
      <c r="P44" s="623"/>
      <c r="Q44" s="623"/>
      <c r="R44" s="617"/>
      <c r="S44" s="635" t="s">
        <v>375</v>
      </c>
      <c r="T44" s="623"/>
      <c r="U44" s="623"/>
      <c r="V44" s="623"/>
      <c r="W44" s="623"/>
      <c r="X44" s="625"/>
      <c r="Y44" s="617"/>
      <c r="Z44" s="628"/>
      <c r="AA44" s="628"/>
      <c r="AB44" s="628"/>
      <c r="AC44" s="628"/>
      <c r="AD44" s="628"/>
      <c r="AE44" s="628"/>
      <c r="AF44" s="628"/>
      <c r="AG44" s="628"/>
      <c r="AH44" s="628"/>
      <c r="AI44" s="628"/>
      <c r="AJ44" s="628"/>
      <c r="AK44" s="628"/>
      <c r="AL44" s="628"/>
      <c r="AM44" s="617"/>
      <c r="AN44" s="617"/>
      <c r="AO44" s="617"/>
      <c r="AP44" s="617"/>
      <c r="AQ44" s="617"/>
      <c r="AR44" s="617"/>
      <c r="AS44" s="617"/>
      <c r="AT44" s="565"/>
      <c r="AU44" s="565"/>
      <c r="AV44" s="565"/>
      <c r="AW44" s="565"/>
      <c r="AX44" s="569"/>
      <c r="AY44" s="565"/>
      <c r="AZ44" s="570"/>
      <c r="BA44" s="570"/>
      <c r="BB44" s="536"/>
      <c r="BC44" s="537"/>
      <c r="BD44" s="538"/>
      <c r="BE44" s="592"/>
      <c r="BF44" s="575"/>
      <c r="BG44" s="575" t="s">
        <v>420</v>
      </c>
      <c r="BH44" s="592"/>
      <c r="BI44" s="592"/>
      <c r="BJ44" s="592"/>
      <c r="BK44" s="592"/>
      <c r="BL44" s="592"/>
      <c r="BM44" s="592"/>
      <c r="BN44" s="592"/>
      <c r="BO44" s="592"/>
      <c r="BP44" s="592"/>
      <c r="BQ44" s="592"/>
      <c r="BR44" s="592"/>
      <c r="BS44" s="592"/>
      <c r="BT44" s="592"/>
    </row>
    <row r="45" spans="1:72" s="591" customFormat="1" ht="12.5" customHeight="1">
      <c r="A45" s="540"/>
      <c r="B45" s="566"/>
      <c r="C45" s="565"/>
      <c r="D45" s="569"/>
      <c r="E45" s="569"/>
      <c r="F45" s="569"/>
      <c r="G45" s="569"/>
      <c r="H45" s="630"/>
      <c r="I45" s="678"/>
      <c r="J45" s="623"/>
      <c r="K45" s="625"/>
      <c r="L45" s="623"/>
      <c r="M45" s="623"/>
      <c r="N45" s="623"/>
      <c r="O45" s="623"/>
      <c r="P45" s="623"/>
      <c r="Q45" s="623"/>
      <c r="R45" s="623"/>
      <c r="S45" s="679" t="s">
        <v>554</v>
      </c>
      <c r="T45" s="623"/>
      <c r="U45" s="623"/>
      <c r="V45" s="623"/>
      <c r="W45" s="623"/>
      <c r="X45" s="625"/>
      <c r="Y45" s="617"/>
      <c r="Z45" s="628"/>
      <c r="AA45" s="628"/>
      <c r="AB45" s="628"/>
      <c r="AC45" s="628"/>
      <c r="AD45" s="628"/>
      <c r="AE45" s="628"/>
      <c r="AF45" s="628"/>
      <c r="AG45" s="628"/>
      <c r="AH45" s="628"/>
      <c r="AI45" s="628"/>
      <c r="AJ45" s="628"/>
      <c r="AK45" s="628"/>
      <c r="AL45" s="628"/>
      <c r="AM45" s="617"/>
      <c r="AN45" s="617"/>
      <c r="AO45" s="617"/>
      <c r="AP45" s="617"/>
      <c r="AQ45" s="617"/>
      <c r="AR45" s="617"/>
      <c r="AS45" s="617"/>
      <c r="AT45" s="565"/>
      <c r="AU45" s="565"/>
      <c r="AV45" s="565"/>
      <c r="AW45" s="565"/>
      <c r="AX45" s="569"/>
      <c r="AY45" s="565"/>
      <c r="AZ45" s="570"/>
      <c r="BA45" s="570"/>
      <c r="BB45" s="536"/>
      <c r="BC45" s="537"/>
      <c r="BD45" s="538"/>
      <c r="BE45" s="595"/>
      <c r="BF45" s="575"/>
      <c r="BG45" s="592"/>
      <c r="BH45" s="592" t="s">
        <v>401</v>
      </c>
      <c r="BI45" s="592"/>
      <c r="BJ45" s="592"/>
      <c r="BK45" s="592"/>
      <c r="BL45" s="592"/>
      <c r="BM45" s="592"/>
      <c r="BN45" s="592"/>
      <c r="BO45" s="592"/>
      <c r="BP45" s="592"/>
      <c r="BQ45" s="592"/>
      <c r="BR45" s="592"/>
      <c r="BS45" s="592"/>
      <c r="BT45" s="592"/>
    </row>
    <row r="46" spans="1:72" s="591" customFormat="1" ht="12.5" customHeight="1">
      <c r="A46" s="540"/>
      <c r="B46" s="566"/>
      <c r="C46" s="565"/>
      <c r="D46" s="569"/>
      <c r="E46" s="569"/>
      <c r="F46" s="569"/>
      <c r="G46" s="569"/>
      <c r="H46" s="630"/>
      <c r="I46" s="625"/>
      <c r="J46" s="623"/>
      <c r="K46" s="625"/>
      <c r="L46" s="623"/>
      <c r="M46" s="623"/>
      <c r="N46" s="623"/>
      <c r="O46" s="623"/>
      <c r="P46" s="623"/>
      <c r="Q46" s="623"/>
      <c r="R46" s="617"/>
      <c r="S46" s="635" t="s">
        <v>376</v>
      </c>
      <c r="T46" s="623"/>
      <c r="U46" s="623"/>
      <c r="V46" s="623"/>
      <c r="W46" s="623"/>
      <c r="X46" s="625"/>
      <c r="Y46" s="617"/>
      <c r="Z46" s="628"/>
      <c r="AA46" s="628"/>
      <c r="AB46" s="628"/>
      <c r="AC46" s="628"/>
      <c r="AD46" s="628"/>
      <c r="AE46" s="628"/>
      <c r="AF46" s="628"/>
      <c r="AG46" s="628"/>
      <c r="AH46" s="628"/>
      <c r="AI46" s="628"/>
      <c r="AJ46" s="628"/>
      <c r="AK46" s="628"/>
      <c r="AL46" s="628"/>
      <c r="AM46" s="617"/>
      <c r="AN46" s="617"/>
      <c r="AO46" s="617"/>
      <c r="AP46" s="617"/>
      <c r="AQ46" s="617"/>
      <c r="AR46" s="617"/>
      <c r="AS46" s="617"/>
      <c r="AT46" s="565"/>
      <c r="AU46" s="565"/>
      <c r="AV46" s="565"/>
      <c r="AW46" s="565"/>
      <c r="AX46" s="569"/>
      <c r="AY46" s="565"/>
      <c r="AZ46" s="570"/>
      <c r="BA46" s="570"/>
      <c r="BB46" s="536"/>
      <c r="BC46" s="537"/>
      <c r="BD46" s="538"/>
      <c r="BE46" s="592"/>
      <c r="BF46" s="592"/>
      <c r="BG46" s="592"/>
      <c r="BH46" s="592" t="s">
        <v>402</v>
      </c>
      <c r="BI46" s="592"/>
      <c r="BJ46" s="592"/>
      <c r="BK46" s="592"/>
      <c r="BL46" s="592"/>
      <c r="BM46" s="592"/>
      <c r="BN46" s="592"/>
      <c r="BO46" s="592"/>
      <c r="BP46" s="592"/>
      <c r="BQ46" s="592"/>
      <c r="BR46" s="592"/>
      <c r="BS46" s="592"/>
      <c r="BT46" s="592"/>
    </row>
    <row r="47" spans="1:72" s="591" customFormat="1" ht="12.5" customHeight="1">
      <c r="A47" s="540"/>
      <c r="B47" s="566"/>
      <c r="C47" s="565"/>
      <c r="D47" s="569"/>
      <c r="E47" s="569"/>
      <c r="F47" s="569"/>
      <c r="G47" s="569"/>
      <c r="H47" s="630"/>
      <c r="I47" s="678"/>
      <c r="J47" s="623"/>
      <c r="K47" s="625"/>
      <c r="L47" s="623"/>
      <c r="M47" s="623"/>
      <c r="N47" s="623"/>
      <c r="O47" s="623"/>
      <c r="P47" s="623"/>
      <c r="Q47" s="623"/>
      <c r="R47" s="623"/>
      <c r="S47" s="679"/>
      <c r="T47" s="623"/>
      <c r="U47" s="623"/>
      <c r="V47" s="623"/>
      <c r="W47" s="623"/>
      <c r="X47" s="625"/>
      <c r="Y47" s="617"/>
      <c r="Z47" s="628"/>
      <c r="AA47" s="628"/>
      <c r="AB47" s="628"/>
      <c r="AC47" s="628"/>
      <c r="AD47" s="628"/>
      <c r="AE47" s="628"/>
      <c r="AF47" s="628"/>
      <c r="AG47" s="628"/>
      <c r="AH47" s="628"/>
      <c r="AI47" s="628"/>
      <c r="AJ47" s="628"/>
      <c r="AK47" s="628"/>
      <c r="AL47" s="628"/>
      <c r="AM47" s="617"/>
      <c r="AN47" s="617"/>
      <c r="AO47" s="617"/>
      <c r="AP47" s="617"/>
      <c r="AQ47" s="617"/>
      <c r="AR47" s="617"/>
      <c r="AS47" s="617"/>
      <c r="AT47" s="565"/>
      <c r="AU47" s="565"/>
      <c r="AV47" s="565"/>
      <c r="AW47" s="565"/>
      <c r="AX47" s="569"/>
      <c r="AY47" s="565"/>
      <c r="AZ47" s="570"/>
      <c r="BA47" s="570"/>
      <c r="BB47" s="536"/>
      <c r="BC47" s="537"/>
      <c r="BD47" s="538"/>
      <c r="BE47" s="592"/>
      <c r="BF47" s="592"/>
      <c r="BG47" s="592"/>
      <c r="BH47" s="592" t="s">
        <v>403</v>
      </c>
      <c r="BI47" s="592"/>
      <c r="BJ47" s="592"/>
      <c r="BK47" s="592"/>
      <c r="BL47" s="592"/>
      <c r="BM47" s="592"/>
      <c r="BN47" s="592"/>
      <c r="BO47" s="592"/>
      <c r="BP47" s="592"/>
      <c r="BQ47" s="592"/>
      <c r="BR47" s="592"/>
      <c r="BS47" s="592"/>
      <c r="BT47" s="592"/>
    </row>
    <row r="48" spans="1:72" s="591" customFormat="1" ht="12.5" customHeight="1">
      <c r="A48" s="540"/>
      <c r="B48" s="566"/>
      <c r="C48" s="565"/>
      <c r="D48" s="569"/>
      <c r="E48" s="569"/>
      <c r="F48" s="569"/>
      <c r="G48" s="569"/>
      <c r="H48" s="630"/>
      <c r="I48" s="625"/>
      <c r="J48" s="623"/>
      <c r="K48" s="625"/>
      <c r="L48" s="623"/>
      <c r="M48" s="623"/>
      <c r="N48" s="623"/>
      <c r="O48" s="623"/>
      <c r="P48" s="623"/>
      <c r="Q48" s="623"/>
      <c r="R48" s="617"/>
      <c r="S48" s="635" t="s">
        <v>377</v>
      </c>
      <c r="T48" s="623"/>
      <c r="U48" s="623"/>
      <c r="V48" s="623"/>
      <c r="W48" s="623"/>
      <c r="X48" s="625"/>
      <c r="Y48" s="617"/>
      <c r="Z48" s="628"/>
      <c r="AA48" s="628"/>
      <c r="AB48" s="628"/>
      <c r="AC48" s="628"/>
      <c r="AD48" s="628"/>
      <c r="AE48" s="628"/>
      <c r="AF48" s="628"/>
      <c r="AG48" s="628"/>
      <c r="AH48" s="628"/>
      <c r="AI48" s="628"/>
      <c r="AJ48" s="628"/>
      <c r="AK48" s="628"/>
      <c r="AL48" s="628"/>
      <c r="AM48" s="617"/>
      <c r="AN48" s="617"/>
      <c r="AO48" s="617"/>
      <c r="AP48" s="617"/>
      <c r="AQ48" s="617"/>
      <c r="AR48" s="617"/>
      <c r="AS48" s="617"/>
      <c r="AT48" s="565"/>
      <c r="AU48" s="565"/>
      <c r="AV48" s="565"/>
      <c r="AW48" s="565"/>
      <c r="AX48" s="569"/>
      <c r="AY48" s="565"/>
      <c r="AZ48" s="570"/>
      <c r="BA48" s="570"/>
      <c r="BB48" s="536"/>
      <c r="BC48" s="537"/>
      <c r="BD48" s="538"/>
      <c r="BE48" s="592"/>
      <c r="BF48" s="592"/>
      <c r="BG48" s="592"/>
      <c r="BH48" s="592"/>
      <c r="BI48" s="592"/>
      <c r="BJ48" s="592"/>
      <c r="BK48" s="592"/>
      <c r="BL48" s="592"/>
      <c r="BM48" s="592"/>
      <c r="BN48" s="592"/>
      <c r="BO48" s="592"/>
      <c r="BP48" s="592"/>
      <c r="BQ48" s="592"/>
      <c r="BR48" s="592"/>
      <c r="BS48" s="592"/>
      <c r="BT48" s="592"/>
    </row>
    <row r="49" spans="1:72" s="591" customFormat="1" ht="12.5" customHeight="1">
      <c r="A49" s="540"/>
      <c r="B49" s="566"/>
      <c r="C49" s="565"/>
      <c r="D49" s="569"/>
      <c r="E49" s="569"/>
      <c r="F49" s="569"/>
      <c r="G49" s="569"/>
      <c r="H49" s="630"/>
      <c r="I49" s="678"/>
      <c r="J49" s="623"/>
      <c r="K49" s="625"/>
      <c r="L49" s="623"/>
      <c r="M49" s="623"/>
      <c r="N49" s="623"/>
      <c r="O49" s="623"/>
      <c r="P49" s="623"/>
      <c r="Q49" s="623"/>
      <c r="R49" s="623"/>
      <c r="S49" s="679"/>
      <c r="T49" s="623"/>
      <c r="U49" s="623"/>
      <c r="V49" s="623"/>
      <c r="W49" s="623"/>
      <c r="X49" s="625"/>
      <c r="Y49" s="617"/>
      <c r="Z49" s="628"/>
      <c r="AA49" s="628"/>
      <c r="AB49" s="628"/>
      <c r="AC49" s="628"/>
      <c r="AD49" s="628"/>
      <c r="AE49" s="628"/>
      <c r="AF49" s="628"/>
      <c r="AG49" s="628"/>
      <c r="AH49" s="628"/>
      <c r="AI49" s="628"/>
      <c r="AJ49" s="628"/>
      <c r="AK49" s="628"/>
      <c r="AL49" s="628"/>
      <c r="AM49" s="617"/>
      <c r="AN49" s="617"/>
      <c r="AO49" s="617"/>
      <c r="AP49" s="617"/>
      <c r="AQ49" s="617"/>
      <c r="AR49" s="617"/>
      <c r="AS49" s="617"/>
      <c r="AT49" s="565"/>
      <c r="AU49" s="565"/>
      <c r="AV49" s="565"/>
      <c r="AW49" s="565"/>
      <c r="AX49" s="569"/>
      <c r="AY49" s="565"/>
      <c r="AZ49" s="570"/>
      <c r="BA49" s="570"/>
      <c r="BB49" s="536"/>
      <c r="BC49" s="537"/>
      <c r="BD49" s="538"/>
      <c r="BE49" s="592"/>
      <c r="BF49" s="592"/>
      <c r="BG49" s="592" t="s">
        <v>421</v>
      </c>
      <c r="BH49" s="592"/>
      <c r="BI49" s="592"/>
      <c r="BJ49" s="592"/>
      <c r="BK49" s="592"/>
      <c r="BL49" s="592"/>
      <c r="BM49" s="592"/>
      <c r="BN49" s="592"/>
      <c r="BO49" s="592"/>
      <c r="BP49" s="592"/>
      <c r="BQ49" s="592"/>
      <c r="BR49" s="592"/>
      <c r="BS49" s="592"/>
      <c r="BT49" s="592"/>
    </row>
    <row r="50" spans="1:72" s="591" customFormat="1" ht="12.5" customHeight="1">
      <c r="A50" s="540"/>
      <c r="B50" s="566"/>
      <c r="C50" s="565"/>
      <c r="D50" s="569"/>
      <c r="E50" s="569"/>
      <c r="F50" s="569"/>
      <c r="G50" s="569"/>
      <c r="H50" s="630"/>
      <c r="I50" s="625"/>
      <c r="J50" s="623"/>
      <c r="K50" s="625"/>
      <c r="L50" s="623"/>
      <c r="M50" s="623"/>
      <c r="N50" s="623"/>
      <c r="O50" s="623"/>
      <c r="P50" s="623"/>
      <c r="Q50" s="623"/>
      <c r="R50" s="617"/>
      <c r="S50" s="635" t="s">
        <v>378</v>
      </c>
      <c r="T50" s="623"/>
      <c r="U50" s="623"/>
      <c r="V50" s="623"/>
      <c r="W50" s="623"/>
      <c r="X50" s="625"/>
      <c r="Y50" s="617"/>
      <c r="Z50" s="628"/>
      <c r="AA50" s="628"/>
      <c r="AB50" s="628"/>
      <c r="AC50" s="628"/>
      <c r="AD50" s="628"/>
      <c r="AE50" s="628"/>
      <c r="AF50" s="628"/>
      <c r="AG50" s="628"/>
      <c r="AH50" s="628"/>
      <c r="AI50" s="628"/>
      <c r="AJ50" s="628"/>
      <c r="AK50" s="628"/>
      <c r="AL50" s="628"/>
      <c r="AM50" s="617"/>
      <c r="AN50" s="617"/>
      <c r="AO50" s="617"/>
      <c r="AP50" s="617"/>
      <c r="AQ50" s="617"/>
      <c r="AR50" s="617"/>
      <c r="AS50" s="617"/>
      <c r="AT50" s="565"/>
      <c r="AU50" s="565"/>
      <c r="AV50" s="565"/>
      <c r="AW50" s="565"/>
      <c r="AX50" s="569"/>
      <c r="AY50" s="565"/>
      <c r="AZ50" s="570"/>
      <c r="BA50" s="570"/>
      <c r="BB50" s="536"/>
      <c r="BC50" s="537"/>
      <c r="BD50" s="538"/>
      <c r="BE50" s="592"/>
      <c r="BF50" s="592"/>
      <c r="BG50" s="592"/>
      <c r="BH50" s="592" t="s">
        <v>404</v>
      </c>
      <c r="BI50" s="592"/>
      <c r="BJ50" s="592"/>
      <c r="BK50" s="592"/>
      <c r="BL50" s="592"/>
      <c r="BM50" s="592"/>
      <c r="BN50" s="592"/>
      <c r="BO50" s="592"/>
      <c r="BP50" s="592"/>
      <c r="BQ50" s="592"/>
      <c r="BR50" s="592"/>
      <c r="BS50" s="592"/>
      <c r="BT50" s="592"/>
    </row>
    <row r="51" spans="1:72" s="591" customFormat="1" ht="12.5" customHeight="1">
      <c r="A51" s="540"/>
      <c r="B51" s="566"/>
      <c r="C51" s="565"/>
      <c r="D51" s="569"/>
      <c r="E51" s="569"/>
      <c r="F51" s="569"/>
      <c r="G51" s="569"/>
      <c r="H51" s="630"/>
      <c r="I51" s="625"/>
      <c r="J51" s="623"/>
      <c r="K51" s="625"/>
      <c r="L51" s="623"/>
      <c r="M51" s="623"/>
      <c r="N51" s="623"/>
      <c r="O51" s="623"/>
      <c r="P51" s="623"/>
      <c r="Q51" s="623"/>
      <c r="R51" s="623"/>
      <c r="S51" s="680" t="s">
        <v>555</v>
      </c>
      <c r="T51" s="623"/>
      <c r="U51" s="623"/>
      <c r="V51" s="623"/>
      <c r="W51" s="623"/>
      <c r="X51" s="625"/>
      <c r="Y51" s="617"/>
      <c r="Z51" s="628"/>
      <c r="AA51" s="628"/>
      <c r="AB51" s="628"/>
      <c r="AC51" s="628"/>
      <c r="AD51" s="628"/>
      <c r="AE51" s="628"/>
      <c r="AF51" s="628"/>
      <c r="AG51" s="628"/>
      <c r="AH51" s="628"/>
      <c r="AI51" s="628"/>
      <c r="AJ51" s="628"/>
      <c r="AK51" s="628"/>
      <c r="AL51" s="628"/>
      <c r="AM51" s="617"/>
      <c r="AN51" s="617"/>
      <c r="AO51" s="617"/>
      <c r="AP51" s="617"/>
      <c r="AQ51" s="617"/>
      <c r="AR51" s="617"/>
      <c r="AS51" s="617"/>
      <c r="AT51" s="565"/>
      <c r="AU51" s="565"/>
      <c r="AV51" s="565"/>
      <c r="AW51" s="565"/>
      <c r="AX51" s="569"/>
      <c r="AY51" s="565"/>
      <c r="AZ51" s="570"/>
      <c r="BA51" s="570"/>
      <c r="BB51" s="536"/>
      <c r="BC51" s="537"/>
      <c r="BD51" s="538"/>
      <c r="BE51" s="592"/>
      <c r="BF51" s="592"/>
      <c r="BG51" s="592"/>
      <c r="BH51" s="592"/>
      <c r="BI51" s="592"/>
      <c r="BJ51" s="592"/>
      <c r="BK51" s="592"/>
      <c r="BL51" s="592"/>
      <c r="BM51" s="592"/>
      <c r="BN51" s="592"/>
      <c r="BO51" s="592"/>
      <c r="BP51" s="592"/>
      <c r="BQ51" s="592"/>
      <c r="BR51" s="592"/>
      <c r="BS51" s="592"/>
      <c r="BT51" s="592"/>
    </row>
    <row r="52" spans="1:72" s="591" customFormat="1" ht="12.5" customHeight="1">
      <c r="A52" s="540"/>
      <c r="B52" s="566"/>
      <c r="C52" s="565"/>
      <c r="D52" s="569"/>
      <c r="E52" s="569"/>
      <c r="F52" s="569"/>
      <c r="G52" s="569"/>
      <c r="H52" s="630"/>
      <c r="I52" s="625"/>
      <c r="J52" s="623"/>
      <c r="K52" s="625"/>
      <c r="L52" s="623"/>
      <c r="M52" s="623"/>
      <c r="N52" s="623"/>
      <c r="O52" s="623"/>
      <c r="P52" s="623"/>
      <c r="Q52" s="623"/>
      <c r="R52" s="633"/>
      <c r="S52" s="623"/>
      <c r="T52" s="623"/>
      <c r="U52" s="623"/>
      <c r="V52" s="623"/>
      <c r="W52" s="623"/>
      <c r="X52" s="625"/>
      <c r="Y52" s="617"/>
      <c r="Z52" s="628"/>
      <c r="AA52" s="628"/>
      <c r="AB52" s="628"/>
      <c r="AC52" s="628"/>
      <c r="AD52" s="628"/>
      <c r="AE52" s="628"/>
      <c r="AF52" s="628"/>
      <c r="AG52" s="628"/>
      <c r="AH52" s="628"/>
      <c r="AI52" s="628"/>
      <c r="AJ52" s="628"/>
      <c r="AK52" s="628"/>
      <c r="AL52" s="628"/>
      <c r="AM52" s="617"/>
      <c r="AN52" s="617"/>
      <c r="AO52" s="617"/>
      <c r="AP52" s="617"/>
      <c r="AQ52" s="617"/>
      <c r="AR52" s="617"/>
      <c r="AS52" s="617"/>
      <c r="AT52" s="565"/>
      <c r="AU52" s="565"/>
      <c r="AV52" s="565"/>
      <c r="AW52" s="565"/>
      <c r="AX52" s="569"/>
      <c r="AY52" s="565"/>
      <c r="AZ52" s="570"/>
      <c r="BA52" s="570"/>
      <c r="BB52" s="536"/>
      <c r="BC52" s="537"/>
      <c r="BD52" s="538"/>
      <c r="BE52" s="592"/>
      <c r="BF52" s="592"/>
      <c r="BG52" s="592" t="s">
        <v>422</v>
      </c>
      <c r="BH52" s="592"/>
      <c r="BI52" s="592"/>
      <c r="BJ52" s="592"/>
      <c r="BK52" s="592"/>
      <c r="BL52" s="592"/>
      <c r="BM52" s="592"/>
      <c r="BN52" s="592"/>
      <c r="BO52" s="592"/>
      <c r="BP52" s="592"/>
      <c r="BQ52" s="592"/>
      <c r="BR52" s="592"/>
      <c r="BS52" s="592"/>
      <c r="BT52" s="592"/>
    </row>
    <row r="53" spans="1:72" s="591" customFormat="1" ht="12.5" customHeight="1">
      <c r="A53" s="540"/>
      <c r="B53" s="541"/>
      <c r="C53" s="565"/>
      <c r="D53" s="565"/>
      <c r="E53" s="565"/>
      <c r="F53" s="565"/>
      <c r="G53" s="565"/>
      <c r="H53" s="601"/>
      <c r="I53" s="601"/>
      <c r="J53" s="601"/>
      <c r="K53" s="601"/>
      <c r="L53" s="601"/>
      <c r="M53" s="601"/>
      <c r="N53" s="601"/>
      <c r="O53" s="601"/>
      <c r="P53" s="601"/>
      <c r="Q53" s="601"/>
      <c r="R53" s="601"/>
      <c r="S53" s="601"/>
      <c r="T53" s="602"/>
      <c r="U53" s="602"/>
      <c r="V53" s="602"/>
      <c r="W53" s="602"/>
      <c r="X53" s="603"/>
      <c r="Y53" s="602"/>
      <c r="Z53" s="602"/>
      <c r="AA53" s="602"/>
      <c r="AB53" s="604"/>
      <c r="AC53" s="602"/>
      <c r="AD53" s="605"/>
      <c r="AE53" s="605"/>
      <c r="AF53" s="605"/>
      <c r="AG53" s="605"/>
      <c r="AH53" s="605"/>
      <c r="AI53" s="601"/>
      <c r="AJ53" s="602"/>
      <c r="AK53" s="602"/>
      <c r="AL53" s="602"/>
      <c r="AM53" s="602"/>
      <c r="AN53" s="606"/>
      <c r="AO53" s="603"/>
      <c r="AP53" s="603"/>
      <c r="AQ53" s="602"/>
      <c r="AR53" s="602"/>
      <c r="AS53" s="602"/>
      <c r="AT53" s="565"/>
      <c r="AU53" s="565"/>
      <c r="AV53" s="565"/>
      <c r="AW53" s="565"/>
      <c r="AX53" s="565"/>
      <c r="AY53" s="565"/>
      <c r="AZ53" s="543"/>
      <c r="BA53" s="543"/>
      <c r="BB53" s="536"/>
      <c r="BC53" s="537"/>
      <c r="BD53" s="538"/>
      <c r="BE53" s="592"/>
      <c r="BF53" s="592"/>
      <c r="BG53" s="592"/>
      <c r="BH53" s="592" t="s">
        <v>406</v>
      </c>
      <c r="BI53" s="592"/>
      <c r="BJ53" s="592"/>
      <c r="BK53" s="592"/>
      <c r="BL53" s="592"/>
      <c r="BM53" s="592"/>
      <c r="BN53" s="592"/>
      <c r="BO53" s="592"/>
      <c r="BP53" s="592"/>
      <c r="BQ53" s="592"/>
      <c r="BR53" s="592"/>
      <c r="BS53" s="592"/>
      <c r="BT53" s="592"/>
    </row>
    <row r="54" spans="1:72" s="591" customFormat="1" ht="12.5" customHeight="1">
      <c r="A54" s="540"/>
      <c r="B54" s="566"/>
      <c r="C54" s="565"/>
      <c r="D54" s="565"/>
      <c r="E54" s="565"/>
      <c r="F54" s="565"/>
      <c r="G54" s="565"/>
      <c r="H54" s="601"/>
      <c r="I54" s="636" t="s">
        <v>559</v>
      </c>
      <c r="J54" s="601"/>
      <c r="K54" s="601"/>
      <c r="L54" s="601"/>
      <c r="M54" s="601"/>
      <c r="N54" s="601"/>
      <c r="O54" s="601"/>
      <c r="P54" s="601"/>
      <c r="Q54" s="601"/>
      <c r="R54" s="601"/>
      <c r="S54" s="601"/>
      <c r="T54" s="602"/>
      <c r="U54" s="602"/>
      <c r="V54" s="602"/>
      <c r="W54" s="602"/>
      <c r="X54" s="603"/>
      <c r="Y54" s="602"/>
      <c r="Z54" s="601"/>
      <c r="AA54" s="601"/>
      <c r="AB54" s="601"/>
      <c r="AC54" s="601"/>
      <c r="AD54" s="601"/>
      <c r="AE54" s="601"/>
      <c r="AF54" s="601"/>
      <c r="AG54" s="601"/>
      <c r="AH54" s="601"/>
      <c r="AI54" s="601"/>
      <c r="AJ54" s="601"/>
      <c r="AK54" s="601"/>
      <c r="AL54" s="601"/>
      <c r="AM54" s="601"/>
      <c r="AN54" s="601"/>
      <c r="AO54" s="601"/>
      <c r="AP54" s="601"/>
      <c r="AQ54" s="601"/>
      <c r="AR54" s="601"/>
      <c r="AS54" s="601"/>
      <c r="AT54" s="565"/>
      <c r="AU54" s="565"/>
      <c r="AV54" s="565"/>
      <c r="AW54" s="565"/>
      <c r="AX54" s="565"/>
      <c r="AY54" s="565"/>
      <c r="AZ54" s="570"/>
      <c r="BA54" s="570"/>
      <c r="BB54" s="536"/>
      <c r="BC54" s="537"/>
      <c r="BD54" s="538"/>
      <c r="BE54" s="592"/>
      <c r="BF54" s="592"/>
      <c r="BG54" s="592"/>
      <c r="BH54" s="592"/>
      <c r="BI54" s="592"/>
      <c r="BJ54" s="592"/>
      <c r="BK54" s="592"/>
      <c r="BL54" s="592"/>
      <c r="BM54" s="592"/>
      <c r="BN54" s="592"/>
      <c r="BO54" s="592"/>
      <c r="BP54" s="592"/>
      <c r="BQ54" s="592"/>
      <c r="BR54" s="592"/>
      <c r="BS54" s="592"/>
      <c r="BT54" s="592"/>
    </row>
    <row r="55" spans="1:72" s="591" customFormat="1" ht="12.5" customHeight="1">
      <c r="A55" s="540"/>
      <c r="B55" s="566"/>
      <c r="C55" s="565"/>
      <c r="D55" s="565"/>
      <c r="E55" s="565"/>
      <c r="F55" s="565"/>
      <c r="G55" s="565"/>
      <c r="H55" s="601"/>
      <c r="I55" s="636" t="s">
        <v>556</v>
      </c>
      <c r="J55" s="608"/>
      <c r="K55" s="607"/>
      <c r="L55" s="607"/>
      <c r="M55" s="607"/>
      <c r="N55" s="607"/>
      <c r="O55" s="607"/>
      <c r="P55" s="607"/>
      <c r="Q55" s="607"/>
      <c r="R55" s="607"/>
      <c r="S55" s="607"/>
      <c r="T55" s="607"/>
      <c r="U55" s="607"/>
      <c r="V55" s="607"/>
      <c r="W55" s="607"/>
      <c r="X55" s="609"/>
      <c r="Y55" s="601"/>
      <c r="Z55" s="601"/>
      <c r="AA55" s="610"/>
      <c r="AB55" s="601"/>
      <c r="AC55" s="611"/>
      <c r="AD55" s="611"/>
      <c r="AE55" s="612"/>
      <c r="AF55" s="611"/>
      <c r="AG55" s="612"/>
      <c r="AH55" s="611"/>
      <c r="AI55" s="613"/>
      <c r="AJ55" s="611"/>
      <c r="AK55" s="612"/>
      <c r="AL55" s="612"/>
      <c r="AM55" s="612"/>
      <c r="AN55" s="612"/>
      <c r="AO55" s="612"/>
      <c r="AP55" s="612"/>
      <c r="AQ55" s="612"/>
      <c r="AR55" s="612"/>
      <c r="AS55" s="612"/>
      <c r="AT55" s="565"/>
      <c r="AU55" s="565"/>
      <c r="AV55" s="565"/>
      <c r="AW55" s="565"/>
      <c r="AX55" s="565"/>
      <c r="AY55" s="565"/>
      <c r="AZ55" s="570"/>
      <c r="BA55" s="570"/>
      <c r="BB55" s="536"/>
      <c r="BC55" s="537"/>
      <c r="BD55" s="538"/>
      <c r="BE55" s="592"/>
      <c r="BF55" s="592"/>
      <c r="BG55" s="592"/>
      <c r="BH55" s="592" t="s">
        <v>407</v>
      </c>
      <c r="BI55" s="592"/>
      <c r="BJ55" s="592"/>
      <c r="BK55" s="592"/>
      <c r="BL55" s="592"/>
      <c r="BM55" s="592"/>
      <c r="BN55" s="592"/>
      <c r="BO55" s="592"/>
      <c r="BP55" s="592"/>
      <c r="BQ55" s="592"/>
      <c r="BR55" s="592"/>
      <c r="BS55" s="592"/>
      <c r="BT55" s="592"/>
    </row>
    <row r="56" spans="1:72" s="591" customFormat="1" ht="12.5" customHeight="1">
      <c r="A56" s="540"/>
      <c r="B56" s="566"/>
      <c r="C56" s="565"/>
      <c r="D56" s="565"/>
      <c r="E56" s="565"/>
      <c r="F56" s="565"/>
      <c r="G56" s="565"/>
      <c r="H56" s="614"/>
      <c r="I56" s="637" t="s">
        <v>558</v>
      </c>
      <c r="J56" s="607"/>
      <c r="K56" s="609"/>
      <c r="L56" s="607"/>
      <c r="M56" s="607"/>
      <c r="N56" s="607"/>
      <c r="O56" s="607"/>
      <c r="P56" s="607"/>
      <c r="Q56" s="607"/>
      <c r="R56" s="607"/>
      <c r="S56" s="607"/>
      <c r="T56" s="607"/>
      <c r="U56" s="607"/>
      <c r="V56" s="607"/>
      <c r="W56" s="607"/>
      <c r="X56" s="609"/>
      <c r="Y56" s="601"/>
      <c r="Z56" s="610"/>
      <c r="AA56" s="601"/>
      <c r="AB56" s="610"/>
      <c r="AC56" s="601"/>
      <c r="AD56" s="611"/>
      <c r="AE56" s="611"/>
      <c r="AF56" s="612"/>
      <c r="AG56" s="611"/>
      <c r="AH56" s="611"/>
      <c r="AI56" s="613"/>
      <c r="AJ56" s="611"/>
      <c r="AK56" s="612"/>
      <c r="AL56" s="612"/>
      <c r="AM56" s="612"/>
      <c r="AN56" s="612"/>
      <c r="AO56" s="612"/>
      <c r="AP56" s="612"/>
      <c r="AQ56" s="612"/>
      <c r="AR56" s="612"/>
      <c r="AS56" s="601"/>
      <c r="AT56" s="565"/>
      <c r="AU56" s="565"/>
      <c r="AV56" s="565"/>
      <c r="AW56" s="565"/>
      <c r="AX56" s="565"/>
      <c r="AY56" s="565"/>
      <c r="AZ56" s="570"/>
      <c r="BA56" s="570"/>
      <c r="BB56" s="536"/>
      <c r="BC56" s="537"/>
      <c r="BD56" s="538"/>
      <c r="BE56" s="592"/>
      <c r="BF56" s="592"/>
      <c r="BG56" s="592"/>
      <c r="BH56" s="592"/>
      <c r="BI56" s="592" t="s">
        <v>408</v>
      </c>
      <c r="BJ56" s="592"/>
      <c r="BK56" s="592"/>
      <c r="BL56" s="592"/>
      <c r="BM56" s="592"/>
      <c r="BN56" s="592"/>
      <c r="BO56" s="592"/>
      <c r="BP56" s="592"/>
      <c r="BQ56" s="592"/>
      <c r="BR56" s="592"/>
      <c r="BS56" s="592"/>
      <c r="BT56" s="592"/>
    </row>
    <row r="57" spans="1:72" s="591" customFormat="1" ht="12.5" customHeight="1">
      <c r="A57" s="540"/>
      <c r="B57" s="566"/>
      <c r="C57" s="565"/>
      <c r="D57" s="565"/>
      <c r="E57" s="565"/>
      <c r="F57" s="565"/>
      <c r="G57" s="565"/>
      <c r="H57" s="614"/>
      <c r="I57" s="637" t="s">
        <v>557</v>
      </c>
      <c r="J57" s="607"/>
      <c r="K57" s="609"/>
      <c r="L57" s="607"/>
      <c r="M57" s="607"/>
      <c r="N57" s="607"/>
      <c r="O57" s="607"/>
      <c r="P57" s="607"/>
      <c r="Q57" s="607"/>
      <c r="R57" s="607"/>
      <c r="S57" s="607"/>
      <c r="T57" s="607"/>
      <c r="U57" s="607"/>
      <c r="V57" s="607"/>
      <c r="W57" s="607"/>
      <c r="X57" s="609"/>
      <c r="Y57" s="601"/>
      <c r="Z57" s="612"/>
      <c r="AA57" s="612"/>
      <c r="AB57" s="612"/>
      <c r="AC57" s="612"/>
      <c r="AD57" s="612"/>
      <c r="AE57" s="612"/>
      <c r="AF57" s="612"/>
      <c r="AG57" s="612"/>
      <c r="AH57" s="612"/>
      <c r="AI57" s="612"/>
      <c r="AJ57" s="612"/>
      <c r="AK57" s="612"/>
      <c r="AL57" s="612"/>
      <c r="AM57" s="601"/>
      <c r="AN57" s="601"/>
      <c r="AO57" s="601"/>
      <c r="AP57" s="601"/>
      <c r="AQ57" s="601"/>
      <c r="AR57" s="601"/>
      <c r="AS57" s="601"/>
      <c r="AT57" s="565"/>
      <c r="AU57" s="565"/>
      <c r="AV57" s="565"/>
      <c r="AW57" s="565"/>
      <c r="AX57" s="565"/>
      <c r="AY57" s="565"/>
      <c r="AZ57" s="570"/>
      <c r="BA57" s="570"/>
      <c r="BB57" s="536"/>
      <c r="BC57" s="537"/>
      <c r="BD57" s="538"/>
      <c r="BE57" s="592"/>
      <c r="BF57" s="592"/>
      <c r="BG57" s="595"/>
      <c r="BH57" s="592" t="s">
        <v>409</v>
      </c>
      <c r="BI57" s="592"/>
      <c r="BJ57" s="592"/>
      <c r="BK57" s="592"/>
      <c r="BL57" s="592"/>
      <c r="BM57" s="592"/>
      <c r="BN57" s="592"/>
      <c r="BO57" s="592"/>
      <c r="BP57" s="592"/>
      <c r="BQ57" s="592"/>
      <c r="BR57" s="592"/>
      <c r="BS57" s="592"/>
      <c r="BT57" s="592"/>
    </row>
    <row r="58" spans="1:72" s="591" customFormat="1" ht="12.5" customHeight="1">
      <c r="A58" s="540"/>
      <c r="B58" s="566"/>
      <c r="C58" s="565"/>
      <c r="D58" s="565"/>
      <c r="E58" s="565"/>
      <c r="F58" s="565"/>
      <c r="G58" s="565"/>
      <c r="H58" s="614"/>
      <c r="I58" s="609"/>
      <c r="J58" s="607"/>
      <c r="K58" s="609"/>
      <c r="L58" s="607"/>
      <c r="M58" s="607"/>
      <c r="N58" s="607"/>
      <c r="O58" s="607"/>
      <c r="P58" s="607"/>
      <c r="Q58" s="607"/>
      <c r="R58" s="607"/>
      <c r="S58" s="607"/>
      <c r="T58" s="607"/>
      <c r="U58" s="607"/>
      <c r="V58" s="607"/>
      <c r="W58" s="607"/>
      <c r="X58" s="609"/>
      <c r="Y58" s="601"/>
      <c r="Z58" s="610"/>
      <c r="AA58" s="601"/>
      <c r="AB58" s="610"/>
      <c r="AC58" s="601"/>
      <c r="AD58" s="611"/>
      <c r="AE58" s="611"/>
      <c r="AF58" s="612"/>
      <c r="AG58" s="611"/>
      <c r="AH58" s="611"/>
      <c r="AI58" s="613"/>
      <c r="AJ58" s="611"/>
      <c r="AK58" s="612"/>
      <c r="AL58" s="612"/>
      <c r="AM58" s="612"/>
      <c r="AN58" s="612"/>
      <c r="AO58" s="612"/>
      <c r="AP58" s="612"/>
      <c r="AQ58" s="612"/>
      <c r="AR58" s="612"/>
      <c r="AS58" s="601"/>
      <c r="AT58" s="565"/>
      <c r="AU58" s="565"/>
      <c r="AV58" s="565"/>
      <c r="AW58" s="565"/>
      <c r="AX58" s="565"/>
      <c r="AY58" s="565"/>
      <c r="AZ58" s="570"/>
      <c r="BA58" s="570"/>
      <c r="BB58" s="536"/>
      <c r="BC58" s="537"/>
      <c r="BD58" s="538"/>
      <c r="BE58" s="592"/>
      <c r="BF58" s="592"/>
      <c r="BG58" s="592"/>
      <c r="BH58" s="592"/>
      <c r="BI58" s="592" t="s">
        <v>410</v>
      </c>
      <c r="BJ58" s="592"/>
      <c r="BK58" s="592"/>
      <c r="BL58" s="592"/>
      <c r="BM58" s="592"/>
      <c r="BN58" s="592"/>
      <c r="BO58" s="592"/>
      <c r="BP58" s="592"/>
      <c r="BQ58" s="592"/>
      <c r="BR58" s="592"/>
      <c r="BS58" s="592"/>
      <c r="BT58" s="592"/>
    </row>
    <row r="59" spans="1:72" s="591" customFormat="1" ht="12.5" customHeight="1">
      <c r="A59" s="540"/>
      <c r="B59" s="566"/>
      <c r="C59" s="565"/>
      <c r="D59" s="565"/>
      <c r="E59" s="565"/>
      <c r="F59" s="565"/>
      <c r="G59" s="565"/>
      <c r="H59" s="614"/>
      <c r="I59" s="609"/>
      <c r="J59" s="607"/>
      <c r="K59" s="609"/>
      <c r="L59" s="607"/>
      <c r="M59" s="607"/>
      <c r="N59" s="607"/>
      <c r="O59" s="607"/>
      <c r="P59" s="607"/>
      <c r="Q59" s="607"/>
      <c r="R59" s="607"/>
      <c r="S59" s="607"/>
      <c r="T59" s="607"/>
      <c r="U59" s="607"/>
      <c r="V59" s="607"/>
      <c r="W59" s="607"/>
      <c r="X59" s="609"/>
      <c r="Y59" s="601"/>
      <c r="Z59" s="612"/>
      <c r="AA59" s="612"/>
      <c r="AB59" s="612"/>
      <c r="AC59" s="612"/>
      <c r="AD59" s="612"/>
      <c r="AE59" s="612"/>
      <c r="AF59" s="612"/>
      <c r="AG59" s="612"/>
      <c r="AH59" s="612"/>
      <c r="AI59" s="612"/>
      <c r="AJ59" s="612"/>
      <c r="AK59" s="612"/>
      <c r="AL59" s="612"/>
      <c r="AM59" s="601"/>
      <c r="AN59" s="601"/>
      <c r="AO59" s="601"/>
      <c r="AP59" s="601"/>
      <c r="AQ59" s="601"/>
      <c r="AR59" s="601"/>
      <c r="AS59" s="601"/>
      <c r="AT59" s="565"/>
      <c r="AU59" s="565"/>
      <c r="AV59" s="565"/>
      <c r="AW59" s="565"/>
      <c r="AX59" s="565"/>
      <c r="AY59" s="565"/>
      <c r="AZ59" s="570"/>
      <c r="BA59" s="570"/>
      <c r="BB59" s="536"/>
      <c r="BC59" s="537"/>
      <c r="BD59" s="538"/>
      <c r="BE59" s="592"/>
      <c r="BF59" s="592"/>
      <c r="BG59" s="592"/>
      <c r="BH59" s="592"/>
      <c r="BI59" s="592"/>
      <c r="BJ59" s="592"/>
      <c r="BK59" s="592"/>
      <c r="BL59" s="592"/>
      <c r="BM59" s="592"/>
      <c r="BN59" s="592"/>
      <c r="BO59" s="592"/>
      <c r="BP59" s="592"/>
      <c r="BQ59" s="592"/>
      <c r="BR59" s="592"/>
      <c r="BS59" s="592"/>
      <c r="BT59" s="592"/>
    </row>
    <row r="60" spans="1:72" s="591" customFormat="1" ht="12.5" customHeight="1">
      <c r="A60" s="540"/>
      <c r="B60" s="566"/>
      <c r="C60" s="565"/>
      <c r="D60" s="565"/>
      <c r="E60" s="565"/>
      <c r="F60" s="565"/>
      <c r="G60" s="565"/>
      <c r="H60" s="578"/>
      <c r="I60" s="578"/>
      <c r="J60" s="578"/>
      <c r="K60" s="578"/>
      <c r="L60" s="578"/>
      <c r="M60" s="578"/>
      <c r="N60" s="578"/>
      <c r="O60" s="578"/>
      <c r="P60" s="578"/>
      <c r="Q60" s="578"/>
      <c r="R60" s="578"/>
      <c r="S60" s="578"/>
      <c r="T60" s="578"/>
      <c r="U60" s="578"/>
      <c r="V60" s="578"/>
      <c r="W60" s="578"/>
      <c r="X60" s="578"/>
      <c r="Y60" s="578"/>
      <c r="Z60" s="578"/>
      <c r="AA60" s="578"/>
      <c r="AB60" s="578"/>
      <c r="AC60" s="578"/>
      <c r="AD60" s="578"/>
      <c r="AE60" s="578"/>
      <c r="AF60" s="578"/>
      <c r="AG60" s="578"/>
      <c r="AH60" s="578"/>
      <c r="AI60" s="578"/>
      <c r="AJ60" s="578"/>
      <c r="AK60" s="578"/>
      <c r="AL60" s="578"/>
      <c r="AM60" s="578"/>
      <c r="AN60" s="578"/>
      <c r="AO60" s="578"/>
      <c r="AP60" s="578"/>
      <c r="AQ60" s="578"/>
      <c r="AR60" s="578"/>
      <c r="AS60" s="579"/>
      <c r="AT60" s="572"/>
      <c r="AU60" s="565"/>
      <c r="AV60" s="569"/>
      <c r="AW60" s="569"/>
      <c r="AX60" s="569"/>
      <c r="AY60" s="565"/>
      <c r="AZ60" s="570"/>
      <c r="BA60" s="570"/>
      <c r="BB60" s="553"/>
      <c r="BC60" s="554"/>
      <c r="BD60" s="539"/>
      <c r="BE60" s="592"/>
      <c r="BF60" s="592"/>
      <c r="BG60" s="592"/>
      <c r="BH60" s="592"/>
      <c r="BI60" s="592"/>
      <c r="BJ60" s="592"/>
      <c r="BK60" s="592"/>
      <c r="BL60" s="592"/>
      <c r="BM60" s="592"/>
      <c r="BN60" s="592"/>
      <c r="BO60" s="592"/>
      <c r="BP60" s="592"/>
      <c r="BQ60" s="592"/>
      <c r="BR60" s="592"/>
      <c r="BS60" s="592"/>
      <c r="BT60" s="592"/>
    </row>
    <row r="61" spans="1:72" s="591" customFormat="1" ht="12.5" customHeight="1">
      <c r="A61" s="540"/>
      <c r="B61" s="566"/>
      <c r="C61" s="565"/>
      <c r="D61" s="569"/>
      <c r="E61" s="569"/>
      <c r="F61" s="569"/>
      <c r="G61" s="569"/>
      <c r="H61" s="630"/>
      <c r="I61" s="625"/>
      <c r="J61" s="623"/>
      <c r="K61" s="625"/>
      <c r="L61" s="623"/>
      <c r="M61" s="623"/>
      <c r="N61" s="623"/>
      <c r="O61" s="623"/>
      <c r="P61" s="623"/>
      <c r="Q61" s="623"/>
      <c r="R61" s="623"/>
      <c r="S61" s="623"/>
      <c r="T61" s="623"/>
      <c r="U61" s="623"/>
      <c r="V61" s="623"/>
      <c r="W61" s="623"/>
      <c r="X61" s="625"/>
      <c r="Y61" s="617"/>
      <c r="Z61" s="628"/>
      <c r="AA61" s="628"/>
      <c r="AB61" s="628"/>
      <c r="AC61" s="628"/>
      <c r="AD61" s="628"/>
      <c r="AE61" s="628"/>
      <c r="AF61" s="628"/>
      <c r="AG61" s="628"/>
      <c r="AH61" s="628"/>
      <c r="AI61" s="628"/>
      <c r="AJ61" s="628"/>
      <c r="AK61" s="628"/>
      <c r="AL61" s="628"/>
      <c r="AM61" s="617"/>
      <c r="AN61" s="617"/>
      <c r="AO61" s="617"/>
      <c r="AP61" s="617"/>
      <c r="AQ61" s="617"/>
      <c r="AR61" s="617"/>
      <c r="AS61" s="617"/>
      <c r="AT61" s="565"/>
      <c r="AU61" s="565"/>
      <c r="AV61" s="565"/>
      <c r="AW61" s="565"/>
      <c r="AX61" s="569"/>
      <c r="AY61" s="565"/>
      <c r="AZ61" s="570"/>
      <c r="BA61" s="570"/>
      <c r="BB61" s="536"/>
      <c r="BC61" s="537"/>
      <c r="BD61" s="538"/>
      <c r="BE61" s="592"/>
      <c r="BF61" s="592"/>
      <c r="BG61" s="592"/>
      <c r="BH61" s="592"/>
      <c r="BI61" s="592"/>
      <c r="BJ61" s="592"/>
      <c r="BK61" s="592"/>
      <c r="BL61" s="592"/>
      <c r="BM61" s="592"/>
      <c r="BN61" s="592"/>
      <c r="BO61" s="592"/>
      <c r="BP61" s="592"/>
      <c r="BQ61" s="592"/>
      <c r="BR61" s="592"/>
      <c r="BS61" s="592"/>
      <c r="BT61" s="592"/>
    </row>
    <row r="62" spans="1:72" s="591" customFormat="1" ht="12.5" customHeight="1">
      <c r="A62" s="540"/>
      <c r="B62" s="566"/>
      <c r="C62" s="565"/>
      <c r="D62" s="569"/>
      <c r="E62" s="569"/>
      <c r="F62" s="569"/>
      <c r="G62" s="569"/>
      <c r="H62" s="630"/>
      <c r="I62" s="625"/>
      <c r="J62" s="623"/>
      <c r="K62" s="625"/>
      <c r="L62" s="623"/>
      <c r="M62" s="623"/>
      <c r="N62" s="623"/>
      <c r="O62" s="623"/>
      <c r="P62" s="623"/>
      <c r="Q62" s="623"/>
      <c r="R62" s="623"/>
      <c r="S62" s="623"/>
      <c r="T62" s="623"/>
      <c r="U62" s="623"/>
      <c r="V62" s="623"/>
      <c r="W62" s="623"/>
      <c r="X62" s="625"/>
      <c r="Y62" s="617"/>
      <c r="Z62" s="628"/>
      <c r="AA62" s="628"/>
      <c r="AB62" s="628"/>
      <c r="AC62" s="628"/>
      <c r="AD62" s="628"/>
      <c r="AE62" s="628"/>
      <c r="AF62" s="628"/>
      <c r="AG62" s="628"/>
      <c r="AH62" s="628"/>
      <c r="AI62" s="628"/>
      <c r="AJ62" s="628"/>
      <c r="AK62" s="628"/>
      <c r="AL62" s="628"/>
      <c r="AM62" s="617"/>
      <c r="AN62" s="617"/>
      <c r="AO62" s="617"/>
      <c r="AP62" s="617"/>
      <c r="AQ62" s="617"/>
      <c r="AR62" s="617"/>
      <c r="AS62" s="617"/>
      <c r="AT62" s="565"/>
      <c r="AU62" s="565"/>
      <c r="AV62" s="565"/>
      <c r="AW62" s="565"/>
      <c r="AX62" s="569"/>
      <c r="AY62" s="565"/>
      <c r="AZ62" s="570"/>
      <c r="BA62" s="570"/>
      <c r="BB62" s="536"/>
      <c r="BC62" s="537"/>
      <c r="BD62" s="538"/>
      <c r="BE62" s="592"/>
      <c r="BF62" s="592"/>
      <c r="BG62" s="592"/>
      <c r="BH62" s="592"/>
      <c r="BI62" s="592"/>
      <c r="BJ62" s="592"/>
      <c r="BK62" s="592"/>
      <c r="BL62" s="592"/>
      <c r="BM62" s="592"/>
      <c r="BN62" s="592"/>
      <c r="BO62" s="592"/>
      <c r="BP62" s="592"/>
      <c r="BQ62" s="592"/>
      <c r="BR62" s="592"/>
      <c r="BS62" s="592"/>
      <c r="BT62" s="592"/>
    </row>
    <row r="63" spans="1:72" s="591" customFormat="1" ht="12.5" customHeight="1">
      <c r="A63" s="540"/>
      <c r="B63" s="566"/>
      <c r="C63" s="565"/>
      <c r="D63" s="569"/>
      <c r="E63" s="569"/>
      <c r="F63" s="569"/>
      <c r="G63" s="569"/>
      <c r="H63" s="630"/>
      <c r="I63" s="625"/>
      <c r="J63" s="623"/>
      <c r="K63" s="625"/>
      <c r="L63" s="623"/>
      <c r="M63" s="623"/>
      <c r="N63" s="623"/>
      <c r="O63" s="623"/>
      <c r="P63" s="623"/>
      <c r="Q63" s="623"/>
      <c r="R63" s="633"/>
      <c r="S63" s="623"/>
      <c r="T63" s="623"/>
      <c r="U63" s="623"/>
      <c r="V63" s="623"/>
      <c r="W63" s="623"/>
      <c r="X63" s="625"/>
      <c r="Y63" s="617"/>
      <c r="Z63" s="628"/>
      <c r="AA63" s="628"/>
      <c r="AB63" s="628"/>
      <c r="AC63" s="628"/>
      <c r="AD63" s="628"/>
      <c r="AE63" s="628"/>
      <c r="AF63" s="628"/>
      <c r="AG63" s="628"/>
      <c r="AH63" s="628"/>
      <c r="AI63" s="628"/>
      <c r="AJ63" s="628"/>
      <c r="AK63" s="628"/>
      <c r="AL63" s="628"/>
      <c r="AM63" s="617"/>
      <c r="AN63" s="617"/>
      <c r="AO63" s="617"/>
      <c r="AP63" s="617"/>
      <c r="AQ63" s="617"/>
      <c r="AR63" s="617"/>
      <c r="AS63" s="617"/>
      <c r="AT63" s="565"/>
      <c r="AU63" s="565"/>
      <c r="AV63" s="565"/>
      <c r="AW63" s="565"/>
      <c r="AX63" s="569"/>
      <c r="AY63" s="565"/>
      <c r="AZ63" s="570"/>
      <c r="BA63" s="570"/>
      <c r="BB63" s="536"/>
      <c r="BC63" s="537"/>
      <c r="BD63" s="538"/>
      <c r="BE63" s="592"/>
      <c r="BF63" s="592"/>
      <c r="BG63" s="592"/>
      <c r="BH63" s="592"/>
      <c r="BI63" s="592"/>
      <c r="BJ63" s="592"/>
      <c r="BK63" s="592"/>
      <c r="BL63" s="592"/>
      <c r="BM63" s="592"/>
      <c r="BN63" s="592"/>
      <c r="BO63" s="592"/>
      <c r="BP63" s="592"/>
      <c r="BQ63" s="592"/>
      <c r="BR63" s="592"/>
      <c r="BS63" s="592"/>
      <c r="BT63" s="592"/>
    </row>
    <row r="64" spans="1:72" s="591" customFormat="1" ht="12.5" customHeight="1">
      <c r="A64" s="540"/>
      <c r="B64" s="566"/>
      <c r="C64" s="565"/>
      <c r="D64" s="569"/>
      <c r="E64" s="569"/>
      <c r="F64" s="569"/>
      <c r="G64" s="569"/>
      <c r="H64" s="630"/>
      <c r="I64" s="625"/>
      <c r="J64" s="623"/>
      <c r="K64" s="625"/>
      <c r="L64" s="623"/>
      <c r="M64" s="623"/>
      <c r="N64" s="623"/>
      <c r="O64" s="623"/>
      <c r="P64" s="623"/>
      <c r="Q64" s="623"/>
      <c r="R64" s="633"/>
      <c r="S64" s="623"/>
      <c r="T64" s="623"/>
      <c r="U64" s="623"/>
      <c r="V64" s="623"/>
      <c r="W64" s="623"/>
      <c r="X64" s="625"/>
      <c r="Y64" s="617"/>
      <c r="Z64" s="628"/>
      <c r="AA64" s="628"/>
      <c r="AB64" s="628"/>
      <c r="AC64" s="628"/>
      <c r="AD64" s="628"/>
      <c r="AE64" s="628"/>
      <c r="AF64" s="628"/>
      <c r="AG64" s="628"/>
      <c r="AH64" s="628"/>
      <c r="AI64" s="628"/>
      <c r="AJ64" s="628"/>
      <c r="AK64" s="628"/>
      <c r="AL64" s="628"/>
      <c r="AM64" s="617"/>
      <c r="AN64" s="617"/>
      <c r="AO64" s="617"/>
      <c r="AP64" s="617"/>
      <c r="AQ64" s="617"/>
      <c r="AR64" s="617"/>
      <c r="AS64" s="617"/>
      <c r="AT64" s="565"/>
      <c r="AU64" s="565"/>
      <c r="AV64" s="565"/>
      <c r="AW64" s="565"/>
      <c r="AX64" s="569"/>
      <c r="AY64" s="565"/>
      <c r="AZ64" s="570"/>
      <c r="BA64" s="570"/>
      <c r="BB64" s="536"/>
      <c r="BC64" s="537"/>
      <c r="BD64" s="538"/>
      <c r="BE64" s="592"/>
      <c r="BF64" s="592"/>
      <c r="BG64" s="592"/>
      <c r="BH64" s="592"/>
      <c r="BI64" s="592"/>
      <c r="BJ64" s="592"/>
      <c r="BK64" s="592"/>
      <c r="BL64" s="592"/>
      <c r="BM64" s="592"/>
      <c r="BN64" s="592"/>
      <c r="BO64" s="592"/>
      <c r="BP64" s="592"/>
      <c r="BQ64" s="592"/>
      <c r="BR64" s="592"/>
      <c r="BS64" s="592"/>
      <c r="BT64" s="592"/>
    </row>
    <row r="65" spans="1:72" s="591" customFormat="1" ht="12.5" customHeight="1">
      <c r="A65" s="540"/>
      <c r="B65" s="566"/>
      <c r="C65" s="565"/>
      <c r="D65" s="569"/>
      <c r="E65" s="569"/>
      <c r="F65" s="569"/>
      <c r="G65" s="569"/>
      <c r="H65" s="630"/>
      <c r="I65" s="625"/>
      <c r="J65" s="623"/>
      <c r="K65" s="625"/>
      <c r="L65" s="623"/>
      <c r="M65" s="623"/>
      <c r="N65" s="623"/>
      <c r="O65" s="623"/>
      <c r="P65" s="623"/>
      <c r="Q65" s="623"/>
      <c r="R65" s="623"/>
      <c r="S65" s="623"/>
      <c r="T65" s="623"/>
      <c r="U65" s="623"/>
      <c r="V65" s="623"/>
      <c r="W65" s="623"/>
      <c r="X65" s="625"/>
      <c r="Y65" s="617"/>
      <c r="Z65" s="628"/>
      <c r="AA65" s="628"/>
      <c r="AB65" s="628"/>
      <c r="AC65" s="628"/>
      <c r="AD65" s="628"/>
      <c r="AE65" s="628"/>
      <c r="AF65" s="628"/>
      <c r="AG65" s="628"/>
      <c r="AH65" s="628"/>
      <c r="AI65" s="628"/>
      <c r="AJ65" s="628"/>
      <c r="AK65" s="628"/>
      <c r="AL65" s="628"/>
      <c r="AM65" s="617"/>
      <c r="AN65" s="617"/>
      <c r="AO65" s="617"/>
      <c r="AP65" s="617"/>
      <c r="AQ65" s="617"/>
      <c r="AR65" s="617"/>
      <c r="AS65" s="617"/>
      <c r="AT65" s="565"/>
      <c r="AU65" s="565"/>
      <c r="AV65" s="565"/>
      <c r="AW65" s="565"/>
      <c r="AX65" s="569"/>
      <c r="AY65" s="565"/>
      <c r="AZ65" s="570"/>
      <c r="BA65" s="570"/>
      <c r="BB65" s="536"/>
      <c r="BC65" s="537"/>
      <c r="BD65" s="538"/>
      <c r="BE65" s="592"/>
      <c r="BF65" s="592"/>
      <c r="BG65" s="592"/>
      <c r="BH65" s="592"/>
      <c r="BI65" s="592"/>
      <c r="BJ65" s="592"/>
      <c r="BK65" s="592"/>
      <c r="BL65" s="592"/>
      <c r="BM65" s="592"/>
      <c r="BN65" s="592"/>
      <c r="BO65" s="592"/>
      <c r="BP65" s="592"/>
      <c r="BQ65" s="592"/>
      <c r="BR65" s="592"/>
      <c r="BS65" s="592"/>
      <c r="BT65" s="592"/>
    </row>
    <row r="66" spans="1:72" s="591" customFormat="1" ht="12.5" customHeight="1">
      <c r="A66" s="540"/>
      <c r="B66" s="566"/>
      <c r="C66" s="565"/>
      <c r="D66" s="565"/>
      <c r="E66" s="565"/>
      <c r="F66" s="565"/>
      <c r="G66" s="565"/>
      <c r="H66" s="578"/>
      <c r="I66" s="578"/>
      <c r="J66" s="578"/>
      <c r="K66" s="578"/>
      <c r="L66" s="578"/>
      <c r="M66" s="578"/>
      <c r="N66" s="578"/>
      <c r="O66" s="578"/>
      <c r="P66" s="578"/>
      <c r="Q66" s="578"/>
      <c r="R66" s="578"/>
      <c r="S66" s="578"/>
      <c r="T66" s="578"/>
      <c r="U66" s="578"/>
      <c r="V66" s="578"/>
      <c r="W66" s="578"/>
      <c r="X66" s="578"/>
      <c r="Y66" s="578"/>
      <c r="Z66" s="578"/>
      <c r="AA66" s="578"/>
      <c r="AB66" s="578"/>
      <c r="AC66" s="578"/>
      <c r="AD66" s="578"/>
      <c r="AE66" s="578"/>
      <c r="AF66" s="578"/>
      <c r="AG66" s="578"/>
      <c r="AH66" s="578"/>
      <c r="AI66" s="578"/>
      <c r="AJ66" s="578"/>
      <c r="AK66" s="578"/>
      <c r="AL66" s="578"/>
      <c r="AM66" s="578"/>
      <c r="AN66" s="578"/>
      <c r="AO66" s="578"/>
      <c r="AP66" s="578"/>
      <c r="AQ66" s="578"/>
      <c r="AR66" s="578"/>
      <c r="AS66" s="579"/>
      <c r="AT66" s="572"/>
      <c r="AU66" s="565"/>
      <c r="AV66" s="569"/>
      <c r="AW66" s="569"/>
      <c r="AX66" s="569"/>
      <c r="AY66" s="565"/>
      <c r="AZ66" s="570"/>
      <c r="BA66" s="570"/>
      <c r="BB66" s="553"/>
      <c r="BC66" s="554"/>
      <c r="BD66" s="539"/>
      <c r="BE66" s="592"/>
      <c r="BF66" s="592"/>
      <c r="BG66" s="592"/>
      <c r="BH66" s="592"/>
      <c r="BI66" s="592"/>
      <c r="BJ66" s="592"/>
      <c r="BK66" s="592"/>
      <c r="BL66" s="592"/>
      <c r="BM66" s="592"/>
      <c r="BN66" s="592"/>
      <c r="BO66" s="592"/>
      <c r="BP66" s="592"/>
      <c r="BQ66" s="592"/>
      <c r="BR66" s="592"/>
      <c r="BS66" s="592"/>
      <c r="BT66" s="592"/>
    </row>
    <row r="67" spans="1:72" s="591" customFormat="1" ht="15">
      <c r="A67" s="556"/>
      <c r="B67" s="674"/>
      <c r="C67" s="597"/>
      <c r="D67" s="597"/>
      <c r="E67" s="597"/>
      <c r="F67" s="597"/>
      <c r="G67" s="597"/>
      <c r="H67" s="597"/>
      <c r="I67" s="597"/>
      <c r="J67" s="597"/>
      <c r="K67" s="597"/>
      <c r="L67" s="597"/>
      <c r="M67" s="597"/>
      <c r="N67" s="597"/>
      <c r="O67" s="597"/>
      <c r="P67" s="597"/>
      <c r="Q67" s="597"/>
      <c r="R67" s="597"/>
      <c r="S67" s="598"/>
      <c r="T67" s="598"/>
      <c r="U67" s="598"/>
      <c r="V67" s="598"/>
      <c r="W67" s="597"/>
      <c r="X67" s="597"/>
      <c r="Y67" s="598"/>
      <c r="Z67" s="598"/>
      <c r="AA67" s="597"/>
      <c r="AB67" s="597"/>
      <c r="AC67" s="597"/>
      <c r="AD67" s="598"/>
      <c r="AE67" s="598"/>
      <c r="AF67" s="598"/>
      <c r="AG67" s="598"/>
      <c r="AH67" s="598"/>
      <c r="AI67" s="598"/>
      <c r="AJ67" s="598"/>
      <c r="AK67" s="598"/>
      <c r="AL67" s="598"/>
      <c r="AM67" s="598"/>
      <c r="AN67" s="598"/>
      <c r="AO67" s="598"/>
      <c r="AP67" s="598"/>
      <c r="AQ67" s="598"/>
      <c r="AR67" s="598"/>
      <c r="AS67" s="598"/>
      <c r="AT67" s="598"/>
      <c r="AU67" s="598"/>
      <c r="AV67" s="598"/>
      <c r="AW67" s="598"/>
      <c r="AX67" s="598"/>
      <c r="AY67" s="596"/>
      <c r="AZ67" s="577"/>
      <c r="BA67" s="577"/>
      <c r="BB67" s="599"/>
      <c r="BC67" s="554"/>
      <c r="BD67" s="555"/>
      <c r="BE67" s="592"/>
      <c r="BF67" s="592"/>
      <c r="BG67" s="592"/>
      <c r="BH67" s="592"/>
      <c r="BI67" s="592"/>
      <c r="BJ67" s="592"/>
      <c r="BK67" s="592"/>
      <c r="BL67" s="592"/>
      <c r="BM67" s="592"/>
      <c r="BN67" s="592"/>
      <c r="BO67" s="592"/>
      <c r="BP67" s="592"/>
      <c r="BQ67" s="592"/>
      <c r="BR67" s="592"/>
      <c r="BS67" s="592"/>
      <c r="BT67" s="592"/>
    </row>
    <row r="68" spans="1:72" s="591" customFormat="1" ht="15">
      <c r="A68" s="539"/>
      <c r="B68" s="539"/>
      <c r="C68" s="539"/>
      <c r="D68" s="539"/>
      <c r="E68" s="539"/>
      <c r="F68" s="539"/>
      <c r="G68" s="539"/>
      <c r="H68" s="539"/>
      <c r="I68" s="539"/>
      <c r="J68" s="539"/>
      <c r="K68" s="539"/>
      <c r="L68" s="539"/>
      <c r="M68" s="539"/>
      <c r="N68" s="539"/>
      <c r="O68" s="539"/>
      <c r="P68" s="539"/>
      <c r="Q68" s="539"/>
      <c r="R68" s="539"/>
      <c r="S68" s="557"/>
      <c r="T68" s="557"/>
      <c r="U68" s="557"/>
      <c r="V68" s="557"/>
      <c r="W68" s="539"/>
      <c r="X68" s="539"/>
      <c r="Y68" s="557"/>
      <c r="Z68" s="557"/>
      <c r="AA68" s="539"/>
      <c r="AB68" s="539"/>
      <c r="AC68" s="539"/>
      <c r="AD68" s="557"/>
      <c r="AE68" s="557"/>
      <c r="AF68" s="557"/>
      <c r="AG68" s="557"/>
      <c r="AH68" s="557"/>
      <c r="AI68" s="557"/>
      <c r="AJ68" s="557"/>
      <c r="AK68" s="557"/>
      <c r="AL68" s="557"/>
      <c r="AM68" s="557"/>
      <c r="AN68" s="557"/>
      <c r="AO68" s="557"/>
      <c r="AP68" s="557"/>
      <c r="AQ68" s="557"/>
      <c r="AR68" s="557"/>
      <c r="AS68" s="557"/>
      <c r="AT68" s="557"/>
      <c r="AU68" s="557"/>
      <c r="AV68" s="557"/>
      <c r="AW68" s="557"/>
      <c r="AX68" s="557"/>
      <c r="AY68" s="557"/>
      <c r="AZ68" s="557"/>
      <c r="BA68" s="557"/>
      <c r="BB68" s="557"/>
      <c r="BC68" s="557"/>
      <c r="BD68" s="555"/>
      <c r="BE68" s="592"/>
      <c r="BF68" s="592"/>
      <c r="BG68" s="592"/>
      <c r="BH68" s="592"/>
      <c r="BI68" s="592"/>
      <c r="BJ68" s="592"/>
      <c r="BK68" s="592"/>
      <c r="BL68" s="592"/>
      <c r="BM68" s="592"/>
      <c r="BN68" s="592"/>
      <c r="BO68" s="592"/>
      <c r="BP68" s="592"/>
      <c r="BQ68" s="592"/>
      <c r="BR68" s="592"/>
      <c r="BS68" s="592"/>
      <c r="BT68" s="592"/>
    </row>
    <row r="69" spans="1:72" s="591" customFormat="1" ht="15">
      <c r="A69" s="539"/>
      <c r="B69" s="539"/>
      <c r="C69" s="539"/>
      <c r="D69" s="539"/>
      <c r="E69" s="539"/>
      <c r="F69" s="539"/>
      <c r="G69" s="539"/>
      <c r="H69" s="539"/>
      <c r="I69" s="539"/>
      <c r="J69" s="539"/>
      <c r="K69" s="539"/>
      <c r="L69" s="539"/>
      <c r="M69" s="539"/>
      <c r="N69" s="539"/>
      <c r="O69" s="539"/>
      <c r="P69" s="539"/>
      <c r="Q69" s="539"/>
      <c r="R69" s="539"/>
      <c r="S69" s="557"/>
      <c r="T69" s="557"/>
      <c r="U69" s="557"/>
      <c r="V69" s="557"/>
      <c r="W69" s="539"/>
      <c r="X69" s="539"/>
      <c r="Y69" s="557"/>
      <c r="Z69" s="557"/>
      <c r="AA69" s="539"/>
      <c r="AB69" s="539"/>
      <c r="AC69" s="539"/>
      <c r="AD69" s="557"/>
      <c r="AE69" s="557"/>
      <c r="AF69" s="557"/>
      <c r="AG69" s="557"/>
      <c r="AH69" s="557"/>
      <c r="AI69" s="557"/>
      <c r="AJ69" s="557"/>
      <c r="AK69" s="557"/>
      <c r="AL69" s="557"/>
      <c r="AM69" s="557"/>
      <c r="AN69" s="557"/>
      <c r="AO69" s="557"/>
      <c r="AP69" s="557"/>
      <c r="AQ69" s="557"/>
      <c r="AR69" s="557"/>
      <c r="AS69" s="557"/>
      <c r="AT69" s="557"/>
      <c r="AU69" s="557"/>
      <c r="AV69" s="557"/>
      <c r="AW69" s="557"/>
      <c r="AX69" s="557"/>
      <c r="AY69" s="557"/>
      <c r="AZ69" s="557"/>
      <c r="BA69" s="557"/>
      <c r="BB69" s="557"/>
      <c r="BC69" s="557"/>
      <c r="BD69" s="555"/>
      <c r="BE69" s="592"/>
      <c r="BF69" s="592"/>
      <c r="BG69" s="592"/>
      <c r="BH69" s="592"/>
      <c r="BI69" s="592"/>
      <c r="BJ69" s="592"/>
      <c r="BK69" s="592"/>
      <c r="BL69" s="592"/>
      <c r="BM69" s="592"/>
      <c r="BN69" s="592"/>
      <c r="BO69" s="592"/>
      <c r="BP69" s="592"/>
      <c r="BQ69" s="592"/>
      <c r="BR69" s="592"/>
      <c r="BS69" s="592"/>
      <c r="BT69" s="592"/>
    </row>
    <row r="70" spans="1:72" s="591" customFormat="1" ht="15">
      <c r="A70" s="539"/>
      <c r="B70" s="539"/>
      <c r="C70" s="539"/>
      <c r="D70" s="539"/>
      <c r="E70" s="539"/>
      <c r="F70" s="539"/>
      <c r="G70" s="539"/>
      <c r="H70" s="539"/>
      <c r="I70" s="539"/>
      <c r="J70" s="539"/>
      <c r="K70" s="539"/>
      <c r="L70" s="539"/>
      <c r="M70" s="539"/>
      <c r="N70" s="539"/>
      <c r="O70" s="539"/>
      <c r="P70" s="539"/>
      <c r="Q70" s="539"/>
      <c r="R70" s="539"/>
      <c r="S70" s="557"/>
      <c r="T70" s="557"/>
      <c r="U70" s="557"/>
      <c r="V70" s="557"/>
      <c r="W70" s="539"/>
      <c r="X70" s="539"/>
      <c r="Y70" s="557"/>
      <c r="Z70" s="557"/>
      <c r="AA70" s="539"/>
      <c r="AB70" s="539"/>
      <c r="AC70" s="539"/>
      <c r="AD70" s="557"/>
      <c r="AE70" s="557"/>
      <c r="AF70" s="557"/>
      <c r="AG70" s="557"/>
      <c r="AH70" s="557"/>
      <c r="AI70" s="557"/>
      <c r="AJ70" s="557"/>
      <c r="AK70" s="557"/>
      <c r="AL70" s="557"/>
      <c r="AM70" s="557"/>
      <c r="AN70" s="557"/>
      <c r="AO70" s="557"/>
      <c r="AP70" s="557"/>
      <c r="AQ70" s="557"/>
      <c r="AR70" s="557"/>
      <c r="AS70" s="557"/>
      <c r="AT70" s="557"/>
      <c r="AU70" s="557"/>
      <c r="AV70" s="557"/>
      <c r="AW70" s="557"/>
      <c r="AX70" s="557"/>
      <c r="AY70" s="557"/>
      <c r="AZ70" s="557"/>
      <c r="BA70" s="557"/>
      <c r="BB70" s="557"/>
      <c r="BC70" s="557"/>
      <c r="BD70" s="555"/>
      <c r="BE70" s="592"/>
      <c r="BF70" s="592"/>
      <c r="BG70" s="592"/>
      <c r="BH70" s="592"/>
      <c r="BI70" s="592"/>
      <c r="BJ70" s="592"/>
      <c r="BK70" s="592"/>
      <c r="BL70" s="592"/>
      <c r="BM70" s="592"/>
      <c r="BN70" s="592"/>
      <c r="BO70" s="592"/>
      <c r="BP70" s="592"/>
      <c r="BQ70" s="592"/>
      <c r="BR70" s="592"/>
      <c r="BS70" s="592"/>
      <c r="BT70" s="592"/>
    </row>
    <row r="71" spans="1:72" s="591" customFormat="1" ht="15">
      <c r="A71" s="539"/>
      <c r="B71" s="539"/>
      <c r="C71" s="539"/>
      <c r="D71" s="539"/>
      <c r="E71" s="539"/>
      <c r="F71" s="539"/>
      <c r="G71" s="539"/>
      <c r="H71" s="539"/>
      <c r="I71" s="539"/>
      <c r="J71" s="539"/>
      <c r="K71" s="539"/>
      <c r="L71" s="539"/>
      <c r="M71" s="539"/>
      <c r="N71" s="539"/>
      <c r="O71" s="539"/>
      <c r="P71" s="539"/>
      <c r="Q71" s="539"/>
      <c r="R71" s="539"/>
      <c r="S71" s="557"/>
      <c r="T71" s="557"/>
      <c r="U71" s="557"/>
      <c r="V71" s="557"/>
      <c r="W71" s="539"/>
      <c r="X71" s="539"/>
      <c r="Y71" s="557"/>
      <c r="Z71" s="557"/>
      <c r="AA71" s="539"/>
      <c r="AB71" s="539"/>
      <c r="AC71" s="539"/>
      <c r="AD71" s="557"/>
      <c r="AE71" s="557"/>
      <c r="AF71" s="557"/>
      <c r="AG71" s="557"/>
      <c r="AH71" s="557"/>
      <c r="AI71" s="557"/>
      <c r="AJ71" s="557"/>
      <c r="AK71" s="557"/>
      <c r="AL71" s="557"/>
      <c r="AM71" s="557"/>
      <c r="AN71" s="557"/>
      <c r="AO71" s="557"/>
      <c r="AP71" s="557"/>
      <c r="AQ71" s="557"/>
      <c r="AR71" s="557"/>
      <c r="AS71" s="557"/>
      <c r="AT71" s="557"/>
      <c r="AU71" s="557"/>
      <c r="AV71" s="557"/>
      <c r="AW71" s="557"/>
      <c r="AX71" s="557"/>
      <c r="AY71" s="557"/>
      <c r="AZ71" s="557"/>
      <c r="BA71" s="557"/>
      <c r="BB71" s="557"/>
      <c r="BC71" s="557"/>
      <c r="BD71" s="555"/>
      <c r="BE71" s="592"/>
      <c r="BF71" s="592"/>
      <c r="BG71" s="592"/>
      <c r="BH71" s="592"/>
      <c r="BI71" s="592"/>
      <c r="BJ71" s="592"/>
      <c r="BK71" s="592"/>
      <c r="BL71" s="592"/>
      <c r="BM71" s="592"/>
      <c r="BN71" s="592"/>
      <c r="BO71" s="592"/>
      <c r="BP71" s="592"/>
      <c r="BQ71" s="592"/>
      <c r="BR71" s="592"/>
      <c r="BS71" s="592"/>
      <c r="BT71" s="592"/>
    </row>
    <row r="72" spans="1:72" s="591" customFormat="1" ht="15">
      <c r="A72" s="539"/>
      <c r="B72" s="539"/>
      <c r="C72" s="539"/>
      <c r="D72" s="539"/>
      <c r="E72" s="539"/>
      <c r="F72" s="539"/>
      <c r="G72" s="539"/>
      <c r="H72" s="539"/>
      <c r="I72" s="539"/>
      <c r="J72" s="539"/>
      <c r="K72" s="539"/>
      <c r="L72" s="539"/>
      <c r="M72" s="539"/>
      <c r="N72" s="539"/>
      <c r="O72" s="539"/>
      <c r="P72" s="539"/>
      <c r="Q72" s="539"/>
      <c r="R72" s="539"/>
      <c r="S72" s="557"/>
      <c r="T72" s="557"/>
      <c r="U72" s="557"/>
      <c r="V72" s="557"/>
      <c r="W72" s="539"/>
      <c r="X72" s="539"/>
      <c r="Y72" s="557"/>
      <c r="Z72" s="557"/>
      <c r="AA72" s="539"/>
      <c r="AB72" s="539"/>
      <c r="AC72" s="539"/>
      <c r="AD72" s="557"/>
      <c r="AE72" s="557"/>
      <c r="AF72" s="557"/>
      <c r="AG72" s="557"/>
      <c r="AH72" s="557"/>
      <c r="AI72" s="557"/>
      <c r="AJ72" s="557"/>
      <c r="AK72" s="557"/>
      <c r="AL72" s="557"/>
      <c r="AM72" s="557"/>
      <c r="AN72" s="557"/>
      <c r="AO72" s="557"/>
      <c r="AP72" s="557"/>
      <c r="AQ72" s="557"/>
      <c r="AR72" s="557"/>
      <c r="AS72" s="557"/>
      <c r="AT72" s="557"/>
      <c r="AU72" s="557"/>
      <c r="AV72" s="557"/>
      <c r="AW72" s="557"/>
      <c r="AX72" s="557"/>
      <c r="AY72" s="557"/>
      <c r="AZ72" s="557"/>
      <c r="BA72" s="557"/>
      <c r="BB72" s="557"/>
      <c r="BC72" s="557"/>
      <c r="BD72" s="555"/>
      <c r="BE72" s="592"/>
      <c r="BF72" s="592"/>
      <c r="BG72" s="592"/>
      <c r="BH72" s="592"/>
      <c r="BI72" s="592"/>
      <c r="BJ72" s="592"/>
      <c r="BK72" s="592"/>
      <c r="BL72" s="592"/>
      <c r="BM72" s="592"/>
      <c r="BN72" s="592"/>
      <c r="BO72" s="592"/>
      <c r="BP72" s="592"/>
      <c r="BQ72" s="592"/>
      <c r="BR72" s="592"/>
      <c r="BS72" s="592"/>
      <c r="BT72" s="592"/>
    </row>
    <row r="73" spans="1:72" s="591" customFormat="1" ht="15">
      <c r="A73" s="539"/>
      <c r="B73" s="539"/>
      <c r="C73" s="539"/>
      <c r="D73" s="539"/>
      <c r="E73" s="539"/>
      <c r="F73" s="539"/>
      <c r="G73" s="539"/>
      <c r="H73" s="539"/>
      <c r="I73" s="539"/>
      <c r="J73" s="539"/>
      <c r="K73" s="539"/>
      <c r="L73" s="539"/>
      <c r="M73" s="539"/>
      <c r="N73" s="539"/>
      <c r="O73" s="539"/>
      <c r="P73" s="539"/>
      <c r="Q73" s="539"/>
      <c r="R73" s="539"/>
      <c r="S73" s="557"/>
      <c r="T73" s="557"/>
      <c r="U73" s="557"/>
      <c r="V73" s="557"/>
      <c r="W73" s="539"/>
      <c r="X73" s="539"/>
      <c r="Y73" s="557"/>
      <c r="Z73" s="557"/>
      <c r="AA73" s="539"/>
      <c r="AB73" s="539"/>
      <c r="AC73" s="539"/>
      <c r="AD73" s="557"/>
      <c r="AE73" s="557"/>
      <c r="AF73" s="557"/>
      <c r="AG73" s="557"/>
      <c r="AH73" s="557"/>
      <c r="AI73" s="557"/>
      <c r="AJ73" s="557"/>
      <c r="AK73" s="557"/>
      <c r="AL73" s="557"/>
      <c r="AM73" s="557"/>
      <c r="AN73" s="557"/>
      <c r="AO73" s="557"/>
      <c r="AP73" s="557"/>
      <c r="AQ73" s="557"/>
      <c r="AR73" s="557"/>
      <c r="AS73" s="557"/>
      <c r="AT73" s="557"/>
      <c r="AU73" s="557"/>
      <c r="AV73" s="557"/>
      <c r="AW73" s="557"/>
      <c r="AX73" s="557"/>
      <c r="AY73" s="557"/>
      <c r="AZ73" s="557"/>
      <c r="BA73" s="557"/>
      <c r="BB73" s="557"/>
      <c r="BC73" s="557"/>
      <c r="BD73" s="555"/>
      <c r="BE73" s="592"/>
      <c r="BF73" s="592"/>
      <c r="BG73" s="592"/>
      <c r="BH73" s="592"/>
      <c r="BI73" s="592"/>
      <c r="BJ73" s="592"/>
      <c r="BK73" s="592"/>
      <c r="BL73" s="592"/>
      <c r="BM73" s="592"/>
      <c r="BN73" s="592"/>
      <c r="BO73" s="592"/>
      <c r="BP73" s="592"/>
      <c r="BQ73" s="592"/>
      <c r="BR73" s="592"/>
      <c r="BS73" s="592"/>
      <c r="BT73" s="592"/>
    </row>
    <row r="74" spans="1:72" s="591" customFormat="1" ht="15">
      <c r="A74" s="539"/>
      <c r="B74" s="539"/>
      <c r="C74" s="539"/>
      <c r="D74" s="539"/>
      <c r="E74" s="539"/>
      <c r="F74" s="539"/>
      <c r="G74" s="539"/>
      <c r="H74" s="539"/>
      <c r="I74" s="539"/>
      <c r="J74" s="539"/>
      <c r="K74" s="539"/>
      <c r="L74" s="539"/>
      <c r="M74" s="539"/>
      <c r="N74" s="539"/>
      <c r="O74" s="539"/>
      <c r="P74" s="539"/>
      <c r="Q74" s="539"/>
      <c r="R74" s="539"/>
      <c r="S74" s="557"/>
      <c r="T74" s="557"/>
      <c r="U74" s="557"/>
      <c r="V74" s="557"/>
      <c r="W74" s="539"/>
      <c r="X74" s="539"/>
      <c r="Y74" s="557"/>
      <c r="Z74" s="557"/>
      <c r="AA74" s="539"/>
      <c r="AB74" s="539"/>
      <c r="AC74" s="539"/>
      <c r="AD74" s="557"/>
      <c r="AE74" s="557"/>
      <c r="AF74" s="557"/>
      <c r="AG74" s="557"/>
      <c r="AH74" s="557"/>
      <c r="AI74" s="557"/>
      <c r="AJ74" s="557"/>
      <c r="AK74" s="557"/>
      <c r="AL74" s="557"/>
      <c r="AM74" s="557"/>
      <c r="AN74" s="557"/>
      <c r="AO74" s="557"/>
      <c r="AP74" s="557"/>
      <c r="AQ74" s="557"/>
      <c r="AR74" s="557"/>
      <c r="AS74" s="557"/>
      <c r="AT74" s="557"/>
      <c r="AU74" s="557"/>
      <c r="AV74" s="557"/>
      <c r="AW74" s="557"/>
      <c r="AX74" s="557"/>
      <c r="AY74" s="557"/>
      <c r="AZ74" s="557"/>
      <c r="BA74" s="557"/>
      <c r="BB74" s="557"/>
      <c r="BC74" s="557"/>
      <c r="BD74" s="555"/>
      <c r="BE74" s="592"/>
      <c r="BF74" s="592"/>
      <c r="BG74" s="592"/>
      <c r="BH74" s="592"/>
      <c r="BI74" s="592"/>
      <c r="BJ74" s="592"/>
      <c r="BK74" s="592"/>
      <c r="BL74" s="592"/>
      <c r="BM74" s="592"/>
      <c r="BN74" s="592"/>
      <c r="BO74" s="592"/>
      <c r="BP74" s="592"/>
      <c r="BQ74" s="592"/>
      <c r="BR74" s="592"/>
      <c r="BS74" s="592"/>
      <c r="BT74" s="592"/>
    </row>
    <row r="75" spans="1:72" s="591" customFormat="1" ht="15">
      <c r="A75" s="539"/>
      <c r="B75" s="539"/>
      <c r="C75" s="539"/>
      <c r="D75" s="539"/>
      <c r="E75" s="539"/>
      <c r="F75" s="539"/>
      <c r="G75" s="539"/>
      <c r="H75" s="539"/>
      <c r="I75" s="539"/>
      <c r="J75" s="539"/>
      <c r="K75" s="539"/>
      <c r="L75" s="539"/>
      <c r="M75" s="539"/>
      <c r="N75" s="539"/>
      <c r="O75" s="539"/>
      <c r="P75" s="539"/>
      <c r="Q75" s="539"/>
      <c r="R75" s="539"/>
      <c r="S75" s="557"/>
      <c r="T75" s="557"/>
      <c r="U75" s="557"/>
      <c r="V75" s="557"/>
      <c r="W75" s="539"/>
      <c r="X75" s="539"/>
      <c r="Y75" s="557"/>
      <c r="Z75" s="557"/>
      <c r="AA75" s="539"/>
      <c r="AB75" s="539"/>
      <c r="AC75" s="539"/>
      <c r="AD75" s="557"/>
      <c r="AE75" s="557"/>
      <c r="AF75" s="557"/>
      <c r="AG75" s="557"/>
      <c r="AH75" s="557"/>
      <c r="AI75" s="557"/>
      <c r="AJ75" s="557"/>
      <c r="AK75" s="557"/>
      <c r="AL75" s="557"/>
      <c r="AM75" s="557"/>
      <c r="AN75" s="557"/>
      <c r="AO75" s="557"/>
      <c r="AP75" s="557"/>
      <c r="AQ75" s="557"/>
      <c r="AR75" s="557"/>
      <c r="AS75" s="557"/>
      <c r="AT75" s="557"/>
      <c r="AU75" s="557"/>
      <c r="AV75" s="557"/>
      <c r="AW75" s="557"/>
      <c r="AX75" s="557"/>
      <c r="AY75" s="557"/>
      <c r="AZ75" s="557"/>
      <c r="BA75" s="557"/>
      <c r="BB75" s="557"/>
      <c r="BC75" s="557"/>
      <c r="BD75" s="555"/>
      <c r="BE75" s="592"/>
      <c r="BF75" s="592"/>
      <c r="BG75" s="592"/>
      <c r="BH75" s="592"/>
      <c r="BI75" s="592"/>
      <c r="BJ75" s="592"/>
      <c r="BK75" s="592"/>
      <c r="BL75" s="592"/>
      <c r="BM75" s="592"/>
      <c r="BN75" s="592"/>
      <c r="BO75" s="592"/>
      <c r="BP75" s="592"/>
      <c r="BQ75" s="592"/>
      <c r="BR75" s="592"/>
      <c r="BS75" s="592"/>
      <c r="BT75" s="592"/>
    </row>
    <row r="76" spans="1:72" s="591" customFormat="1" ht="15">
      <c r="A76" s="539"/>
      <c r="B76" s="539"/>
      <c r="C76" s="539"/>
      <c r="D76" s="539"/>
      <c r="E76" s="539"/>
      <c r="F76" s="539"/>
      <c r="G76" s="539"/>
      <c r="H76" s="539"/>
      <c r="I76" s="539"/>
      <c r="J76" s="539"/>
      <c r="K76" s="539"/>
      <c r="L76" s="539"/>
      <c r="M76" s="539"/>
      <c r="N76" s="539"/>
      <c r="O76" s="539"/>
      <c r="P76" s="539"/>
      <c r="Q76" s="539"/>
      <c r="R76" s="539"/>
      <c r="S76" s="557"/>
      <c r="T76" s="557"/>
      <c r="U76" s="557"/>
      <c r="V76" s="557"/>
      <c r="W76" s="539"/>
      <c r="X76" s="539"/>
      <c r="Y76" s="557"/>
      <c r="Z76" s="557"/>
      <c r="AA76" s="539"/>
      <c r="AB76" s="539"/>
      <c r="AC76" s="539"/>
      <c r="AD76" s="557"/>
      <c r="AE76" s="557"/>
      <c r="AF76" s="557"/>
      <c r="AG76" s="557"/>
      <c r="AH76" s="557"/>
      <c r="AI76" s="557"/>
      <c r="AJ76" s="557"/>
      <c r="AK76" s="557"/>
      <c r="AL76" s="557"/>
      <c r="AM76" s="557"/>
      <c r="AN76" s="557"/>
      <c r="AO76" s="557"/>
      <c r="AP76" s="557"/>
      <c r="AQ76" s="557"/>
      <c r="AR76" s="557"/>
      <c r="AS76" s="557"/>
      <c r="AT76" s="557"/>
      <c r="AU76" s="557"/>
      <c r="AV76" s="557"/>
      <c r="AW76" s="557"/>
      <c r="AX76" s="557"/>
      <c r="AY76" s="557"/>
      <c r="AZ76" s="557"/>
      <c r="BA76" s="557"/>
      <c r="BB76" s="557"/>
      <c r="BC76" s="557"/>
      <c r="BD76" s="555"/>
      <c r="BE76" s="592"/>
      <c r="BF76" s="592"/>
      <c r="BG76" s="592"/>
      <c r="BH76" s="592"/>
      <c r="BI76" s="592"/>
      <c r="BJ76" s="592"/>
      <c r="BK76" s="592"/>
      <c r="BL76" s="592"/>
      <c r="BM76" s="592"/>
      <c r="BN76" s="592"/>
      <c r="BO76" s="592"/>
      <c r="BP76" s="592"/>
      <c r="BQ76" s="592"/>
      <c r="BR76" s="592"/>
      <c r="BS76" s="592"/>
      <c r="BT76" s="592"/>
    </row>
    <row r="77" spans="1:72" s="591" customFormat="1" ht="15">
      <c r="A77" s="539"/>
      <c r="B77" s="539"/>
      <c r="C77" s="539"/>
      <c r="D77" s="539"/>
      <c r="E77" s="539"/>
      <c r="F77" s="539"/>
      <c r="G77" s="539"/>
      <c r="H77" s="539"/>
      <c r="I77" s="539"/>
      <c r="J77" s="539"/>
      <c r="K77" s="539"/>
      <c r="L77" s="539"/>
      <c r="M77" s="539"/>
      <c r="N77" s="539"/>
      <c r="O77" s="539"/>
      <c r="P77" s="539"/>
      <c r="Q77" s="539"/>
      <c r="R77" s="539"/>
      <c r="S77" s="557"/>
      <c r="T77" s="557"/>
      <c r="U77" s="557"/>
      <c r="V77" s="557"/>
      <c r="W77" s="539"/>
      <c r="X77" s="539"/>
      <c r="Y77" s="557"/>
      <c r="Z77" s="557"/>
      <c r="AA77" s="539"/>
      <c r="AB77" s="539"/>
      <c r="AC77" s="539"/>
      <c r="AD77" s="557"/>
      <c r="AE77" s="557"/>
      <c r="AF77" s="557"/>
      <c r="AG77" s="557"/>
      <c r="AH77" s="557"/>
      <c r="AI77" s="557"/>
      <c r="AJ77" s="557"/>
      <c r="AK77" s="557"/>
      <c r="AL77" s="557"/>
      <c r="AM77" s="557"/>
      <c r="AN77" s="557"/>
      <c r="AO77" s="557"/>
      <c r="AP77" s="557"/>
      <c r="AQ77" s="557"/>
      <c r="AR77" s="557"/>
      <c r="AS77" s="557"/>
      <c r="AT77" s="557"/>
      <c r="AU77" s="557"/>
      <c r="AV77" s="557"/>
      <c r="AW77" s="557"/>
      <c r="AX77" s="557"/>
      <c r="AY77" s="557"/>
      <c r="AZ77" s="557"/>
      <c r="BA77" s="557"/>
      <c r="BB77" s="557"/>
      <c r="BC77" s="557"/>
      <c r="BD77" s="555"/>
      <c r="BE77" s="592"/>
      <c r="BF77" s="592"/>
      <c r="BG77" s="592"/>
      <c r="BH77" s="592"/>
      <c r="BI77" s="592"/>
      <c r="BJ77" s="592"/>
      <c r="BK77" s="592"/>
      <c r="BL77" s="592"/>
      <c r="BM77" s="592"/>
      <c r="BN77" s="592"/>
      <c r="BO77" s="592"/>
      <c r="BP77" s="592"/>
      <c r="BQ77" s="592"/>
      <c r="BR77" s="592"/>
      <c r="BS77" s="592"/>
      <c r="BT77" s="592"/>
    </row>
    <row r="78" spans="1:72" s="591" customFormat="1" ht="15">
      <c r="A78" s="539"/>
      <c r="B78" s="539"/>
      <c r="C78" s="539"/>
      <c r="D78" s="539"/>
      <c r="E78" s="539"/>
      <c r="F78" s="539"/>
      <c r="G78" s="539"/>
      <c r="H78" s="539"/>
      <c r="I78" s="539"/>
      <c r="J78" s="539"/>
      <c r="K78" s="539"/>
      <c r="L78" s="539"/>
      <c r="M78" s="539"/>
      <c r="N78" s="539"/>
      <c r="O78" s="539"/>
      <c r="P78" s="539"/>
      <c r="Q78" s="539"/>
      <c r="R78" s="539"/>
      <c r="S78" s="557"/>
      <c r="T78" s="557"/>
      <c r="U78" s="557"/>
      <c r="V78" s="557"/>
      <c r="W78" s="539"/>
      <c r="X78" s="539"/>
      <c r="Y78" s="557"/>
      <c r="Z78" s="557"/>
      <c r="AA78" s="539"/>
      <c r="AB78" s="539"/>
      <c r="AC78" s="539"/>
      <c r="AD78" s="557"/>
      <c r="AE78" s="557"/>
      <c r="AF78" s="557"/>
      <c r="AG78" s="557"/>
      <c r="AH78" s="557"/>
      <c r="AI78" s="557"/>
      <c r="AJ78" s="557"/>
      <c r="AK78" s="557"/>
      <c r="AL78" s="557"/>
      <c r="AM78" s="557"/>
      <c r="AN78" s="557"/>
      <c r="AO78" s="557"/>
      <c r="AP78" s="557"/>
      <c r="AQ78" s="557"/>
      <c r="AR78" s="557"/>
      <c r="AS78" s="557"/>
      <c r="AT78" s="557"/>
      <c r="AU78" s="557"/>
      <c r="AV78" s="557"/>
      <c r="AW78" s="557"/>
      <c r="AX78" s="557"/>
      <c r="AY78" s="557"/>
      <c r="AZ78" s="557"/>
      <c r="BA78" s="557"/>
      <c r="BB78" s="557"/>
      <c r="BC78" s="557"/>
      <c r="BD78" s="555"/>
      <c r="BE78" s="592"/>
      <c r="BF78" s="592"/>
      <c r="BG78" s="592"/>
      <c r="BH78" s="592"/>
      <c r="BI78" s="592"/>
      <c r="BJ78" s="592"/>
      <c r="BK78" s="592"/>
      <c r="BL78" s="592"/>
      <c r="BM78" s="592"/>
      <c r="BN78" s="592"/>
      <c r="BO78" s="592"/>
      <c r="BP78" s="592"/>
      <c r="BQ78" s="592"/>
      <c r="BR78" s="592"/>
      <c r="BS78" s="592"/>
      <c r="BT78" s="592"/>
    </row>
    <row r="79" spans="1:72" s="591" customFormat="1" ht="15">
      <c r="A79" s="539"/>
      <c r="B79" s="539"/>
      <c r="C79" s="539"/>
      <c r="D79" s="539"/>
      <c r="E79" s="539"/>
      <c r="F79" s="539"/>
      <c r="G79" s="539"/>
      <c r="H79" s="539"/>
      <c r="I79" s="539"/>
      <c r="J79" s="539"/>
      <c r="K79" s="539"/>
      <c r="L79" s="539"/>
      <c r="M79" s="539"/>
      <c r="N79" s="539"/>
      <c r="O79" s="539"/>
      <c r="P79" s="539"/>
      <c r="Q79" s="539"/>
      <c r="R79" s="539"/>
      <c r="S79" s="557"/>
      <c r="T79" s="557"/>
      <c r="U79" s="557"/>
      <c r="V79" s="557"/>
      <c r="W79" s="539"/>
      <c r="X79" s="539"/>
      <c r="Y79" s="557"/>
      <c r="Z79" s="557"/>
      <c r="AA79" s="539"/>
      <c r="AB79" s="539"/>
      <c r="AC79" s="539"/>
      <c r="AD79" s="557"/>
      <c r="AE79" s="557"/>
      <c r="AF79" s="557"/>
      <c r="AG79" s="557"/>
      <c r="AH79" s="557"/>
      <c r="AI79" s="557"/>
      <c r="AJ79" s="557"/>
      <c r="AK79" s="557"/>
      <c r="AL79" s="557"/>
      <c r="AM79" s="557"/>
      <c r="AN79" s="557"/>
      <c r="AO79" s="557"/>
      <c r="AP79" s="557"/>
      <c r="AQ79" s="557"/>
      <c r="AR79" s="557"/>
      <c r="AS79" s="557"/>
      <c r="AT79" s="557"/>
      <c r="AU79" s="557"/>
      <c r="AV79" s="557"/>
      <c r="AW79" s="557"/>
      <c r="AX79" s="557"/>
      <c r="AY79" s="557"/>
      <c r="AZ79" s="557"/>
      <c r="BA79" s="557"/>
      <c r="BB79" s="557"/>
      <c r="BC79" s="557"/>
      <c r="BD79" s="555"/>
      <c r="BE79" s="592"/>
      <c r="BF79" s="592"/>
      <c r="BG79" s="592"/>
      <c r="BH79" s="592"/>
      <c r="BI79" s="592"/>
      <c r="BJ79" s="592"/>
      <c r="BK79" s="592"/>
      <c r="BL79" s="592"/>
      <c r="BM79" s="592"/>
      <c r="BN79" s="592"/>
      <c r="BO79" s="592"/>
      <c r="BP79" s="592"/>
      <c r="BQ79" s="592"/>
      <c r="BR79" s="592"/>
      <c r="BS79" s="592"/>
      <c r="BT79" s="592"/>
    </row>
    <row r="80" spans="1:72" s="591" customFormat="1" ht="15">
      <c r="A80" s="539"/>
      <c r="B80" s="539"/>
      <c r="C80" s="539"/>
      <c r="D80" s="539"/>
      <c r="E80" s="539"/>
      <c r="F80" s="539"/>
      <c r="G80" s="539"/>
      <c r="H80" s="539"/>
      <c r="I80" s="539"/>
      <c r="J80" s="539"/>
      <c r="K80" s="539"/>
      <c r="L80" s="539"/>
      <c r="M80" s="539"/>
      <c r="N80" s="539"/>
      <c r="O80" s="539"/>
      <c r="P80" s="539"/>
      <c r="Q80" s="539"/>
      <c r="R80" s="539"/>
      <c r="S80" s="557"/>
      <c r="T80" s="557"/>
      <c r="U80" s="557"/>
      <c r="V80" s="557"/>
      <c r="W80" s="539"/>
      <c r="X80" s="539"/>
      <c r="Y80" s="557"/>
      <c r="Z80" s="557"/>
      <c r="AA80" s="539"/>
      <c r="AB80" s="539"/>
      <c r="AC80" s="539"/>
      <c r="AD80" s="557"/>
      <c r="AE80" s="557"/>
      <c r="AF80" s="557"/>
      <c r="AG80" s="557"/>
      <c r="AH80" s="557"/>
      <c r="AI80" s="557"/>
      <c r="AJ80" s="557"/>
      <c r="AK80" s="557"/>
      <c r="AL80" s="557"/>
      <c r="AM80" s="557"/>
      <c r="AN80" s="557"/>
      <c r="AO80" s="557"/>
      <c r="AP80" s="557"/>
      <c r="AQ80" s="557"/>
      <c r="AR80" s="557"/>
      <c r="AS80" s="557"/>
      <c r="AT80" s="557"/>
      <c r="AU80" s="557"/>
      <c r="AV80" s="557"/>
      <c r="AW80" s="557"/>
      <c r="AX80" s="557"/>
      <c r="AY80" s="557"/>
      <c r="AZ80" s="557"/>
      <c r="BA80" s="557"/>
      <c r="BB80" s="557"/>
      <c r="BC80" s="557"/>
      <c r="BD80" s="555"/>
      <c r="BE80" s="592"/>
      <c r="BF80" s="592"/>
      <c r="BG80" s="592"/>
      <c r="BH80" s="592"/>
      <c r="BI80" s="592"/>
      <c r="BJ80" s="592"/>
      <c r="BK80" s="592"/>
      <c r="BL80" s="592"/>
      <c r="BM80" s="592"/>
      <c r="BN80" s="592"/>
      <c r="BO80" s="592"/>
      <c r="BP80" s="592"/>
      <c r="BQ80" s="592"/>
      <c r="BR80" s="592"/>
      <c r="BS80" s="592"/>
      <c r="BT80" s="592"/>
    </row>
    <row r="81" spans="1:72" s="591" customFormat="1" ht="15">
      <c r="A81" s="539"/>
      <c r="B81" s="539"/>
      <c r="C81" s="539"/>
      <c r="D81" s="539"/>
      <c r="E81" s="539"/>
      <c r="F81" s="539"/>
      <c r="G81" s="539"/>
      <c r="H81" s="539"/>
      <c r="I81" s="539"/>
      <c r="J81" s="539"/>
      <c r="K81" s="539"/>
      <c r="L81" s="539"/>
      <c r="M81" s="539"/>
      <c r="N81" s="539"/>
      <c r="O81" s="539"/>
      <c r="P81" s="539"/>
      <c r="Q81" s="539"/>
      <c r="R81" s="539"/>
      <c r="S81" s="557"/>
      <c r="T81" s="557"/>
      <c r="U81" s="557"/>
      <c r="V81" s="557"/>
      <c r="W81" s="539"/>
      <c r="X81" s="539"/>
      <c r="Y81" s="557"/>
      <c r="Z81" s="557"/>
      <c r="AA81" s="539"/>
      <c r="AB81" s="539"/>
      <c r="AC81" s="539"/>
      <c r="AD81" s="557"/>
      <c r="AE81" s="557"/>
      <c r="AF81" s="557"/>
      <c r="AG81" s="557"/>
      <c r="AH81" s="557"/>
      <c r="AI81" s="557"/>
      <c r="AJ81" s="557"/>
      <c r="AK81" s="557"/>
      <c r="AL81" s="557"/>
      <c r="AM81" s="557"/>
      <c r="AN81" s="557"/>
      <c r="AO81" s="557"/>
      <c r="AP81" s="557"/>
      <c r="AQ81" s="557"/>
      <c r="AR81" s="557"/>
      <c r="AS81" s="557"/>
      <c r="AT81" s="557"/>
      <c r="AU81" s="557"/>
      <c r="AV81" s="557"/>
      <c r="AW81" s="557"/>
      <c r="AX81" s="557"/>
      <c r="AY81" s="557"/>
      <c r="AZ81" s="557"/>
      <c r="BA81" s="557"/>
      <c r="BB81" s="557"/>
      <c r="BC81" s="557"/>
      <c r="BD81" s="555"/>
      <c r="BE81" s="592"/>
      <c r="BF81" s="592"/>
      <c r="BG81" s="592"/>
      <c r="BH81" s="592"/>
      <c r="BI81" s="592"/>
      <c r="BJ81" s="592"/>
      <c r="BK81" s="592"/>
      <c r="BL81" s="592"/>
      <c r="BM81" s="592"/>
      <c r="BN81" s="592"/>
      <c r="BO81" s="592"/>
      <c r="BP81" s="592"/>
      <c r="BQ81" s="592"/>
      <c r="BR81" s="592"/>
      <c r="BS81" s="592"/>
      <c r="BT81" s="592"/>
    </row>
    <row r="82" spans="1:72" s="591" customFormat="1" ht="15">
      <c r="A82" s="539"/>
      <c r="B82" s="539"/>
      <c r="C82" s="539"/>
      <c r="D82" s="539"/>
      <c r="E82" s="539"/>
      <c r="F82" s="539"/>
      <c r="G82" s="539"/>
      <c r="H82" s="539"/>
      <c r="I82" s="539"/>
      <c r="J82" s="539"/>
      <c r="K82" s="539"/>
      <c r="L82" s="539"/>
      <c r="M82" s="539"/>
      <c r="N82" s="539"/>
      <c r="O82" s="539"/>
      <c r="P82" s="539"/>
      <c r="Q82" s="539"/>
      <c r="R82" s="539"/>
      <c r="S82" s="557"/>
      <c r="T82" s="557"/>
      <c r="U82" s="557"/>
      <c r="V82" s="557"/>
      <c r="W82" s="539"/>
      <c r="X82" s="539"/>
      <c r="Y82" s="557"/>
      <c r="Z82" s="557"/>
      <c r="AA82" s="539"/>
      <c r="AB82" s="539"/>
      <c r="AC82" s="539"/>
      <c r="AD82" s="557"/>
      <c r="AE82" s="557"/>
      <c r="AF82" s="557"/>
      <c r="AG82" s="557"/>
      <c r="AH82" s="557"/>
      <c r="AI82" s="557"/>
      <c r="AJ82" s="557"/>
      <c r="AK82" s="557"/>
      <c r="AL82" s="557"/>
      <c r="AM82" s="557"/>
      <c r="AN82" s="557"/>
      <c r="AO82" s="557"/>
      <c r="AP82" s="557"/>
      <c r="AQ82" s="557"/>
      <c r="AR82" s="557"/>
      <c r="AS82" s="557"/>
      <c r="AT82" s="557"/>
      <c r="AU82" s="557"/>
      <c r="AV82" s="557"/>
      <c r="AW82" s="557"/>
      <c r="AX82" s="557"/>
      <c r="AY82" s="557"/>
      <c r="AZ82" s="557"/>
      <c r="BA82" s="557"/>
      <c r="BB82" s="557"/>
      <c r="BC82" s="557"/>
      <c r="BD82" s="555"/>
      <c r="BE82" s="592"/>
      <c r="BF82" s="592"/>
      <c r="BG82" s="592"/>
      <c r="BH82" s="592"/>
      <c r="BI82" s="592"/>
      <c r="BJ82" s="592"/>
      <c r="BK82" s="592"/>
      <c r="BL82" s="592"/>
      <c r="BM82" s="592"/>
      <c r="BN82" s="592"/>
      <c r="BO82" s="592"/>
      <c r="BP82" s="592"/>
      <c r="BQ82" s="592"/>
      <c r="BR82" s="592"/>
      <c r="BS82" s="592"/>
      <c r="BT82" s="592"/>
    </row>
    <row r="83" spans="1:72" s="591" customFormat="1" ht="15">
      <c r="A83" s="539"/>
      <c r="B83" s="539"/>
      <c r="C83" s="539"/>
      <c r="D83" s="539"/>
      <c r="E83" s="539"/>
      <c r="F83" s="539"/>
      <c r="G83" s="539"/>
      <c r="H83" s="539"/>
      <c r="I83" s="539"/>
      <c r="J83" s="539"/>
      <c r="K83" s="539"/>
      <c r="L83" s="539"/>
      <c r="M83" s="539"/>
      <c r="N83" s="539"/>
      <c r="O83" s="539"/>
      <c r="P83" s="539"/>
      <c r="Q83" s="539"/>
      <c r="R83" s="539"/>
      <c r="S83" s="557"/>
      <c r="T83" s="557"/>
      <c r="U83" s="557"/>
      <c r="V83" s="557"/>
      <c r="W83" s="539"/>
      <c r="X83" s="539"/>
      <c r="Y83" s="557"/>
      <c r="Z83" s="557"/>
      <c r="AA83" s="539"/>
      <c r="AB83" s="539"/>
      <c r="AC83" s="539"/>
      <c r="AD83" s="557"/>
      <c r="AE83" s="557"/>
      <c r="AF83" s="557"/>
      <c r="AG83" s="557"/>
      <c r="AH83" s="557"/>
      <c r="AI83" s="557"/>
      <c r="AJ83" s="557"/>
      <c r="AK83" s="557"/>
      <c r="AL83" s="557"/>
      <c r="AM83" s="557"/>
      <c r="AN83" s="557"/>
      <c r="AO83" s="557"/>
      <c r="AP83" s="557"/>
      <c r="AQ83" s="557"/>
      <c r="AR83" s="557"/>
      <c r="AS83" s="557"/>
      <c r="AT83" s="557"/>
      <c r="AU83" s="557"/>
      <c r="AV83" s="557"/>
      <c r="AW83" s="557"/>
      <c r="AX83" s="557"/>
      <c r="AY83" s="557"/>
      <c r="AZ83" s="557"/>
      <c r="BA83" s="557"/>
      <c r="BB83" s="557"/>
      <c r="BC83" s="557"/>
      <c r="BD83" s="555"/>
      <c r="BE83" s="592"/>
      <c r="BF83" s="592"/>
      <c r="BG83" s="592"/>
      <c r="BH83" s="592"/>
      <c r="BI83" s="592"/>
      <c r="BJ83" s="592"/>
      <c r="BK83" s="592"/>
      <c r="BL83" s="592"/>
      <c r="BM83" s="592"/>
      <c r="BN83" s="592"/>
      <c r="BO83" s="592"/>
      <c r="BP83" s="592"/>
      <c r="BQ83" s="592"/>
      <c r="BR83" s="592"/>
      <c r="BS83" s="592"/>
      <c r="BT83" s="592"/>
    </row>
    <row r="84" spans="1:72" s="591" customFormat="1" ht="15">
      <c r="A84" s="539"/>
      <c r="B84" s="539"/>
      <c r="C84" s="539"/>
      <c r="D84" s="539"/>
      <c r="E84" s="539"/>
      <c r="F84" s="539"/>
      <c r="G84" s="539"/>
      <c r="H84" s="539"/>
      <c r="I84" s="539"/>
      <c r="J84" s="539"/>
      <c r="K84" s="539"/>
      <c r="L84" s="539"/>
      <c r="M84" s="539"/>
      <c r="N84" s="539"/>
      <c r="O84" s="539"/>
      <c r="P84" s="539"/>
      <c r="Q84" s="539"/>
      <c r="R84" s="539"/>
      <c r="S84" s="557"/>
      <c r="T84" s="557"/>
      <c r="U84" s="557"/>
      <c r="V84" s="557"/>
      <c r="W84" s="539"/>
      <c r="X84" s="539"/>
      <c r="Y84" s="557"/>
      <c r="Z84" s="557"/>
      <c r="AA84" s="539"/>
      <c r="AB84" s="539"/>
      <c r="AC84" s="539"/>
      <c r="AD84" s="557"/>
      <c r="AE84" s="557"/>
      <c r="AF84" s="557"/>
      <c r="AG84" s="557"/>
      <c r="AH84" s="557"/>
      <c r="AI84" s="557"/>
      <c r="AJ84" s="557"/>
      <c r="AK84" s="557"/>
      <c r="AL84" s="557"/>
      <c r="AM84" s="557"/>
      <c r="AN84" s="557"/>
      <c r="AO84" s="557"/>
      <c r="AP84" s="557"/>
      <c r="AQ84" s="557"/>
      <c r="AR84" s="557"/>
      <c r="AS84" s="557"/>
      <c r="AT84" s="557"/>
      <c r="AU84" s="557"/>
      <c r="AV84" s="557"/>
      <c r="AW84" s="557"/>
      <c r="AX84" s="557"/>
      <c r="AY84" s="557"/>
      <c r="AZ84" s="557"/>
      <c r="BA84" s="557"/>
      <c r="BB84" s="557"/>
      <c r="BC84" s="557"/>
      <c r="BD84" s="555"/>
      <c r="BE84" s="592"/>
      <c r="BF84" s="592"/>
      <c r="BG84" s="592"/>
      <c r="BH84" s="592"/>
      <c r="BI84" s="592"/>
      <c r="BJ84" s="592"/>
      <c r="BK84" s="592"/>
      <c r="BL84" s="592"/>
      <c r="BM84" s="592"/>
      <c r="BN84" s="592"/>
      <c r="BO84" s="592"/>
      <c r="BP84" s="592"/>
      <c r="BQ84" s="592"/>
      <c r="BR84" s="592"/>
      <c r="BS84" s="592"/>
      <c r="BT84" s="592"/>
    </row>
    <row r="85" spans="1:72" s="591" customFormat="1" ht="15">
      <c r="A85" s="539"/>
      <c r="B85" s="539"/>
      <c r="C85" s="539"/>
      <c r="D85" s="539"/>
      <c r="E85" s="539"/>
      <c r="F85" s="539"/>
      <c r="G85" s="539"/>
      <c r="H85" s="539"/>
      <c r="I85" s="539"/>
      <c r="J85" s="539"/>
      <c r="K85" s="539"/>
      <c r="L85" s="539"/>
      <c r="M85" s="539"/>
      <c r="N85" s="539"/>
      <c r="O85" s="539"/>
      <c r="P85" s="539"/>
      <c r="Q85" s="539"/>
      <c r="R85" s="539"/>
      <c r="S85" s="557"/>
      <c r="T85" s="557"/>
      <c r="U85" s="557"/>
      <c r="V85" s="557"/>
      <c r="W85" s="539"/>
      <c r="X85" s="539"/>
      <c r="Y85" s="557"/>
      <c r="Z85" s="557"/>
      <c r="AA85" s="539"/>
      <c r="AB85" s="539"/>
      <c r="AC85" s="539"/>
      <c r="AD85" s="557"/>
      <c r="AE85" s="557"/>
      <c r="AF85" s="557"/>
      <c r="AG85" s="557"/>
      <c r="AH85" s="557"/>
      <c r="AI85" s="557"/>
      <c r="AJ85" s="557"/>
      <c r="AK85" s="557"/>
      <c r="AL85" s="557"/>
      <c r="AM85" s="557"/>
      <c r="AN85" s="557"/>
      <c r="AO85" s="557"/>
      <c r="AP85" s="557"/>
      <c r="AQ85" s="557"/>
      <c r="AR85" s="557"/>
      <c r="AS85" s="557"/>
      <c r="AT85" s="557"/>
      <c r="AU85" s="557"/>
      <c r="AV85" s="557"/>
      <c r="AW85" s="557"/>
      <c r="AX85" s="557"/>
      <c r="AY85" s="557"/>
      <c r="AZ85" s="557"/>
      <c r="BA85" s="557"/>
      <c r="BB85" s="557"/>
      <c r="BC85" s="557"/>
      <c r="BD85" s="555"/>
      <c r="BE85" s="592"/>
      <c r="BF85" s="592"/>
      <c r="BG85" s="592"/>
      <c r="BH85" s="592"/>
      <c r="BI85" s="592"/>
      <c r="BJ85" s="592"/>
      <c r="BK85" s="592"/>
      <c r="BL85" s="592"/>
      <c r="BM85" s="592"/>
      <c r="BN85" s="592"/>
      <c r="BO85" s="592"/>
      <c r="BP85" s="592"/>
      <c r="BQ85" s="592"/>
      <c r="BR85" s="592"/>
      <c r="BS85" s="592"/>
      <c r="BT85" s="592"/>
    </row>
    <row r="86" spans="1:72" s="591" customFormat="1" ht="15">
      <c r="A86" s="539"/>
      <c r="B86" s="539"/>
      <c r="C86" s="539"/>
      <c r="D86" s="539"/>
      <c r="E86" s="539"/>
      <c r="F86" s="539"/>
      <c r="G86" s="539"/>
      <c r="H86" s="539"/>
      <c r="I86" s="539"/>
      <c r="J86" s="539"/>
      <c r="K86" s="539"/>
      <c r="L86" s="539"/>
      <c r="M86" s="539"/>
      <c r="N86" s="539"/>
      <c r="O86" s="539"/>
      <c r="P86" s="539"/>
      <c r="Q86" s="539"/>
      <c r="R86" s="539"/>
      <c r="S86" s="557"/>
      <c r="T86" s="557"/>
      <c r="U86" s="557"/>
      <c r="V86" s="557"/>
      <c r="W86" s="539"/>
      <c r="X86" s="539"/>
      <c r="Y86" s="557"/>
      <c r="Z86" s="557"/>
      <c r="AA86" s="539"/>
      <c r="AB86" s="539"/>
      <c r="AC86" s="539"/>
      <c r="AD86" s="557"/>
      <c r="AE86" s="557"/>
      <c r="AF86" s="557"/>
      <c r="AG86" s="557"/>
      <c r="AH86" s="557"/>
      <c r="AI86" s="557"/>
      <c r="AJ86" s="557"/>
      <c r="AK86" s="557"/>
      <c r="AL86" s="557"/>
      <c r="AM86" s="557"/>
      <c r="AN86" s="557"/>
      <c r="AO86" s="557"/>
      <c r="AP86" s="557"/>
      <c r="AQ86" s="557"/>
      <c r="AR86" s="557"/>
      <c r="AS86" s="557"/>
      <c r="AT86" s="557"/>
      <c r="AU86" s="557"/>
      <c r="AV86" s="557"/>
      <c r="AW86" s="557"/>
      <c r="AX86" s="557"/>
      <c r="AY86" s="557"/>
      <c r="AZ86" s="557"/>
      <c r="BA86" s="557"/>
      <c r="BB86" s="557"/>
      <c r="BC86" s="557"/>
      <c r="BD86" s="555"/>
      <c r="BE86" s="592"/>
      <c r="BF86" s="592"/>
      <c r="BG86" s="592"/>
      <c r="BH86" s="592"/>
      <c r="BI86" s="592"/>
      <c r="BJ86" s="592"/>
      <c r="BK86" s="592"/>
      <c r="BL86" s="592"/>
      <c r="BM86" s="592"/>
      <c r="BN86" s="592"/>
      <c r="BO86" s="592"/>
      <c r="BP86" s="592"/>
      <c r="BQ86" s="592"/>
      <c r="BR86" s="592"/>
      <c r="BS86" s="592"/>
      <c r="BT86" s="592"/>
    </row>
    <row r="87" spans="1:72" s="591" customFormat="1" ht="15">
      <c r="A87" s="539"/>
      <c r="B87" s="539"/>
      <c r="C87" s="539"/>
      <c r="D87" s="539"/>
      <c r="E87" s="539"/>
      <c r="F87" s="539"/>
      <c r="G87" s="539"/>
      <c r="H87" s="539"/>
      <c r="I87" s="539"/>
      <c r="J87" s="539"/>
      <c r="K87" s="539"/>
      <c r="L87" s="539"/>
      <c r="M87" s="539"/>
      <c r="N87" s="539"/>
      <c r="O87" s="539"/>
      <c r="P87" s="539"/>
      <c r="Q87" s="539"/>
      <c r="R87" s="539"/>
      <c r="S87" s="557"/>
      <c r="T87" s="557"/>
      <c r="U87" s="557"/>
      <c r="V87" s="557"/>
      <c r="W87" s="539"/>
      <c r="X87" s="539"/>
      <c r="Y87" s="557"/>
      <c r="Z87" s="557"/>
      <c r="AA87" s="539"/>
      <c r="AB87" s="539"/>
      <c r="AC87" s="539"/>
      <c r="AD87" s="557"/>
      <c r="AE87" s="557"/>
      <c r="AF87" s="557"/>
      <c r="AG87" s="557"/>
      <c r="AH87" s="557"/>
      <c r="AI87" s="557"/>
      <c r="AJ87" s="557"/>
      <c r="AK87" s="557"/>
      <c r="AL87" s="557"/>
      <c r="AM87" s="557"/>
      <c r="AN87" s="557"/>
      <c r="AO87" s="557"/>
      <c r="AP87" s="557"/>
      <c r="AQ87" s="557"/>
      <c r="AR87" s="557"/>
      <c r="AS87" s="557"/>
      <c r="AT87" s="557"/>
      <c r="AU87" s="557"/>
      <c r="AV87" s="557"/>
      <c r="AW87" s="557"/>
      <c r="AX87" s="557"/>
      <c r="AY87" s="557"/>
      <c r="AZ87" s="557"/>
      <c r="BA87" s="557"/>
      <c r="BB87" s="557"/>
      <c r="BC87" s="557"/>
      <c r="BD87" s="555"/>
      <c r="BE87" s="592"/>
      <c r="BF87" s="592"/>
      <c r="BG87" s="592"/>
      <c r="BH87" s="592"/>
      <c r="BI87" s="592"/>
      <c r="BJ87" s="592"/>
      <c r="BK87" s="592"/>
      <c r="BL87" s="592"/>
      <c r="BM87" s="592"/>
      <c r="BN87" s="592"/>
      <c r="BO87" s="592"/>
      <c r="BP87" s="592"/>
      <c r="BQ87" s="592"/>
      <c r="BR87" s="592"/>
      <c r="BS87" s="592"/>
      <c r="BT87" s="592"/>
    </row>
    <row r="88" spans="1:72" s="591" customFormat="1" ht="15">
      <c r="A88" s="539"/>
      <c r="B88" s="539"/>
      <c r="C88" s="539"/>
      <c r="D88" s="539"/>
      <c r="E88" s="539"/>
      <c r="F88" s="539"/>
      <c r="G88" s="539"/>
      <c r="H88" s="539"/>
      <c r="I88" s="539"/>
      <c r="J88" s="539"/>
      <c r="K88" s="539"/>
      <c r="L88" s="539"/>
      <c r="M88" s="539"/>
      <c r="N88" s="539"/>
      <c r="O88" s="539"/>
      <c r="P88" s="539"/>
      <c r="Q88" s="539"/>
      <c r="R88" s="539"/>
      <c r="S88" s="557"/>
      <c r="T88" s="557"/>
      <c r="U88" s="557"/>
      <c r="V88" s="557"/>
      <c r="W88" s="539"/>
      <c r="X88" s="539"/>
      <c r="Y88" s="557"/>
      <c r="Z88" s="557"/>
      <c r="AA88" s="539"/>
      <c r="AB88" s="539"/>
      <c r="AC88" s="539"/>
      <c r="AD88" s="557"/>
      <c r="AE88" s="557"/>
      <c r="AF88" s="557"/>
      <c r="AG88" s="557"/>
      <c r="AH88" s="557"/>
      <c r="AI88" s="557"/>
      <c r="AJ88" s="557"/>
      <c r="AK88" s="557"/>
      <c r="AL88" s="557"/>
      <c r="AM88" s="557"/>
      <c r="AN88" s="557"/>
      <c r="AO88" s="557"/>
      <c r="AP88" s="557"/>
      <c r="AQ88" s="557"/>
      <c r="AR88" s="557"/>
      <c r="AS88" s="557"/>
      <c r="AT88" s="557"/>
      <c r="AU88" s="557"/>
      <c r="AV88" s="557"/>
      <c r="AW88" s="557"/>
      <c r="AX88" s="557"/>
      <c r="AY88" s="557"/>
      <c r="AZ88" s="557"/>
      <c r="BA88" s="557"/>
      <c r="BB88" s="557"/>
      <c r="BC88" s="557"/>
      <c r="BD88" s="555"/>
      <c r="BE88" s="592"/>
      <c r="BF88" s="592"/>
      <c r="BG88" s="592"/>
      <c r="BH88" s="592"/>
      <c r="BI88" s="592"/>
      <c r="BJ88" s="592"/>
      <c r="BK88" s="592"/>
      <c r="BL88" s="592"/>
      <c r="BM88" s="592"/>
      <c r="BN88" s="592"/>
      <c r="BO88" s="592"/>
      <c r="BP88" s="592"/>
      <c r="BQ88" s="592"/>
      <c r="BR88" s="592"/>
      <c r="BS88" s="592"/>
      <c r="BT88" s="592"/>
    </row>
    <row r="89" spans="1:72" s="591" customFormat="1" ht="15">
      <c r="A89" s="539"/>
      <c r="B89" s="539"/>
      <c r="C89" s="539"/>
      <c r="D89" s="539"/>
      <c r="E89" s="539"/>
      <c r="F89" s="539"/>
      <c r="G89" s="539"/>
      <c r="H89" s="539"/>
      <c r="I89" s="539"/>
      <c r="J89" s="539"/>
      <c r="K89" s="539"/>
      <c r="L89" s="539"/>
      <c r="M89" s="539"/>
      <c r="N89" s="539"/>
      <c r="O89" s="539"/>
      <c r="P89" s="539"/>
      <c r="Q89" s="539"/>
      <c r="R89" s="539"/>
      <c r="S89" s="557"/>
      <c r="T89" s="557"/>
      <c r="U89" s="557"/>
      <c r="V89" s="557"/>
      <c r="W89" s="539"/>
      <c r="X89" s="539"/>
      <c r="Y89" s="557"/>
      <c r="Z89" s="557"/>
      <c r="AA89" s="539"/>
      <c r="AB89" s="539"/>
      <c r="AC89" s="539"/>
      <c r="AD89" s="557"/>
      <c r="AE89" s="557"/>
      <c r="AF89" s="557"/>
      <c r="AG89" s="557"/>
      <c r="AH89" s="557"/>
      <c r="AI89" s="557"/>
      <c r="AJ89" s="557"/>
      <c r="AK89" s="557"/>
      <c r="AL89" s="557"/>
      <c r="AM89" s="557"/>
      <c r="AN89" s="557"/>
      <c r="AO89" s="557"/>
      <c r="AP89" s="557"/>
      <c r="AQ89" s="557"/>
      <c r="AR89" s="557"/>
      <c r="AS89" s="557"/>
      <c r="AT89" s="557"/>
      <c r="AU89" s="557"/>
      <c r="AV89" s="557"/>
      <c r="AW89" s="557"/>
      <c r="AX89" s="557"/>
      <c r="AY89" s="557"/>
      <c r="AZ89" s="557"/>
      <c r="BA89" s="557"/>
      <c r="BB89" s="557"/>
      <c r="BC89" s="557"/>
      <c r="BD89" s="555"/>
      <c r="BE89" s="592"/>
      <c r="BF89" s="592"/>
      <c r="BG89" s="592"/>
      <c r="BH89" s="592"/>
      <c r="BI89" s="592"/>
      <c r="BJ89" s="592"/>
      <c r="BK89" s="592"/>
      <c r="BL89" s="592"/>
      <c r="BM89" s="592"/>
      <c r="BN89" s="592"/>
      <c r="BO89" s="592"/>
      <c r="BP89" s="592"/>
      <c r="BQ89" s="592"/>
      <c r="BR89" s="592"/>
      <c r="BS89" s="592"/>
      <c r="BT89" s="592"/>
    </row>
    <row r="90" spans="1:72" s="591" customFormat="1" ht="15">
      <c r="A90" s="539"/>
      <c r="B90" s="539"/>
      <c r="C90" s="539"/>
      <c r="D90" s="539"/>
      <c r="E90" s="539"/>
      <c r="F90" s="539"/>
      <c r="G90" s="539"/>
      <c r="H90" s="539"/>
      <c r="I90" s="539"/>
      <c r="J90" s="539"/>
      <c r="K90" s="539"/>
      <c r="L90" s="539"/>
      <c r="M90" s="539"/>
      <c r="N90" s="539"/>
      <c r="O90" s="539"/>
      <c r="P90" s="539"/>
      <c r="Q90" s="539"/>
      <c r="R90" s="539"/>
      <c r="S90" s="557"/>
      <c r="T90" s="557"/>
      <c r="U90" s="557"/>
      <c r="V90" s="557"/>
      <c r="W90" s="539"/>
      <c r="X90" s="539"/>
      <c r="Y90" s="557"/>
      <c r="Z90" s="557"/>
      <c r="AA90" s="539"/>
      <c r="AB90" s="539"/>
      <c r="AC90" s="539"/>
      <c r="AD90" s="557"/>
      <c r="AE90" s="557"/>
      <c r="AF90" s="557"/>
      <c r="AG90" s="557"/>
      <c r="AH90" s="557"/>
      <c r="AI90" s="557"/>
      <c r="AJ90" s="557"/>
      <c r="AK90" s="557"/>
      <c r="AL90" s="557"/>
      <c r="AM90" s="557"/>
      <c r="AN90" s="557"/>
      <c r="AO90" s="557"/>
      <c r="AP90" s="557"/>
      <c r="AQ90" s="557"/>
      <c r="AR90" s="557"/>
      <c r="AS90" s="557"/>
      <c r="AT90" s="557"/>
      <c r="AU90" s="557"/>
      <c r="AV90" s="557"/>
      <c r="AW90" s="557"/>
      <c r="AX90" s="557"/>
      <c r="AY90" s="557"/>
      <c r="AZ90" s="557"/>
      <c r="BA90" s="557"/>
      <c r="BB90" s="557"/>
      <c r="BC90" s="557"/>
      <c r="BD90" s="555"/>
      <c r="BE90" s="592"/>
      <c r="BF90" s="592"/>
      <c r="BG90" s="592"/>
      <c r="BH90" s="592"/>
      <c r="BI90" s="592"/>
      <c r="BJ90" s="592"/>
      <c r="BK90" s="592"/>
      <c r="BL90" s="592"/>
      <c r="BM90" s="592"/>
      <c r="BN90" s="592"/>
      <c r="BO90" s="592"/>
      <c r="BP90" s="592"/>
      <c r="BQ90" s="592"/>
      <c r="BR90" s="592"/>
      <c r="BS90" s="592"/>
      <c r="BT90" s="592"/>
    </row>
    <row r="91" spans="1:72" s="591" customFormat="1" ht="15">
      <c r="A91" s="539"/>
      <c r="B91" s="539"/>
      <c r="C91" s="539"/>
      <c r="D91" s="539"/>
      <c r="E91" s="539"/>
      <c r="F91" s="539"/>
      <c r="G91" s="539"/>
      <c r="H91" s="539"/>
      <c r="I91" s="539"/>
      <c r="J91" s="539"/>
      <c r="K91" s="539"/>
      <c r="L91" s="539"/>
      <c r="M91" s="539"/>
      <c r="N91" s="539"/>
      <c r="O91" s="539"/>
      <c r="P91" s="539"/>
      <c r="Q91" s="539"/>
      <c r="R91" s="539"/>
      <c r="S91" s="557"/>
      <c r="T91" s="557"/>
      <c r="U91" s="557"/>
      <c r="V91" s="557"/>
      <c r="W91" s="539"/>
      <c r="X91" s="539"/>
      <c r="Y91" s="557"/>
      <c r="Z91" s="557"/>
      <c r="AA91" s="539"/>
      <c r="AB91" s="539"/>
      <c r="AC91" s="539"/>
      <c r="AD91" s="557"/>
      <c r="AE91" s="557"/>
      <c r="AF91" s="557"/>
      <c r="AG91" s="557"/>
      <c r="AH91" s="557"/>
      <c r="AI91" s="557"/>
      <c r="AJ91" s="557"/>
      <c r="AK91" s="557"/>
      <c r="AL91" s="557"/>
      <c r="AM91" s="557"/>
      <c r="AN91" s="557"/>
      <c r="AO91" s="557"/>
      <c r="AP91" s="557"/>
      <c r="AQ91" s="557"/>
      <c r="AR91" s="557"/>
      <c r="AS91" s="557"/>
      <c r="AT91" s="557"/>
      <c r="AU91" s="557"/>
      <c r="AV91" s="557"/>
      <c r="AW91" s="557"/>
      <c r="AX91" s="557"/>
      <c r="AY91" s="557"/>
      <c r="AZ91" s="557"/>
      <c r="BA91" s="557"/>
      <c r="BB91" s="557"/>
      <c r="BC91" s="557"/>
      <c r="BD91" s="555"/>
      <c r="BE91" s="592"/>
      <c r="BF91" s="592"/>
      <c r="BG91" s="592"/>
      <c r="BH91" s="592"/>
      <c r="BI91" s="592"/>
      <c r="BJ91" s="592"/>
      <c r="BK91" s="592"/>
      <c r="BL91" s="592"/>
      <c r="BM91" s="592"/>
      <c r="BN91" s="592"/>
      <c r="BO91" s="592"/>
      <c r="BP91" s="592"/>
      <c r="BQ91" s="592"/>
      <c r="BR91" s="592"/>
      <c r="BS91" s="592"/>
      <c r="BT91" s="592"/>
    </row>
    <row r="92" spans="1:72" s="591" customFormat="1" ht="15">
      <c r="A92" s="539"/>
      <c r="B92" s="539"/>
      <c r="C92" s="539"/>
      <c r="D92" s="539"/>
      <c r="E92" s="539"/>
      <c r="F92" s="539"/>
      <c r="G92" s="539"/>
      <c r="H92" s="539"/>
      <c r="I92" s="539"/>
      <c r="J92" s="539"/>
      <c r="K92" s="539"/>
      <c r="L92" s="539"/>
      <c r="M92" s="539"/>
      <c r="N92" s="539"/>
      <c r="O92" s="539"/>
      <c r="P92" s="539"/>
      <c r="Q92" s="539"/>
      <c r="R92" s="539"/>
      <c r="S92" s="557"/>
      <c r="T92" s="557"/>
      <c r="U92" s="557"/>
      <c r="V92" s="557"/>
      <c r="W92" s="539"/>
      <c r="X92" s="539"/>
      <c r="Y92" s="557"/>
      <c r="Z92" s="557"/>
      <c r="AA92" s="539"/>
      <c r="AB92" s="539"/>
      <c r="AC92" s="539"/>
      <c r="AD92" s="557"/>
      <c r="AE92" s="557"/>
      <c r="AF92" s="557"/>
      <c r="AG92" s="557"/>
      <c r="AH92" s="557"/>
      <c r="AI92" s="557"/>
      <c r="AJ92" s="557"/>
      <c r="AK92" s="557"/>
      <c r="AL92" s="557"/>
      <c r="AM92" s="557"/>
      <c r="AN92" s="557"/>
      <c r="AO92" s="557"/>
      <c r="AP92" s="557"/>
      <c r="AQ92" s="557"/>
      <c r="AR92" s="557"/>
      <c r="AS92" s="557"/>
      <c r="AT92" s="557"/>
      <c r="AU92" s="557"/>
      <c r="AV92" s="557"/>
      <c r="AW92" s="557"/>
      <c r="AX92" s="557"/>
      <c r="AY92" s="557"/>
      <c r="AZ92" s="557"/>
      <c r="BA92" s="557"/>
      <c r="BB92" s="557"/>
      <c r="BC92" s="557"/>
      <c r="BD92" s="555"/>
      <c r="BE92" s="592"/>
      <c r="BF92" s="592"/>
      <c r="BG92" s="592"/>
      <c r="BH92" s="592"/>
      <c r="BI92" s="592"/>
      <c r="BJ92" s="592"/>
      <c r="BK92" s="592"/>
      <c r="BL92" s="592"/>
      <c r="BM92" s="592"/>
      <c r="BN92" s="592"/>
      <c r="BO92" s="592"/>
      <c r="BP92" s="592"/>
      <c r="BQ92" s="592"/>
      <c r="BR92" s="592"/>
      <c r="BS92" s="592"/>
      <c r="BT92" s="592"/>
    </row>
    <row r="93" spans="1:72" s="591" customFormat="1" ht="15">
      <c r="A93" s="539"/>
      <c r="B93" s="539"/>
      <c r="C93" s="539"/>
      <c r="D93" s="539"/>
      <c r="E93" s="539"/>
      <c r="F93" s="539"/>
      <c r="G93" s="539"/>
      <c r="H93" s="539"/>
      <c r="I93" s="539"/>
      <c r="J93" s="539"/>
      <c r="K93" s="539"/>
      <c r="L93" s="539"/>
      <c r="M93" s="539"/>
      <c r="N93" s="539"/>
      <c r="O93" s="539"/>
      <c r="P93" s="539"/>
      <c r="Q93" s="539"/>
      <c r="R93" s="539"/>
      <c r="S93" s="557"/>
      <c r="T93" s="557"/>
      <c r="U93" s="557"/>
      <c r="V93" s="557"/>
      <c r="W93" s="539"/>
      <c r="X93" s="539"/>
      <c r="Y93" s="557"/>
      <c r="Z93" s="557"/>
      <c r="AA93" s="539"/>
      <c r="AB93" s="539"/>
      <c r="AC93" s="539"/>
      <c r="AD93" s="557"/>
      <c r="AE93" s="557"/>
      <c r="AF93" s="557"/>
      <c r="AG93" s="557"/>
      <c r="AH93" s="557"/>
      <c r="AI93" s="557"/>
      <c r="AJ93" s="557"/>
      <c r="AK93" s="557"/>
      <c r="AL93" s="557"/>
      <c r="AM93" s="557"/>
      <c r="AN93" s="557"/>
      <c r="AO93" s="557"/>
      <c r="AP93" s="557"/>
      <c r="AQ93" s="557"/>
      <c r="AR93" s="557"/>
      <c r="AS93" s="557"/>
      <c r="AT93" s="557"/>
      <c r="AU93" s="557"/>
      <c r="AV93" s="557"/>
      <c r="AW93" s="557"/>
      <c r="AX93" s="557"/>
      <c r="AY93" s="557"/>
      <c r="AZ93" s="557"/>
      <c r="BA93" s="557"/>
      <c r="BB93" s="557"/>
      <c r="BC93" s="557"/>
      <c r="BD93" s="555"/>
      <c r="BE93" s="592"/>
      <c r="BF93" s="592"/>
      <c r="BG93" s="592"/>
      <c r="BH93" s="592"/>
      <c r="BI93" s="592"/>
      <c r="BJ93" s="592"/>
      <c r="BK93" s="592"/>
      <c r="BL93" s="592"/>
      <c r="BM93" s="592"/>
      <c r="BN93" s="592"/>
      <c r="BO93" s="592"/>
      <c r="BP93" s="592"/>
      <c r="BQ93" s="592"/>
      <c r="BR93" s="592"/>
      <c r="BS93" s="592"/>
      <c r="BT93" s="592"/>
    </row>
    <row r="94" spans="1:72" s="591" customFormat="1" ht="15">
      <c r="A94" s="539"/>
      <c r="B94" s="539"/>
      <c r="C94" s="539"/>
      <c r="D94" s="539"/>
      <c r="E94" s="539"/>
      <c r="F94" s="539"/>
      <c r="G94" s="539"/>
      <c r="H94" s="539"/>
      <c r="I94" s="539"/>
      <c r="J94" s="539"/>
      <c r="K94" s="539"/>
      <c r="L94" s="539"/>
      <c r="M94" s="539"/>
      <c r="N94" s="539"/>
      <c r="O94" s="539"/>
      <c r="P94" s="539"/>
      <c r="Q94" s="539"/>
      <c r="R94" s="539"/>
      <c r="S94" s="557"/>
      <c r="T94" s="557"/>
      <c r="U94" s="557"/>
      <c r="V94" s="557"/>
      <c r="W94" s="539"/>
      <c r="X94" s="539"/>
      <c r="Y94" s="557"/>
      <c r="Z94" s="557"/>
      <c r="AA94" s="539"/>
      <c r="AB94" s="539"/>
      <c r="AC94" s="539"/>
      <c r="AD94" s="557"/>
      <c r="AE94" s="557"/>
      <c r="AF94" s="557"/>
      <c r="AG94" s="557"/>
      <c r="AH94" s="557"/>
      <c r="AI94" s="557"/>
      <c r="AJ94" s="557"/>
      <c r="AK94" s="557"/>
      <c r="AL94" s="557"/>
      <c r="AM94" s="557"/>
      <c r="AN94" s="557"/>
      <c r="AO94" s="557"/>
      <c r="AP94" s="557"/>
      <c r="AQ94" s="557"/>
      <c r="AR94" s="557"/>
      <c r="AS94" s="557"/>
      <c r="AT94" s="557"/>
      <c r="AU94" s="557"/>
      <c r="AV94" s="557"/>
      <c r="AW94" s="557"/>
      <c r="AX94" s="557"/>
      <c r="AY94" s="557"/>
      <c r="AZ94" s="557"/>
      <c r="BA94" s="557"/>
      <c r="BB94" s="557"/>
      <c r="BC94" s="557"/>
      <c r="BD94" s="555"/>
      <c r="BE94" s="592"/>
      <c r="BF94" s="592"/>
      <c r="BG94" s="592"/>
      <c r="BH94" s="592"/>
      <c r="BI94" s="592"/>
      <c r="BJ94" s="592"/>
      <c r="BK94" s="592"/>
      <c r="BL94" s="592"/>
      <c r="BM94" s="592"/>
      <c r="BN94" s="592"/>
      <c r="BO94" s="592"/>
      <c r="BP94" s="592"/>
      <c r="BQ94" s="592"/>
      <c r="BR94" s="592"/>
      <c r="BS94" s="592"/>
      <c r="BT94" s="592"/>
    </row>
    <row r="95" spans="1:72" s="591" customFormat="1" ht="15">
      <c r="A95" s="539"/>
      <c r="B95" s="539"/>
      <c r="C95" s="539"/>
      <c r="D95" s="539"/>
      <c r="E95" s="539"/>
      <c r="F95" s="539"/>
      <c r="G95" s="539"/>
      <c r="H95" s="539"/>
      <c r="I95" s="539"/>
      <c r="J95" s="539"/>
      <c r="K95" s="539"/>
      <c r="L95" s="539"/>
      <c r="M95" s="539"/>
      <c r="N95" s="539"/>
      <c r="O95" s="539"/>
      <c r="P95" s="539"/>
      <c r="Q95" s="539"/>
      <c r="R95" s="539"/>
      <c r="S95" s="557"/>
      <c r="T95" s="557"/>
      <c r="U95" s="557"/>
      <c r="V95" s="557"/>
      <c r="W95" s="539"/>
      <c r="X95" s="539"/>
      <c r="Y95" s="557"/>
      <c r="Z95" s="557"/>
      <c r="AA95" s="539"/>
      <c r="AB95" s="539"/>
      <c r="AC95" s="539"/>
      <c r="AD95" s="557"/>
      <c r="AE95" s="557"/>
      <c r="AF95" s="557"/>
      <c r="AG95" s="557"/>
      <c r="AH95" s="557"/>
      <c r="AI95" s="557"/>
      <c r="AJ95" s="557"/>
      <c r="AK95" s="557"/>
      <c r="AL95" s="557"/>
      <c r="AM95" s="557"/>
      <c r="AN95" s="557"/>
      <c r="AO95" s="557"/>
      <c r="AP95" s="557"/>
      <c r="AQ95" s="557"/>
      <c r="AR95" s="557"/>
      <c r="AS95" s="557"/>
      <c r="AT95" s="557"/>
      <c r="AU95" s="557"/>
      <c r="AV95" s="557"/>
      <c r="AW95" s="557"/>
      <c r="AX95" s="557"/>
      <c r="AY95" s="557"/>
      <c r="AZ95" s="557"/>
      <c r="BA95" s="557"/>
      <c r="BB95" s="557"/>
      <c r="BC95" s="557"/>
      <c r="BD95" s="555"/>
      <c r="BE95" s="592"/>
      <c r="BF95" s="592"/>
      <c r="BG95" s="592"/>
      <c r="BH95" s="592"/>
      <c r="BI95" s="592"/>
      <c r="BJ95" s="592"/>
      <c r="BK95" s="592"/>
      <c r="BL95" s="592"/>
      <c r="BM95" s="592"/>
      <c r="BN95" s="592"/>
      <c r="BO95" s="592"/>
      <c r="BP95" s="592"/>
      <c r="BQ95" s="592"/>
      <c r="BR95" s="592"/>
      <c r="BS95" s="592"/>
      <c r="BT95" s="592"/>
    </row>
    <row r="96" spans="1:72" s="591" customFormat="1" ht="15">
      <c r="A96" s="539"/>
      <c r="B96" s="539"/>
      <c r="C96" s="539"/>
      <c r="D96" s="539"/>
      <c r="E96" s="539"/>
      <c r="F96" s="539"/>
      <c r="G96" s="539"/>
      <c r="H96" s="539"/>
      <c r="I96" s="539"/>
      <c r="J96" s="539"/>
      <c r="K96" s="539"/>
      <c r="L96" s="539"/>
      <c r="M96" s="539"/>
      <c r="N96" s="539"/>
      <c r="O96" s="539"/>
      <c r="P96" s="539"/>
      <c r="Q96" s="539"/>
      <c r="R96" s="539"/>
      <c r="S96" s="557"/>
      <c r="T96" s="557"/>
      <c r="U96" s="557"/>
      <c r="V96" s="557"/>
      <c r="W96" s="539"/>
      <c r="X96" s="539"/>
      <c r="Y96" s="557"/>
      <c r="Z96" s="557"/>
      <c r="AA96" s="539"/>
      <c r="AB96" s="539"/>
      <c r="AC96" s="539"/>
      <c r="AD96" s="557"/>
      <c r="AE96" s="557"/>
      <c r="AF96" s="557"/>
      <c r="AG96" s="557"/>
      <c r="AH96" s="557"/>
      <c r="AI96" s="557"/>
      <c r="AJ96" s="557"/>
      <c r="AK96" s="557"/>
      <c r="AL96" s="557"/>
      <c r="AM96" s="557"/>
      <c r="AN96" s="557"/>
      <c r="AO96" s="557"/>
      <c r="AP96" s="557"/>
      <c r="AQ96" s="557"/>
      <c r="AR96" s="557"/>
      <c r="AS96" s="557"/>
      <c r="AT96" s="557"/>
      <c r="AU96" s="557"/>
      <c r="AV96" s="557"/>
      <c r="AW96" s="557"/>
      <c r="AX96" s="557"/>
      <c r="AY96" s="557"/>
      <c r="AZ96" s="557"/>
      <c r="BA96" s="557"/>
      <c r="BB96" s="557"/>
      <c r="BC96" s="557"/>
      <c r="BD96" s="555"/>
      <c r="BE96" s="592"/>
      <c r="BF96" s="592"/>
      <c r="BG96" s="592"/>
      <c r="BH96" s="592"/>
      <c r="BI96" s="592"/>
      <c r="BJ96" s="592"/>
      <c r="BK96" s="592"/>
      <c r="BL96" s="592"/>
      <c r="BM96" s="592"/>
      <c r="BN96" s="592"/>
      <c r="BO96" s="592"/>
      <c r="BP96" s="592"/>
      <c r="BQ96" s="592"/>
      <c r="BR96" s="592"/>
      <c r="BS96" s="592"/>
      <c r="BT96" s="592"/>
    </row>
    <row r="97" spans="1:72" s="591" customFormat="1" ht="15">
      <c r="A97" s="539"/>
      <c r="B97" s="539"/>
      <c r="C97" s="539"/>
      <c r="D97" s="539"/>
      <c r="E97" s="539"/>
      <c r="F97" s="539"/>
      <c r="G97" s="539"/>
      <c r="H97" s="539"/>
      <c r="I97" s="539"/>
      <c r="J97" s="539"/>
      <c r="K97" s="539"/>
      <c r="L97" s="539"/>
      <c r="M97" s="539"/>
      <c r="N97" s="539"/>
      <c r="O97" s="539"/>
      <c r="P97" s="539"/>
      <c r="Q97" s="539"/>
      <c r="R97" s="539"/>
      <c r="S97" s="557"/>
      <c r="T97" s="557"/>
      <c r="U97" s="557"/>
      <c r="V97" s="557"/>
      <c r="W97" s="539"/>
      <c r="X97" s="539"/>
      <c r="Y97" s="557"/>
      <c r="Z97" s="557"/>
      <c r="AA97" s="539"/>
      <c r="AB97" s="539"/>
      <c r="AC97" s="539"/>
      <c r="AD97" s="557"/>
      <c r="AE97" s="557"/>
      <c r="AF97" s="557"/>
      <c r="AG97" s="557"/>
      <c r="AH97" s="557"/>
      <c r="AI97" s="557"/>
      <c r="AJ97" s="557"/>
      <c r="AK97" s="557"/>
      <c r="AL97" s="557"/>
      <c r="AM97" s="557"/>
      <c r="AN97" s="557"/>
      <c r="AO97" s="557"/>
      <c r="AP97" s="557"/>
      <c r="AQ97" s="557"/>
      <c r="AR97" s="557"/>
      <c r="AS97" s="557"/>
      <c r="AT97" s="557"/>
      <c r="AU97" s="557"/>
      <c r="AV97" s="557"/>
      <c r="AW97" s="557"/>
      <c r="AX97" s="557"/>
      <c r="AY97" s="557"/>
      <c r="AZ97" s="557"/>
      <c r="BA97" s="557"/>
      <c r="BB97" s="557"/>
      <c r="BC97" s="557"/>
      <c r="BD97" s="555"/>
      <c r="BE97" s="592"/>
      <c r="BF97" s="592"/>
      <c r="BG97" s="592"/>
      <c r="BH97" s="592"/>
      <c r="BI97" s="592"/>
      <c r="BJ97" s="592"/>
      <c r="BK97" s="592"/>
      <c r="BL97" s="592"/>
      <c r="BM97" s="592"/>
      <c r="BN97" s="592"/>
      <c r="BO97" s="592"/>
      <c r="BP97" s="592"/>
      <c r="BQ97" s="592"/>
      <c r="BR97" s="592"/>
      <c r="BS97" s="592"/>
      <c r="BT97" s="592"/>
    </row>
    <row r="98" spans="1:72" s="591" customFormat="1" ht="15">
      <c r="A98" s="539"/>
      <c r="B98" s="539"/>
      <c r="C98" s="539"/>
      <c r="D98" s="539"/>
      <c r="E98" s="539"/>
      <c r="F98" s="539"/>
      <c r="G98" s="539"/>
      <c r="H98" s="539"/>
      <c r="I98" s="539"/>
      <c r="J98" s="539"/>
      <c r="K98" s="539"/>
      <c r="L98" s="539"/>
      <c r="M98" s="539"/>
      <c r="N98" s="539"/>
      <c r="O98" s="539"/>
      <c r="P98" s="539"/>
      <c r="Q98" s="539"/>
      <c r="R98" s="539"/>
      <c r="S98" s="557"/>
      <c r="T98" s="557"/>
      <c r="U98" s="557"/>
      <c r="V98" s="557"/>
      <c r="W98" s="539"/>
      <c r="X98" s="539"/>
      <c r="Y98" s="557"/>
      <c r="Z98" s="557"/>
      <c r="AA98" s="539"/>
      <c r="AB98" s="539"/>
      <c r="AC98" s="539"/>
      <c r="AD98" s="557"/>
      <c r="AE98" s="557"/>
      <c r="AF98" s="557"/>
      <c r="AG98" s="557"/>
      <c r="AH98" s="557"/>
      <c r="AI98" s="557"/>
      <c r="AJ98" s="557"/>
      <c r="AK98" s="557"/>
      <c r="AL98" s="557"/>
      <c r="AM98" s="557"/>
      <c r="AN98" s="557"/>
      <c r="AO98" s="557"/>
      <c r="AP98" s="557"/>
      <c r="AQ98" s="557"/>
      <c r="AR98" s="557"/>
      <c r="AS98" s="557"/>
      <c r="AT98" s="557"/>
      <c r="AU98" s="557"/>
      <c r="AV98" s="557"/>
      <c r="AW98" s="557"/>
      <c r="AX98" s="557"/>
      <c r="AY98" s="557"/>
      <c r="AZ98" s="557"/>
      <c r="BA98" s="557"/>
      <c r="BB98" s="557"/>
      <c r="BC98" s="557"/>
      <c r="BD98" s="555"/>
      <c r="BE98" s="592"/>
      <c r="BF98" s="592"/>
      <c r="BG98" s="592"/>
      <c r="BH98" s="592"/>
      <c r="BI98" s="592"/>
      <c r="BJ98" s="592"/>
      <c r="BK98" s="592"/>
      <c r="BL98" s="592"/>
      <c r="BM98" s="592"/>
      <c r="BN98" s="592"/>
      <c r="BO98" s="592"/>
      <c r="BP98" s="592"/>
      <c r="BQ98" s="592"/>
      <c r="BR98" s="592"/>
      <c r="BS98" s="592"/>
      <c r="BT98" s="592"/>
    </row>
    <row r="99" spans="1:72" s="591" customFormat="1" ht="15">
      <c r="A99" s="539"/>
      <c r="B99" s="539"/>
      <c r="C99" s="539"/>
      <c r="D99" s="539"/>
      <c r="E99" s="539"/>
      <c r="F99" s="539"/>
      <c r="G99" s="539"/>
      <c r="H99" s="539"/>
      <c r="I99" s="539"/>
      <c r="J99" s="539"/>
      <c r="K99" s="539"/>
      <c r="L99" s="539"/>
      <c r="M99" s="539"/>
      <c r="N99" s="539"/>
      <c r="O99" s="539"/>
      <c r="P99" s="539"/>
      <c r="Q99" s="539"/>
      <c r="R99" s="539"/>
      <c r="S99" s="557"/>
      <c r="T99" s="557"/>
      <c r="U99" s="557"/>
      <c r="V99" s="557"/>
      <c r="W99" s="539"/>
      <c r="X99" s="539"/>
      <c r="Y99" s="557"/>
      <c r="Z99" s="557"/>
      <c r="AA99" s="539"/>
      <c r="AB99" s="539"/>
      <c r="AC99" s="539"/>
      <c r="AD99" s="557"/>
      <c r="AE99" s="557"/>
      <c r="AF99" s="557"/>
      <c r="AG99" s="557"/>
      <c r="AH99" s="557"/>
      <c r="AI99" s="557"/>
      <c r="AJ99" s="557"/>
      <c r="AK99" s="557"/>
      <c r="AL99" s="557"/>
      <c r="AM99" s="557"/>
      <c r="AN99" s="557"/>
      <c r="AO99" s="557"/>
      <c r="AP99" s="557"/>
      <c r="AQ99" s="557"/>
      <c r="AR99" s="557"/>
      <c r="AS99" s="557"/>
      <c r="AT99" s="557"/>
      <c r="AU99" s="557"/>
      <c r="AV99" s="557"/>
      <c r="AW99" s="557"/>
      <c r="AX99" s="557"/>
      <c r="AY99" s="557"/>
      <c r="AZ99" s="557"/>
      <c r="BA99" s="557"/>
      <c r="BB99" s="557"/>
      <c r="BC99" s="557"/>
      <c r="BD99" s="555"/>
      <c r="BE99" s="592"/>
      <c r="BF99" s="592"/>
      <c r="BG99" s="592"/>
      <c r="BH99" s="592"/>
      <c r="BI99" s="592"/>
      <c r="BJ99" s="592"/>
      <c r="BK99" s="592"/>
      <c r="BL99" s="592"/>
      <c r="BM99" s="592"/>
      <c r="BN99" s="592"/>
      <c r="BO99" s="592"/>
      <c r="BP99" s="592"/>
      <c r="BQ99" s="592"/>
      <c r="BR99" s="592"/>
      <c r="BS99" s="592"/>
      <c r="BT99" s="592"/>
    </row>
    <row r="100" spans="1:72" s="591" customFormat="1" ht="15">
      <c r="A100" s="539"/>
      <c r="B100" s="539"/>
      <c r="C100" s="539"/>
      <c r="D100" s="539"/>
      <c r="E100" s="539"/>
      <c r="F100" s="539"/>
      <c r="G100" s="539"/>
      <c r="H100" s="539"/>
      <c r="I100" s="539"/>
      <c r="J100" s="539"/>
      <c r="K100" s="539"/>
      <c r="L100" s="539"/>
      <c r="M100" s="539"/>
      <c r="N100" s="539"/>
      <c r="O100" s="539"/>
      <c r="P100" s="539"/>
      <c r="Q100" s="539"/>
      <c r="R100" s="539"/>
      <c r="S100" s="557"/>
      <c r="T100" s="557"/>
      <c r="U100" s="557"/>
      <c r="V100" s="557"/>
      <c r="W100" s="539"/>
      <c r="X100" s="539"/>
      <c r="Y100" s="557"/>
      <c r="Z100" s="557"/>
      <c r="AA100" s="539"/>
      <c r="AB100" s="539"/>
      <c r="AC100" s="539"/>
      <c r="AD100" s="557"/>
      <c r="AE100" s="557"/>
      <c r="AF100" s="557"/>
      <c r="AG100" s="557"/>
      <c r="AH100" s="557"/>
      <c r="AI100" s="557"/>
      <c r="AJ100" s="557"/>
      <c r="AK100" s="557"/>
      <c r="AL100" s="557"/>
      <c r="AM100" s="557"/>
      <c r="AN100" s="557"/>
      <c r="AO100" s="557"/>
      <c r="AP100" s="557"/>
      <c r="AQ100" s="557"/>
      <c r="AR100" s="557"/>
      <c r="AS100" s="557"/>
      <c r="AT100" s="557"/>
      <c r="AU100" s="557"/>
      <c r="AV100" s="557"/>
      <c r="AW100" s="557"/>
      <c r="AX100" s="557"/>
      <c r="AY100" s="557"/>
      <c r="AZ100" s="557"/>
      <c r="BA100" s="557"/>
      <c r="BB100" s="557"/>
      <c r="BC100" s="557"/>
      <c r="BD100" s="555"/>
      <c r="BE100" s="592"/>
      <c r="BF100" s="592"/>
      <c r="BG100" s="592"/>
      <c r="BH100" s="592"/>
      <c r="BI100" s="592"/>
      <c r="BJ100" s="592"/>
      <c r="BK100" s="592"/>
      <c r="BL100" s="592"/>
      <c r="BM100" s="592"/>
      <c r="BN100" s="592"/>
      <c r="BO100" s="592"/>
      <c r="BP100" s="592"/>
      <c r="BQ100" s="592"/>
      <c r="BR100" s="592"/>
      <c r="BS100" s="592"/>
      <c r="BT100" s="592"/>
    </row>
    <row r="101" spans="1:72" s="591" customFormat="1" ht="15">
      <c r="A101" s="539"/>
      <c r="B101" s="539"/>
      <c r="C101" s="539"/>
      <c r="D101" s="539"/>
      <c r="E101" s="539"/>
      <c r="F101" s="539"/>
      <c r="G101" s="539"/>
      <c r="H101" s="539"/>
      <c r="I101" s="539"/>
      <c r="J101" s="539"/>
      <c r="K101" s="539"/>
      <c r="L101" s="539"/>
      <c r="M101" s="539"/>
      <c r="N101" s="539"/>
      <c r="O101" s="539"/>
      <c r="P101" s="539"/>
      <c r="Q101" s="539"/>
      <c r="R101" s="539"/>
      <c r="S101" s="557"/>
      <c r="T101" s="557"/>
      <c r="U101" s="557"/>
      <c r="V101" s="557"/>
      <c r="W101" s="539"/>
      <c r="X101" s="539"/>
      <c r="Y101" s="557"/>
      <c r="Z101" s="557"/>
      <c r="AA101" s="539"/>
      <c r="AB101" s="539"/>
      <c r="AC101" s="539"/>
      <c r="AD101" s="557"/>
      <c r="AE101" s="557"/>
      <c r="AF101" s="557"/>
      <c r="AG101" s="557"/>
      <c r="AH101" s="557"/>
      <c r="AI101" s="557"/>
      <c r="AJ101" s="557"/>
      <c r="AK101" s="557"/>
      <c r="AL101" s="557"/>
      <c r="AM101" s="557"/>
      <c r="AN101" s="557"/>
      <c r="AO101" s="557"/>
      <c r="AP101" s="557"/>
      <c r="AQ101" s="557"/>
      <c r="AR101" s="557"/>
      <c r="AS101" s="557"/>
      <c r="AT101" s="557"/>
      <c r="AU101" s="557"/>
      <c r="AV101" s="557"/>
      <c r="AW101" s="557"/>
      <c r="AX101" s="557"/>
      <c r="AY101" s="557"/>
      <c r="AZ101" s="557"/>
      <c r="BA101" s="557"/>
      <c r="BB101" s="557"/>
      <c r="BC101" s="557"/>
      <c r="BD101" s="555"/>
      <c r="BE101" s="592"/>
      <c r="BF101" s="592"/>
      <c r="BG101" s="592"/>
      <c r="BH101" s="592"/>
      <c r="BI101" s="592"/>
      <c r="BJ101" s="592"/>
      <c r="BK101" s="592"/>
      <c r="BL101" s="592"/>
      <c r="BM101" s="592"/>
      <c r="BN101" s="592"/>
      <c r="BO101" s="592"/>
      <c r="BP101" s="592"/>
      <c r="BQ101" s="592"/>
      <c r="BR101" s="592"/>
      <c r="BS101" s="592"/>
      <c r="BT101" s="592"/>
    </row>
    <row r="102" spans="1:72" s="591" customFormat="1" ht="15">
      <c r="A102" s="539"/>
      <c r="B102" s="539"/>
      <c r="C102" s="539"/>
      <c r="D102" s="539"/>
      <c r="E102" s="539"/>
      <c r="F102" s="539"/>
      <c r="G102" s="539"/>
      <c r="H102" s="539"/>
      <c r="I102" s="539"/>
      <c r="J102" s="539"/>
      <c r="K102" s="539"/>
      <c r="L102" s="539"/>
      <c r="M102" s="539"/>
      <c r="N102" s="539"/>
      <c r="O102" s="539"/>
      <c r="P102" s="539"/>
      <c r="Q102" s="539"/>
      <c r="R102" s="539"/>
      <c r="S102" s="557"/>
      <c r="T102" s="557"/>
      <c r="U102" s="557"/>
      <c r="V102" s="557"/>
      <c r="W102" s="539"/>
      <c r="X102" s="539"/>
      <c r="Y102" s="557"/>
      <c r="Z102" s="557"/>
      <c r="AA102" s="539"/>
      <c r="AB102" s="539"/>
      <c r="AC102" s="539"/>
      <c r="AD102" s="557"/>
      <c r="AE102" s="557"/>
      <c r="AF102" s="557"/>
      <c r="AG102" s="557"/>
      <c r="AH102" s="557"/>
      <c r="AI102" s="557"/>
      <c r="AJ102" s="557"/>
      <c r="AK102" s="557"/>
      <c r="AL102" s="557"/>
      <c r="AM102" s="557"/>
      <c r="AN102" s="557"/>
      <c r="AO102" s="557"/>
      <c r="AP102" s="557"/>
      <c r="AQ102" s="557"/>
      <c r="AR102" s="557"/>
      <c r="AS102" s="557"/>
      <c r="AT102" s="557"/>
      <c r="AU102" s="557"/>
      <c r="AV102" s="557"/>
      <c r="AW102" s="557"/>
      <c r="AX102" s="557"/>
      <c r="AY102" s="557"/>
      <c r="AZ102" s="557"/>
      <c r="BA102" s="557"/>
      <c r="BB102" s="557"/>
      <c r="BC102" s="557"/>
      <c r="BD102" s="555"/>
      <c r="BE102" s="592"/>
      <c r="BF102" s="592"/>
      <c r="BG102" s="592"/>
      <c r="BH102" s="592"/>
      <c r="BI102" s="592"/>
      <c r="BJ102" s="592"/>
      <c r="BK102" s="592"/>
      <c r="BL102" s="592"/>
      <c r="BM102" s="592"/>
      <c r="BN102" s="592"/>
      <c r="BO102" s="592"/>
      <c r="BP102" s="592"/>
      <c r="BQ102" s="592"/>
      <c r="BR102" s="592"/>
      <c r="BS102" s="592"/>
      <c r="BT102" s="592"/>
    </row>
    <row r="103" spans="1:72" s="591" customFormat="1" ht="15">
      <c r="A103" s="539"/>
      <c r="B103" s="539"/>
      <c r="C103" s="539"/>
      <c r="D103" s="539"/>
      <c r="E103" s="539"/>
      <c r="F103" s="539"/>
      <c r="G103" s="539"/>
      <c r="H103" s="539"/>
      <c r="I103" s="539"/>
      <c r="J103" s="539"/>
      <c r="K103" s="539"/>
      <c r="L103" s="539"/>
      <c r="M103" s="539"/>
      <c r="N103" s="539"/>
      <c r="O103" s="539"/>
      <c r="P103" s="539"/>
      <c r="Q103" s="539"/>
      <c r="R103" s="539"/>
      <c r="S103" s="557"/>
      <c r="T103" s="557"/>
      <c r="U103" s="557"/>
      <c r="V103" s="557"/>
      <c r="W103" s="539"/>
      <c r="X103" s="539"/>
      <c r="Y103" s="557"/>
      <c r="Z103" s="557"/>
      <c r="AA103" s="539"/>
      <c r="AB103" s="539"/>
      <c r="AC103" s="539"/>
      <c r="AD103" s="557"/>
      <c r="AE103" s="557"/>
      <c r="AF103" s="557"/>
      <c r="AG103" s="557"/>
      <c r="AH103" s="557"/>
      <c r="AI103" s="557"/>
      <c r="AJ103" s="557"/>
      <c r="AK103" s="557"/>
      <c r="AL103" s="557"/>
      <c r="AM103" s="557"/>
      <c r="AN103" s="557"/>
      <c r="AO103" s="557"/>
      <c r="AP103" s="557"/>
      <c r="AQ103" s="557"/>
      <c r="AR103" s="557"/>
      <c r="AS103" s="557"/>
      <c r="AT103" s="557"/>
      <c r="AU103" s="557"/>
      <c r="AV103" s="557"/>
      <c r="AW103" s="557"/>
      <c r="AX103" s="557"/>
      <c r="AY103" s="557"/>
      <c r="AZ103" s="557"/>
      <c r="BA103" s="557"/>
      <c r="BB103" s="557"/>
      <c r="BC103" s="557"/>
      <c r="BD103" s="555"/>
      <c r="BE103" s="592"/>
      <c r="BF103" s="592"/>
      <c r="BG103" s="592"/>
      <c r="BH103" s="592"/>
      <c r="BI103" s="592"/>
      <c r="BJ103" s="592"/>
      <c r="BK103" s="592"/>
      <c r="BL103" s="592"/>
      <c r="BM103" s="592"/>
      <c r="BN103" s="592"/>
      <c r="BO103" s="592"/>
      <c r="BP103" s="592"/>
      <c r="BQ103" s="592"/>
      <c r="BR103" s="592"/>
      <c r="BS103" s="592"/>
      <c r="BT103" s="592"/>
    </row>
    <row r="104" spans="1:72" s="591" customFormat="1" ht="15">
      <c r="A104" s="539"/>
      <c r="B104" s="539"/>
      <c r="C104" s="539"/>
      <c r="D104" s="539"/>
      <c r="E104" s="539"/>
      <c r="F104" s="539"/>
      <c r="G104" s="539"/>
      <c r="H104" s="539"/>
      <c r="I104" s="539"/>
      <c r="J104" s="539"/>
      <c r="K104" s="539"/>
      <c r="L104" s="539"/>
      <c r="M104" s="539"/>
      <c r="N104" s="539"/>
      <c r="O104" s="539"/>
      <c r="P104" s="539"/>
      <c r="Q104" s="539"/>
      <c r="R104" s="539"/>
      <c r="S104" s="557"/>
      <c r="T104" s="557"/>
      <c r="U104" s="557"/>
      <c r="V104" s="557"/>
      <c r="W104" s="539"/>
      <c r="X104" s="539"/>
      <c r="Y104" s="557"/>
      <c r="Z104" s="557"/>
      <c r="AA104" s="539"/>
      <c r="AB104" s="539"/>
      <c r="AC104" s="539"/>
      <c r="AD104" s="557"/>
      <c r="AE104" s="557"/>
      <c r="AF104" s="557"/>
      <c r="AG104" s="557"/>
      <c r="AH104" s="557"/>
      <c r="AI104" s="557"/>
      <c r="AJ104" s="557"/>
      <c r="AK104" s="557"/>
      <c r="AL104" s="557"/>
      <c r="AM104" s="557"/>
      <c r="AN104" s="557"/>
      <c r="AO104" s="557"/>
      <c r="AP104" s="557"/>
      <c r="AQ104" s="557"/>
      <c r="AR104" s="557"/>
      <c r="AS104" s="557"/>
      <c r="AT104" s="557"/>
      <c r="AU104" s="557"/>
      <c r="AV104" s="557"/>
      <c r="AW104" s="557"/>
      <c r="AX104" s="557"/>
      <c r="AY104" s="557"/>
      <c r="AZ104" s="557"/>
      <c r="BA104" s="557"/>
      <c r="BB104" s="557"/>
      <c r="BC104" s="557"/>
      <c r="BD104" s="555"/>
      <c r="BE104" s="592"/>
      <c r="BF104" s="592"/>
      <c r="BG104" s="592"/>
      <c r="BH104" s="592"/>
      <c r="BI104" s="592"/>
      <c r="BJ104" s="592"/>
      <c r="BK104" s="592"/>
      <c r="BL104" s="592"/>
      <c r="BM104" s="592"/>
      <c r="BN104" s="592"/>
      <c r="BO104" s="592"/>
      <c r="BP104" s="592"/>
      <c r="BQ104" s="592"/>
      <c r="BR104" s="592"/>
      <c r="BS104" s="592"/>
      <c r="BT104" s="592"/>
    </row>
    <row r="105" spans="1:72" s="591" customFormat="1" ht="15">
      <c r="A105" s="539"/>
      <c r="B105" s="539"/>
      <c r="C105" s="539"/>
      <c r="D105" s="539"/>
      <c r="E105" s="539"/>
      <c r="F105" s="539"/>
      <c r="G105" s="539"/>
      <c r="H105" s="539"/>
      <c r="I105" s="539"/>
      <c r="J105" s="539"/>
      <c r="K105" s="539"/>
      <c r="L105" s="539"/>
      <c r="M105" s="539"/>
      <c r="N105" s="539"/>
      <c r="O105" s="539"/>
      <c r="P105" s="539"/>
      <c r="Q105" s="539"/>
      <c r="R105" s="539"/>
      <c r="S105" s="557"/>
      <c r="T105" s="557"/>
      <c r="U105" s="557"/>
      <c r="V105" s="557"/>
      <c r="W105" s="539"/>
      <c r="X105" s="539"/>
      <c r="Y105" s="557"/>
      <c r="Z105" s="557"/>
      <c r="AA105" s="539"/>
      <c r="AB105" s="539"/>
      <c r="AC105" s="539"/>
      <c r="AD105" s="557"/>
      <c r="AE105" s="557"/>
      <c r="AF105" s="557"/>
      <c r="AG105" s="557"/>
      <c r="AH105" s="557"/>
      <c r="AI105" s="557"/>
      <c r="AJ105" s="557"/>
      <c r="AK105" s="557"/>
      <c r="AL105" s="557"/>
      <c r="AM105" s="557"/>
      <c r="AN105" s="557"/>
      <c r="AO105" s="557"/>
      <c r="AP105" s="557"/>
      <c r="AQ105" s="557"/>
      <c r="AR105" s="557"/>
      <c r="AS105" s="557"/>
      <c r="AT105" s="557"/>
      <c r="AU105" s="557"/>
      <c r="AV105" s="557"/>
      <c r="AW105" s="557"/>
      <c r="AX105" s="557"/>
      <c r="AY105" s="557"/>
      <c r="AZ105" s="557"/>
      <c r="BA105" s="557"/>
      <c r="BB105" s="557"/>
      <c r="BC105" s="557"/>
      <c r="BD105" s="555"/>
      <c r="BE105" s="592"/>
      <c r="BF105" s="592"/>
      <c r="BG105" s="592"/>
      <c r="BH105" s="592"/>
      <c r="BI105" s="592"/>
      <c r="BJ105" s="592"/>
      <c r="BK105" s="592"/>
      <c r="BL105" s="592"/>
      <c r="BM105" s="592"/>
      <c r="BN105" s="592"/>
      <c r="BO105" s="592"/>
      <c r="BP105" s="592"/>
      <c r="BQ105" s="592"/>
      <c r="BR105" s="592"/>
      <c r="BS105" s="592"/>
      <c r="BT105" s="592"/>
    </row>
    <row r="106" spans="1:72" s="591" customFormat="1" ht="15">
      <c r="A106" s="539"/>
      <c r="B106" s="539"/>
      <c r="C106" s="539"/>
      <c r="D106" s="539"/>
      <c r="E106" s="539"/>
      <c r="F106" s="539"/>
      <c r="G106" s="539"/>
      <c r="H106" s="539"/>
      <c r="I106" s="539"/>
      <c r="J106" s="539"/>
      <c r="K106" s="539"/>
      <c r="L106" s="539"/>
      <c r="M106" s="539"/>
      <c r="N106" s="539"/>
      <c r="O106" s="539"/>
      <c r="P106" s="539"/>
      <c r="Q106" s="539"/>
      <c r="R106" s="539"/>
      <c r="S106" s="557"/>
      <c r="T106" s="557"/>
      <c r="U106" s="557"/>
      <c r="V106" s="557"/>
      <c r="W106" s="539"/>
      <c r="X106" s="539"/>
      <c r="Y106" s="557"/>
      <c r="Z106" s="557"/>
      <c r="AA106" s="539"/>
      <c r="AB106" s="539"/>
      <c r="AC106" s="539"/>
      <c r="AD106" s="557"/>
      <c r="AE106" s="557"/>
      <c r="AF106" s="557"/>
      <c r="AG106" s="557"/>
      <c r="AH106" s="557"/>
      <c r="AI106" s="557"/>
      <c r="AJ106" s="557"/>
      <c r="AK106" s="557"/>
      <c r="AL106" s="557"/>
      <c r="AM106" s="557"/>
      <c r="AN106" s="557"/>
      <c r="AO106" s="557"/>
      <c r="AP106" s="557"/>
      <c r="AQ106" s="557"/>
      <c r="AR106" s="557"/>
      <c r="AS106" s="557"/>
      <c r="AT106" s="557"/>
      <c r="AU106" s="557"/>
      <c r="AV106" s="557"/>
      <c r="AW106" s="557"/>
      <c r="AX106" s="557"/>
      <c r="AY106" s="557"/>
      <c r="AZ106" s="557"/>
      <c r="BA106" s="557"/>
      <c r="BB106" s="557"/>
      <c r="BC106" s="557"/>
      <c r="BD106" s="555"/>
      <c r="BE106" s="592"/>
      <c r="BF106" s="592"/>
      <c r="BG106" s="592"/>
      <c r="BH106" s="592"/>
      <c r="BI106" s="592"/>
      <c r="BJ106" s="592"/>
      <c r="BK106" s="592"/>
      <c r="BL106" s="592"/>
      <c r="BM106" s="592"/>
      <c r="BN106" s="592"/>
      <c r="BO106" s="592"/>
      <c r="BP106" s="592"/>
      <c r="BQ106" s="592"/>
      <c r="BR106" s="592"/>
      <c r="BS106" s="592"/>
      <c r="BT106" s="592"/>
    </row>
    <row r="107" spans="1:72" s="591" customFormat="1" ht="15">
      <c r="A107" s="539"/>
      <c r="B107" s="539"/>
      <c r="C107" s="539"/>
      <c r="D107" s="539"/>
      <c r="E107" s="539"/>
      <c r="F107" s="539"/>
      <c r="G107" s="539"/>
      <c r="H107" s="539"/>
      <c r="I107" s="539"/>
      <c r="J107" s="539"/>
      <c r="K107" s="539"/>
      <c r="L107" s="539"/>
      <c r="M107" s="539"/>
      <c r="N107" s="539"/>
      <c r="O107" s="539"/>
      <c r="P107" s="539"/>
      <c r="Q107" s="539"/>
      <c r="R107" s="539"/>
      <c r="S107" s="557"/>
      <c r="T107" s="557"/>
      <c r="U107" s="557"/>
      <c r="V107" s="557"/>
      <c r="W107" s="539"/>
      <c r="X107" s="539"/>
      <c r="Y107" s="557"/>
      <c r="Z107" s="557"/>
      <c r="AA107" s="539"/>
      <c r="AB107" s="539"/>
      <c r="AC107" s="539"/>
      <c r="AD107" s="557"/>
      <c r="AE107" s="557"/>
      <c r="AF107" s="557"/>
      <c r="AG107" s="557"/>
      <c r="AH107" s="557"/>
      <c r="AI107" s="557"/>
      <c r="AJ107" s="557"/>
      <c r="AK107" s="557"/>
      <c r="AL107" s="557"/>
      <c r="AM107" s="557"/>
      <c r="AN107" s="557"/>
      <c r="AO107" s="557"/>
      <c r="AP107" s="557"/>
      <c r="AQ107" s="557"/>
      <c r="AR107" s="557"/>
      <c r="AS107" s="557"/>
      <c r="AT107" s="557"/>
      <c r="AU107" s="557"/>
      <c r="AV107" s="557"/>
      <c r="AW107" s="557"/>
      <c r="AX107" s="557"/>
      <c r="AY107" s="557"/>
      <c r="AZ107" s="557"/>
      <c r="BA107" s="557"/>
      <c r="BB107" s="557"/>
      <c r="BC107" s="557"/>
      <c r="BD107" s="555"/>
      <c r="BE107" s="592"/>
      <c r="BF107" s="592"/>
      <c r="BG107" s="592"/>
      <c r="BH107" s="592"/>
      <c r="BI107" s="592"/>
      <c r="BJ107" s="592"/>
      <c r="BK107" s="592"/>
      <c r="BL107" s="592"/>
      <c r="BM107" s="592"/>
      <c r="BN107" s="592"/>
      <c r="BO107" s="592"/>
      <c r="BP107" s="592"/>
      <c r="BQ107" s="592"/>
      <c r="BR107" s="592"/>
      <c r="BS107" s="592"/>
      <c r="BT107" s="592"/>
    </row>
    <row r="108" spans="1:72" s="591" customFormat="1" ht="15">
      <c r="A108" s="539"/>
      <c r="B108" s="539"/>
      <c r="C108" s="539"/>
      <c r="D108" s="539"/>
      <c r="E108" s="539"/>
      <c r="F108" s="539"/>
      <c r="G108" s="539"/>
      <c r="H108" s="539"/>
      <c r="I108" s="539"/>
      <c r="J108" s="539"/>
      <c r="K108" s="539"/>
      <c r="L108" s="539"/>
      <c r="M108" s="539"/>
      <c r="N108" s="539"/>
      <c r="O108" s="539"/>
      <c r="P108" s="539"/>
      <c r="Q108" s="539"/>
      <c r="R108" s="539"/>
      <c r="S108" s="557"/>
      <c r="T108" s="557"/>
      <c r="U108" s="557"/>
      <c r="V108" s="557"/>
      <c r="W108" s="539"/>
      <c r="X108" s="539"/>
      <c r="Y108" s="557"/>
      <c r="Z108" s="557"/>
      <c r="AA108" s="539"/>
      <c r="AB108" s="539"/>
      <c r="AC108" s="539"/>
      <c r="AD108" s="557"/>
      <c r="AE108" s="557"/>
      <c r="AF108" s="557"/>
      <c r="AG108" s="557"/>
      <c r="AH108" s="557"/>
      <c r="AI108" s="557"/>
      <c r="AJ108" s="557"/>
      <c r="AK108" s="557"/>
      <c r="AL108" s="557"/>
      <c r="AM108" s="557"/>
      <c r="AN108" s="557"/>
      <c r="AO108" s="557"/>
      <c r="AP108" s="557"/>
      <c r="AQ108" s="557"/>
      <c r="AR108" s="557"/>
      <c r="AS108" s="557"/>
      <c r="AT108" s="557"/>
      <c r="AU108" s="557"/>
      <c r="AV108" s="557"/>
      <c r="AW108" s="557"/>
      <c r="AX108" s="557"/>
      <c r="AY108" s="557"/>
      <c r="AZ108" s="557"/>
      <c r="BA108" s="557"/>
      <c r="BB108" s="557"/>
      <c r="BC108" s="557"/>
      <c r="BD108" s="555"/>
      <c r="BE108" s="592"/>
      <c r="BF108" s="592"/>
      <c r="BG108" s="592"/>
      <c r="BH108" s="592"/>
      <c r="BI108" s="592"/>
      <c r="BJ108" s="592"/>
      <c r="BK108" s="592"/>
      <c r="BL108" s="592"/>
      <c r="BM108" s="592"/>
      <c r="BN108" s="592"/>
      <c r="BO108" s="592"/>
      <c r="BP108" s="592"/>
      <c r="BQ108" s="592"/>
      <c r="BR108" s="592"/>
      <c r="BS108" s="592"/>
      <c r="BT108" s="592"/>
    </row>
    <row r="109" spans="1:72" s="591" customFormat="1" ht="15">
      <c r="A109" s="539"/>
      <c r="B109" s="539"/>
      <c r="C109" s="539"/>
      <c r="D109" s="539"/>
      <c r="E109" s="539"/>
      <c r="F109" s="539"/>
      <c r="G109" s="539"/>
      <c r="H109" s="539"/>
      <c r="I109" s="539"/>
      <c r="J109" s="539"/>
      <c r="K109" s="539"/>
      <c r="L109" s="539"/>
      <c r="M109" s="539"/>
      <c r="N109" s="539"/>
      <c r="O109" s="539"/>
      <c r="P109" s="539"/>
      <c r="Q109" s="539"/>
      <c r="R109" s="539"/>
      <c r="S109" s="557"/>
      <c r="T109" s="557"/>
      <c r="U109" s="557"/>
      <c r="V109" s="557"/>
      <c r="W109" s="539"/>
      <c r="X109" s="539"/>
      <c r="Y109" s="557"/>
      <c r="Z109" s="557"/>
      <c r="AA109" s="539"/>
      <c r="AB109" s="539"/>
      <c r="AC109" s="539"/>
      <c r="AD109" s="557"/>
      <c r="AE109" s="557"/>
      <c r="AF109" s="557"/>
      <c r="AG109" s="557"/>
      <c r="AH109" s="557"/>
      <c r="AI109" s="557"/>
      <c r="AJ109" s="557"/>
      <c r="AK109" s="557"/>
      <c r="AL109" s="557"/>
      <c r="AM109" s="557"/>
      <c r="AN109" s="557"/>
      <c r="AO109" s="557"/>
      <c r="AP109" s="557"/>
      <c r="AQ109" s="557"/>
      <c r="AR109" s="557"/>
      <c r="AS109" s="557"/>
      <c r="AT109" s="557"/>
      <c r="AU109" s="557"/>
      <c r="AV109" s="557"/>
      <c r="AW109" s="557"/>
      <c r="AX109" s="557"/>
      <c r="AY109" s="557"/>
      <c r="AZ109" s="557"/>
      <c r="BA109" s="557"/>
      <c r="BB109" s="557"/>
      <c r="BC109" s="557"/>
      <c r="BD109" s="555"/>
      <c r="BE109" s="592"/>
      <c r="BF109" s="592"/>
      <c r="BG109" s="592"/>
      <c r="BH109" s="592"/>
      <c r="BI109" s="592"/>
      <c r="BJ109" s="592"/>
      <c r="BK109" s="592"/>
      <c r="BL109" s="592"/>
      <c r="BM109" s="592"/>
      <c r="BN109" s="592"/>
      <c r="BO109" s="592"/>
      <c r="BP109" s="592"/>
      <c r="BQ109" s="592"/>
      <c r="BR109" s="592"/>
      <c r="BS109" s="592"/>
      <c r="BT109" s="592"/>
    </row>
    <row r="110" spans="1:72" s="591" customFormat="1" ht="15">
      <c r="A110" s="539"/>
      <c r="B110" s="539"/>
      <c r="C110" s="539"/>
      <c r="D110" s="539"/>
      <c r="E110" s="539"/>
      <c r="F110" s="539"/>
      <c r="G110" s="539"/>
      <c r="H110" s="539"/>
      <c r="I110" s="539"/>
      <c r="J110" s="539"/>
      <c r="K110" s="539"/>
      <c r="L110" s="539"/>
      <c r="M110" s="539"/>
      <c r="N110" s="539"/>
      <c r="O110" s="539"/>
      <c r="P110" s="539"/>
      <c r="Q110" s="539"/>
      <c r="R110" s="539"/>
      <c r="S110" s="557"/>
      <c r="T110" s="557"/>
      <c r="U110" s="557"/>
      <c r="V110" s="557"/>
      <c r="W110" s="539"/>
      <c r="X110" s="539"/>
      <c r="Y110" s="557"/>
      <c r="Z110" s="557"/>
      <c r="AA110" s="539"/>
      <c r="AB110" s="539"/>
      <c r="AC110" s="539"/>
      <c r="AD110" s="557"/>
      <c r="AE110" s="557"/>
      <c r="AF110" s="557"/>
      <c r="AG110" s="557"/>
      <c r="AH110" s="557"/>
      <c r="AI110" s="557"/>
      <c r="AJ110" s="557"/>
      <c r="AK110" s="557"/>
      <c r="AL110" s="557"/>
      <c r="AM110" s="557"/>
      <c r="AN110" s="557"/>
      <c r="AO110" s="557"/>
      <c r="AP110" s="557"/>
      <c r="AQ110" s="557"/>
      <c r="AR110" s="557"/>
      <c r="AS110" s="557"/>
      <c r="AT110" s="557"/>
      <c r="AU110" s="557"/>
      <c r="AV110" s="557"/>
      <c r="AW110" s="557"/>
      <c r="AX110" s="557"/>
      <c r="AY110" s="557"/>
      <c r="AZ110" s="557"/>
      <c r="BA110" s="557"/>
      <c r="BB110" s="557"/>
      <c r="BC110" s="557"/>
      <c r="BD110" s="555"/>
      <c r="BE110" s="592"/>
      <c r="BF110" s="592"/>
      <c r="BG110" s="592"/>
      <c r="BH110" s="592"/>
      <c r="BI110" s="592"/>
      <c r="BJ110" s="592"/>
      <c r="BK110" s="592"/>
      <c r="BL110" s="592"/>
      <c r="BM110" s="592"/>
      <c r="BN110" s="592"/>
      <c r="BO110" s="592"/>
      <c r="BP110" s="592"/>
      <c r="BQ110" s="592"/>
      <c r="BR110" s="592"/>
      <c r="BS110" s="592"/>
      <c r="BT110" s="592"/>
    </row>
    <row r="111" spans="1:72" s="591" customFormat="1" ht="15">
      <c r="A111" s="539"/>
      <c r="B111" s="539"/>
      <c r="C111" s="539"/>
      <c r="D111" s="539"/>
      <c r="E111" s="539"/>
      <c r="F111" s="539"/>
      <c r="G111" s="539"/>
      <c r="H111" s="539"/>
      <c r="I111" s="539"/>
      <c r="J111" s="539"/>
      <c r="K111" s="539"/>
      <c r="L111" s="539"/>
      <c r="M111" s="539"/>
      <c r="N111" s="539"/>
      <c r="O111" s="539"/>
      <c r="P111" s="539"/>
      <c r="Q111" s="539"/>
      <c r="R111" s="539"/>
      <c r="S111" s="557"/>
      <c r="T111" s="557"/>
      <c r="U111" s="557"/>
      <c r="V111" s="557"/>
      <c r="W111" s="539"/>
      <c r="X111" s="539"/>
      <c r="Y111" s="557"/>
      <c r="Z111" s="557"/>
      <c r="AA111" s="539"/>
      <c r="AB111" s="539"/>
      <c r="AC111" s="539"/>
      <c r="AD111" s="557"/>
      <c r="AE111" s="557"/>
      <c r="AF111" s="557"/>
      <c r="AG111" s="557"/>
      <c r="AH111" s="557"/>
      <c r="AI111" s="557"/>
      <c r="AJ111" s="557"/>
      <c r="AK111" s="557"/>
      <c r="AL111" s="557"/>
      <c r="AM111" s="557"/>
      <c r="AN111" s="557"/>
      <c r="AO111" s="557"/>
      <c r="AP111" s="557"/>
      <c r="AQ111" s="557"/>
      <c r="AR111" s="557"/>
      <c r="AS111" s="557"/>
      <c r="AT111" s="557"/>
      <c r="AU111" s="557"/>
      <c r="AV111" s="557"/>
      <c r="AW111" s="557"/>
      <c r="AX111" s="557"/>
      <c r="AY111" s="557"/>
      <c r="AZ111" s="557"/>
      <c r="BA111" s="557"/>
      <c r="BB111" s="557"/>
      <c r="BC111" s="557"/>
      <c r="BD111" s="555"/>
      <c r="BE111" s="592"/>
      <c r="BF111" s="592"/>
      <c r="BG111" s="592"/>
      <c r="BH111" s="592"/>
      <c r="BI111" s="592"/>
      <c r="BJ111" s="592"/>
      <c r="BK111" s="592"/>
      <c r="BL111" s="592"/>
      <c r="BM111" s="592"/>
      <c r="BN111" s="592"/>
      <c r="BO111" s="592"/>
      <c r="BP111" s="592"/>
      <c r="BQ111" s="592"/>
      <c r="BR111" s="592"/>
      <c r="BS111" s="592"/>
      <c r="BT111" s="592"/>
    </row>
    <row r="112" spans="1:72" s="591" customFormat="1" ht="15">
      <c r="A112" s="539"/>
      <c r="B112" s="539"/>
      <c r="C112" s="539"/>
      <c r="D112" s="539"/>
      <c r="E112" s="539"/>
      <c r="F112" s="539"/>
      <c r="G112" s="539"/>
      <c r="H112" s="539"/>
      <c r="I112" s="539"/>
      <c r="J112" s="539"/>
      <c r="K112" s="539"/>
      <c r="L112" s="539"/>
      <c r="M112" s="539"/>
      <c r="N112" s="539"/>
      <c r="O112" s="539"/>
      <c r="P112" s="539"/>
      <c r="Q112" s="539"/>
      <c r="R112" s="539"/>
      <c r="S112" s="557"/>
      <c r="T112" s="557"/>
      <c r="U112" s="557"/>
      <c r="V112" s="557"/>
      <c r="W112" s="539"/>
      <c r="X112" s="539"/>
      <c r="Y112" s="557"/>
      <c r="Z112" s="557"/>
      <c r="AA112" s="539"/>
      <c r="AB112" s="539"/>
      <c r="AC112" s="539"/>
      <c r="AD112" s="557"/>
      <c r="AE112" s="557"/>
      <c r="AF112" s="557"/>
      <c r="AG112" s="557"/>
      <c r="AH112" s="557"/>
      <c r="AI112" s="557"/>
      <c r="AJ112" s="557"/>
      <c r="AK112" s="557"/>
      <c r="AL112" s="557"/>
      <c r="AM112" s="557"/>
      <c r="AN112" s="557"/>
      <c r="AO112" s="557"/>
      <c r="AP112" s="557"/>
      <c r="AQ112" s="557"/>
      <c r="AR112" s="557"/>
      <c r="AS112" s="557"/>
      <c r="AT112" s="557"/>
      <c r="AU112" s="557"/>
      <c r="AV112" s="557"/>
      <c r="AW112" s="557"/>
      <c r="AX112" s="557"/>
      <c r="AY112" s="557"/>
      <c r="AZ112" s="557"/>
      <c r="BA112" s="557"/>
      <c r="BB112" s="557"/>
      <c r="BC112" s="557"/>
      <c r="BD112" s="555"/>
      <c r="BE112" s="592"/>
      <c r="BF112" s="592"/>
      <c r="BG112" s="592"/>
      <c r="BH112" s="592"/>
      <c r="BI112" s="592"/>
      <c r="BJ112" s="592"/>
      <c r="BK112" s="592"/>
      <c r="BL112" s="592"/>
      <c r="BM112" s="592"/>
      <c r="BN112" s="592"/>
      <c r="BO112" s="592"/>
      <c r="BP112" s="592"/>
      <c r="BQ112" s="592"/>
      <c r="BR112" s="592"/>
      <c r="BS112" s="592"/>
      <c r="BT112" s="592"/>
    </row>
    <row r="113" spans="1:72" s="591" customFormat="1" ht="15">
      <c r="A113" s="539"/>
      <c r="B113" s="539"/>
      <c r="C113" s="539"/>
      <c r="D113" s="539"/>
      <c r="E113" s="539"/>
      <c r="F113" s="539"/>
      <c r="G113" s="539"/>
      <c r="H113" s="539"/>
      <c r="I113" s="539"/>
      <c r="J113" s="539"/>
      <c r="K113" s="539"/>
      <c r="L113" s="539"/>
      <c r="M113" s="539"/>
      <c r="N113" s="539"/>
      <c r="O113" s="539"/>
      <c r="P113" s="539"/>
      <c r="Q113" s="539"/>
      <c r="R113" s="539"/>
      <c r="S113" s="557"/>
      <c r="T113" s="557"/>
      <c r="U113" s="557"/>
      <c r="V113" s="557"/>
      <c r="W113" s="539"/>
      <c r="X113" s="539"/>
      <c r="Y113" s="557"/>
      <c r="Z113" s="557"/>
      <c r="AA113" s="539"/>
      <c r="AB113" s="539"/>
      <c r="AC113" s="539"/>
      <c r="AD113" s="557"/>
      <c r="AE113" s="557"/>
      <c r="AF113" s="557"/>
      <c r="AG113" s="557"/>
      <c r="AH113" s="557"/>
      <c r="AI113" s="557"/>
      <c r="AJ113" s="557"/>
      <c r="AK113" s="557"/>
      <c r="AL113" s="557"/>
      <c r="AM113" s="557"/>
      <c r="AN113" s="557"/>
      <c r="AO113" s="557"/>
      <c r="AP113" s="557"/>
      <c r="AQ113" s="557"/>
      <c r="AR113" s="557"/>
      <c r="AS113" s="557"/>
      <c r="AT113" s="557"/>
      <c r="AU113" s="557"/>
      <c r="AV113" s="557"/>
      <c r="AW113" s="557"/>
      <c r="AX113" s="557"/>
      <c r="AY113" s="557"/>
      <c r="AZ113" s="557"/>
      <c r="BA113" s="557"/>
      <c r="BB113" s="557"/>
      <c r="BC113" s="557"/>
      <c r="BD113" s="555"/>
      <c r="BE113" s="592"/>
      <c r="BF113" s="592"/>
      <c r="BG113" s="592"/>
      <c r="BH113" s="592"/>
      <c r="BI113" s="592"/>
      <c r="BJ113" s="592"/>
      <c r="BK113" s="592"/>
      <c r="BL113" s="592"/>
      <c r="BM113" s="592"/>
      <c r="BN113" s="592"/>
      <c r="BO113" s="592"/>
      <c r="BP113" s="592"/>
      <c r="BQ113" s="592"/>
      <c r="BR113" s="592"/>
      <c r="BS113" s="592"/>
      <c r="BT113" s="592"/>
    </row>
    <row r="114" spans="1:72" s="591" customFormat="1" ht="15">
      <c r="A114" s="539"/>
      <c r="B114" s="539"/>
      <c r="C114" s="539"/>
      <c r="D114" s="539"/>
      <c r="E114" s="539"/>
      <c r="F114" s="539"/>
      <c r="G114" s="539"/>
      <c r="H114" s="539"/>
      <c r="I114" s="539"/>
      <c r="J114" s="539"/>
      <c r="K114" s="539"/>
      <c r="L114" s="539"/>
      <c r="M114" s="539"/>
      <c r="N114" s="539"/>
      <c r="O114" s="539"/>
      <c r="P114" s="539"/>
      <c r="Q114" s="539"/>
      <c r="R114" s="539"/>
      <c r="S114" s="557"/>
      <c r="T114" s="557"/>
      <c r="U114" s="557"/>
      <c r="V114" s="557"/>
      <c r="W114" s="539"/>
      <c r="X114" s="539"/>
      <c r="Y114" s="557"/>
      <c r="Z114" s="557"/>
      <c r="AA114" s="539"/>
      <c r="AB114" s="539"/>
      <c r="AC114" s="539"/>
      <c r="AD114" s="557"/>
      <c r="AE114" s="557"/>
      <c r="AF114" s="557"/>
      <c r="AG114" s="557"/>
      <c r="AH114" s="557"/>
      <c r="AI114" s="557"/>
      <c r="AJ114" s="557"/>
      <c r="AK114" s="557"/>
      <c r="AL114" s="557"/>
      <c r="AM114" s="557"/>
      <c r="AN114" s="557"/>
      <c r="AO114" s="557"/>
      <c r="AP114" s="557"/>
      <c r="AQ114" s="557"/>
      <c r="AR114" s="557"/>
      <c r="AS114" s="557"/>
      <c r="AT114" s="557"/>
      <c r="AU114" s="557"/>
      <c r="AV114" s="557"/>
      <c r="AW114" s="557"/>
      <c r="AX114" s="557"/>
      <c r="AY114" s="557"/>
      <c r="AZ114" s="557"/>
      <c r="BA114" s="557"/>
      <c r="BB114" s="557"/>
      <c r="BC114" s="557"/>
      <c r="BD114" s="555"/>
      <c r="BE114" s="592"/>
      <c r="BF114" s="592"/>
      <c r="BG114" s="592"/>
      <c r="BH114" s="592"/>
      <c r="BI114" s="592"/>
      <c r="BJ114" s="592"/>
      <c r="BK114" s="592"/>
      <c r="BL114" s="592"/>
      <c r="BM114" s="592"/>
      <c r="BN114" s="592"/>
      <c r="BO114" s="592"/>
      <c r="BP114" s="592"/>
      <c r="BQ114" s="592"/>
      <c r="BR114" s="592"/>
      <c r="BS114" s="592"/>
      <c r="BT114" s="592"/>
    </row>
    <row r="115" spans="1:72" s="591" customFormat="1" ht="15">
      <c r="A115" s="539"/>
      <c r="B115" s="539"/>
      <c r="C115" s="539"/>
      <c r="D115" s="539"/>
      <c r="E115" s="539"/>
      <c r="F115" s="539"/>
      <c r="G115" s="539"/>
      <c r="H115" s="539"/>
      <c r="I115" s="539"/>
      <c r="J115" s="539"/>
      <c r="K115" s="539"/>
      <c r="L115" s="539"/>
      <c r="M115" s="539"/>
      <c r="N115" s="539"/>
      <c r="O115" s="539"/>
      <c r="P115" s="539"/>
      <c r="Q115" s="539"/>
      <c r="R115" s="539"/>
      <c r="S115" s="557"/>
      <c r="T115" s="557"/>
      <c r="U115" s="557"/>
      <c r="V115" s="557"/>
      <c r="W115" s="539"/>
      <c r="X115" s="539"/>
      <c r="Y115" s="557"/>
      <c r="Z115" s="557"/>
      <c r="AA115" s="539"/>
      <c r="AB115" s="539"/>
      <c r="AC115" s="539"/>
      <c r="AD115" s="557"/>
      <c r="AE115" s="557"/>
      <c r="AF115" s="557"/>
      <c r="AG115" s="557"/>
      <c r="AH115" s="557"/>
      <c r="AI115" s="557"/>
      <c r="AJ115" s="557"/>
      <c r="AK115" s="557"/>
      <c r="AL115" s="557"/>
      <c r="AM115" s="557"/>
      <c r="AN115" s="557"/>
      <c r="AO115" s="557"/>
      <c r="AP115" s="557"/>
      <c r="AQ115" s="557"/>
      <c r="AR115" s="557"/>
      <c r="AS115" s="557"/>
      <c r="AT115" s="557"/>
      <c r="AU115" s="557"/>
      <c r="AV115" s="557"/>
      <c r="AW115" s="557"/>
      <c r="AX115" s="557"/>
      <c r="AY115" s="557"/>
      <c r="AZ115" s="557"/>
      <c r="BA115" s="557"/>
      <c r="BB115" s="557"/>
      <c r="BC115" s="557"/>
      <c r="BD115" s="555"/>
      <c r="BE115" s="592"/>
      <c r="BF115" s="592"/>
      <c r="BG115" s="592"/>
      <c r="BH115" s="592"/>
      <c r="BI115" s="592"/>
      <c r="BJ115" s="592"/>
      <c r="BK115" s="592"/>
      <c r="BL115" s="592"/>
      <c r="BM115" s="592"/>
      <c r="BN115" s="592"/>
      <c r="BO115" s="592"/>
      <c r="BP115" s="592"/>
      <c r="BQ115" s="592"/>
      <c r="BR115" s="592"/>
      <c r="BS115" s="592"/>
      <c r="BT115" s="592"/>
    </row>
    <row r="116" spans="1:72" s="591" customFormat="1" ht="15">
      <c r="A116" s="539"/>
      <c r="B116" s="539"/>
      <c r="C116" s="539"/>
      <c r="D116" s="539"/>
      <c r="E116" s="539"/>
      <c r="F116" s="539"/>
      <c r="G116" s="539"/>
      <c r="H116" s="539"/>
      <c r="I116" s="539"/>
      <c r="J116" s="539"/>
      <c r="K116" s="539"/>
      <c r="L116" s="539"/>
      <c r="M116" s="539"/>
      <c r="N116" s="539"/>
      <c r="O116" s="539"/>
      <c r="P116" s="539"/>
      <c r="Q116" s="539"/>
      <c r="R116" s="539"/>
      <c r="S116" s="557"/>
      <c r="T116" s="557"/>
      <c r="U116" s="557"/>
      <c r="V116" s="557"/>
      <c r="W116" s="539"/>
      <c r="X116" s="539"/>
      <c r="Y116" s="557"/>
      <c r="Z116" s="557"/>
      <c r="AA116" s="539"/>
      <c r="AB116" s="539"/>
      <c r="AC116" s="539"/>
      <c r="AD116" s="557"/>
      <c r="AE116" s="557"/>
      <c r="AF116" s="557"/>
      <c r="AG116" s="557"/>
      <c r="AH116" s="557"/>
      <c r="AI116" s="557"/>
      <c r="AJ116" s="557"/>
      <c r="AK116" s="557"/>
      <c r="AL116" s="557"/>
      <c r="AM116" s="557"/>
      <c r="AN116" s="557"/>
      <c r="AO116" s="557"/>
      <c r="AP116" s="557"/>
      <c r="AQ116" s="557"/>
      <c r="AR116" s="557"/>
      <c r="AS116" s="557"/>
      <c r="AT116" s="557"/>
      <c r="AU116" s="557"/>
      <c r="AV116" s="557"/>
      <c r="AW116" s="557"/>
      <c r="AX116" s="557"/>
      <c r="AY116" s="557"/>
      <c r="AZ116" s="557"/>
      <c r="BA116" s="557"/>
      <c r="BB116" s="557"/>
      <c r="BC116" s="557"/>
      <c r="BD116" s="555"/>
      <c r="BE116" s="592"/>
      <c r="BF116" s="592"/>
      <c r="BG116" s="592"/>
      <c r="BH116" s="592"/>
      <c r="BI116" s="592"/>
      <c r="BJ116" s="592"/>
      <c r="BK116" s="592"/>
      <c r="BL116" s="592"/>
      <c r="BM116" s="592"/>
      <c r="BN116" s="592"/>
      <c r="BO116" s="592"/>
      <c r="BP116" s="592"/>
      <c r="BQ116" s="592"/>
      <c r="BR116" s="592"/>
      <c r="BS116" s="592"/>
      <c r="BT116" s="592"/>
    </row>
    <row r="117" spans="1:72" s="591" customFormat="1" ht="15">
      <c r="A117" s="539"/>
      <c r="B117" s="539"/>
      <c r="C117" s="539"/>
      <c r="D117" s="539"/>
      <c r="E117" s="539"/>
      <c r="F117" s="539"/>
      <c r="G117" s="539"/>
      <c r="H117" s="539"/>
      <c r="I117" s="539"/>
      <c r="J117" s="539"/>
      <c r="K117" s="539"/>
      <c r="L117" s="539"/>
      <c r="M117" s="539"/>
      <c r="N117" s="539"/>
      <c r="O117" s="539"/>
      <c r="P117" s="539"/>
      <c r="Q117" s="539"/>
      <c r="R117" s="539"/>
      <c r="S117" s="557"/>
      <c r="T117" s="557"/>
      <c r="U117" s="557"/>
      <c r="V117" s="557"/>
      <c r="W117" s="539"/>
      <c r="X117" s="539"/>
      <c r="Y117" s="557"/>
      <c r="Z117" s="557"/>
      <c r="AA117" s="539"/>
      <c r="AB117" s="539"/>
      <c r="AC117" s="539"/>
      <c r="AD117" s="557"/>
      <c r="AE117" s="557"/>
      <c r="AF117" s="557"/>
      <c r="AG117" s="557"/>
      <c r="AH117" s="557"/>
      <c r="AI117" s="557"/>
      <c r="AJ117" s="557"/>
      <c r="AK117" s="557"/>
      <c r="AL117" s="557"/>
      <c r="AM117" s="557"/>
      <c r="AN117" s="557"/>
      <c r="AO117" s="557"/>
      <c r="AP117" s="557"/>
      <c r="AQ117" s="557"/>
      <c r="AR117" s="557"/>
      <c r="AS117" s="557"/>
      <c r="AT117" s="557"/>
      <c r="AU117" s="557"/>
      <c r="AV117" s="557"/>
      <c r="AW117" s="557"/>
      <c r="AX117" s="557"/>
      <c r="AY117" s="557"/>
      <c r="AZ117" s="557"/>
      <c r="BA117" s="557"/>
      <c r="BB117" s="557"/>
      <c r="BC117" s="557"/>
      <c r="BD117" s="555"/>
      <c r="BE117" s="592"/>
      <c r="BF117" s="592"/>
      <c r="BG117" s="592"/>
      <c r="BH117" s="592"/>
      <c r="BI117" s="592"/>
      <c r="BJ117" s="592"/>
      <c r="BK117" s="592"/>
      <c r="BL117" s="592"/>
      <c r="BM117" s="592"/>
      <c r="BN117" s="592"/>
      <c r="BO117" s="592"/>
      <c r="BP117" s="592"/>
      <c r="BQ117" s="592"/>
      <c r="BR117" s="592"/>
      <c r="BS117" s="592"/>
      <c r="BT117" s="592"/>
    </row>
    <row r="118" spans="1:72" s="591" customFormat="1" ht="15">
      <c r="A118" s="539"/>
      <c r="B118" s="539"/>
      <c r="C118" s="539"/>
      <c r="D118" s="539"/>
      <c r="E118" s="539"/>
      <c r="F118" s="539"/>
      <c r="G118" s="539"/>
      <c r="H118" s="539"/>
      <c r="I118" s="539"/>
      <c r="J118" s="539"/>
      <c r="K118" s="539"/>
      <c r="L118" s="539"/>
      <c r="M118" s="539"/>
      <c r="N118" s="539"/>
      <c r="O118" s="539"/>
      <c r="P118" s="539"/>
      <c r="Q118" s="539"/>
      <c r="R118" s="539"/>
      <c r="S118" s="557"/>
      <c r="T118" s="557"/>
      <c r="U118" s="557"/>
      <c r="V118" s="557"/>
      <c r="W118" s="539"/>
      <c r="X118" s="539"/>
      <c r="Y118" s="557"/>
      <c r="Z118" s="557"/>
      <c r="AA118" s="539"/>
      <c r="AB118" s="539"/>
      <c r="AC118" s="539"/>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5"/>
      <c r="BE118" s="592"/>
      <c r="BF118" s="592"/>
      <c r="BG118" s="592"/>
      <c r="BH118" s="592"/>
      <c r="BI118" s="592"/>
      <c r="BJ118" s="592"/>
      <c r="BK118" s="592"/>
      <c r="BL118" s="592"/>
      <c r="BM118" s="592"/>
      <c r="BN118" s="592"/>
      <c r="BO118" s="592"/>
      <c r="BP118" s="592"/>
      <c r="BQ118" s="592"/>
      <c r="BR118" s="592"/>
      <c r="BS118" s="592"/>
      <c r="BT118" s="592"/>
    </row>
    <row r="119" spans="1:72" s="591" customFormat="1" ht="15">
      <c r="A119" s="539"/>
      <c r="B119" s="539"/>
      <c r="C119" s="539"/>
      <c r="D119" s="539"/>
      <c r="E119" s="539"/>
      <c r="F119" s="539"/>
      <c r="G119" s="539"/>
      <c r="H119" s="539"/>
      <c r="I119" s="539"/>
      <c r="J119" s="539"/>
      <c r="K119" s="539"/>
      <c r="L119" s="539"/>
      <c r="M119" s="539"/>
      <c r="N119" s="539"/>
      <c r="O119" s="539"/>
      <c r="P119" s="539"/>
      <c r="Q119" s="539"/>
      <c r="R119" s="539"/>
      <c r="S119" s="557"/>
      <c r="T119" s="557"/>
      <c r="U119" s="557"/>
      <c r="V119" s="557"/>
      <c r="W119" s="539"/>
      <c r="X119" s="539"/>
      <c r="Y119" s="557"/>
      <c r="Z119" s="557"/>
      <c r="AA119" s="539"/>
      <c r="AB119" s="539"/>
      <c r="AC119" s="539"/>
      <c r="AD119" s="557"/>
      <c r="AE119" s="557"/>
      <c r="AF119" s="557"/>
      <c r="AG119" s="557"/>
      <c r="AH119" s="557"/>
      <c r="AI119" s="557"/>
      <c r="AJ119" s="557"/>
      <c r="AK119" s="557"/>
      <c r="AL119" s="557"/>
      <c r="AM119" s="557"/>
      <c r="AN119" s="557"/>
      <c r="AO119" s="557"/>
      <c r="AP119" s="557"/>
      <c r="AQ119" s="557"/>
      <c r="AR119" s="557"/>
      <c r="AS119" s="557"/>
      <c r="AT119" s="557"/>
      <c r="AU119" s="557"/>
      <c r="AV119" s="557"/>
      <c r="AW119" s="557"/>
      <c r="AX119" s="557"/>
      <c r="AY119" s="557"/>
      <c r="AZ119" s="557"/>
      <c r="BA119" s="557"/>
      <c r="BB119" s="557"/>
      <c r="BC119" s="557"/>
      <c r="BD119" s="555"/>
      <c r="BE119" s="592"/>
      <c r="BF119" s="592"/>
      <c r="BG119" s="592"/>
      <c r="BH119" s="592"/>
      <c r="BI119" s="592"/>
      <c r="BJ119" s="592"/>
      <c r="BK119" s="592"/>
      <c r="BL119" s="592"/>
      <c r="BM119" s="592"/>
      <c r="BN119" s="592"/>
      <c r="BO119" s="592"/>
      <c r="BP119" s="592"/>
      <c r="BQ119" s="592"/>
      <c r="BR119" s="592"/>
      <c r="BS119" s="592"/>
      <c r="BT119" s="592"/>
    </row>
    <row r="120" spans="1:72" s="591" customFormat="1" ht="15">
      <c r="A120" s="539"/>
      <c r="B120" s="539"/>
      <c r="C120" s="539"/>
      <c r="D120" s="539"/>
      <c r="E120" s="539"/>
      <c r="F120" s="539"/>
      <c r="G120" s="539"/>
      <c r="H120" s="539"/>
      <c r="I120" s="539"/>
      <c r="J120" s="539"/>
      <c r="K120" s="539"/>
      <c r="L120" s="539"/>
      <c r="M120" s="539"/>
      <c r="N120" s="539"/>
      <c r="O120" s="539"/>
      <c r="P120" s="539"/>
      <c r="Q120" s="539"/>
      <c r="R120" s="539"/>
      <c r="S120" s="557"/>
      <c r="T120" s="557"/>
      <c r="U120" s="557"/>
      <c r="V120" s="557"/>
      <c r="W120" s="539"/>
      <c r="X120" s="539"/>
      <c r="Y120" s="557"/>
      <c r="Z120" s="557"/>
      <c r="AA120" s="539"/>
      <c r="AB120" s="539"/>
      <c r="AC120" s="539"/>
      <c r="AD120" s="557"/>
      <c r="AE120" s="557"/>
      <c r="AF120" s="557"/>
      <c r="AG120" s="557"/>
      <c r="AH120" s="557"/>
      <c r="AI120" s="557"/>
      <c r="AJ120" s="557"/>
      <c r="AK120" s="557"/>
      <c r="AL120" s="557"/>
      <c r="AM120" s="557"/>
      <c r="AN120" s="557"/>
      <c r="AO120" s="557"/>
      <c r="AP120" s="557"/>
      <c r="AQ120" s="557"/>
      <c r="AR120" s="557"/>
      <c r="AS120" s="557"/>
      <c r="AT120" s="557"/>
      <c r="AU120" s="557"/>
      <c r="AV120" s="557"/>
      <c r="AW120" s="557"/>
      <c r="AX120" s="557"/>
      <c r="AY120" s="557"/>
      <c r="AZ120" s="557"/>
      <c r="BA120" s="557"/>
      <c r="BB120" s="557"/>
      <c r="BC120" s="557"/>
      <c r="BD120" s="555"/>
      <c r="BE120" s="592"/>
      <c r="BF120" s="592"/>
      <c r="BG120" s="592"/>
      <c r="BH120" s="592"/>
      <c r="BI120" s="592"/>
      <c r="BJ120" s="592"/>
      <c r="BK120" s="592"/>
      <c r="BL120" s="592"/>
      <c r="BM120" s="592"/>
      <c r="BN120" s="592"/>
      <c r="BO120" s="592"/>
      <c r="BP120" s="592"/>
      <c r="BQ120" s="592"/>
      <c r="BR120" s="592"/>
      <c r="BS120" s="592"/>
      <c r="BT120" s="592"/>
    </row>
    <row r="121" spans="1:72" s="591" customFormat="1" ht="15">
      <c r="A121" s="539"/>
      <c r="B121" s="539"/>
      <c r="C121" s="539"/>
      <c r="D121" s="539"/>
      <c r="E121" s="539"/>
      <c r="F121" s="539"/>
      <c r="G121" s="539"/>
      <c r="H121" s="539"/>
      <c r="I121" s="539"/>
      <c r="J121" s="539"/>
      <c r="K121" s="539"/>
      <c r="L121" s="539"/>
      <c r="M121" s="539"/>
      <c r="N121" s="539"/>
      <c r="O121" s="539"/>
      <c r="P121" s="539"/>
      <c r="Q121" s="539"/>
      <c r="R121" s="539"/>
      <c r="S121" s="557"/>
      <c r="T121" s="557"/>
      <c r="U121" s="557"/>
      <c r="V121" s="557"/>
      <c r="W121" s="539"/>
      <c r="X121" s="539"/>
      <c r="Y121" s="557"/>
      <c r="Z121" s="557"/>
      <c r="AA121" s="539"/>
      <c r="AB121" s="539"/>
      <c r="AC121" s="539"/>
      <c r="AD121" s="557"/>
      <c r="AE121" s="557"/>
      <c r="AF121" s="557"/>
      <c r="AG121" s="557"/>
      <c r="AH121" s="557"/>
      <c r="AI121" s="557"/>
      <c r="AJ121" s="557"/>
      <c r="AK121" s="557"/>
      <c r="AL121" s="557"/>
      <c r="AM121" s="557"/>
      <c r="AN121" s="557"/>
      <c r="AO121" s="557"/>
      <c r="AP121" s="557"/>
      <c r="AQ121" s="557"/>
      <c r="AR121" s="557"/>
      <c r="AS121" s="557"/>
      <c r="AT121" s="557"/>
      <c r="AU121" s="557"/>
      <c r="AV121" s="557"/>
      <c r="AW121" s="557"/>
      <c r="AX121" s="557"/>
      <c r="AY121" s="557"/>
      <c r="AZ121" s="557"/>
      <c r="BA121" s="557"/>
      <c r="BB121" s="557"/>
      <c r="BC121" s="557"/>
      <c r="BD121" s="555"/>
      <c r="BE121" s="592"/>
      <c r="BF121" s="592"/>
      <c r="BG121" s="592"/>
      <c r="BH121" s="592"/>
      <c r="BI121" s="592"/>
      <c r="BJ121" s="592"/>
      <c r="BK121" s="592"/>
      <c r="BL121" s="592"/>
      <c r="BM121" s="592"/>
      <c r="BN121" s="592"/>
      <c r="BO121" s="592"/>
      <c r="BP121" s="592"/>
      <c r="BQ121" s="592"/>
      <c r="BR121" s="592"/>
      <c r="BS121" s="592"/>
      <c r="BT121" s="592"/>
    </row>
    <row r="122" spans="1:72" s="591" customFormat="1" ht="15">
      <c r="A122" s="539"/>
      <c r="B122" s="539"/>
      <c r="C122" s="539"/>
      <c r="D122" s="539"/>
      <c r="E122" s="539"/>
      <c r="F122" s="539"/>
      <c r="G122" s="539"/>
      <c r="H122" s="539"/>
      <c r="I122" s="539"/>
      <c r="J122" s="539"/>
      <c r="K122" s="539"/>
      <c r="L122" s="539"/>
      <c r="M122" s="539"/>
      <c r="N122" s="539"/>
      <c r="O122" s="539"/>
      <c r="P122" s="539"/>
      <c r="Q122" s="539"/>
      <c r="R122" s="539"/>
      <c r="S122" s="557"/>
      <c r="T122" s="557"/>
      <c r="U122" s="557"/>
      <c r="V122" s="557"/>
      <c r="W122" s="539"/>
      <c r="X122" s="539"/>
      <c r="Y122" s="557"/>
      <c r="Z122" s="557"/>
      <c r="AA122" s="539"/>
      <c r="AB122" s="539"/>
      <c r="AC122" s="539"/>
      <c r="AD122" s="557"/>
      <c r="AE122" s="557"/>
      <c r="AF122" s="557"/>
      <c r="AG122" s="557"/>
      <c r="AH122" s="557"/>
      <c r="AI122" s="557"/>
      <c r="AJ122" s="557"/>
      <c r="AK122" s="557"/>
      <c r="AL122" s="557"/>
      <c r="AM122" s="557"/>
      <c r="AN122" s="557"/>
      <c r="AO122" s="557"/>
      <c r="AP122" s="557"/>
      <c r="AQ122" s="557"/>
      <c r="AR122" s="557"/>
      <c r="AS122" s="557"/>
      <c r="AT122" s="557"/>
      <c r="AU122" s="557"/>
      <c r="AV122" s="557"/>
      <c r="AW122" s="557"/>
      <c r="AX122" s="557"/>
      <c r="AY122" s="557"/>
      <c r="AZ122" s="557"/>
      <c r="BA122" s="557"/>
      <c r="BB122" s="557"/>
      <c r="BC122" s="557"/>
      <c r="BD122" s="555"/>
      <c r="BE122" s="592"/>
      <c r="BF122" s="592"/>
      <c r="BG122" s="592"/>
      <c r="BH122" s="592"/>
      <c r="BI122" s="592"/>
      <c r="BJ122" s="592"/>
      <c r="BK122" s="592"/>
      <c r="BL122" s="592"/>
      <c r="BM122" s="592"/>
      <c r="BN122" s="592"/>
      <c r="BO122" s="592"/>
      <c r="BP122" s="592"/>
      <c r="BQ122" s="592"/>
      <c r="BR122" s="592"/>
      <c r="BS122" s="592"/>
      <c r="BT122" s="592"/>
    </row>
    <row r="123" spans="1:72" s="591" customFormat="1" ht="15">
      <c r="A123" s="539"/>
      <c r="B123" s="539"/>
      <c r="C123" s="539"/>
      <c r="D123" s="539"/>
      <c r="E123" s="539"/>
      <c r="F123" s="539"/>
      <c r="G123" s="539"/>
      <c r="H123" s="539"/>
      <c r="I123" s="539"/>
      <c r="J123" s="539"/>
      <c r="K123" s="539"/>
      <c r="L123" s="539"/>
      <c r="M123" s="539"/>
      <c r="N123" s="539"/>
      <c r="O123" s="539"/>
      <c r="P123" s="539"/>
      <c r="Q123" s="539"/>
      <c r="R123" s="539"/>
      <c r="S123" s="557"/>
      <c r="T123" s="557"/>
      <c r="U123" s="557"/>
      <c r="V123" s="557"/>
      <c r="W123" s="539"/>
      <c r="X123" s="539"/>
      <c r="Y123" s="557"/>
      <c r="Z123" s="557"/>
      <c r="AA123" s="539"/>
      <c r="AB123" s="539"/>
      <c r="AC123" s="539"/>
      <c r="AD123" s="557"/>
      <c r="AE123" s="557"/>
      <c r="AF123" s="557"/>
      <c r="AG123" s="557"/>
      <c r="AH123" s="557"/>
      <c r="AI123" s="557"/>
      <c r="AJ123" s="557"/>
      <c r="AK123" s="557"/>
      <c r="AL123" s="557"/>
      <c r="AM123" s="557"/>
      <c r="AN123" s="557"/>
      <c r="AO123" s="557"/>
      <c r="AP123" s="557"/>
      <c r="AQ123" s="557"/>
      <c r="AR123" s="557"/>
      <c r="AS123" s="557"/>
      <c r="AT123" s="557"/>
      <c r="AU123" s="557"/>
      <c r="AV123" s="557"/>
      <c r="AW123" s="557"/>
      <c r="AX123" s="557"/>
      <c r="AY123" s="557"/>
      <c r="AZ123" s="557"/>
      <c r="BA123" s="557"/>
      <c r="BB123" s="557"/>
      <c r="BC123" s="557"/>
      <c r="BD123" s="555"/>
      <c r="BE123" s="592"/>
      <c r="BF123" s="592"/>
      <c r="BG123" s="592"/>
      <c r="BH123" s="592"/>
      <c r="BI123" s="592"/>
      <c r="BJ123" s="592"/>
      <c r="BK123" s="592"/>
      <c r="BL123" s="592"/>
      <c r="BM123" s="592"/>
      <c r="BN123" s="592"/>
      <c r="BO123" s="592"/>
      <c r="BP123" s="592"/>
      <c r="BQ123" s="592"/>
      <c r="BR123" s="592"/>
      <c r="BS123" s="592"/>
      <c r="BT123" s="592"/>
    </row>
    <row r="124" spans="1:72" s="591" customFormat="1" ht="15">
      <c r="A124" s="539"/>
      <c r="B124" s="539"/>
      <c r="C124" s="539"/>
      <c r="D124" s="539"/>
      <c r="E124" s="539"/>
      <c r="F124" s="539"/>
      <c r="G124" s="539"/>
      <c r="H124" s="539"/>
      <c r="I124" s="539"/>
      <c r="J124" s="539"/>
      <c r="K124" s="539"/>
      <c r="L124" s="539"/>
      <c r="M124" s="539"/>
      <c r="N124" s="539"/>
      <c r="O124" s="539"/>
      <c r="P124" s="539"/>
      <c r="Q124" s="539"/>
      <c r="R124" s="539"/>
      <c r="S124" s="557"/>
      <c r="T124" s="557"/>
      <c r="U124" s="557"/>
      <c r="V124" s="557"/>
      <c r="W124" s="539"/>
      <c r="X124" s="539"/>
      <c r="Y124" s="557"/>
      <c r="Z124" s="557"/>
      <c r="AA124" s="539"/>
      <c r="AB124" s="539"/>
      <c r="AC124" s="539"/>
      <c r="AD124" s="557"/>
      <c r="AE124" s="557"/>
      <c r="AF124" s="557"/>
      <c r="AG124" s="557"/>
      <c r="AH124" s="557"/>
      <c r="AI124" s="557"/>
      <c r="AJ124" s="557"/>
      <c r="AK124" s="557"/>
      <c r="AL124" s="557"/>
      <c r="AM124" s="557"/>
      <c r="AN124" s="557"/>
      <c r="AO124" s="557"/>
      <c r="AP124" s="557"/>
      <c r="AQ124" s="557"/>
      <c r="AR124" s="557"/>
      <c r="AS124" s="557"/>
      <c r="AT124" s="557"/>
      <c r="AU124" s="557"/>
      <c r="AV124" s="557"/>
      <c r="AW124" s="557"/>
      <c r="AX124" s="557"/>
      <c r="AY124" s="557"/>
      <c r="AZ124" s="557"/>
      <c r="BA124" s="557"/>
      <c r="BB124" s="557"/>
      <c r="BC124" s="557"/>
      <c r="BD124" s="555"/>
      <c r="BE124" s="592"/>
      <c r="BF124" s="592"/>
      <c r="BG124" s="592"/>
      <c r="BH124" s="592"/>
      <c r="BI124" s="592"/>
      <c r="BJ124" s="592"/>
      <c r="BK124" s="592"/>
      <c r="BL124" s="592"/>
      <c r="BM124" s="592"/>
      <c r="BN124" s="592"/>
      <c r="BO124" s="592"/>
      <c r="BP124" s="592"/>
      <c r="BQ124" s="592"/>
      <c r="BR124" s="592"/>
      <c r="BS124" s="592"/>
      <c r="BT124" s="592"/>
    </row>
    <row r="125" spans="1:72" s="591" customFormat="1" ht="15">
      <c r="A125" s="539"/>
      <c r="B125" s="539"/>
      <c r="C125" s="539"/>
      <c r="D125" s="539"/>
      <c r="E125" s="539"/>
      <c r="F125" s="539"/>
      <c r="G125" s="539"/>
      <c r="H125" s="539"/>
      <c r="I125" s="539"/>
      <c r="J125" s="539"/>
      <c r="K125" s="539"/>
      <c r="L125" s="539"/>
      <c r="M125" s="539"/>
      <c r="N125" s="539"/>
      <c r="O125" s="539"/>
      <c r="P125" s="539"/>
      <c r="Q125" s="539"/>
      <c r="R125" s="539"/>
      <c r="S125" s="557"/>
      <c r="T125" s="557"/>
      <c r="U125" s="557"/>
      <c r="V125" s="557"/>
      <c r="W125" s="539"/>
      <c r="X125" s="539"/>
      <c r="Y125" s="557"/>
      <c r="Z125" s="557"/>
      <c r="AA125" s="539"/>
      <c r="AB125" s="539"/>
      <c r="AC125" s="539"/>
      <c r="AD125" s="557"/>
      <c r="AE125" s="557"/>
      <c r="AF125" s="557"/>
      <c r="AG125" s="557"/>
      <c r="AH125" s="557"/>
      <c r="AI125" s="557"/>
      <c r="AJ125" s="557"/>
      <c r="AK125" s="557"/>
      <c r="AL125" s="557"/>
      <c r="AM125" s="557"/>
      <c r="AN125" s="557"/>
      <c r="AO125" s="557"/>
      <c r="AP125" s="557"/>
      <c r="AQ125" s="557"/>
      <c r="AR125" s="557"/>
      <c r="AS125" s="557"/>
      <c r="AT125" s="557"/>
      <c r="AU125" s="557"/>
      <c r="AV125" s="557"/>
      <c r="AW125" s="557"/>
      <c r="AX125" s="557"/>
      <c r="AY125" s="557"/>
      <c r="AZ125" s="557"/>
      <c r="BA125" s="557"/>
      <c r="BB125" s="557"/>
      <c r="BC125" s="557"/>
      <c r="BD125" s="555"/>
      <c r="BE125" s="592"/>
      <c r="BF125" s="592"/>
      <c r="BG125" s="592"/>
      <c r="BH125" s="592"/>
      <c r="BI125" s="592"/>
      <c r="BJ125" s="592"/>
      <c r="BK125" s="592"/>
      <c r="BL125" s="592"/>
      <c r="BM125" s="592"/>
      <c r="BN125" s="592"/>
      <c r="BO125" s="592"/>
      <c r="BP125" s="592"/>
      <c r="BQ125" s="592"/>
      <c r="BR125" s="592"/>
      <c r="BS125" s="592"/>
      <c r="BT125" s="592"/>
    </row>
    <row r="126" spans="1:72" s="591" customFormat="1" ht="15">
      <c r="A126" s="539"/>
      <c r="B126" s="539"/>
      <c r="C126" s="539"/>
      <c r="D126" s="539"/>
      <c r="E126" s="539"/>
      <c r="F126" s="539"/>
      <c r="G126" s="539"/>
      <c r="H126" s="539"/>
      <c r="I126" s="539"/>
      <c r="J126" s="539"/>
      <c r="K126" s="539"/>
      <c r="L126" s="539"/>
      <c r="M126" s="539"/>
      <c r="N126" s="539"/>
      <c r="O126" s="539"/>
      <c r="P126" s="539"/>
      <c r="Q126" s="539"/>
      <c r="R126" s="539"/>
      <c r="S126" s="557"/>
      <c r="T126" s="557"/>
      <c r="U126" s="557"/>
      <c r="V126" s="557"/>
      <c r="W126" s="539"/>
      <c r="X126" s="539"/>
      <c r="Y126" s="557"/>
      <c r="Z126" s="557"/>
      <c r="AA126" s="539"/>
      <c r="AB126" s="539"/>
      <c r="AC126" s="539"/>
      <c r="AD126" s="557"/>
      <c r="AE126" s="557"/>
      <c r="AF126" s="557"/>
      <c r="AG126" s="557"/>
      <c r="AH126" s="557"/>
      <c r="AI126" s="557"/>
      <c r="AJ126" s="557"/>
      <c r="AK126" s="557"/>
      <c r="AL126" s="557"/>
      <c r="AM126" s="557"/>
      <c r="AN126" s="557"/>
      <c r="AO126" s="557"/>
      <c r="AP126" s="557"/>
      <c r="AQ126" s="557"/>
      <c r="AR126" s="557"/>
      <c r="AS126" s="557"/>
      <c r="AT126" s="557"/>
      <c r="AU126" s="557"/>
      <c r="AV126" s="557"/>
      <c r="AW126" s="557"/>
      <c r="AX126" s="557"/>
      <c r="AY126" s="557"/>
      <c r="AZ126" s="557"/>
      <c r="BA126" s="557"/>
      <c r="BB126" s="557"/>
      <c r="BC126" s="557"/>
      <c r="BD126" s="555"/>
      <c r="BE126" s="592"/>
      <c r="BF126" s="592"/>
      <c r="BG126" s="592"/>
      <c r="BH126" s="592"/>
      <c r="BI126" s="592"/>
      <c r="BJ126" s="592"/>
      <c r="BK126" s="592"/>
      <c r="BL126" s="592"/>
      <c r="BM126" s="592"/>
      <c r="BN126" s="592"/>
      <c r="BO126" s="592"/>
      <c r="BP126" s="592"/>
      <c r="BQ126" s="592"/>
      <c r="BR126" s="592"/>
      <c r="BS126" s="592"/>
      <c r="BT126" s="592"/>
    </row>
    <row r="127" spans="1:72" s="591" customFormat="1" ht="15">
      <c r="A127" s="539"/>
      <c r="B127" s="539"/>
      <c r="C127" s="539"/>
      <c r="D127" s="539"/>
      <c r="E127" s="539"/>
      <c r="F127" s="539"/>
      <c r="G127" s="539"/>
      <c r="H127" s="539"/>
      <c r="I127" s="539"/>
      <c r="J127" s="539"/>
      <c r="K127" s="539"/>
      <c r="L127" s="539"/>
      <c r="M127" s="539"/>
      <c r="N127" s="539"/>
      <c r="O127" s="539"/>
      <c r="P127" s="539"/>
      <c r="Q127" s="539"/>
      <c r="R127" s="539"/>
      <c r="S127" s="557"/>
      <c r="T127" s="557"/>
      <c r="U127" s="557"/>
      <c r="V127" s="557"/>
      <c r="W127" s="539"/>
      <c r="X127" s="539"/>
      <c r="Y127" s="557"/>
      <c r="Z127" s="557"/>
      <c r="AA127" s="539"/>
      <c r="AB127" s="539"/>
      <c r="AC127" s="539"/>
      <c r="AD127" s="557"/>
      <c r="AE127" s="557"/>
      <c r="AF127" s="557"/>
      <c r="AG127" s="557"/>
      <c r="AH127" s="557"/>
      <c r="AI127" s="557"/>
      <c r="AJ127" s="557"/>
      <c r="AK127" s="557"/>
      <c r="AL127" s="557"/>
      <c r="AM127" s="557"/>
      <c r="AN127" s="557"/>
      <c r="AO127" s="557"/>
      <c r="AP127" s="557"/>
      <c r="AQ127" s="557"/>
      <c r="AR127" s="557"/>
      <c r="AS127" s="557"/>
      <c r="AT127" s="557"/>
      <c r="AU127" s="557"/>
      <c r="AV127" s="557"/>
      <c r="AW127" s="557"/>
      <c r="AX127" s="557"/>
      <c r="AY127" s="557"/>
      <c r="AZ127" s="557"/>
      <c r="BA127" s="557"/>
      <c r="BB127" s="557"/>
      <c r="BC127" s="557"/>
      <c r="BD127" s="555"/>
      <c r="BE127" s="592"/>
      <c r="BF127" s="592"/>
      <c r="BG127" s="592"/>
      <c r="BH127" s="592"/>
      <c r="BI127" s="592"/>
      <c r="BJ127" s="592"/>
      <c r="BK127" s="592"/>
      <c r="BL127" s="592"/>
      <c r="BM127" s="592"/>
      <c r="BN127" s="592"/>
      <c r="BO127" s="592"/>
      <c r="BP127" s="592"/>
      <c r="BQ127" s="592"/>
      <c r="BR127" s="592"/>
      <c r="BS127" s="592"/>
      <c r="BT127" s="592"/>
    </row>
    <row r="128" spans="1:72" s="591" customFormat="1" ht="15">
      <c r="A128" s="539"/>
      <c r="B128" s="539"/>
      <c r="C128" s="539"/>
      <c r="D128" s="539"/>
      <c r="E128" s="539"/>
      <c r="F128" s="539"/>
      <c r="G128" s="539"/>
      <c r="H128" s="539"/>
      <c r="I128" s="539"/>
      <c r="J128" s="539"/>
      <c r="K128" s="539"/>
      <c r="L128" s="539"/>
      <c r="M128" s="539"/>
      <c r="N128" s="539"/>
      <c r="O128" s="539"/>
      <c r="P128" s="539"/>
      <c r="Q128" s="539"/>
      <c r="R128" s="539"/>
      <c r="S128" s="557"/>
      <c r="T128" s="557"/>
      <c r="U128" s="557"/>
      <c r="V128" s="557"/>
      <c r="W128" s="539"/>
      <c r="X128" s="539"/>
      <c r="Y128" s="557"/>
      <c r="Z128" s="557"/>
      <c r="AA128" s="539"/>
      <c r="AB128" s="539"/>
      <c r="AC128" s="539"/>
      <c r="AD128" s="557"/>
      <c r="AE128" s="557"/>
      <c r="AF128" s="557"/>
      <c r="AG128" s="557"/>
      <c r="AH128" s="557"/>
      <c r="AI128" s="557"/>
      <c r="AJ128" s="557"/>
      <c r="AK128" s="557"/>
      <c r="AL128" s="557"/>
      <c r="AM128" s="557"/>
      <c r="AN128" s="557"/>
      <c r="AO128" s="557"/>
      <c r="AP128" s="557"/>
      <c r="AQ128" s="557"/>
      <c r="AR128" s="557"/>
      <c r="AS128" s="557"/>
      <c r="AT128" s="557"/>
      <c r="AU128" s="557"/>
      <c r="AV128" s="557"/>
      <c r="AW128" s="557"/>
      <c r="AX128" s="557"/>
      <c r="AY128" s="557"/>
      <c r="AZ128" s="557"/>
      <c r="BA128" s="557"/>
      <c r="BB128" s="557"/>
      <c r="BC128" s="557"/>
      <c r="BD128" s="555"/>
      <c r="BE128" s="592"/>
      <c r="BF128" s="592"/>
      <c r="BG128" s="592"/>
      <c r="BH128" s="592"/>
      <c r="BI128" s="592"/>
      <c r="BJ128" s="592"/>
      <c r="BK128" s="592"/>
      <c r="BL128" s="592"/>
      <c r="BM128" s="592"/>
      <c r="BN128" s="592"/>
      <c r="BO128" s="592"/>
      <c r="BP128" s="592"/>
      <c r="BQ128" s="592"/>
      <c r="BR128" s="592"/>
      <c r="BS128" s="592"/>
      <c r="BT128" s="592"/>
    </row>
    <row r="129" spans="1:72" s="591" customFormat="1" ht="15">
      <c r="A129" s="539"/>
      <c r="B129" s="539"/>
      <c r="C129" s="539"/>
      <c r="D129" s="539"/>
      <c r="E129" s="539"/>
      <c r="F129" s="539"/>
      <c r="G129" s="539"/>
      <c r="H129" s="539"/>
      <c r="I129" s="539"/>
      <c r="J129" s="539"/>
      <c r="K129" s="539"/>
      <c r="L129" s="539"/>
      <c r="M129" s="539"/>
      <c r="N129" s="539"/>
      <c r="O129" s="539"/>
      <c r="P129" s="539"/>
      <c r="Q129" s="539"/>
      <c r="R129" s="539"/>
      <c r="S129" s="557"/>
      <c r="T129" s="557"/>
      <c r="U129" s="557"/>
      <c r="V129" s="557"/>
      <c r="W129" s="539"/>
      <c r="X129" s="539"/>
      <c r="Y129" s="557"/>
      <c r="Z129" s="557"/>
      <c r="AA129" s="539"/>
      <c r="AB129" s="539"/>
      <c r="AC129" s="539"/>
      <c r="AD129" s="557"/>
      <c r="AE129" s="557"/>
      <c r="AF129" s="557"/>
      <c r="AG129" s="557"/>
      <c r="AH129" s="557"/>
      <c r="AI129" s="557"/>
      <c r="AJ129" s="557"/>
      <c r="AK129" s="557"/>
      <c r="AL129" s="557"/>
      <c r="AM129" s="557"/>
      <c r="AN129" s="557"/>
      <c r="AO129" s="557"/>
      <c r="AP129" s="557"/>
      <c r="AQ129" s="557"/>
      <c r="AR129" s="557"/>
      <c r="AS129" s="557"/>
      <c r="AT129" s="557"/>
      <c r="AU129" s="557"/>
      <c r="AV129" s="557"/>
      <c r="AW129" s="557"/>
      <c r="AX129" s="557"/>
      <c r="AY129" s="557"/>
      <c r="AZ129" s="557"/>
      <c r="BA129" s="557"/>
      <c r="BB129" s="557"/>
      <c r="BC129" s="557"/>
      <c r="BD129" s="555"/>
      <c r="BE129" s="592"/>
      <c r="BF129" s="592"/>
      <c r="BG129" s="592"/>
      <c r="BH129" s="592"/>
      <c r="BI129" s="592"/>
      <c r="BJ129" s="592"/>
      <c r="BK129" s="592"/>
      <c r="BL129" s="592"/>
      <c r="BM129" s="592"/>
      <c r="BN129" s="592"/>
      <c r="BO129" s="592"/>
      <c r="BP129" s="592"/>
      <c r="BQ129" s="592"/>
      <c r="BR129" s="592"/>
      <c r="BS129" s="592"/>
      <c r="BT129" s="592"/>
    </row>
    <row r="130" spans="1:72" s="591" customFormat="1" ht="15">
      <c r="A130" s="539"/>
      <c r="B130" s="539"/>
      <c r="C130" s="539"/>
      <c r="D130" s="539"/>
      <c r="E130" s="539"/>
      <c r="F130" s="539"/>
      <c r="G130" s="539"/>
      <c r="H130" s="539"/>
      <c r="I130" s="539"/>
      <c r="J130" s="539"/>
      <c r="K130" s="539"/>
      <c r="L130" s="539"/>
      <c r="M130" s="539"/>
      <c r="N130" s="539"/>
      <c r="O130" s="539"/>
      <c r="P130" s="539"/>
      <c r="Q130" s="539"/>
      <c r="R130" s="539"/>
      <c r="S130" s="557"/>
      <c r="T130" s="557"/>
      <c r="U130" s="557"/>
      <c r="V130" s="557"/>
      <c r="W130" s="539"/>
      <c r="X130" s="539"/>
      <c r="Y130" s="557"/>
      <c r="Z130" s="557"/>
      <c r="AA130" s="539"/>
      <c r="AB130" s="539"/>
      <c r="AC130" s="539"/>
      <c r="AD130" s="557"/>
      <c r="AE130" s="557"/>
      <c r="AF130" s="557"/>
      <c r="AG130" s="557"/>
      <c r="AH130" s="557"/>
      <c r="AI130" s="557"/>
      <c r="AJ130" s="557"/>
      <c r="AK130" s="557"/>
      <c r="AL130" s="557"/>
      <c r="AM130" s="557"/>
      <c r="AN130" s="557"/>
      <c r="AO130" s="557"/>
      <c r="AP130" s="557"/>
      <c r="AQ130" s="557"/>
      <c r="AR130" s="557"/>
      <c r="AS130" s="557"/>
      <c r="AT130" s="557"/>
      <c r="AU130" s="557"/>
      <c r="AV130" s="557"/>
      <c r="AW130" s="557"/>
      <c r="AX130" s="557"/>
      <c r="AY130" s="557"/>
      <c r="AZ130" s="557"/>
      <c r="BA130" s="557"/>
      <c r="BB130" s="557"/>
      <c r="BC130" s="557"/>
      <c r="BD130" s="555"/>
      <c r="BE130" s="592"/>
      <c r="BF130" s="592"/>
      <c r="BG130" s="592"/>
      <c r="BH130" s="592"/>
      <c r="BI130" s="592"/>
      <c r="BJ130" s="592"/>
      <c r="BK130" s="592"/>
      <c r="BL130" s="592"/>
      <c r="BM130" s="592"/>
      <c r="BN130" s="592"/>
      <c r="BO130" s="592"/>
      <c r="BP130" s="592"/>
      <c r="BQ130" s="592"/>
      <c r="BR130" s="592"/>
      <c r="BS130" s="592"/>
      <c r="BT130" s="592"/>
    </row>
    <row r="131" spans="1:72" s="591" customFormat="1" ht="15">
      <c r="A131" s="539"/>
      <c r="B131" s="539"/>
      <c r="C131" s="539"/>
      <c r="D131" s="539"/>
      <c r="E131" s="539"/>
      <c r="F131" s="539"/>
      <c r="G131" s="539"/>
      <c r="H131" s="539"/>
      <c r="I131" s="539"/>
      <c r="J131" s="539"/>
      <c r="K131" s="539"/>
      <c r="L131" s="539"/>
      <c r="M131" s="539"/>
      <c r="N131" s="539"/>
      <c r="O131" s="539"/>
      <c r="P131" s="539"/>
      <c r="Q131" s="539"/>
      <c r="R131" s="539"/>
      <c r="S131" s="557"/>
      <c r="T131" s="557"/>
      <c r="U131" s="557"/>
      <c r="V131" s="557"/>
      <c r="W131" s="539"/>
      <c r="X131" s="539"/>
      <c r="Y131" s="557"/>
      <c r="Z131" s="557"/>
      <c r="AA131" s="539"/>
      <c r="AB131" s="539"/>
      <c r="AC131" s="539"/>
      <c r="AD131" s="557"/>
      <c r="AE131" s="557"/>
      <c r="AF131" s="557"/>
      <c r="AG131" s="557"/>
      <c r="AH131" s="557"/>
      <c r="AI131" s="557"/>
      <c r="AJ131" s="557"/>
      <c r="AK131" s="557"/>
      <c r="AL131" s="557"/>
      <c r="AM131" s="557"/>
      <c r="AN131" s="557"/>
      <c r="AO131" s="557"/>
      <c r="AP131" s="557"/>
      <c r="AQ131" s="557"/>
      <c r="AR131" s="557"/>
      <c r="AS131" s="557"/>
      <c r="AT131" s="557"/>
      <c r="AU131" s="557"/>
      <c r="AV131" s="557"/>
      <c r="AW131" s="557"/>
      <c r="AX131" s="557"/>
      <c r="AY131" s="557"/>
      <c r="AZ131" s="557"/>
      <c r="BA131" s="557"/>
      <c r="BB131" s="557"/>
      <c r="BC131" s="557"/>
      <c r="BD131" s="555"/>
      <c r="BE131" s="592"/>
      <c r="BF131" s="592"/>
      <c r="BG131" s="592"/>
      <c r="BH131" s="592"/>
      <c r="BI131" s="592"/>
      <c r="BJ131" s="592"/>
      <c r="BK131" s="592"/>
      <c r="BL131" s="592"/>
      <c r="BM131" s="592"/>
      <c r="BN131" s="592"/>
      <c r="BO131" s="592"/>
      <c r="BP131" s="592"/>
      <c r="BQ131" s="592"/>
      <c r="BR131" s="592"/>
      <c r="BS131" s="592"/>
      <c r="BT131" s="592"/>
    </row>
    <row r="132" spans="1:72" s="591" customFormat="1" ht="15">
      <c r="A132" s="539"/>
      <c r="B132" s="539"/>
      <c r="C132" s="539"/>
      <c r="D132" s="539"/>
      <c r="E132" s="539"/>
      <c r="F132" s="539"/>
      <c r="G132" s="539"/>
      <c r="H132" s="539"/>
      <c r="I132" s="539"/>
      <c r="J132" s="539"/>
      <c r="K132" s="539"/>
      <c r="L132" s="539"/>
      <c r="M132" s="539"/>
      <c r="N132" s="539"/>
      <c r="O132" s="539"/>
      <c r="P132" s="539"/>
      <c r="Q132" s="539"/>
      <c r="R132" s="539"/>
      <c r="S132" s="557"/>
      <c r="T132" s="557"/>
      <c r="U132" s="557"/>
      <c r="V132" s="557"/>
      <c r="W132" s="539"/>
      <c r="X132" s="539"/>
      <c r="Y132" s="557"/>
      <c r="Z132" s="557"/>
      <c r="AA132" s="539"/>
      <c r="AB132" s="539"/>
      <c r="AC132" s="539"/>
      <c r="AD132" s="557"/>
      <c r="AE132" s="557"/>
      <c r="AF132" s="557"/>
      <c r="AG132" s="557"/>
      <c r="AH132" s="557"/>
      <c r="AI132" s="557"/>
      <c r="AJ132" s="557"/>
      <c r="AK132" s="557"/>
      <c r="AL132" s="557"/>
      <c r="AM132" s="557"/>
      <c r="AN132" s="557"/>
      <c r="AO132" s="557"/>
      <c r="AP132" s="557"/>
      <c r="AQ132" s="557"/>
      <c r="AR132" s="557"/>
      <c r="AS132" s="557"/>
      <c r="AT132" s="557"/>
      <c r="AU132" s="557"/>
      <c r="AV132" s="557"/>
      <c r="AW132" s="557"/>
      <c r="AX132" s="557"/>
      <c r="AY132" s="557"/>
      <c r="AZ132" s="557"/>
      <c r="BA132" s="557"/>
      <c r="BB132" s="557"/>
      <c r="BC132" s="557"/>
      <c r="BD132" s="555"/>
      <c r="BE132" s="592"/>
      <c r="BF132" s="592"/>
      <c r="BG132" s="592"/>
      <c r="BH132" s="592"/>
      <c r="BI132" s="592"/>
      <c r="BJ132" s="592"/>
      <c r="BK132" s="592"/>
      <c r="BL132" s="592"/>
      <c r="BM132" s="592"/>
      <c r="BN132" s="592"/>
      <c r="BO132" s="592"/>
      <c r="BP132" s="592"/>
      <c r="BQ132" s="592"/>
      <c r="BR132" s="592"/>
      <c r="BS132" s="592"/>
      <c r="BT132" s="592"/>
    </row>
    <row r="133" spans="1:72" s="591" customFormat="1" ht="15">
      <c r="A133" s="539"/>
      <c r="B133" s="539"/>
      <c r="C133" s="539"/>
      <c r="D133" s="539"/>
      <c r="E133" s="539"/>
      <c r="F133" s="539"/>
      <c r="G133" s="539"/>
      <c r="H133" s="539"/>
      <c r="I133" s="539"/>
      <c r="J133" s="539"/>
      <c r="K133" s="539"/>
      <c r="L133" s="539"/>
      <c r="M133" s="539"/>
      <c r="N133" s="539"/>
      <c r="O133" s="539"/>
      <c r="P133" s="539"/>
      <c r="Q133" s="539"/>
      <c r="R133" s="539"/>
      <c r="S133" s="557"/>
      <c r="T133" s="557"/>
      <c r="U133" s="557"/>
      <c r="V133" s="557"/>
      <c r="W133" s="539"/>
      <c r="X133" s="539"/>
      <c r="Y133" s="557"/>
      <c r="Z133" s="557"/>
      <c r="AA133" s="539"/>
      <c r="AB133" s="539"/>
      <c r="AC133" s="539"/>
      <c r="AD133" s="557"/>
      <c r="AE133" s="557"/>
      <c r="AF133" s="557"/>
      <c r="AG133" s="557"/>
      <c r="AH133" s="557"/>
      <c r="AI133" s="557"/>
      <c r="AJ133" s="557"/>
      <c r="AK133" s="557"/>
      <c r="AL133" s="557"/>
      <c r="AM133" s="557"/>
      <c r="AN133" s="557"/>
      <c r="AO133" s="557"/>
      <c r="AP133" s="557"/>
      <c r="AQ133" s="557"/>
      <c r="AR133" s="557"/>
      <c r="AS133" s="557"/>
      <c r="AT133" s="557"/>
      <c r="AU133" s="557"/>
      <c r="AV133" s="557"/>
      <c r="AW133" s="557"/>
      <c r="AX133" s="557"/>
      <c r="AY133" s="557"/>
      <c r="AZ133" s="557"/>
      <c r="BA133" s="557"/>
      <c r="BB133" s="557"/>
      <c r="BC133" s="557"/>
      <c r="BD133" s="555"/>
      <c r="BE133" s="592"/>
      <c r="BF133" s="592"/>
      <c r="BG133" s="592"/>
      <c r="BH133" s="592"/>
      <c r="BI133" s="592"/>
      <c r="BJ133" s="592"/>
      <c r="BK133" s="592"/>
      <c r="BL133" s="592"/>
      <c r="BM133" s="592"/>
      <c r="BN133" s="592"/>
      <c r="BO133" s="592"/>
      <c r="BP133" s="592"/>
      <c r="BQ133" s="592"/>
      <c r="BR133" s="592"/>
      <c r="BS133" s="592"/>
      <c r="BT133" s="592"/>
    </row>
    <row r="134" spans="1:72" s="591" customFormat="1" ht="15">
      <c r="A134" s="539"/>
      <c r="B134" s="539"/>
      <c r="C134" s="539"/>
      <c r="D134" s="539"/>
      <c r="E134" s="539"/>
      <c r="F134" s="539"/>
      <c r="G134" s="539"/>
      <c r="H134" s="539"/>
      <c r="I134" s="539"/>
      <c r="J134" s="539"/>
      <c r="K134" s="539"/>
      <c r="L134" s="539"/>
      <c r="M134" s="539"/>
      <c r="N134" s="539"/>
      <c r="O134" s="539"/>
      <c r="P134" s="539"/>
      <c r="Q134" s="539"/>
      <c r="R134" s="539"/>
      <c r="S134" s="557"/>
      <c r="T134" s="557"/>
      <c r="U134" s="557"/>
      <c r="V134" s="557"/>
      <c r="W134" s="539"/>
      <c r="X134" s="539"/>
      <c r="Y134" s="557"/>
      <c r="Z134" s="557"/>
      <c r="AA134" s="539"/>
      <c r="AB134" s="539"/>
      <c r="AC134" s="539"/>
      <c r="AD134" s="557"/>
      <c r="AE134" s="557"/>
      <c r="AF134" s="557"/>
      <c r="AG134" s="557"/>
      <c r="AH134" s="557"/>
      <c r="AI134" s="557"/>
      <c r="AJ134" s="557"/>
      <c r="AK134" s="557"/>
      <c r="AL134" s="557"/>
      <c r="AM134" s="557"/>
      <c r="AN134" s="557"/>
      <c r="AO134" s="557"/>
      <c r="AP134" s="557"/>
      <c r="AQ134" s="557"/>
      <c r="AR134" s="557"/>
      <c r="AS134" s="557"/>
      <c r="AT134" s="557"/>
      <c r="AU134" s="557"/>
      <c r="AV134" s="557"/>
      <c r="AW134" s="557"/>
      <c r="AX134" s="557"/>
      <c r="AY134" s="557"/>
      <c r="AZ134" s="557"/>
      <c r="BA134" s="557"/>
      <c r="BB134" s="557"/>
      <c r="BC134" s="557"/>
      <c r="BD134" s="555"/>
      <c r="BE134" s="592"/>
      <c r="BF134" s="592"/>
      <c r="BG134" s="592"/>
      <c r="BH134" s="592"/>
      <c r="BI134" s="592"/>
      <c r="BJ134" s="592"/>
      <c r="BK134" s="592"/>
      <c r="BL134" s="592"/>
      <c r="BM134" s="592"/>
      <c r="BN134" s="592"/>
      <c r="BO134" s="592"/>
      <c r="BP134" s="592"/>
      <c r="BQ134" s="592"/>
      <c r="BR134" s="592"/>
      <c r="BS134" s="592"/>
      <c r="BT134" s="592"/>
    </row>
    <row r="135" spans="1:72" s="591" customFormat="1" ht="15">
      <c r="A135" s="539"/>
      <c r="B135" s="539"/>
      <c r="C135" s="539"/>
      <c r="D135" s="539"/>
      <c r="E135" s="539"/>
      <c r="F135" s="539"/>
      <c r="G135" s="539"/>
      <c r="H135" s="539"/>
      <c r="I135" s="539"/>
      <c r="J135" s="539"/>
      <c r="K135" s="539"/>
      <c r="L135" s="539"/>
      <c r="M135" s="539"/>
      <c r="N135" s="539"/>
      <c r="O135" s="539"/>
      <c r="P135" s="539"/>
      <c r="Q135" s="539"/>
      <c r="R135" s="539"/>
      <c r="S135" s="557"/>
      <c r="T135" s="557"/>
      <c r="U135" s="557"/>
      <c r="V135" s="557"/>
      <c r="W135" s="539"/>
      <c r="X135" s="539"/>
      <c r="Y135" s="557"/>
      <c r="Z135" s="557"/>
      <c r="AA135" s="539"/>
      <c r="AB135" s="539"/>
      <c r="AC135" s="539"/>
      <c r="AD135" s="557"/>
      <c r="AE135" s="557"/>
      <c r="AF135" s="557"/>
      <c r="AG135" s="557"/>
      <c r="AH135" s="557"/>
      <c r="AI135" s="557"/>
      <c r="AJ135" s="557"/>
      <c r="AK135" s="557"/>
      <c r="AL135" s="557"/>
      <c r="AM135" s="557"/>
      <c r="AN135" s="557"/>
      <c r="AO135" s="557"/>
      <c r="AP135" s="557"/>
      <c r="AQ135" s="557"/>
      <c r="AR135" s="557"/>
      <c r="AS135" s="557"/>
      <c r="AT135" s="557"/>
      <c r="AU135" s="557"/>
      <c r="AV135" s="557"/>
      <c r="AW135" s="557"/>
      <c r="AX135" s="557"/>
      <c r="AY135" s="557"/>
      <c r="AZ135" s="557"/>
      <c r="BA135" s="557"/>
      <c r="BB135" s="557"/>
      <c r="BC135" s="557"/>
      <c r="BD135" s="555"/>
      <c r="BE135" s="592"/>
      <c r="BF135" s="592"/>
      <c r="BG135" s="592"/>
      <c r="BH135" s="592"/>
      <c r="BI135" s="592"/>
      <c r="BJ135" s="592"/>
      <c r="BK135" s="592"/>
      <c r="BL135" s="592"/>
      <c r="BM135" s="592"/>
      <c r="BN135" s="592"/>
      <c r="BO135" s="592"/>
      <c r="BP135" s="592"/>
      <c r="BQ135" s="592"/>
      <c r="BR135" s="592"/>
      <c r="BS135" s="592"/>
      <c r="BT135" s="592"/>
    </row>
    <row r="136" spans="1:72" s="591" customFormat="1" ht="15">
      <c r="A136" s="539"/>
      <c r="B136" s="539"/>
      <c r="C136" s="539"/>
      <c r="D136" s="539"/>
      <c r="E136" s="539"/>
      <c r="F136" s="539"/>
      <c r="G136" s="539"/>
      <c r="H136" s="539"/>
      <c r="I136" s="539"/>
      <c r="J136" s="539"/>
      <c r="K136" s="539"/>
      <c r="L136" s="539"/>
      <c r="M136" s="539"/>
      <c r="N136" s="539"/>
      <c r="O136" s="539"/>
      <c r="P136" s="539"/>
      <c r="Q136" s="539"/>
      <c r="R136" s="539"/>
      <c r="S136" s="557"/>
      <c r="T136" s="557"/>
      <c r="U136" s="557"/>
      <c r="V136" s="557"/>
      <c r="W136" s="539"/>
      <c r="X136" s="539"/>
      <c r="Y136" s="557"/>
      <c r="Z136" s="557"/>
      <c r="AA136" s="539"/>
      <c r="AB136" s="539"/>
      <c r="AC136" s="539"/>
      <c r="AD136" s="557"/>
      <c r="AE136" s="557"/>
      <c r="AF136" s="557"/>
      <c r="AG136" s="557"/>
      <c r="AH136" s="557"/>
      <c r="AI136" s="557"/>
      <c r="AJ136" s="557"/>
      <c r="AK136" s="557"/>
      <c r="AL136" s="557"/>
      <c r="AM136" s="557"/>
      <c r="AN136" s="557"/>
      <c r="AO136" s="557"/>
      <c r="AP136" s="557"/>
      <c r="AQ136" s="557"/>
      <c r="AR136" s="557"/>
      <c r="AS136" s="557"/>
      <c r="AT136" s="557"/>
      <c r="AU136" s="557"/>
      <c r="AV136" s="557"/>
      <c r="AW136" s="557"/>
      <c r="AX136" s="557"/>
      <c r="AY136" s="557"/>
      <c r="AZ136" s="557"/>
      <c r="BA136" s="557"/>
      <c r="BB136" s="557"/>
      <c r="BC136" s="557"/>
      <c r="BD136" s="555"/>
      <c r="BE136" s="592"/>
      <c r="BF136" s="592"/>
      <c r="BG136" s="592"/>
      <c r="BH136" s="592"/>
      <c r="BI136" s="592"/>
      <c r="BJ136" s="592"/>
      <c r="BK136" s="592"/>
      <c r="BL136" s="592"/>
      <c r="BM136" s="592"/>
      <c r="BN136" s="592"/>
      <c r="BO136" s="592"/>
      <c r="BP136" s="592"/>
      <c r="BQ136" s="592"/>
      <c r="BR136" s="592"/>
      <c r="BS136" s="592"/>
      <c r="BT136" s="592"/>
    </row>
    <row r="137" spans="1:72" s="591" customFormat="1" ht="15">
      <c r="A137" s="539"/>
      <c r="B137" s="539"/>
      <c r="C137" s="539"/>
      <c r="D137" s="539"/>
      <c r="E137" s="539"/>
      <c r="F137" s="539"/>
      <c r="G137" s="539"/>
      <c r="H137" s="539"/>
      <c r="I137" s="539"/>
      <c r="J137" s="539"/>
      <c r="K137" s="539"/>
      <c r="L137" s="539"/>
      <c r="M137" s="539"/>
      <c r="N137" s="539"/>
      <c r="O137" s="539"/>
      <c r="P137" s="539"/>
      <c r="Q137" s="539"/>
      <c r="R137" s="539"/>
      <c r="S137" s="557"/>
      <c r="T137" s="557"/>
      <c r="U137" s="557"/>
      <c r="V137" s="557"/>
      <c r="W137" s="539"/>
      <c r="X137" s="539"/>
      <c r="Y137" s="557"/>
      <c r="Z137" s="557"/>
      <c r="AA137" s="539"/>
      <c r="AB137" s="539"/>
      <c r="AC137" s="539"/>
      <c r="AD137" s="557"/>
      <c r="AE137" s="557"/>
      <c r="AF137" s="557"/>
      <c r="AG137" s="557"/>
      <c r="AH137" s="557"/>
      <c r="AI137" s="557"/>
      <c r="AJ137" s="557"/>
      <c r="AK137" s="557"/>
      <c r="AL137" s="557"/>
      <c r="AM137" s="557"/>
      <c r="AN137" s="557"/>
      <c r="AO137" s="557"/>
      <c r="AP137" s="557"/>
      <c r="AQ137" s="557"/>
      <c r="AR137" s="557"/>
      <c r="AS137" s="557"/>
      <c r="AT137" s="557"/>
      <c r="AU137" s="557"/>
      <c r="AV137" s="557"/>
      <c r="AW137" s="557"/>
      <c r="AX137" s="557"/>
      <c r="AY137" s="557"/>
      <c r="AZ137" s="557"/>
      <c r="BA137" s="557"/>
      <c r="BB137" s="557"/>
      <c r="BC137" s="557"/>
      <c r="BD137" s="555"/>
      <c r="BE137" s="592"/>
      <c r="BF137" s="592"/>
      <c r="BG137" s="592"/>
      <c r="BH137" s="592"/>
      <c r="BI137" s="592"/>
      <c r="BJ137" s="592"/>
      <c r="BK137" s="592"/>
      <c r="BL137" s="592"/>
      <c r="BM137" s="592"/>
      <c r="BN137" s="592"/>
      <c r="BO137" s="592"/>
      <c r="BP137" s="592"/>
      <c r="BQ137" s="592"/>
      <c r="BR137" s="592"/>
      <c r="BS137" s="592"/>
      <c r="BT137" s="592"/>
    </row>
    <row r="138" spans="1:72" s="591" customFormat="1" ht="15">
      <c r="A138" s="539"/>
      <c r="B138" s="539"/>
      <c r="C138" s="539"/>
      <c r="D138" s="539"/>
      <c r="E138" s="539"/>
      <c r="F138" s="539"/>
      <c r="G138" s="539"/>
      <c r="H138" s="539"/>
      <c r="I138" s="539"/>
      <c r="J138" s="539"/>
      <c r="K138" s="539"/>
      <c r="L138" s="539"/>
      <c r="M138" s="539"/>
      <c r="N138" s="539"/>
      <c r="O138" s="539"/>
      <c r="P138" s="539"/>
      <c r="Q138" s="539"/>
      <c r="R138" s="539"/>
      <c r="S138" s="557"/>
      <c r="T138" s="557"/>
      <c r="U138" s="557"/>
      <c r="V138" s="557"/>
      <c r="W138" s="539"/>
      <c r="X138" s="539"/>
      <c r="Y138" s="557"/>
      <c r="Z138" s="557"/>
      <c r="AA138" s="539"/>
      <c r="AB138" s="539"/>
      <c r="AC138" s="539"/>
      <c r="AD138" s="557"/>
      <c r="AE138" s="557"/>
      <c r="AF138" s="557"/>
      <c r="AG138" s="557"/>
      <c r="AH138" s="557"/>
      <c r="AI138" s="557"/>
      <c r="AJ138" s="557"/>
      <c r="AK138" s="557"/>
      <c r="AL138" s="557"/>
      <c r="AM138" s="557"/>
      <c r="AN138" s="557"/>
      <c r="AO138" s="557"/>
      <c r="AP138" s="557"/>
      <c r="AQ138" s="557"/>
      <c r="AR138" s="557"/>
      <c r="AS138" s="557"/>
      <c r="AT138" s="557"/>
      <c r="AU138" s="557"/>
      <c r="AV138" s="557"/>
      <c r="AW138" s="557"/>
      <c r="AX138" s="557"/>
      <c r="AY138" s="557"/>
      <c r="AZ138" s="557"/>
      <c r="BA138" s="557"/>
      <c r="BB138" s="557"/>
      <c r="BC138" s="557"/>
      <c r="BD138" s="555"/>
      <c r="BE138" s="592"/>
      <c r="BF138" s="592"/>
      <c r="BG138" s="592"/>
      <c r="BH138" s="592"/>
      <c r="BI138" s="592"/>
      <c r="BJ138" s="592"/>
      <c r="BK138" s="592"/>
      <c r="BL138" s="592"/>
      <c r="BM138" s="592"/>
      <c r="BN138" s="592"/>
      <c r="BO138" s="592"/>
      <c r="BP138" s="592"/>
      <c r="BQ138" s="592"/>
      <c r="BR138" s="592"/>
      <c r="BS138" s="592"/>
      <c r="BT138" s="592"/>
    </row>
    <row r="139" spans="1:72" s="591" customFormat="1" ht="15">
      <c r="A139" s="539"/>
      <c r="B139" s="539"/>
      <c r="C139" s="539"/>
      <c r="D139" s="539"/>
      <c r="E139" s="539"/>
      <c r="F139" s="539"/>
      <c r="G139" s="539"/>
      <c r="H139" s="539"/>
      <c r="I139" s="539"/>
      <c r="J139" s="539"/>
      <c r="K139" s="539"/>
      <c r="L139" s="539"/>
      <c r="M139" s="539"/>
      <c r="N139" s="539"/>
      <c r="O139" s="539"/>
      <c r="P139" s="539"/>
      <c r="Q139" s="539"/>
      <c r="R139" s="539"/>
      <c r="S139" s="557"/>
      <c r="T139" s="557"/>
      <c r="U139" s="557"/>
      <c r="V139" s="557"/>
      <c r="W139" s="539"/>
      <c r="X139" s="539"/>
      <c r="Y139" s="557"/>
      <c r="Z139" s="557"/>
      <c r="AA139" s="539"/>
      <c r="AB139" s="539"/>
      <c r="AC139" s="539"/>
      <c r="AD139" s="557"/>
      <c r="AE139" s="557"/>
      <c r="AF139" s="557"/>
      <c r="AG139" s="557"/>
      <c r="AH139" s="557"/>
      <c r="AI139" s="557"/>
      <c r="AJ139" s="557"/>
      <c r="AK139" s="557"/>
      <c r="AL139" s="557"/>
      <c r="AM139" s="557"/>
      <c r="AN139" s="557"/>
      <c r="AO139" s="557"/>
      <c r="AP139" s="557"/>
      <c r="AQ139" s="557"/>
      <c r="AR139" s="557"/>
      <c r="AS139" s="557"/>
      <c r="AT139" s="557"/>
      <c r="AU139" s="557"/>
      <c r="AV139" s="557"/>
      <c r="AW139" s="557"/>
      <c r="AX139" s="557"/>
      <c r="AY139" s="557"/>
      <c r="AZ139" s="557"/>
      <c r="BA139" s="557"/>
      <c r="BB139" s="557"/>
      <c r="BC139" s="557"/>
      <c r="BD139" s="555"/>
      <c r="BE139" s="592"/>
      <c r="BF139" s="592"/>
      <c r="BG139" s="592"/>
      <c r="BH139" s="592"/>
      <c r="BI139" s="592"/>
      <c r="BJ139" s="592"/>
      <c r="BK139" s="592"/>
      <c r="BL139" s="592"/>
      <c r="BM139" s="592"/>
      <c r="BN139" s="592"/>
      <c r="BO139" s="592"/>
      <c r="BP139" s="592"/>
      <c r="BQ139" s="592"/>
      <c r="BR139" s="592"/>
      <c r="BS139" s="592"/>
      <c r="BT139" s="592"/>
    </row>
    <row r="140" spans="1:72" s="591" customFormat="1" ht="15">
      <c r="A140" s="539"/>
      <c r="B140" s="539"/>
      <c r="C140" s="539"/>
      <c r="D140" s="539"/>
      <c r="E140" s="539"/>
      <c r="F140" s="539"/>
      <c r="G140" s="539"/>
      <c r="H140" s="539"/>
      <c r="I140" s="539"/>
      <c r="J140" s="539"/>
      <c r="K140" s="539"/>
      <c r="L140" s="539"/>
      <c r="M140" s="539"/>
      <c r="N140" s="539"/>
      <c r="O140" s="539"/>
      <c r="P140" s="539"/>
      <c r="Q140" s="539"/>
      <c r="R140" s="539"/>
      <c r="S140" s="557"/>
      <c r="T140" s="557"/>
      <c r="U140" s="557"/>
      <c r="V140" s="557"/>
      <c r="W140" s="539"/>
      <c r="X140" s="539"/>
      <c r="Y140" s="557"/>
      <c r="Z140" s="557"/>
      <c r="AA140" s="539"/>
      <c r="AB140" s="539"/>
      <c r="AC140" s="539"/>
      <c r="AD140" s="557"/>
      <c r="AE140" s="557"/>
      <c r="AF140" s="557"/>
      <c r="AG140" s="557"/>
      <c r="AH140" s="557"/>
      <c r="AI140" s="557"/>
      <c r="AJ140" s="557"/>
      <c r="AK140" s="557"/>
      <c r="AL140" s="557"/>
      <c r="AM140" s="557"/>
      <c r="AN140" s="557"/>
      <c r="AO140" s="557"/>
      <c r="AP140" s="557"/>
      <c r="AQ140" s="557"/>
      <c r="AR140" s="557"/>
      <c r="AS140" s="557"/>
      <c r="AT140" s="557"/>
      <c r="AU140" s="557"/>
      <c r="AV140" s="557"/>
      <c r="AW140" s="557"/>
      <c r="AX140" s="557"/>
      <c r="AY140" s="557"/>
      <c r="AZ140" s="557"/>
      <c r="BA140" s="557"/>
      <c r="BB140" s="557"/>
      <c r="BC140" s="557"/>
      <c r="BD140" s="555"/>
      <c r="BE140" s="592"/>
      <c r="BF140" s="592"/>
      <c r="BG140" s="592"/>
      <c r="BH140" s="592"/>
      <c r="BI140" s="592"/>
      <c r="BJ140" s="592"/>
      <c r="BK140" s="592"/>
      <c r="BL140" s="592"/>
      <c r="BM140" s="592"/>
      <c r="BN140" s="592"/>
      <c r="BO140" s="592"/>
      <c r="BP140" s="592"/>
      <c r="BQ140" s="592"/>
      <c r="BR140" s="592"/>
      <c r="BS140" s="592"/>
      <c r="BT140" s="592"/>
    </row>
    <row r="141" spans="1:72" s="591" customFormat="1" ht="15">
      <c r="A141" s="539"/>
      <c r="B141" s="539"/>
      <c r="C141" s="539"/>
      <c r="D141" s="539"/>
      <c r="E141" s="539"/>
      <c r="F141" s="539"/>
      <c r="G141" s="539"/>
      <c r="H141" s="539"/>
      <c r="I141" s="539"/>
      <c r="J141" s="539"/>
      <c r="K141" s="539"/>
      <c r="L141" s="539"/>
      <c r="M141" s="539"/>
      <c r="N141" s="539"/>
      <c r="O141" s="539"/>
      <c r="P141" s="539"/>
      <c r="Q141" s="539"/>
      <c r="R141" s="539"/>
      <c r="S141" s="557"/>
      <c r="T141" s="557"/>
      <c r="U141" s="557"/>
      <c r="V141" s="557"/>
      <c r="W141" s="539"/>
      <c r="X141" s="539"/>
      <c r="Y141" s="557"/>
      <c r="Z141" s="557"/>
      <c r="AA141" s="539"/>
      <c r="AB141" s="539"/>
      <c r="AC141" s="539"/>
      <c r="AD141" s="557"/>
      <c r="AE141" s="557"/>
      <c r="AF141" s="557"/>
      <c r="AG141" s="557"/>
      <c r="AH141" s="557"/>
      <c r="AI141" s="557"/>
      <c r="AJ141" s="557"/>
      <c r="AK141" s="557"/>
      <c r="AL141" s="557"/>
      <c r="AM141" s="557"/>
      <c r="AN141" s="557"/>
      <c r="AO141" s="557"/>
      <c r="AP141" s="557"/>
      <c r="AQ141" s="557"/>
      <c r="AR141" s="557"/>
      <c r="AS141" s="557"/>
      <c r="AT141" s="557"/>
      <c r="AU141" s="557"/>
      <c r="AV141" s="557"/>
      <c r="AW141" s="557"/>
      <c r="AX141" s="557"/>
      <c r="AY141" s="557"/>
      <c r="AZ141" s="557"/>
      <c r="BA141" s="557"/>
      <c r="BB141" s="557"/>
      <c r="BC141" s="557"/>
      <c r="BD141" s="555"/>
      <c r="BE141" s="592"/>
      <c r="BF141" s="592"/>
      <c r="BG141" s="592"/>
      <c r="BH141" s="592"/>
      <c r="BI141" s="592"/>
      <c r="BJ141" s="592"/>
      <c r="BK141" s="592"/>
      <c r="BL141" s="592"/>
      <c r="BM141" s="592"/>
      <c r="BN141" s="592"/>
      <c r="BO141" s="592"/>
      <c r="BP141" s="592"/>
      <c r="BQ141" s="592"/>
      <c r="BR141" s="592"/>
      <c r="BS141" s="592"/>
      <c r="BT141" s="592"/>
    </row>
    <row r="142" spans="1:72" s="591" customFormat="1" ht="15">
      <c r="A142" s="539"/>
      <c r="B142" s="539"/>
      <c r="C142" s="539"/>
      <c r="D142" s="539"/>
      <c r="E142" s="539"/>
      <c r="F142" s="539"/>
      <c r="G142" s="539"/>
      <c r="H142" s="539"/>
      <c r="I142" s="539"/>
      <c r="J142" s="539"/>
      <c r="K142" s="539"/>
      <c r="L142" s="539"/>
      <c r="M142" s="539"/>
      <c r="N142" s="539"/>
      <c r="O142" s="539"/>
      <c r="P142" s="539"/>
      <c r="Q142" s="539"/>
      <c r="R142" s="539"/>
      <c r="S142" s="557"/>
      <c r="T142" s="557"/>
      <c r="U142" s="557"/>
      <c r="V142" s="557"/>
      <c r="W142" s="539"/>
      <c r="X142" s="539"/>
      <c r="Y142" s="557"/>
      <c r="Z142" s="557"/>
      <c r="AA142" s="539"/>
      <c r="AB142" s="539"/>
      <c r="AC142" s="539"/>
      <c r="AD142" s="557"/>
      <c r="AE142" s="557"/>
      <c r="AF142" s="557"/>
      <c r="AG142" s="557"/>
      <c r="AH142" s="557"/>
      <c r="AI142" s="557"/>
      <c r="AJ142" s="557"/>
      <c r="AK142" s="557"/>
      <c r="AL142" s="557"/>
      <c r="AM142" s="557"/>
      <c r="AN142" s="557"/>
      <c r="AO142" s="557"/>
      <c r="AP142" s="557"/>
      <c r="AQ142" s="557"/>
      <c r="AR142" s="557"/>
      <c r="AS142" s="557"/>
      <c r="AT142" s="557"/>
      <c r="AU142" s="557"/>
      <c r="AV142" s="557"/>
      <c r="AW142" s="557"/>
      <c r="AX142" s="557"/>
      <c r="AY142" s="557"/>
      <c r="AZ142" s="557"/>
      <c r="BA142" s="557"/>
      <c r="BB142" s="557"/>
      <c r="BC142" s="557"/>
      <c r="BD142" s="555"/>
      <c r="BE142" s="592"/>
      <c r="BF142" s="592"/>
      <c r="BG142" s="592"/>
      <c r="BH142" s="592"/>
      <c r="BI142" s="592"/>
      <c r="BJ142" s="592"/>
      <c r="BK142" s="592"/>
      <c r="BL142" s="592"/>
      <c r="BM142" s="592"/>
      <c r="BN142" s="592"/>
      <c r="BO142" s="592"/>
      <c r="BP142" s="592"/>
      <c r="BQ142" s="592"/>
      <c r="BR142" s="592"/>
      <c r="BS142" s="592"/>
      <c r="BT142" s="592"/>
    </row>
    <row r="143" spans="1:72" s="591" customFormat="1" ht="15">
      <c r="A143" s="539"/>
      <c r="B143" s="539"/>
      <c r="C143" s="539"/>
      <c r="D143" s="539"/>
      <c r="E143" s="539"/>
      <c r="F143" s="539"/>
      <c r="G143" s="539"/>
      <c r="H143" s="539"/>
      <c r="I143" s="539"/>
      <c r="J143" s="539"/>
      <c r="K143" s="539"/>
      <c r="L143" s="539"/>
      <c r="M143" s="539"/>
      <c r="N143" s="539"/>
      <c r="O143" s="539"/>
      <c r="P143" s="539"/>
      <c r="Q143" s="539"/>
      <c r="R143" s="539"/>
      <c r="S143" s="557"/>
      <c r="T143" s="557"/>
      <c r="U143" s="557"/>
      <c r="V143" s="557"/>
      <c r="W143" s="539"/>
      <c r="X143" s="539"/>
      <c r="Y143" s="557"/>
      <c r="Z143" s="557"/>
      <c r="AA143" s="539"/>
      <c r="AB143" s="539"/>
      <c r="AC143" s="539"/>
      <c r="AD143" s="557"/>
      <c r="AE143" s="557"/>
      <c r="AF143" s="557"/>
      <c r="AG143" s="557"/>
      <c r="AH143" s="557"/>
      <c r="AI143" s="557"/>
      <c r="AJ143" s="557"/>
      <c r="AK143" s="557"/>
      <c r="AL143" s="557"/>
      <c r="AM143" s="557"/>
      <c r="AN143" s="557"/>
      <c r="AO143" s="557"/>
      <c r="AP143" s="557"/>
      <c r="AQ143" s="557"/>
      <c r="AR143" s="557"/>
      <c r="AS143" s="557"/>
      <c r="AT143" s="557"/>
      <c r="AU143" s="557"/>
      <c r="AV143" s="557"/>
      <c r="AW143" s="557"/>
      <c r="AX143" s="557"/>
      <c r="AY143" s="557"/>
      <c r="AZ143" s="557"/>
      <c r="BA143" s="557"/>
      <c r="BB143" s="557"/>
      <c r="BC143" s="557"/>
      <c r="BD143" s="555"/>
      <c r="BE143" s="592"/>
      <c r="BF143" s="592"/>
      <c r="BG143" s="592"/>
      <c r="BH143" s="592"/>
      <c r="BI143" s="592"/>
      <c r="BJ143" s="592"/>
      <c r="BK143" s="592"/>
      <c r="BL143" s="592"/>
      <c r="BM143" s="592"/>
      <c r="BN143" s="592"/>
      <c r="BO143" s="592"/>
      <c r="BP143" s="592"/>
      <c r="BQ143" s="592"/>
      <c r="BR143" s="592"/>
      <c r="BS143" s="592"/>
      <c r="BT143" s="592"/>
    </row>
    <row r="144" spans="1:72" s="591" customFormat="1" ht="15">
      <c r="A144" s="539"/>
      <c r="B144" s="539"/>
      <c r="C144" s="539"/>
      <c r="D144" s="539"/>
      <c r="E144" s="539"/>
      <c r="F144" s="539"/>
      <c r="G144" s="539"/>
      <c r="H144" s="539"/>
      <c r="I144" s="539"/>
      <c r="J144" s="539"/>
      <c r="K144" s="539"/>
      <c r="L144" s="539"/>
      <c r="M144" s="539"/>
      <c r="N144" s="539"/>
      <c r="O144" s="539"/>
      <c r="P144" s="539"/>
      <c r="Q144" s="539"/>
      <c r="R144" s="539"/>
      <c r="S144" s="557"/>
      <c r="T144" s="557"/>
      <c r="U144" s="557"/>
      <c r="V144" s="557"/>
      <c r="W144" s="539"/>
      <c r="X144" s="539"/>
      <c r="Y144" s="557"/>
      <c r="Z144" s="557"/>
      <c r="AA144" s="539"/>
      <c r="AB144" s="539"/>
      <c r="AC144" s="539"/>
      <c r="AD144" s="557"/>
      <c r="AE144" s="557"/>
      <c r="AF144" s="557"/>
      <c r="AG144" s="557"/>
      <c r="AH144" s="557"/>
      <c r="AI144" s="557"/>
      <c r="AJ144" s="557"/>
      <c r="AK144" s="557"/>
      <c r="AL144" s="557"/>
      <c r="AM144" s="557"/>
      <c r="AN144" s="557"/>
      <c r="AO144" s="557"/>
      <c r="AP144" s="557"/>
      <c r="AQ144" s="557"/>
      <c r="AR144" s="557"/>
      <c r="AS144" s="557"/>
      <c r="AT144" s="557"/>
      <c r="AU144" s="557"/>
      <c r="AV144" s="557"/>
      <c r="AW144" s="557"/>
      <c r="AX144" s="557"/>
      <c r="AY144" s="557"/>
      <c r="AZ144" s="557"/>
      <c r="BA144" s="557"/>
      <c r="BB144" s="557"/>
      <c r="BC144" s="557"/>
      <c r="BD144" s="555"/>
      <c r="BE144" s="592"/>
      <c r="BF144" s="592"/>
      <c r="BG144" s="592"/>
      <c r="BH144" s="592"/>
      <c r="BI144" s="592"/>
      <c r="BJ144" s="592"/>
      <c r="BK144" s="592"/>
      <c r="BL144" s="592"/>
      <c r="BM144" s="592"/>
      <c r="BN144" s="592"/>
      <c r="BO144" s="592"/>
      <c r="BP144" s="592"/>
      <c r="BQ144" s="592"/>
      <c r="BR144" s="592"/>
      <c r="BS144" s="592"/>
      <c r="BT144" s="592"/>
    </row>
    <row r="145" spans="1:72" s="591" customFormat="1" ht="15">
      <c r="A145" s="539"/>
      <c r="B145" s="539"/>
      <c r="C145" s="539"/>
      <c r="D145" s="539"/>
      <c r="E145" s="539"/>
      <c r="F145" s="539"/>
      <c r="G145" s="539"/>
      <c r="H145" s="539"/>
      <c r="I145" s="539"/>
      <c r="J145" s="539"/>
      <c r="K145" s="539"/>
      <c r="L145" s="539"/>
      <c r="M145" s="539"/>
      <c r="N145" s="539"/>
      <c r="O145" s="539"/>
      <c r="P145" s="539"/>
      <c r="Q145" s="539"/>
      <c r="R145" s="539"/>
      <c r="S145" s="557"/>
      <c r="T145" s="557"/>
      <c r="U145" s="557"/>
      <c r="V145" s="557"/>
      <c r="W145" s="539"/>
      <c r="X145" s="539"/>
      <c r="Y145" s="557"/>
      <c r="Z145" s="557"/>
      <c r="AA145" s="539"/>
      <c r="AB145" s="539"/>
      <c r="AC145" s="539"/>
      <c r="AD145" s="557"/>
      <c r="AE145" s="557"/>
      <c r="AF145" s="557"/>
      <c r="AG145" s="557"/>
      <c r="AH145" s="557"/>
      <c r="AI145" s="557"/>
      <c r="AJ145" s="557"/>
      <c r="AK145" s="557"/>
      <c r="AL145" s="557"/>
      <c r="AM145" s="557"/>
      <c r="AN145" s="557"/>
      <c r="AO145" s="557"/>
      <c r="AP145" s="557"/>
      <c r="AQ145" s="557"/>
      <c r="AR145" s="557"/>
      <c r="AS145" s="557"/>
      <c r="AT145" s="557"/>
      <c r="AU145" s="557"/>
      <c r="AV145" s="557"/>
      <c r="AW145" s="557"/>
      <c r="AX145" s="557"/>
      <c r="AY145" s="557"/>
      <c r="AZ145" s="557"/>
      <c r="BA145" s="557"/>
      <c r="BB145" s="557"/>
      <c r="BC145" s="557"/>
      <c r="BD145" s="555"/>
      <c r="BE145" s="592"/>
      <c r="BF145" s="592"/>
      <c r="BG145" s="592"/>
      <c r="BH145" s="592"/>
      <c r="BI145" s="592"/>
      <c r="BJ145" s="592"/>
      <c r="BK145" s="592"/>
      <c r="BL145" s="592"/>
      <c r="BM145" s="592"/>
      <c r="BN145" s="592"/>
      <c r="BO145" s="592"/>
      <c r="BP145" s="592"/>
      <c r="BQ145" s="592"/>
      <c r="BR145" s="592"/>
      <c r="BS145" s="592"/>
      <c r="BT145" s="592"/>
    </row>
    <row r="146" spans="1:72" s="591" customFormat="1" ht="15">
      <c r="A146" s="539"/>
      <c r="B146" s="539"/>
      <c r="C146" s="539"/>
      <c r="D146" s="539"/>
      <c r="E146" s="539"/>
      <c r="F146" s="539"/>
      <c r="G146" s="539"/>
      <c r="H146" s="539"/>
      <c r="I146" s="539"/>
      <c r="J146" s="539"/>
      <c r="K146" s="539"/>
      <c r="L146" s="539"/>
      <c r="M146" s="539"/>
      <c r="N146" s="539"/>
      <c r="O146" s="539"/>
      <c r="P146" s="539"/>
      <c r="Q146" s="539"/>
      <c r="R146" s="539"/>
      <c r="S146" s="557"/>
      <c r="T146" s="557"/>
      <c r="U146" s="557"/>
      <c r="V146" s="557"/>
      <c r="W146" s="539"/>
      <c r="X146" s="539"/>
      <c r="Y146" s="557"/>
      <c r="Z146" s="557"/>
      <c r="AA146" s="539"/>
      <c r="AB146" s="539"/>
      <c r="AC146" s="539"/>
      <c r="AD146" s="557"/>
      <c r="AE146" s="557"/>
      <c r="AF146" s="557"/>
      <c r="AG146" s="557"/>
      <c r="AH146" s="557"/>
      <c r="AI146" s="557"/>
      <c r="AJ146" s="557"/>
      <c r="AK146" s="557"/>
      <c r="AL146" s="557"/>
      <c r="AM146" s="557"/>
      <c r="AN146" s="557"/>
      <c r="AO146" s="557"/>
      <c r="AP146" s="557"/>
      <c r="AQ146" s="557"/>
      <c r="AR146" s="557"/>
      <c r="AS146" s="557"/>
      <c r="AT146" s="557"/>
      <c r="AU146" s="557"/>
      <c r="AV146" s="557"/>
      <c r="AW146" s="557"/>
      <c r="AX146" s="557"/>
      <c r="AY146" s="557"/>
      <c r="AZ146" s="557"/>
      <c r="BA146" s="557"/>
      <c r="BB146" s="557"/>
      <c r="BC146" s="557"/>
      <c r="BD146" s="555"/>
      <c r="BE146" s="592"/>
      <c r="BF146" s="592"/>
      <c r="BG146" s="592"/>
      <c r="BH146" s="592"/>
      <c r="BI146" s="592"/>
      <c r="BJ146" s="592"/>
      <c r="BK146" s="592"/>
      <c r="BL146" s="592"/>
      <c r="BM146" s="592"/>
      <c r="BN146" s="592"/>
      <c r="BO146" s="592"/>
      <c r="BP146" s="592"/>
      <c r="BQ146" s="592"/>
      <c r="BR146" s="592"/>
      <c r="BS146" s="592"/>
      <c r="BT146" s="592"/>
    </row>
    <row r="147" spans="1:72" s="591" customFormat="1" ht="15">
      <c r="A147" s="539"/>
      <c r="B147" s="539"/>
      <c r="C147" s="539"/>
      <c r="D147" s="539"/>
      <c r="E147" s="539"/>
      <c r="F147" s="539"/>
      <c r="G147" s="539"/>
      <c r="H147" s="539"/>
      <c r="I147" s="539"/>
      <c r="J147" s="539"/>
      <c r="K147" s="539"/>
      <c r="L147" s="539"/>
      <c r="M147" s="539"/>
      <c r="N147" s="539"/>
      <c r="O147" s="539"/>
      <c r="P147" s="539"/>
      <c r="Q147" s="539"/>
      <c r="R147" s="539"/>
      <c r="S147" s="557"/>
      <c r="T147" s="557"/>
      <c r="U147" s="557"/>
      <c r="V147" s="557"/>
      <c r="W147" s="539"/>
      <c r="X147" s="539"/>
      <c r="Y147" s="557"/>
      <c r="Z147" s="557"/>
      <c r="AA147" s="539"/>
      <c r="AB147" s="539"/>
      <c r="AC147" s="539"/>
      <c r="AD147" s="557"/>
      <c r="AE147" s="557"/>
      <c r="AF147" s="557"/>
      <c r="AG147" s="557"/>
      <c r="AH147" s="557"/>
      <c r="AI147" s="557"/>
      <c r="AJ147" s="557"/>
      <c r="AK147" s="557"/>
      <c r="AL147" s="557"/>
      <c r="AM147" s="557"/>
      <c r="AN147" s="557"/>
      <c r="AO147" s="557"/>
      <c r="AP147" s="557"/>
      <c r="AQ147" s="557"/>
      <c r="AR147" s="557"/>
      <c r="AS147" s="557"/>
      <c r="AT147" s="557"/>
      <c r="AU147" s="557"/>
      <c r="AV147" s="557"/>
      <c r="AW147" s="557"/>
      <c r="AX147" s="557"/>
      <c r="AY147" s="557"/>
      <c r="AZ147" s="557"/>
      <c r="BA147" s="557"/>
      <c r="BB147" s="557"/>
      <c r="BC147" s="557"/>
      <c r="BD147" s="555"/>
      <c r="BE147" s="592"/>
      <c r="BF147" s="592"/>
      <c r="BG147" s="592"/>
      <c r="BH147" s="592"/>
      <c r="BI147" s="592"/>
      <c r="BJ147" s="592"/>
      <c r="BK147" s="592"/>
      <c r="BL147" s="592"/>
      <c r="BM147" s="592"/>
      <c r="BN147" s="592"/>
      <c r="BO147" s="592"/>
      <c r="BP147" s="592"/>
      <c r="BQ147" s="592"/>
      <c r="BR147" s="592"/>
      <c r="BS147" s="592"/>
      <c r="BT147" s="592"/>
    </row>
    <row r="148" spans="1:72" s="591" customFormat="1" ht="15">
      <c r="A148" s="539"/>
      <c r="B148" s="539"/>
      <c r="C148" s="539"/>
      <c r="D148" s="539"/>
      <c r="E148" s="539"/>
      <c r="F148" s="539"/>
      <c r="G148" s="539"/>
      <c r="H148" s="539"/>
      <c r="I148" s="539"/>
      <c r="J148" s="539"/>
      <c r="K148" s="539"/>
      <c r="L148" s="539"/>
      <c r="M148" s="539"/>
      <c r="N148" s="539"/>
      <c r="O148" s="539"/>
      <c r="P148" s="539"/>
      <c r="Q148" s="539"/>
      <c r="R148" s="539"/>
      <c r="S148" s="557"/>
      <c r="T148" s="557"/>
      <c r="U148" s="557"/>
      <c r="V148" s="557"/>
      <c r="W148" s="539"/>
      <c r="X148" s="539"/>
      <c r="Y148" s="557"/>
      <c r="Z148" s="557"/>
      <c r="AA148" s="539"/>
      <c r="AB148" s="539"/>
      <c r="AC148" s="539"/>
      <c r="AD148" s="557"/>
      <c r="AE148" s="557"/>
      <c r="AF148" s="557"/>
      <c r="AG148" s="557"/>
      <c r="AH148" s="557"/>
      <c r="AI148" s="557"/>
      <c r="AJ148" s="557"/>
      <c r="AK148" s="557"/>
      <c r="AL148" s="557"/>
      <c r="AM148" s="557"/>
      <c r="AN148" s="557"/>
      <c r="AO148" s="557"/>
      <c r="AP148" s="557"/>
      <c r="AQ148" s="557"/>
      <c r="AR148" s="557"/>
      <c r="AS148" s="557"/>
      <c r="AT148" s="557"/>
      <c r="AU148" s="557"/>
      <c r="AV148" s="557"/>
      <c r="AW148" s="557"/>
      <c r="AX148" s="557"/>
      <c r="AY148" s="557"/>
      <c r="AZ148" s="557"/>
      <c r="BA148" s="557"/>
      <c r="BB148" s="557"/>
      <c r="BC148" s="557"/>
      <c r="BD148" s="555"/>
      <c r="BE148" s="592"/>
      <c r="BF148" s="592"/>
      <c r="BG148" s="592"/>
      <c r="BH148" s="592"/>
      <c r="BI148" s="592"/>
      <c r="BJ148" s="592"/>
      <c r="BK148" s="592"/>
      <c r="BL148" s="592"/>
      <c r="BM148" s="592"/>
      <c r="BN148" s="592"/>
      <c r="BO148" s="592"/>
      <c r="BP148" s="592"/>
      <c r="BQ148" s="592"/>
      <c r="BR148" s="592"/>
      <c r="BS148" s="592"/>
      <c r="BT148" s="592"/>
    </row>
    <row r="149" spans="1:72" s="591" customFormat="1" ht="15">
      <c r="A149" s="539"/>
      <c r="B149" s="539"/>
      <c r="C149" s="539"/>
      <c r="D149" s="539"/>
      <c r="E149" s="539"/>
      <c r="F149" s="539"/>
      <c r="G149" s="539"/>
      <c r="H149" s="539"/>
      <c r="I149" s="539"/>
      <c r="J149" s="539"/>
      <c r="K149" s="539"/>
      <c r="L149" s="539"/>
      <c r="M149" s="539"/>
      <c r="N149" s="539"/>
      <c r="O149" s="539"/>
      <c r="P149" s="539"/>
      <c r="Q149" s="539"/>
      <c r="R149" s="539"/>
      <c r="S149" s="557"/>
      <c r="T149" s="557"/>
      <c r="U149" s="557"/>
      <c r="V149" s="557"/>
      <c r="W149" s="539"/>
      <c r="X149" s="539"/>
      <c r="Y149" s="557"/>
      <c r="Z149" s="557"/>
      <c r="AA149" s="539"/>
      <c r="AB149" s="539"/>
      <c r="AC149" s="539"/>
      <c r="AD149" s="557"/>
      <c r="AE149" s="557"/>
      <c r="AF149" s="557"/>
      <c r="AG149" s="557"/>
      <c r="AH149" s="557"/>
      <c r="AI149" s="557"/>
      <c r="AJ149" s="557"/>
      <c r="AK149" s="557"/>
      <c r="AL149" s="557"/>
      <c r="AM149" s="557"/>
      <c r="AN149" s="557"/>
      <c r="AO149" s="557"/>
      <c r="AP149" s="557"/>
      <c r="AQ149" s="557"/>
      <c r="AR149" s="557"/>
      <c r="AS149" s="557"/>
      <c r="AT149" s="557"/>
      <c r="AU149" s="557"/>
      <c r="AV149" s="557"/>
      <c r="AW149" s="557"/>
      <c r="AX149" s="557"/>
      <c r="AY149" s="557"/>
      <c r="AZ149" s="557"/>
      <c r="BA149" s="557"/>
      <c r="BB149" s="557"/>
      <c r="BC149" s="557"/>
      <c r="BD149" s="555"/>
      <c r="BE149" s="592"/>
      <c r="BF149" s="592"/>
      <c r="BG149" s="592"/>
      <c r="BH149" s="592"/>
      <c r="BI149" s="592"/>
      <c r="BJ149" s="592"/>
      <c r="BK149" s="592"/>
      <c r="BL149" s="592"/>
      <c r="BM149" s="592"/>
      <c r="BN149" s="592"/>
      <c r="BO149" s="592"/>
      <c r="BP149" s="592"/>
      <c r="BQ149" s="592"/>
      <c r="BR149" s="592"/>
      <c r="BS149" s="592"/>
      <c r="BT149" s="592"/>
    </row>
    <row r="150" spans="1:72" s="591" customFormat="1" ht="15">
      <c r="A150" s="539"/>
      <c r="B150" s="539"/>
      <c r="C150" s="539"/>
      <c r="D150" s="539"/>
      <c r="E150" s="539"/>
      <c r="F150" s="539"/>
      <c r="G150" s="539"/>
      <c r="H150" s="539"/>
      <c r="I150" s="539"/>
      <c r="J150" s="539"/>
      <c r="K150" s="539"/>
      <c r="L150" s="539"/>
      <c r="M150" s="539"/>
      <c r="N150" s="539"/>
      <c r="O150" s="539"/>
      <c r="P150" s="539"/>
      <c r="Q150" s="539"/>
      <c r="R150" s="539"/>
      <c r="S150" s="557"/>
      <c r="T150" s="557"/>
      <c r="U150" s="557"/>
      <c r="V150" s="557"/>
      <c r="W150" s="539"/>
      <c r="X150" s="539"/>
      <c r="Y150" s="557"/>
      <c r="Z150" s="557"/>
      <c r="AA150" s="539"/>
      <c r="AB150" s="539"/>
      <c r="AC150" s="539"/>
      <c r="AD150" s="557"/>
      <c r="AE150" s="557"/>
      <c r="AF150" s="557"/>
      <c r="AG150" s="557"/>
      <c r="AH150" s="557"/>
      <c r="AI150" s="557"/>
      <c r="AJ150" s="557"/>
      <c r="AK150" s="557"/>
      <c r="AL150" s="557"/>
      <c r="AM150" s="557"/>
      <c r="AN150" s="557"/>
      <c r="AO150" s="557"/>
      <c r="AP150" s="557"/>
      <c r="AQ150" s="557"/>
      <c r="AR150" s="557"/>
      <c r="AS150" s="557"/>
      <c r="AT150" s="557"/>
      <c r="AU150" s="557"/>
      <c r="AV150" s="557"/>
      <c r="AW150" s="557"/>
      <c r="AX150" s="557"/>
      <c r="AY150" s="557"/>
      <c r="AZ150" s="557"/>
      <c r="BA150" s="557"/>
      <c r="BB150" s="557"/>
      <c r="BC150" s="557"/>
      <c r="BD150" s="555"/>
      <c r="BE150" s="592"/>
      <c r="BF150" s="592"/>
      <c r="BG150" s="592"/>
      <c r="BH150" s="592"/>
      <c r="BI150" s="592"/>
      <c r="BJ150" s="592"/>
      <c r="BK150" s="592"/>
      <c r="BL150" s="592"/>
      <c r="BM150" s="592"/>
      <c r="BN150" s="592"/>
      <c r="BO150" s="592"/>
      <c r="BP150" s="592"/>
      <c r="BQ150" s="592"/>
      <c r="BR150" s="592"/>
      <c r="BS150" s="592"/>
      <c r="BT150" s="592"/>
    </row>
    <row r="151" spans="1:72" s="591" customFormat="1" ht="15">
      <c r="A151" s="539"/>
      <c r="B151" s="539"/>
      <c r="C151" s="539"/>
      <c r="D151" s="539"/>
      <c r="E151" s="539"/>
      <c r="F151" s="539"/>
      <c r="G151" s="539"/>
      <c r="H151" s="539"/>
      <c r="I151" s="539"/>
      <c r="J151" s="539"/>
      <c r="K151" s="539"/>
      <c r="L151" s="539"/>
      <c r="M151" s="539"/>
      <c r="N151" s="539"/>
      <c r="O151" s="539"/>
      <c r="P151" s="539"/>
      <c r="Q151" s="539"/>
      <c r="R151" s="539"/>
      <c r="S151" s="557"/>
      <c r="T151" s="557"/>
      <c r="U151" s="557"/>
      <c r="V151" s="557"/>
      <c r="W151" s="539"/>
      <c r="X151" s="539"/>
      <c r="Y151" s="557"/>
      <c r="Z151" s="557"/>
      <c r="AA151" s="539"/>
      <c r="AB151" s="539"/>
      <c r="AC151" s="539"/>
      <c r="AD151" s="557"/>
      <c r="AE151" s="557"/>
      <c r="AF151" s="557"/>
      <c r="AG151" s="557"/>
      <c r="AH151" s="557"/>
      <c r="AI151" s="557"/>
      <c r="AJ151" s="557"/>
      <c r="AK151" s="557"/>
      <c r="AL151" s="557"/>
      <c r="AM151" s="557"/>
      <c r="AN151" s="557"/>
      <c r="AO151" s="557"/>
      <c r="AP151" s="557"/>
      <c r="AQ151" s="557"/>
      <c r="AR151" s="557"/>
      <c r="AS151" s="557"/>
      <c r="AT151" s="557"/>
      <c r="AU151" s="557"/>
      <c r="AV151" s="557"/>
      <c r="AW151" s="557"/>
      <c r="AX151" s="557"/>
      <c r="AY151" s="557"/>
      <c r="AZ151" s="557"/>
      <c r="BA151" s="557"/>
      <c r="BB151" s="557"/>
      <c r="BC151" s="557"/>
      <c r="BD151" s="555"/>
      <c r="BE151" s="592"/>
      <c r="BF151" s="592"/>
      <c r="BG151" s="592"/>
      <c r="BH151" s="592"/>
      <c r="BI151" s="592"/>
      <c r="BJ151" s="592"/>
      <c r="BK151" s="592"/>
      <c r="BL151" s="592"/>
      <c r="BM151" s="592"/>
      <c r="BN151" s="592"/>
      <c r="BO151" s="592"/>
      <c r="BP151" s="592"/>
      <c r="BQ151" s="592"/>
      <c r="BR151" s="592"/>
      <c r="BS151" s="592"/>
      <c r="BT151" s="592"/>
    </row>
    <row r="152" spans="1:72" s="591" customFormat="1" ht="15">
      <c r="A152" s="539"/>
      <c r="B152" s="539"/>
      <c r="C152" s="539"/>
      <c r="D152" s="539"/>
      <c r="E152" s="539"/>
      <c r="F152" s="539"/>
      <c r="G152" s="539"/>
      <c r="H152" s="539"/>
      <c r="I152" s="539"/>
      <c r="J152" s="539"/>
      <c r="K152" s="539"/>
      <c r="L152" s="539"/>
      <c r="M152" s="539"/>
      <c r="N152" s="539"/>
      <c r="O152" s="539"/>
      <c r="P152" s="539"/>
      <c r="Q152" s="539"/>
      <c r="R152" s="539"/>
      <c r="S152" s="557"/>
      <c r="T152" s="557"/>
      <c r="U152" s="557"/>
      <c r="V152" s="557"/>
      <c r="W152" s="539"/>
      <c r="X152" s="539"/>
      <c r="Y152" s="557"/>
      <c r="Z152" s="557"/>
      <c r="AA152" s="539"/>
      <c r="AB152" s="539"/>
      <c r="AC152" s="539"/>
      <c r="AD152" s="557"/>
      <c r="AE152" s="557"/>
      <c r="AF152" s="557"/>
      <c r="AG152" s="557"/>
      <c r="AH152" s="557"/>
      <c r="AI152" s="557"/>
      <c r="AJ152" s="557"/>
      <c r="AK152" s="557"/>
      <c r="AL152" s="557"/>
      <c r="AM152" s="557"/>
      <c r="AN152" s="557"/>
      <c r="AO152" s="557"/>
      <c r="AP152" s="557"/>
      <c r="AQ152" s="557"/>
      <c r="AR152" s="557"/>
      <c r="AS152" s="557"/>
      <c r="AT152" s="557"/>
      <c r="AU152" s="557"/>
      <c r="AV152" s="557"/>
      <c r="AW152" s="557"/>
      <c r="AX152" s="557"/>
      <c r="AY152" s="557"/>
      <c r="AZ152" s="557"/>
      <c r="BA152" s="557"/>
      <c r="BB152" s="557"/>
      <c r="BC152" s="557"/>
      <c r="BD152" s="555"/>
      <c r="BE152" s="592"/>
      <c r="BF152" s="592"/>
      <c r="BG152" s="592"/>
      <c r="BH152" s="592"/>
      <c r="BI152" s="592"/>
      <c r="BJ152" s="592"/>
      <c r="BK152" s="592"/>
      <c r="BL152" s="592"/>
      <c r="BM152" s="592"/>
      <c r="BN152" s="592"/>
      <c r="BO152" s="592"/>
      <c r="BP152" s="592"/>
      <c r="BQ152" s="592"/>
      <c r="BR152" s="592"/>
      <c r="BS152" s="592"/>
      <c r="BT152" s="592"/>
    </row>
    <row r="153" spans="1:72" s="591" customFormat="1" ht="15">
      <c r="A153" s="539"/>
      <c r="B153" s="539"/>
      <c r="C153" s="539"/>
      <c r="D153" s="539"/>
      <c r="E153" s="539"/>
      <c r="F153" s="539"/>
      <c r="G153" s="539"/>
      <c r="H153" s="539"/>
      <c r="I153" s="539"/>
      <c r="J153" s="539"/>
      <c r="K153" s="539"/>
      <c r="L153" s="539"/>
      <c r="M153" s="539"/>
      <c r="N153" s="539"/>
      <c r="O153" s="539"/>
      <c r="P153" s="539"/>
      <c r="Q153" s="539"/>
      <c r="R153" s="539"/>
      <c r="S153" s="557"/>
      <c r="T153" s="557"/>
      <c r="U153" s="557"/>
      <c r="V153" s="557"/>
      <c r="W153" s="539"/>
      <c r="X153" s="539"/>
      <c r="Y153" s="557"/>
      <c r="Z153" s="557"/>
      <c r="AA153" s="539"/>
      <c r="AB153" s="539"/>
      <c r="AC153" s="539"/>
      <c r="AD153" s="557"/>
      <c r="AE153" s="557"/>
      <c r="AF153" s="557"/>
      <c r="AG153" s="557"/>
      <c r="AH153" s="557"/>
      <c r="AI153" s="557"/>
      <c r="AJ153" s="557"/>
      <c r="AK153" s="557"/>
      <c r="AL153" s="557"/>
      <c r="AM153" s="557"/>
      <c r="AN153" s="557"/>
      <c r="AO153" s="557"/>
      <c r="AP153" s="557"/>
      <c r="AQ153" s="557"/>
      <c r="AR153" s="557"/>
      <c r="AS153" s="557"/>
      <c r="AT153" s="557"/>
      <c r="AU153" s="557"/>
      <c r="AV153" s="557"/>
      <c r="AW153" s="557"/>
      <c r="AX153" s="557"/>
      <c r="AY153" s="557"/>
      <c r="AZ153" s="557"/>
      <c r="BA153" s="557"/>
      <c r="BB153" s="557"/>
      <c r="BC153" s="557"/>
      <c r="BD153" s="555"/>
      <c r="BE153" s="592"/>
      <c r="BF153" s="592"/>
      <c r="BG153" s="592"/>
      <c r="BH153" s="592"/>
      <c r="BI153" s="592"/>
      <c r="BJ153" s="592"/>
      <c r="BK153" s="592"/>
      <c r="BL153" s="592"/>
      <c r="BM153" s="592"/>
      <c r="BN153" s="592"/>
      <c r="BO153" s="592"/>
      <c r="BP153" s="592"/>
      <c r="BQ153" s="592"/>
      <c r="BR153" s="592"/>
      <c r="BS153" s="592"/>
      <c r="BT153" s="592"/>
    </row>
    <row r="154" spans="1:72" s="591" customFormat="1" ht="15">
      <c r="A154" s="539"/>
      <c r="B154" s="539"/>
      <c r="C154" s="539"/>
      <c r="D154" s="539"/>
      <c r="E154" s="539"/>
      <c r="F154" s="539"/>
      <c r="G154" s="539"/>
      <c r="H154" s="539"/>
      <c r="I154" s="539"/>
      <c r="J154" s="539"/>
      <c r="K154" s="539"/>
      <c r="L154" s="539"/>
      <c r="M154" s="539"/>
      <c r="N154" s="539"/>
      <c r="O154" s="539"/>
      <c r="P154" s="539"/>
      <c r="Q154" s="539"/>
      <c r="R154" s="539"/>
      <c r="S154" s="557"/>
      <c r="T154" s="557"/>
      <c r="U154" s="557"/>
      <c r="V154" s="557"/>
      <c r="W154" s="539"/>
      <c r="X154" s="539"/>
      <c r="Y154" s="557"/>
      <c r="Z154" s="557"/>
      <c r="AA154" s="539"/>
      <c r="AB154" s="539"/>
      <c r="AC154" s="539"/>
      <c r="AD154" s="557"/>
      <c r="AE154" s="557"/>
      <c r="AF154" s="557"/>
      <c r="AG154" s="557"/>
      <c r="AH154" s="557"/>
      <c r="AI154" s="557"/>
      <c r="AJ154" s="557"/>
      <c r="AK154" s="557"/>
      <c r="AL154" s="557"/>
      <c r="AM154" s="557"/>
      <c r="AN154" s="557"/>
      <c r="AO154" s="557"/>
      <c r="AP154" s="557"/>
      <c r="AQ154" s="557"/>
      <c r="AR154" s="557"/>
      <c r="AS154" s="557"/>
      <c r="AT154" s="557"/>
      <c r="AU154" s="557"/>
      <c r="AV154" s="557"/>
      <c r="AW154" s="557"/>
      <c r="AX154" s="557"/>
      <c r="AY154" s="557"/>
      <c r="AZ154" s="557"/>
      <c r="BA154" s="557"/>
      <c r="BB154" s="557"/>
      <c r="BC154" s="557"/>
      <c r="BD154" s="555"/>
      <c r="BE154" s="592"/>
      <c r="BF154" s="592"/>
      <c r="BG154" s="592"/>
      <c r="BH154" s="592"/>
      <c r="BI154" s="592"/>
      <c r="BJ154" s="592"/>
      <c r="BK154" s="592"/>
      <c r="BL154" s="592"/>
      <c r="BM154" s="592"/>
      <c r="BN154" s="592"/>
      <c r="BO154" s="592"/>
      <c r="BP154" s="592"/>
      <c r="BQ154" s="592"/>
      <c r="BR154" s="592"/>
      <c r="BS154" s="592"/>
      <c r="BT154" s="592"/>
    </row>
    <row r="155" spans="1:72" s="591" customFormat="1" ht="15">
      <c r="A155" s="539"/>
      <c r="B155" s="539"/>
      <c r="C155" s="539"/>
      <c r="D155" s="539"/>
      <c r="E155" s="539"/>
      <c r="F155" s="539"/>
      <c r="G155" s="539"/>
      <c r="H155" s="539"/>
      <c r="I155" s="539"/>
      <c r="J155" s="539"/>
      <c r="K155" s="539"/>
      <c r="L155" s="539"/>
      <c r="M155" s="539"/>
      <c r="N155" s="539"/>
      <c r="O155" s="539"/>
      <c r="P155" s="539"/>
      <c r="Q155" s="539"/>
      <c r="R155" s="539"/>
      <c r="S155" s="557"/>
      <c r="T155" s="557"/>
      <c r="U155" s="557"/>
      <c r="V155" s="557"/>
      <c r="W155" s="539"/>
      <c r="X155" s="539"/>
      <c r="Y155" s="557"/>
      <c r="Z155" s="557"/>
      <c r="AA155" s="539"/>
      <c r="AB155" s="539"/>
      <c r="AC155" s="539"/>
      <c r="AD155" s="557"/>
      <c r="AE155" s="557"/>
      <c r="AF155" s="557"/>
      <c r="AG155" s="557"/>
      <c r="AH155" s="557"/>
      <c r="AI155" s="557"/>
      <c r="AJ155" s="557"/>
      <c r="AK155" s="557"/>
      <c r="AL155" s="557"/>
      <c r="AM155" s="557"/>
      <c r="AN155" s="557"/>
      <c r="AO155" s="557"/>
      <c r="AP155" s="557"/>
      <c r="AQ155" s="557"/>
      <c r="AR155" s="557"/>
      <c r="AS155" s="557"/>
      <c r="AT155" s="557"/>
      <c r="AU155" s="557"/>
      <c r="AV155" s="557"/>
      <c r="AW155" s="557"/>
      <c r="AX155" s="557"/>
      <c r="AY155" s="557"/>
      <c r="AZ155" s="557"/>
      <c r="BA155" s="557"/>
      <c r="BB155" s="557"/>
      <c r="BC155" s="557"/>
      <c r="BD155" s="555"/>
      <c r="BE155" s="592"/>
      <c r="BF155" s="592"/>
      <c r="BG155" s="592"/>
      <c r="BH155" s="592"/>
      <c r="BI155" s="592"/>
      <c r="BJ155" s="592"/>
      <c r="BK155" s="592"/>
      <c r="BL155" s="592"/>
      <c r="BM155" s="592"/>
      <c r="BN155" s="592"/>
      <c r="BO155" s="592"/>
      <c r="BP155" s="592"/>
      <c r="BQ155" s="592"/>
      <c r="BR155" s="592"/>
      <c r="BS155" s="592"/>
      <c r="BT155" s="592"/>
    </row>
    <row r="156" spans="1:72" s="591" customFormat="1" ht="15">
      <c r="A156" s="539"/>
      <c r="B156" s="539"/>
      <c r="C156" s="539"/>
      <c r="D156" s="539"/>
      <c r="E156" s="539"/>
      <c r="F156" s="539"/>
      <c r="G156" s="539"/>
      <c r="H156" s="539"/>
      <c r="I156" s="539"/>
      <c r="J156" s="539"/>
      <c r="K156" s="539"/>
      <c r="L156" s="539"/>
      <c r="M156" s="539"/>
      <c r="N156" s="539"/>
      <c r="O156" s="539"/>
      <c r="P156" s="539"/>
      <c r="Q156" s="539"/>
      <c r="R156" s="539"/>
      <c r="S156" s="557"/>
      <c r="T156" s="557"/>
      <c r="U156" s="557"/>
      <c r="V156" s="557"/>
      <c r="W156" s="539"/>
      <c r="X156" s="539"/>
      <c r="Y156" s="557"/>
      <c r="Z156" s="557"/>
      <c r="AA156" s="539"/>
      <c r="AB156" s="539"/>
      <c r="AC156" s="539"/>
      <c r="AD156" s="557"/>
      <c r="AE156" s="557"/>
      <c r="AF156" s="557"/>
      <c r="AG156" s="557"/>
      <c r="AH156" s="557"/>
      <c r="AI156" s="557"/>
      <c r="AJ156" s="557"/>
      <c r="AK156" s="557"/>
      <c r="AL156" s="557"/>
      <c r="AM156" s="557"/>
      <c r="AN156" s="557"/>
      <c r="AO156" s="557"/>
      <c r="AP156" s="557"/>
      <c r="AQ156" s="557"/>
      <c r="AR156" s="557"/>
      <c r="AS156" s="557"/>
      <c r="AT156" s="557"/>
      <c r="AU156" s="557"/>
      <c r="AV156" s="557"/>
      <c r="AW156" s="557"/>
      <c r="AX156" s="557"/>
      <c r="AY156" s="557"/>
      <c r="AZ156" s="557"/>
      <c r="BA156" s="557"/>
      <c r="BB156" s="557"/>
      <c r="BC156" s="557"/>
      <c r="BD156" s="555"/>
      <c r="BE156" s="592"/>
      <c r="BF156" s="592"/>
      <c r="BG156" s="592"/>
      <c r="BH156" s="592"/>
      <c r="BI156" s="592"/>
      <c r="BJ156" s="592"/>
      <c r="BK156" s="592"/>
      <c r="BL156" s="592"/>
      <c r="BM156" s="592"/>
      <c r="BN156" s="592"/>
      <c r="BO156" s="592"/>
      <c r="BP156" s="592"/>
      <c r="BQ156" s="592"/>
      <c r="BR156" s="592"/>
      <c r="BS156" s="592"/>
      <c r="BT156" s="592"/>
    </row>
    <row r="157" spans="1:72" s="591" customFormat="1" ht="15">
      <c r="A157" s="539"/>
      <c r="B157" s="539"/>
      <c r="C157" s="539"/>
      <c r="D157" s="539"/>
      <c r="E157" s="539"/>
      <c r="F157" s="539"/>
      <c r="G157" s="539"/>
      <c r="H157" s="539"/>
      <c r="I157" s="539"/>
      <c r="J157" s="539"/>
      <c r="K157" s="539"/>
      <c r="L157" s="539"/>
      <c r="M157" s="539"/>
      <c r="N157" s="539"/>
      <c r="O157" s="539"/>
      <c r="P157" s="539"/>
      <c r="Q157" s="539"/>
      <c r="R157" s="539"/>
      <c r="S157" s="557"/>
      <c r="T157" s="557"/>
      <c r="U157" s="557"/>
      <c r="V157" s="557"/>
      <c r="W157" s="539"/>
      <c r="X157" s="539"/>
      <c r="Y157" s="557"/>
      <c r="Z157" s="557"/>
      <c r="AA157" s="539"/>
      <c r="AB157" s="539"/>
      <c r="AC157" s="539"/>
      <c r="AD157" s="557"/>
      <c r="AE157" s="557"/>
      <c r="AF157" s="557"/>
      <c r="AG157" s="557"/>
      <c r="AH157" s="557"/>
      <c r="AI157" s="557"/>
      <c r="AJ157" s="557"/>
      <c r="AK157" s="557"/>
      <c r="AL157" s="557"/>
      <c r="AM157" s="557"/>
      <c r="AN157" s="557"/>
      <c r="AO157" s="557"/>
      <c r="AP157" s="557"/>
      <c r="AQ157" s="557"/>
      <c r="AR157" s="557"/>
      <c r="AS157" s="557"/>
      <c r="AT157" s="557"/>
      <c r="AU157" s="557"/>
      <c r="AV157" s="557"/>
      <c r="AW157" s="557"/>
      <c r="AX157" s="557"/>
      <c r="AY157" s="557"/>
      <c r="AZ157" s="557"/>
      <c r="BA157" s="557"/>
      <c r="BB157" s="557"/>
      <c r="BC157" s="557"/>
      <c r="BD157" s="555"/>
      <c r="BE157" s="592"/>
      <c r="BF157" s="592"/>
      <c r="BG157" s="592"/>
      <c r="BH157" s="592"/>
      <c r="BI157" s="592"/>
      <c r="BJ157" s="592"/>
      <c r="BK157" s="592"/>
      <c r="BL157" s="592"/>
      <c r="BM157" s="592"/>
      <c r="BN157" s="592"/>
      <c r="BO157" s="592"/>
      <c r="BP157" s="592"/>
      <c r="BQ157" s="592"/>
      <c r="BR157" s="592"/>
      <c r="BS157" s="592"/>
      <c r="BT157" s="592"/>
    </row>
    <row r="158" spans="1:72" s="591" customFormat="1" ht="15">
      <c r="A158" s="539"/>
      <c r="B158" s="539"/>
      <c r="C158" s="539"/>
      <c r="D158" s="539"/>
      <c r="E158" s="539"/>
      <c r="F158" s="539"/>
      <c r="G158" s="539"/>
      <c r="H158" s="539"/>
      <c r="I158" s="539"/>
      <c r="J158" s="539"/>
      <c r="K158" s="539"/>
      <c r="L158" s="539"/>
      <c r="M158" s="539"/>
      <c r="N158" s="539"/>
      <c r="O158" s="539"/>
      <c r="P158" s="539"/>
      <c r="Q158" s="539"/>
      <c r="R158" s="539"/>
      <c r="S158" s="557"/>
      <c r="T158" s="557"/>
      <c r="U158" s="557"/>
      <c r="V158" s="557"/>
      <c r="W158" s="539"/>
      <c r="X158" s="539"/>
      <c r="Y158" s="557"/>
      <c r="Z158" s="557"/>
      <c r="AA158" s="539"/>
      <c r="AB158" s="539"/>
      <c r="AC158" s="539"/>
      <c r="AD158" s="557"/>
      <c r="AE158" s="557"/>
      <c r="AF158" s="557"/>
      <c r="AG158" s="557"/>
      <c r="AH158" s="557"/>
      <c r="AI158" s="557"/>
      <c r="AJ158" s="557"/>
      <c r="AK158" s="557"/>
      <c r="AL158" s="557"/>
      <c r="AM158" s="557"/>
      <c r="AN158" s="557"/>
      <c r="AO158" s="557"/>
      <c r="AP158" s="557"/>
      <c r="AQ158" s="557"/>
      <c r="AR158" s="557"/>
      <c r="AS158" s="557"/>
      <c r="AT158" s="557"/>
      <c r="AU158" s="557"/>
      <c r="AV158" s="557"/>
      <c r="AW158" s="557"/>
      <c r="AX158" s="557"/>
      <c r="AY158" s="557"/>
      <c r="AZ158" s="557"/>
      <c r="BA158" s="557"/>
      <c r="BB158" s="557"/>
      <c r="BC158" s="557"/>
      <c r="BD158" s="555"/>
      <c r="BE158" s="592"/>
      <c r="BF158" s="592"/>
      <c r="BG158" s="592"/>
      <c r="BH158" s="592"/>
      <c r="BI158" s="592"/>
      <c r="BJ158" s="592"/>
      <c r="BK158" s="592"/>
      <c r="BL158" s="592"/>
      <c r="BM158" s="592"/>
      <c r="BN158" s="592"/>
      <c r="BO158" s="592"/>
      <c r="BP158" s="592"/>
      <c r="BQ158" s="592"/>
      <c r="BR158" s="592"/>
      <c r="BS158" s="592"/>
      <c r="BT158" s="592"/>
    </row>
    <row r="159" spans="1:72" s="591" customFormat="1" ht="15">
      <c r="A159" s="539"/>
      <c r="B159" s="539"/>
      <c r="C159" s="539"/>
      <c r="D159" s="539"/>
      <c r="E159" s="539"/>
      <c r="F159" s="539"/>
      <c r="G159" s="539"/>
      <c r="H159" s="539"/>
      <c r="I159" s="539"/>
      <c r="J159" s="539"/>
      <c r="K159" s="539"/>
      <c r="L159" s="539"/>
      <c r="M159" s="539"/>
      <c r="N159" s="539"/>
      <c r="O159" s="539"/>
      <c r="P159" s="539"/>
      <c r="Q159" s="539"/>
      <c r="R159" s="539"/>
      <c r="S159" s="557"/>
      <c r="T159" s="557"/>
      <c r="U159" s="557"/>
      <c r="V159" s="557"/>
      <c r="W159" s="539"/>
      <c r="X159" s="539"/>
      <c r="Y159" s="557"/>
      <c r="Z159" s="557"/>
      <c r="AA159" s="539"/>
      <c r="AB159" s="539"/>
      <c r="AC159" s="539"/>
      <c r="AD159" s="557"/>
      <c r="AE159" s="557"/>
      <c r="AF159" s="557"/>
      <c r="AG159" s="557"/>
      <c r="AH159" s="557"/>
      <c r="AI159" s="557"/>
      <c r="AJ159" s="557"/>
      <c r="AK159" s="557"/>
      <c r="AL159" s="557"/>
      <c r="AM159" s="557"/>
      <c r="AN159" s="557"/>
      <c r="AO159" s="557"/>
      <c r="AP159" s="557"/>
      <c r="AQ159" s="557"/>
      <c r="AR159" s="557"/>
      <c r="AS159" s="557"/>
      <c r="AT159" s="557"/>
      <c r="AU159" s="557"/>
      <c r="AV159" s="557"/>
      <c r="AW159" s="557"/>
      <c r="AX159" s="557"/>
      <c r="AY159" s="557"/>
      <c r="AZ159" s="557"/>
      <c r="BA159" s="557"/>
      <c r="BB159" s="557"/>
      <c r="BC159" s="557"/>
      <c r="BD159" s="555"/>
      <c r="BE159" s="592"/>
      <c r="BF159" s="592"/>
      <c r="BG159" s="592"/>
      <c r="BH159" s="592"/>
      <c r="BI159" s="592"/>
      <c r="BJ159" s="592"/>
      <c r="BK159" s="592"/>
      <c r="BL159" s="592"/>
      <c r="BM159" s="592"/>
      <c r="BN159" s="592"/>
      <c r="BO159" s="592"/>
      <c r="BP159" s="592"/>
      <c r="BQ159" s="592"/>
      <c r="BR159" s="592"/>
      <c r="BS159" s="592"/>
      <c r="BT159" s="592"/>
    </row>
    <row r="160" spans="1:72" s="591" customFormat="1" ht="15">
      <c r="A160" s="539"/>
      <c r="B160" s="539"/>
      <c r="C160" s="539"/>
      <c r="D160" s="539"/>
      <c r="E160" s="539"/>
      <c r="F160" s="539"/>
      <c r="G160" s="539"/>
      <c r="H160" s="539"/>
      <c r="I160" s="539"/>
      <c r="J160" s="539"/>
      <c r="K160" s="539"/>
      <c r="L160" s="539"/>
      <c r="M160" s="539"/>
      <c r="N160" s="539"/>
      <c r="O160" s="539"/>
      <c r="P160" s="539"/>
      <c r="Q160" s="539"/>
      <c r="R160" s="539"/>
      <c r="S160" s="557"/>
      <c r="T160" s="557"/>
      <c r="U160" s="557"/>
      <c r="V160" s="557"/>
      <c r="W160" s="539"/>
      <c r="X160" s="539"/>
      <c r="Y160" s="557"/>
      <c r="Z160" s="557"/>
      <c r="AA160" s="539"/>
      <c r="AB160" s="539"/>
      <c r="AC160" s="539"/>
      <c r="AD160" s="557"/>
      <c r="AE160" s="557"/>
      <c r="AF160" s="557"/>
      <c r="AG160" s="557"/>
      <c r="AH160" s="557"/>
      <c r="AI160" s="557"/>
      <c r="AJ160" s="557"/>
      <c r="AK160" s="557"/>
      <c r="AL160" s="557"/>
      <c r="AM160" s="557"/>
      <c r="AN160" s="557"/>
      <c r="AO160" s="557"/>
      <c r="AP160" s="557"/>
      <c r="AQ160" s="557"/>
      <c r="AR160" s="557"/>
      <c r="AS160" s="557"/>
      <c r="AT160" s="557"/>
      <c r="AU160" s="557"/>
      <c r="AV160" s="557"/>
      <c r="AW160" s="557"/>
      <c r="AX160" s="557"/>
      <c r="AY160" s="557"/>
      <c r="AZ160" s="557"/>
      <c r="BA160" s="557"/>
      <c r="BB160" s="557"/>
      <c r="BC160" s="557"/>
      <c r="BD160" s="555"/>
      <c r="BE160" s="592"/>
      <c r="BF160" s="592"/>
      <c r="BG160" s="592"/>
      <c r="BH160" s="592"/>
      <c r="BI160" s="592"/>
      <c r="BJ160" s="592"/>
      <c r="BK160" s="592"/>
      <c r="BL160" s="592"/>
      <c r="BM160" s="592"/>
      <c r="BN160" s="592"/>
      <c r="BO160" s="592"/>
      <c r="BP160" s="592"/>
      <c r="BQ160" s="592"/>
      <c r="BR160" s="592"/>
      <c r="BS160" s="592"/>
      <c r="BT160" s="592"/>
    </row>
    <row r="161" spans="1:72" s="591" customFormat="1" ht="15">
      <c r="A161" s="539"/>
      <c r="B161" s="539"/>
      <c r="C161" s="539"/>
      <c r="D161" s="539"/>
      <c r="E161" s="539"/>
      <c r="F161" s="539"/>
      <c r="G161" s="539"/>
      <c r="H161" s="539"/>
      <c r="I161" s="539"/>
      <c r="J161" s="539"/>
      <c r="K161" s="539"/>
      <c r="L161" s="539"/>
      <c r="M161" s="539"/>
      <c r="N161" s="539"/>
      <c r="O161" s="539"/>
      <c r="P161" s="539"/>
      <c r="Q161" s="539"/>
      <c r="R161" s="539"/>
      <c r="S161" s="557"/>
      <c r="T161" s="557"/>
      <c r="U161" s="557"/>
      <c r="V161" s="557"/>
      <c r="W161" s="539"/>
      <c r="X161" s="539"/>
      <c r="Y161" s="557"/>
      <c r="Z161" s="557"/>
      <c r="AA161" s="539"/>
      <c r="AB161" s="539"/>
      <c r="AC161" s="539"/>
      <c r="AD161" s="557"/>
      <c r="AE161" s="557"/>
      <c r="AF161" s="557"/>
      <c r="AG161" s="557"/>
      <c r="AH161" s="557"/>
      <c r="AI161" s="557"/>
      <c r="AJ161" s="557"/>
      <c r="AK161" s="557"/>
      <c r="AL161" s="557"/>
      <c r="AM161" s="557"/>
      <c r="AN161" s="557"/>
      <c r="AO161" s="557"/>
      <c r="AP161" s="557"/>
      <c r="AQ161" s="557"/>
      <c r="AR161" s="557"/>
      <c r="AS161" s="557"/>
      <c r="AT161" s="557"/>
      <c r="AU161" s="557"/>
      <c r="AV161" s="557"/>
      <c r="AW161" s="557"/>
      <c r="AX161" s="557"/>
      <c r="AY161" s="557"/>
      <c r="AZ161" s="557"/>
      <c r="BA161" s="557"/>
      <c r="BB161" s="557"/>
      <c r="BC161" s="557"/>
      <c r="BD161" s="555"/>
      <c r="BE161" s="592"/>
      <c r="BF161" s="592"/>
      <c r="BG161" s="592"/>
      <c r="BH161" s="592"/>
      <c r="BI161" s="592"/>
      <c r="BJ161" s="592"/>
      <c r="BK161" s="592"/>
      <c r="BL161" s="592"/>
      <c r="BM161" s="592"/>
      <c r="BN161" s="592"/>
      <c r="BO161" s="592"/>
      <c r="BP161" s="592"/>
      <c r="BQ161" s="592"/>
      <c r="BR161" s="592"/>
      <c r="BS161" s="592"/>
      <c r="BT161" s="592"/>
    </row>
    <row r="162" spans="1:72" s="591" customFormat="1" ht="15">
      <c r="A162" s="539"/>
      <c r="B162" s="539"/>
      <c r="C162" s="539"/>
      <c r="D162" s="539"/>
      <c r="E162" s="539"/>
      <c r="F162" s="539"/>
      <c r="G162" s="539"/>
      <c r="H162" s="539"/>
      <c r="I162" s="539"/>
      <c r="J162" s="539"/>
      <c r="K162" s="539"/>
      <c r="L162" s="539"/>
      <c r="M162" s="539"/>
      <c r="N162" s="539"/>
      <c r="O162" s="539"/>
      <c r="P162" s="539"/>
      <c r="Q162" s="539"/>
      <c r="R162" s="539"/>
      <c r="S162" s="557"/>
      <c r="T162" s="557"/>
      <c r="U162" s="557"/>
      <c r="V162" s="557"/>
      <c r="W162" s="539"/>
      <c r="X162" s="539"/>
      <c r="Y162" s="557"/>
      <c r="Z162" s="557"/>
      <c r="AA162" s="539"/>
      <c r="AB162" s="539"/>
      <c r="AC162" s="539"/>
      <c r="AD162" s="557"/>
      <c r="AE162" s="557"/>
      <c r="AF162" s="557"/>
      <c r="AG162" s="557"/>
      <c r="AH162" s="557"/>
      <c r="AI162" s="557"/>
      <c r="AJ162" s="557"/>
      <c r="AK162" s="557"/>
      <c r="AL162" s="557"/>
      <c r="AM162" s="557"/>
      <c r="AN162" s="557"/>
      <c r="AO162" s="557"/>
      <c r="AP162" s="557"/>
      <c r="AQ162" s="557"/>
      <c r="AR162" s="557"/>
      <c r="AS162" s="557"/>
      <c r="AT162" s="557"/>
      <c r="AU162" s="557"/>
      <c r="AV162" s="557"/>
      <c r="AW162" s="557"/>
      <c r="AX162" s="557"/>
      <c r="AY162" s="557"/>
      <c r="AZ162" s="557"/>
      <c r="BA162" s="557"/>
      <c r="BB162" s="557"/>
      <c r="BC162" s="557"/>
      <c r="BD162" s="555"/>
      <c r="BE162" s="592"/>
      <c r="BF162" s="592"/>
      <c r="BG162" s="592"/>
      <c r="BH162" s="592"/>
      <c r="BI162" s="592"/>
      <c r="BJ162" s="592"/>
      <c r="BK162" s="592"/>
      <c r="BL162" s="592"/>
      <c r="BM162" s="592"/>
      <c r="BN162" s="592"/>
      <c r="BO162" s="592"/>
      <c r="BP162" s="592"/>
      <c r="BQ162" s="592"/>
      <c r="BR162" s="592"/>
      <c r="BS162" s="592"/>
      <c r="BT162" s="592"/>
    </row>
    <row r="163" spans="1:72" s="591" customFormat="1" ht="15">
      <c r="A163" s="539"/>
      <c r="B163" s="539"/>
      <c r="C163" s="539"/>
      <c r="D163" s="539"/>
      <c r="E163" s="539"/>
      <c r="F163" s="539"/>
      <c r="G163" s="539"/>
      <c r="H163" s="539"/>
      <c r="I163" s="539"/>
      <c r="J163" s="539"/>
      <c r="K163" s="539"/>
      <c r="L163" s="539"/>
      <c r="M163" s="539"/>
      <c r="N163" s="539"/>
      <c r="O163" s="539"/>
      <c r="P163" s="539"/>
      <c r="Q163" s="539"/>
      <c r="R163" s="539"/>
      <c r="S163" s="557"/>
      <c r="T163" s="557"/>
      <c r="U163" s="557"/>
      <c r="V163" s="557"/>
      <c r="W163" s="539"/>
      <c r="X163" s="539"/>
      <c r="Y163" s="557"/>
      <c r="Z163" s="557"/>
      <c r="AA163" s="539"/>
      <c r="AB163" s="539"/>
      <c r="AC163" s="539"/>
      <c r="AD163" s="557"/>
      <c r="AE163" s="557"/>
      <c r="AF163" s="557"/>
      <c r="AG163" s="557"/>
      <c r="AH163" s="557"/>
      <c r="AI163" s="557"/>
      <c r="AJ163" s="557"/>
      <c r="AK163" s="557"/>
      <c r="AL163" s="557"/>
      <c r="AM163" s="557"/>
      <c r="AN163" s="557"/>
      <c r="AO163" s="557"/>
      <c r="AP163" s="557"/>
      <c r="AQ163" s="557"/>
      <c r="AR163" s="557"/>
      <c r="AS163" s="557"/>
      <c r="AT163" s="557"/>
      <c r="AU163" s="557"/>
      <c r="AV163" s="557"/>
      <c r="AW163" s="557"/>
      <c r="AX163" s="557"/>
      <c r="AY163" s="557"/>
      <c r="AZ163" s="557"/>
      <c r="BA163" s="557"/>
      <c r="BB163" s="557"/>
      <c r="BC163" s="557"/>
      <c r="BD163" s="555"/>
      <c r="BE163" s="592"/>
      <c r="BF163" s="592"/>
      <c r="BG163" s="592"/>
      <c r="BH163" s="592"/>
      <c r="BI163" s="592"/>
      <c r="BJ163" s="592"/>
      <c r="BK163" s="592"/>
      <c r="BL163" s="592"/>
      <c r="BM163" s="592"/>
      <c r="BN163" s="592"/>
      <c r="BO163" s="592"/>
      <c r="BP163" s="592"/>
      <c r="BQ163" s="592"/>
      <c r="BR163" s="592"/>
      <c r="BS163" s="592"/>
      <c r="BT163" s="592"/>
    </row>
    <row r="164" spans="1:72" s="591" customFormat="1" ht="15">
      <c r="A164" s="539"/>
      <c r="B164" s="539"/>
      <c r="C164" s="539"/>
      <c r="D164" s="539"/>
      <c r="E164" s="539"/>
      <c r="F164" s="539"/>
      <c r="G164" s="539"/>
      <c r="H164" s="539"/>
      <c r="I164" s="539"/>
      <c r="J164" s="539"/>
      <c r="K164" s="539"/>
      <c r="L164" s="539"/>
      <c r="M164" s="539"/>
      <c r="N164" s="539"/>
      <c r="O164" s="539"/>
      <c r="P164" s="539"/>
      <c r="Q164" s="539"/>
      <c r="R164" s="539"/>
      <c r="S164" s="557"/>
      <c r="T164" s="557"/>
      <c r="U164" s="557"/>
      <c r="V164" s="557"/>
      <c r="W164" s="539"/>
      <c r="X164" s="539"/>
      <c r="Y164" s="557"/>
      <c r="Z164" s="557"/>
      <c r="AA164" s="539"/>
      <c r="AB164" s="539"/>
      <c r="AC164" s="539"/>
      <c r="AD164" s="557"/>
      <c r="AE164" s="557"/>
      <c r="AF164" s="557"/>
      <c r="AG164" s="557"/>
      <c r="AH164" s="557"/>
      <c r="AI164" s="557"/>
      <c r="AJ164" s="557"/>
      <c r="AK164" s="557"/>
      <c r="AL164" s="557"/>
      <c r="AM164" s="557"/>
      <c r="AN164" s="557"/>
      <c r="AO164" s="557"/>
      <c r="AP164" s="557"/>
      <c r="AQ164" s="557"/>
      <c r="AR164" s="557"/>
      <c r="AS164" s="557"/>
      <c r="AT164" s="557"/>
      <c r="AU164" s="557"/>
      <c r="AV164" s="557"/>
      <c r="AW164" s="557"/>
      <c r="AX164" s="557"/>
      <c r="AY164" s="557"/>
      <c r="AZ164" s="557"/>
      <c r="BA164" s="557"/>
      <c r="BB164" s="557"/>
      <c r="BC164" s="557"/>
      <c r="BD164" s="555"/>
      <c r="BE164" s="592"/>
      <c r="BF164" s="592"/>
      <c r="BG164" s="592"/>
      <c r="BH164" s="592"/>
      <c r="BI164" s="592"/>
      <c r="BJ164" s="592"/>
      <c r="BK164" s="592"/>
      <c r="BL164" s="592"/>
      <c r="BM164" s="592"/>
      <c r="BN164" s="592"/>
      <c r="BO164" s="592"/>
      <c r="BP164" s="592"/>
      <c r="BQ164" s="592"/>
      <c r="BR164" s="592"/>
      <c r="BS164" s="592"/>
      <c r="BT164" s="592"/>
    </row>
    <row r="165" spans="1:72" s="591" customFormat="1" ht="15">
      <c r="A165" s="539"/>
      <c r="B165" s="539"/>
      <c r="C165" s="539"/>
      <c r="D165" s="539"/>
      <c r="E165" s="539"/>
      <c r="F165" s="539"/>
      <c r="G165" s="539"/>
      <c r="H165" s="539"/>
      <c r="I165" s="539"/>
      <c r="J165" s="539"/>
      <c r="K165" s="539"/>
      <c r="L165" s="539"/>
      <c r="M165" s="539"/>
      <c r="N165" s="539"/>
      <c r="O165" s="539"/>
      <c r="P165" s="539"/>
      <c r="Q165" s="539"/>
      <c r="R165" s="539"/>
      <c r="S165" s="557"/>
      <c r="T165" s="557"/>
      <c r="U165" s="557"/>
      <c r="V165" s="557"/>
      <c r="W165" s="539"/>
      <c r="X165" s="539"/>
      <c r="Y165" s="557"/>
      <c r="Z165" s="557"/>
      <c r="AA165" s="539"/>
      <c r="AB165" s="539"/>
      <c r="AC165" s="539"/>
      <c r="AD165" s="557"/>
      <c r="AE165" s="557"/>
      <c r="AF165" s="557"/>
      <c r="AG165" s="557"/>
      <c r="AH165" s="557"/>
      <c r="AI165" s="557"/>
      <c r="AJ165" s="557"/>
      <c r="AK165" s="557"/>
      <c r="AL165" s="557"/>
      <c r="AM165" s="557"/>
      <c r="AN165" s="557"/>
      <c r="AO165" s="557"/>
      <c r="AP165" s="557"/>
      <c r="AQ165" s="557"/>
      <c r="AR165" s="557"/>
      <c r="AS165" s="557"/>
      <c r="AT165" s="557"/>
      <c r="AU165" s="557"/>
      <c r="AV165" s="557"/>
      <c r="AW165" s="557"/>
      <c r="AX165" s="557"/>
      <c r="AY165" s="557"/>
      <c r="AZ165" s="557"/>
      <c r="BA165" s="557"/>
      <c r="BB165" s="557"/>
      <c r="BC165" s="557"/>
      <c r="BD165" s="555"/>
      <c r="BE165" s="592"/>
      <c r="BF165" s="592"/>
      <c r="BG165" s="592"/>
      <c r="BH165" s="592"/>
      <c r="BI165" s="592"/>
      <c r="BJ165" s="592"/>
      <c r="BK165" s="592"/>
      <c r="BL165" s="592"/>
      <c r="BM165" s="592"/>
      <c r="BN165" s="592"/>
      <c r="BO165" s="592"/>
      <c r="BP165" s="592"/>
      <c r="BQ165" s="592"/>
      <c r="BR165" s="592"/>
      <c r="BS165" s="592"/>
      <c r="BT165" s="592"/>
    </row>
    <row r="166" spans="1:72" s="591" customFormat="1" ht="15">
      <c r="A166" s="539"/>
      <c r="B166" s="539"/>
      <c r="C166" s="539"/>
      <c r="D166" s="539"/>
      <c r="E166" s="539"/>
      <c r="F166" s="539"/>
      <c r="G166" s="539"/>
      <c r="H166" s="539"/>
      <c r="I166" s="539"/>
      <c r="J166" s="539"/>
      <c r="K166" s="539"/>
      <c r="L166" s="539"/>
      <c r="M166" s="539"/>
      <c r="N166" s="539"/>
      <c r="O166" s="539"/>
      <c r="P166" s="539"/>
      <c r="Q166" s="539"/>
      <c r="R166" s="539"/>
      <c r="S166" s="557"/>
      <c r="T166" s="557"/>
      <c r="U166" s="557"/>
      <c r="V166" s="557"/>
      <c r="W166" s="539"/>
      <c r="X166" s="539"/>
      <c r="Y166" s="557"/>
      <c r="Z166" s="557"/>
      <c r="AA166" s="539"/>
      <c r="AB166" s="539"/>
      <c r="AC166" s="539"/>
      <c r="AD166" s="557"/>
      <c r="AE166" s="557"/>
      <c r="AF166" s="557"/>
      <c r="AG166" s="557"/>
      <c r="AH166" s="557"/>
      <c r="AI166" s="557"/>
      <c r="AJ166" s="557"/>
      <c r="AK166" s="557"/>
      <c r="AL166" s="557"/>
      <c r="AM166" s="557"/>
      <c r="AN166" s="557"/>
      <c r="AO166" s="557"/>
      <c r="AP166" s="557"/>
      <c r="AQ166" s="557"/>
      <c r="AR166" s="557"/>
      <c r="AS166" s="557"/>
      <c r="AT166" s="557"/>
      <c r="AU166" s="557"/>
      <c r="AV166" s="557"/>
      <c r="AW166" s="557"/>
      <c r="AX166" s="557"/>
      <c r="AY166" s="557"/>
      <c r="AZ166" s="557"/>
      <c r="BA166" s="557"/>
      <c r="BB166" s="557"/>
      <c r="BC166" s="557"/>
      <c r="BD166" s="555"/>
      <c r="BE166" s="592"/>
      <c r="BF166" s="592"/>
      <c r="BG166" s="592"/>
      <c r="BH166" s="592"/>
      <c r="BI166" s="592"/>
      <c r="BJ166" s="592"/>
      <c r="BK166" s="592"/>
      <c r="BL166" s="592"/>
      <c r="BM166" s="592"/>
      <c r="BN166" s="592"/>
      <c r="BO166" s="592"/>
      <c r="BP166" s="592"/>
      <c r="BQ166" s="592"/>
      <c r="BR166" s="592"/>
      <c r="BS166" s="592"/>
      <c r="BT166" s="592"/>
    </row>
    <row r="167" spans="1:72" s="591" customFormat="1" ht="15">
      <c r="A167" s="539"/>
      <c r="B167" s="539"/>
      <c r="C167" s="539"/>
      <c r="D167" s="539"/>
      <c r="E167" s="539"/>
      <c r="F167" s="539"/>
      <c r="G167" s="539"/>
      <c r="H167" s="539"/>
      <c r="I167" s="539"/>
      <c r="J167" s="539"/>
      <c r="K167" s="539"/>
      <c r="L167" s="539"/>
      <c r="M167" s="539"/>
      <c r="N167" s="539"/>
      <c r="O167" s="539"/>
      <c r="P167" s="539"/>
      <c r="Q167" s="539"/>
      <c r="R167" s="539"/>
      <c r="S167" s="557"/>
      <c r="T167" s="557"/>
      <c r="U167" s="557"/>
      <c r="V167" s="557"/>
      <c r="W167" s="539"/>
      <c r="X167" s="539"/>
      <c r="Y167" s="557"/>
      <c r="Z167" s="557"/>
      <c r="AA167" s="539"/>
      <c r="AB167" s="539"/>
      <c r="AC167" s="539"/>
      <c r="AD167" s="557"/>
      <c r="AE167" s="557"/>
      <c r="AF167" s="557"/>
      <c r="AG167" s="557"/>
      <c r="AH167" s="557"/>
      <c r="AI167" s="557"/>
      <c r="AJ167" s="557"/>
      <c r="AK167" s="557"/>
      <c r="AL167" s="557"/>
      <c r="AM167" s="557"/>
      <c r="AN167" s="557"/>
      <c r="AO167" s="557"/>
      <c r="AP167" s="557"/>
      <c r="AQ167" s="557"/>
      <c r="AR167" s="557"/>
      <c r="AS167" s="557"/>
      <c r="AT167" s="557"/>
      <c r="AU167" s="557"/>
      <c r="AV167" s="557"/>
      <c r="AW167" s="557"/>
      <c r="AX167" s="557"/>
      <c r="AY167" s="557"/>
      <c r="AZ167" s="557"/>
      <c r="BA167" s="557"/>
      <c r="BB167" s="557"/>
      <c r="BC167" s="557"/>
      <c r="BD167" s="555"/>
      <c r="BE167" s="592"/>
      <c r="BF167" s="592"/>
      <c r="BG167" s="592"/>
      <c r="BH167" s="592"/>
      <c r="BI167" s="592"/>
      <c r="BJ167" s="592"/>
      <c r="BK167" s="592"/>
      <c r="BL167" s="592"/>
      <c r="BM167" s="592"/>
      <c r="BN167" s="592"/>
      <c r="BO167" s="592"/>
      <c r="BP167" s="592"/>
      <c r="BQ167" s="592"/>
      <c r="BR167" s="592"/>
      <c r="BS167" s="592"/>
      <c r="BT167" s="592"/>
    </row>
    <row r="168" spans="1:72" s="591" customFormat="1" ht="15">
      <c r="A168" s="539"/>
      <c r="B168" s="539"/>
      <c r="C168" s="539"/>
      <c r="D168" s="539"/>
      <c r="E168" s="539"/>
      <c r="F168" s="539"/>
      <c r="G168" s="539"/>
      <c r="H168" s="539"/>
      <c r="I168" s="539"/>
      <c r="J168" s="539"/>
      <c r="K168" s="539"/>
      <c r="L168" s="539"/>
      <c r="M168" s="539"/>
      <c r="N168" s="539"/>
      <c r="O168" s="539"/>
      <c r="P168" s="539"/>
      <c r="Q168" s="539"/>
      <c r="R168" s="539"/>
      <c r="S168" s="557"/>
      <c r="T168" s="557"/>
      <c r="U168" s="557"/>
      <c r="V168" s="557"/>
      <c r="W168" s="539"/>
      <c r="X168" s="539"/>
      <c r="Y168" s="557"/>
      <c r="Z168" s="557"/>
      <c r="AA168" s="539"/>
      <c r="AB168" s="539"/>
      <c r="AC168" s="539"/>
      <c r="AD168" s="557"/>
      <c r="AE168" s="557"/>
      <c r="AF168" s="557"/>
      <c r="AG168" s="557"/>
      <c r="AH168" s="557"/>
      <c r="AI168" s="557"/>
      <c r="AJ168" s="557"/>
      <c r="AK168" s="557"/>
      <c r="AL168" s="557"/>
      <c r="AM168" s="557"/>
      <c r="AN168" s="557"/>
      <c r="AO168" s="557"/>
      <c r="AP168" s="557"/>
      <c r="AQ168" s="557"/>
      <c r="AR168" s="557"/>
      <c r="AS168" s="557"/>
      <c r="AT168" s="557"/>
      <c r="AU168" s="557"/>
      <c r="AV168" s="557"/>
      <c r="AW168" s="557"/>
      <c r="AX168" s="557"/>
      <c r="AY168" s="557"/>
      <c r="AZ168" s="557"/>
      <c r="BA168" s="557"/>
      <c r="BB168" s="557"/>
      <c r="BC168" s="557"/>
      <c r="BD168" s="555"/>
      <c r="BE168" s="592"/>
      <c r="BF168" s="592"/>
      <c r="BG168" s="592"/>
      <c r="BH168" s="592"/>
      <c r="BI168" s="592"/>
      <c r="BJ168" s="592"/>
      <c r="BK168" s="592"/>
      <c r="BL168" s="592"/>
      <c r="BM168" s="592"/>
      <c r="BN168" s="592"/>
      <c r="BO168" s="592"/>
      <c r="BP168" s="592"/>
      <c r="BQ168" s="592"/>
      <c r="BR168" s="592"/>
      <c r="BS168" s="592"/>
      <c r="BT168" s="592"/>
    </row>
    <row r="169" spans="1:72" s="591" customFormat="1" ht="15">
      <c r="A169" s="539"/>
      <c r="B169" s="539"/>
      <c r="C169" s="539"/>
      <c r="D169" s="539"/>
      <c r="E169" s="539"/>
      <c r="F169" s="539"/>
      <c r="G169" s="539"/>
      <c r="H169" s="539"/>
      <c r="I169" s="539"/>
      <c r="J169" s="539"/>
      <c r="K169" s="539"/>
      <c r="L169" s="539"/>
      <c r="M169" s="539"/>
      <c r="N169" s="539"/>
      <c r="O169" s="539"/>
      <c r="P169" s="539"/>
      <c r="Q169" s="539"/>
      <c r="R169" s="539"/>
      <c r="S169" s="557"/>
      <c r="T169" s="557"/>
      <c r="U169" s="557"/>
      <c r="V169" s="557"/>
      <c r="W169" s="539"/>
      <c r="X169" s="539"/>
      <c r="Y169" s="557"/>
      <c r="Z169" s="557"/>
      <c r="AA169" s="539"/>
      <c r="AB169" s="539"/>
      <c r="AC169" s="539"/>
      <c r="AD169" s="557"/>
      <c r="AE169" s="557"/>
      <c r="AF169" s="557"/>
      <c r="AG169" s="557"/>
      <c r="AH169" s="557"/>
      <c r="AI169" s="557"/>
      <c r="AJ169" s="557"/>
      <c r="AK169" s="557"/>
      <c r="AL169" s="557"/>
      <c r="AM169" s="557"/>
      <c r="AN169" s="557"/>
      <c r="AO169" s="557"/>
      <c r="AP169" s="557"/>
      <c r="AQ169" s="557"/>
      <c r="AR169" s="557"/>
      <c r="AS169" s="557"/>
      <c r="AT169" s="557"/>
      <c r="AU169" s="557"/>
      <c r="AV169" s="557"/>
      <c r="AW169" s="557"/>
      <c r="AX169" s="557"/>
      <c r="AY169" s="557"/>
      <c r="AZ169" s="557"/>
      <c r="BA169" s="557"/>
      <c r="BB169" s="557"/>
      <c r="BC169" s="557"/>
      <c r="BD169" s="555"/>
      <c r="BE169" s="592"/>
      <c r="BF169" s="592"/>
      <c r="BG169" s="592"/>
      <c r="BH169" s="592"/>
      <c r="BI169" s="592"/>
      <c r="BJ169" s="592"/>
      <c r="BK169" s="592"/>
      <c r="BL169" s="592"/>
      <c r="BM169" s="592"/>
      <c r="BN169" s="592"/>
      <c r="BO169" s="592"/>
      <c r="BP169" s="592"/>
      <c r="BQ169" s="592"/>
      <c r="BR169" s="592"/>
      <c r="BS169" s="592"/>
      <c r="BT169" s="592"/>
    </row>
    <row r="170" spans="1:72" s="591" customFormat="1" ht="15">
      <c r="A170" s="539"/>
      <c r="B170" s="539"/>
      <c r="C170" s="539"/>
      <c r="D170" s="539"/>
      <c r="E170" s="539"/>
      <c r="F170" s="539"/>
      <c r="G170" s="539"/>
      <c r="H170" s="539"/>
      <c r="I170" s="539"/>
      <c r="J170" s="539"/>
      <c r="K170" s="539"/>
      <c r="L170" s="539"/>
      <c r="M170" s="539"/>
      <c r="N170" s="539"/>
      <c r="O170" s="539"/>
      <c r="P170" s="539"/>
      <c r="Q170" s="539"/>
      <c r="R170" s="539"/>
      <c r="S170" s="557"/>
      <c r="T170" s="557"/>
      <c r="U170" s="557"/>
      <c r="V170" s="557"/>
      <c r="W170" s="539"/>
      <c r="X170" s="539"/>
      <c r="Y170" s="557"/>
      <c r="Z170" s="557"/>
      <c r="AA170" s="539"/>
      <c r="AB170" s="539"/>
      <c r="AC170" s="539"/>
      <c r="AD170" s="557"/>
      <c r="AE170" s="557"/>
      <c r="AF170" s="557"/>
      <c r="AG170" s="557"/>
      <c r="AH170" s="557"/>
      <c r="AI170" s="557"/>
      <c r="AJ170" s="557"/>
      <c r="AK170" s="557"/>
      <c r="AL170" s="557"/>
      <c r="AM170" s="557"/>
      <c r="AN170" s="557"/>
      <c r="AO170" s="557"/>
      <c r="AP170" s="557"/>
      <c r="AQ170" s="557"/>
      <c r="AR170" s="557"/>
      <c r="AS170" s="557"/>
      <c r="AT170" s="557"/>
      <c r="AU170" s="557"/>
      <c r="AV170" s="557"/>
      <c r="AW170" s="557"/>
      <c r="AX170" s="557"/>
      <c r="AY170" s="557"/>
      <c r="AZ170" s="557"/>
      <c r="BA170" s="557"/>
      <c r="BB170" s="557"/>
      <c r="BC170" s="557"/>
      <c r="BD170" s="555"/>
      <c r="BE170" s="592"/>
      <c r="BF170" s="592"/>
      <c r="BG170" s="592"/>
      <c r="BH170" s="592"/>
      <c r="BI170" s="592"/>
      <c r="BJ170" s="592"/>
      <c r="BK170" s="592"/>
      <c r="BL170" s="592"/>
      <c r="BM170" s="592"/>
      <c r="BN170" s="592"/>
      <c r="BO170" s="592"/>
      <c r="BP170" s="592"/>
      <c r="BQ170" s="592"/>
      <c r="BR170" s="592"/>
      <c r="BS170" s="592"/>
      <c r="BT170" s="592"/>
    </row>
    <row r="171" spans="1:72" s="591" customFormat="1" ht="15">
      <c r="A171" s="539"/>
      <c r="B171" s="539"/>
      <c r="C171" s="539"/>
      <c r="D171" s="539"/>
      <c r="E171" s="539"/>
      <c r="F171" s="539"/>
      <c r="G171" s="539"/>
      <c r="H171" s="539"/>
      <c r="I171" s="539"/>
      <c r="J171" s="539"/>
      <c r="K171" s="539"/>
      <c r="L171" s="539"/>
      <c r="M171" s="539"/>
      <c r="N171" s="539"/>
      <c r="O171" s="539"/>
      <c r="P171" s="539"/>
      <c r="Q171" s="539"/>
      <c r="R171" s="539"/>
      <c r="S171" s="557"/>
      <c r="T171" s="557"/>
      <c r="U171" s="557"/>
      <c r="V171" s="557"/>
      <c r="W171" s="539"/>
      <c r="X171" s="539"/>
      <c r="Y171" s="557"/>
      <c r="Z171" s="557"/>
      <c r="AA171" s="539"/>
      <c r="AB171" s="539"/>
      <c r="AC171" s="539"/>
      <c r="AD171" s="557"/>
      <c r="AE171" s="557"/>
      <c r="AF171" s="557"/>
      <c r="AG171" s="557"/>
      <c r="AH171" s="557"/>
      <c r="AI171" s="557"/>
      <c r="AJ171" s="557"/>
      <c r="AK171" s="557"/>
      <c r="AL171" s="557"/>
      <c r="AM171" s="557"/>
      <c r="AN171" s="557"/>
      <c r="AO171" s="557"/>
      <c r="AP171" s="557"/>
      <c r="AQ171" s="557"/>
      <c r="AR171" s="557"/>
      <c r="AS171" s="557"/>
      <c r="AT171" s="557"/>
      <c r="AU171" s="557"/>
      <c r="AV171" s="557"/>
      <c r="AW171" s="557"/>
      <c r="AX171" s="557"/>
      <c r="AY171" s="557"/>
      <c r="AZ171" s="557"/>
      <c r="BA171" s="557"/>
      <c r="BB171" s="557"/>
      <c r="BC171" s="557"/>
      <c r="BD171" s="555"/>
      <c r="BE171" s="592"/>
      <c r="BF171" s="592"/>
      <c r="BG171" s="592"/>
      <c r="BH171" s="592"/>
      <c r="BI171" s="592"/>
      <c r="BJ171" s="592"/>
      <c r="BK171" s="592"/>
      <c r="BL171" s="592"/>
      <c r="BM171" s="592"/>
      <c r="BN171" s="592"/>
      <c r="BO171" s="592"/>
      <c r="BP171" s="592"/>
      <c r="BQ171" s="592"/>
      <c r="BR171" s="592"/>
      <c r="BS171" s="592"/>
      <c r="BT171" s="592"/>
    </row>
    <row r="172" spans="1:72" s="591" customFormat="1" ht="15">
      <c r="A172" s="539"/>
      <c r="B172" s="539"/>
      <c r="C172" s="539"/>
      <c r="D172" s="539"/>
      <c r="E172" s="539"/>
      <c r="F172" s="539"/>
      <c r="G172" s="539"/>
      <c r="H172" s="539"/>
      <c r="I172" s="539"/>
      <c r="J172" s="539"/>
      <c r="K172" s="539"/>
      <c r="L172" s="539"/>
      <c r="M172" s="539"/>
      <c r="N172" s="539"/>
      <c r="O172" s="539"/>
      <c r="P172" s="539"/>
      <c r="Q172" s="539"/>
      <c r="R172" s="539"/>
      <c r="S172" s="557"/>
      <c r="T172" s="557"/>
      <c r="U172" s="557"/>
      <c r="V172" s="557"/>
      <c r="W172" s="539"/>
      <c r="X172" s="539"/>
      <c r="Y172" s="557"/>
      <c r="Z172" s="557"/>
      <c r="AA172" s="539"/>
      <c r="AB172" s="539"/>
      <c r="AC172" s="539"/>
      <c r="AD172" s="557"/>
      <c r="AE172" s="557"/>
      <c r="AF172" s="557"/>
      <c r="AG172" s="557"/>
      <c r="AH172" s="557"/>
      <c r="AI172" s="557"/>
      <c r="AJ172" s="557"/>
      <c r="AK172" s="557"/>
      <c r="AL172" s="557"/>
      <c r="AM172" s="557"/>
      <c r="AN172" s="557"/>
      <c r="AO172" s="557"/>
      <c r="AP172" s="557"/>
      <c r="AQ172" s="557"/>
      <c r="AR172" s="557"/>
      <c r="AS172" s="557"/>
      <c r="AT172" s="557"/>
      <c r="AU172" s="557"/>
      <c r="AV172" s="557"/>
      <c r="AW172" s="557"/>
      <c r="AX172" s="557"/>
      <c r="AY172" s="557"/>
      <c r="AZ172" s="557"/>
      <c r="BA172" s="557"/>
      <c r="BB172" s="557"/>
      <c r="BC172" s="557"/>
      <c r="BD172" s="555"/>
      <c r="BE172" s="592"/>
      <c r="BF172" s="592"/>
      <c r="BG172" s="592"/>
      <c r="BH172" s="592"/>
      <c r="BI172" s="592"/>
      <c r="BJ172" s="592"/>
      <c r="BK172" s="592"/>
      <c r="BL172" s="592"/>
      <c r="BM172" s="592"/>
      <c r="BN172" s="592"/>
      <c r="BO172" s="592"/>
      <c r="BP172" s="592"/>
      <c r="BQ172" s="592"/>
      <c r="BR172" s="592"/>
      <c r="BS172" s="592"/>
      <c r="BT172" s="592"/>
    </row>
    <row r="173" spans="1:72" s="591" customFormat="1" ht="15">
      <c r="A173" s="539"/>
      <c r="B173" s="539"/>
      <c r="C173" s="539"/>
      <c r="D173" s="539"/>
      <c r="E173" s="539"/>
      <c r="F173" s="539"/>
      <c r="G173" s="539"/>
      <c r="H173" s="539"/>
      <c r="I173" s="539"/>
      <c r="J173" s="539"/>
      <c r="K173" s="539"/>
      <c r="L173" s="539"/>
      <c r="M173" s="539"/>
      <c r="N173" s="539"/>
      <c r="O173" s="539"/>
      <c r="P173" s="539"/>
      <c r="Q173" s="539"/>
      <c r="R173" s="539"/>
      <c r="S173" s="557"/>
      <c r="T173" s="557"/>
      <c r="U173" s="557"/>
      <c r="V173" s="557"/>
      <c r="W173" s="539"/>
      <c r="X173" s="539"/>
      <c r="Y173" s="557"/>
      <c r="Z173" s="557"/>
      <c r="AA173" s="539"/>
      <c r="AB173" s="539"/>
      <c r="AC173" s="539"/>
      <c r="AD173" s="557"/>
      <c r="AE173" s="557"/>
      <c r="AF173" s="557"/>
      <c r="AG173" s="557"/>
      <c r="AH173" s="557"/>
      <c r="AI173" s="557"/>
      <c r="AJ173" s="557"/>
      <c r="AK173" s="557"/>
      <c r="AL173" s="557"/>
      <c r="AM173" s="557"/>
      <c r="AN173" s="557"/>
      <c r="AO173" s="557"/>
      <c r="AP173" s="557"/>
      <c r="AQ173" s="557"/>
      <c r="AR173" s="557"/>
      <c r="AS173" s="557"/>
      <c r="AT173" s="557"/>
      <c r="AU173" s="557"/>
      <c r="AV173" s="557"/>
      <c r="AW173" s="557"/>
      <c r="AX173" s="557"/>
      <c r="AY173" s="557"/>
      <c r="AZ173" s="557"/>
      <c r="BA173" s="557"/>
      <c r="BB173" s="557"/>
      <c r="BC173" s="557"/>
      <c r="BD173" s="555"/>
      <c r="BE173" s="592"/>
      <c r="BF173" s="592"/>
      <c r="BG173" s="592"/>
      <c r="BH173" s="592"/>
      <c r="BI173" s="592"/>
      <c r="BJ173" s="592"/>
      <c r="BK173" s="592"/>
      <c r="BL173" s="592"/>
      <c r="BM173" s="592"/>
      <c r="BN173" s="592"/>
      <c r="BO173" s="592"/>
      <c r="BP173" s="592"/>
      <c r="BQ173" s="592"/>
      <c r="BR173" s="592"/>
      <c r="BS173" s="592"/>
      <c r="BT173" s="592"/>
    </row>
    <row r="174" spans="1:72" s="591" customFormat="1" ht="15">
      <c r="A174" s="539"/>
      <c r="B174" s="539"/>
      <c r="C174" s="539"/>
      <c r="D174" s="539"/>
      <c r="E174" s="539"/>
      <c r="F174" s="539"/>
      <c r="G174" s="539"/>
      <c r="H174" s="539"/>
      <c r="I174" s="539"/>
      <c r="J174" s="539"/>
      <c r="K174" s="539"/>
      <c r="L174" s="539"/>
      <c r="M174" s="539"/>
      <c r="N174" s="539"/>
      <c r="O174" s="539"/>
      <c r="P174" s="539"/>
      <c r="Q174" s="539"/>
      <c r="R174" s="539"/>
      <c r="S174" s="557"/>
      <c r="T174" s="557"/>
      <c r="U174" s="557"/>
      <c r="V174" s="557"/>
      <c r="W174" s="539"/>
      <c r="X174" s="539"/>
      <c r="Y174" s="557"/>
      <c r="Z174" s="557"/>
      <c r="AA174" s="539"/>
      <c r="AB174" s="539"/>
      <c r="AC174" s="539"/>
      <c r="AD174" s="557"/>
      <c r="AE174" s="557"/>
      <c r="AF174" s="557"/>
      <c r="AG174" s="557"/>
      <c r="AH174" s="557"/>
      <c r="AI174" s="557"/>
      <c r="AJ174" s="557"/>
      <c r="AK174" s="557"/>
      <c r="AL174" s="557"/>
      <c r="AM174" s="557"/>
      <c r="AN174" s="557"/>
      <c r="AO174" s="557"/>
      <c r="AP174" s="557"/>
      <c r="AQ174" s="557"/>
      <c r="AR174" s="557"/>
      <c r="AS174" s="557"/>
      <c r="AT174" s="557"/>
      <c r="AU174" s="557"/>
      <c r="AV174" s="557"/>
      <c r="AW174" s="557"/>
      <c r="AX174" s="557"/>
      <c r="AY174" s="557"/>
      <c r="AZ174" s="557"/>
      <c r="BA174" s="557"/>
      <c r="BB174" s="557"/>
      <c r="BC174" s="557"/>
      <c r="BD174" s="555"/>
      <c r="BE174" s="592"/>
      <c r="BF174" s="592"/>
      <c r="BG174" s="592"/>
      <c r="BH174" s="592"/>
      <c r="BI174" s="592"/>
      <c r="BJ174" s="592"/>
      <c r="BK174" s="592"/>
      <c r="BL174" s="592"/>
      <c r="BM174" s="592"/>
      <c r="BN174" s="592"/>
      <c r="BO174" s="592"/>
      <c r="BP174" s="592"/>
      <c r="BQ174" s="592"/>
      <c r="BR174" s="592"/>
      <c r="BS174" s="592"/>
      <c r="BT174" s="592"/>
    </row>
    <row r="175" spans="1:72" s="591" customFormat="1" ht="15">
      <c r="A175" s="539"/>
      <c r="B175" s="539"/>
      <c r="C175" s="539"/>
      <c r="D175" s="539"/>
      <c r="E175" s="539"/>
      <c r="F175" s="539"/>
      <c r="G175" s="539"/>
      <c r="H175" s="539"/>
      <c r="I175" s="539"/>
      <c r="J175" s="539"/>
      <c r="K175" s="539"/>
      <c r="L175" s="539"/>
      <c r="M175" s="539"/>
      <c r="N175" s="539"/>
      <c r="O175" s="539"/>
      <c r="P175" s="539"/>
      <c r="Q175" s="539"/>
      <c r="R175" s="539"/>
      <c r="S175" s="557"/>
      <c r="T175" s="557"/>
      <c r="U175" s="557"/>
      <c r="V175" s="557"/>
      <c r="W175" s="539"/>
      <c r="X175" s="539"/>
      <c r="Y175" s="557"/>
      <c r="Z175" s="557"/>
      <c r="AA175" s="539"/>
      <c r="AB175" s="539"/>
      <c r="AC175" s="539"/>
      <c r="AD175" s="557"/>
      <c r="AE175" s="557"/>
      <c r="AF175" s="557"/>
      <c r="AG175" s="557"/>
      <c r="AH175" s="557"/>
      <c r="AI175" s="557"/>
      <c r="AJ175" s="557"/>
      <c r="AK175" s="557"/>
      <c r="AL175" s="557"/>
      <c r="AM175" s="557"/>
      <c r="AN175" s="557"/>
      <c r="AO175" s="557"/>
      <c r="AP175" s="557"/>
      <c r="AQ175" s="557"/>
      <c r="AR175" s="557"/>
      <c r="AS175" s="557"/>
      <c r="AT175" s="557"/>
      <c r="AU175" s="557"/>
      <c r="AV175" s="557"/>
      <c r="AW175" s="557"/>
      <c r="AX175" s="557"/>
      <c r="AY175" s="557"/>
      <c r="AZ175" s="557"/>
      <c r="BA175" s="557"/>
      <c r="BB175" s="557"/>
      <c r="BC175" s="557"/>
      <c r="BD175" s="555"/>
      <c r="BE175" s="592"/>
      <c r="BF175" s="592"/>
      <c r="BG175" s="592"/>
      <c r="BH175" s="592"/>
      <c r="BI175" s="592"/>
      <c r="BJ175" s="592"/>
      <c r="BK175" s="592"/>
      <c r="BL175" s="592"/>
      <c r="BM175" s="592"/>
      <c r="BN175" s="592"/>
      <c r="BO175" s="592"/>
      <c r="BP175" s="592"/>
      <c r="BQ175" s="592"/>
      <c r="BR175" s="592"/>
      <c r="BS175" s="592"/>
      <c r="BT175" s="592"/>
    </row>
    <row r="176" spans="1:72" s="591" customFormat="1" ht="15">
      <c r="A176" s="539"/>
      <c r="B176" s="539"/>
      <c r="C176" s="539"/>
      <c r="D176" s="539"/>
      <c r="E176" s="539"/>
      <c r="F176" s="539"/>
      <c r="G176" s="539"/>
      <c r="H176" s="539"/>
      <c r="I176" s="539"/>
      <c r="J176" s="539"/>
      <c r="K176" s="539"/>
      <c r="L176" s="539"/>
      <c r="M176" s="539"/>
      <c r="N176" s="539"/>
      <c r="O176" s="539"/>
      <c r="P176" s="539"/>
      <c r="Q176" s="539"/>
      <c r="R176" s="539"/>
      <c r="S176" s="557"/>
      <c r="T176" s="557"/>
      <c r="U176" s="557"/>
      <c r="V176" s="557"/>
      <c r="W176" s="539"/>
      <c r="X176" s="539"/>
      <c r="Y176" s="557"/>
      <c r="Z176" s="557"/>
      <c r="AA176" s="539"/>
      <c r="AB176" s="539"/>
      <c r="AC176" s="539"/>
      <c r="AD176" s="557"/>
      <c r="AE176" s="557"/>
      <c r="AF176" s="557"/>
      <c r="AG176" s="557"/>
      <c r="AH176" s="557"/>
      <c r="AI176" s="557"/>
      <c r="AJ176" s="557"/>
      <c r="AK176" s="557"/>
      <c r="AL176" s="557"/>
      <c r="AM176" s="557"/>
      <c r="AN176" s="557"/>
      <c r="AO176" s="557"/>
      <c r="AP176" s="557"/>
      <c r="AQ176" s="557"/>
      <c r="AR176" s="557"/>
      <c r="AS176" s="557"/>
      <c r="AT176" s="557"/>
      <c r="AU176" s="557"/>
      <c r="AV176" s="557"/>
      <c r="AW176" s="557"/>
      <c r="AX176" s="557"/>
      <c r="AY176" s="557"/>
      <c r="AZ176" s="557"/>
      <c r="BA176" s="557"/>
      <c r="BB176" s="557"/>
      <c r="BC176" s="557"/>
      <c r="BD176" s="555"/>
      <c r="BE176" s="592"/>
      <c r="BF176" s="592"/>
      <c r="BG176" s="592"/>
      <c r="BH176" s="592"/>
      <c r="BI176" s="592"/>
      <c r="BJ176" s="592"/>
      <c r="BK176" s="592"/>
      <c r="BL176" s="592"/>
      <c r="BM176" s="592"/>
      <c r="BN176" s="592"/>
      <c r="BO176" s="592"/>
      <c r="BP176" s="592"/>
      <c r="BQ176" s="592"/>
      <c r="BR176" s="592"/>
      <c r="BS176" s="592"/>
      <c r="BT176" s="592"/>
    </row>
    <row r="177" spans="1:72" s="591" customFormat="1" ht="15">
      <c r="A177" s="539"/>
      <c r="B177" s="539"/>
      <c r="C177" s="539"/>
      <c r="D177" s="539"/>
      <c r="E177" s="539"/>
      <c r="F177" s="539"/>
      <c r="G177" s="539"/>
      <c r="H177" s="539"/>
      <c r="I177" s="539"/>
      <c r="J177" s="539"/>
      <c r="K177" s="539"/>
      <c r="L177" s="539"/>
      <c r="M177" s="539"/>
      <c r="N177" s="539"/>
      <c r="O177" s="539"/>
      <c r="P177" s="539"/>
      <c r="Q177" s="539"/>
      <c r="R177" s="539"/>
      <c r="S177" s="557"/>
      <c r="T177" s="557"/>
      <c r="U177" s="557"/>
      <c r="V177" s="557"/>
      <c r="W177" s="539"/>
      <c r="X177" s="539"/>
      <c r="Y177" s="557"/>
      <c r="Z177" s="557"/>
      <c r="AA177" s="539"/>
      <c r="AB177" s="539"/>
      <c r="AC177" s="539"/>
      <c r="AD177" s="557"/>
      <c r="AE177" s="557"/>
      <c r="AF177" s="557"/>
      <c r="AG177" s="557"/>
      <c r="AH177" s="557"/>
      <c r="AI177" s="557"/>
      <c r="AJ177" s="557"/>
      <c r="AK177" s="557"/>
      <c r="AL177" s="557"/>
      <c r="AM177" s="557"/>
      <c r="AN177" s="557"/>
      <c r="AO177" s="557"/>
      <c r="AP177" s="557"/>
      <c r="AQ177" s="557"/>
      <c r="AR177" s="557"/>
      <c r="AS177" s="557"/>
      <c r="AT177" s="557"/>
      <c r="AU177" s="557"/>
      <c r="AV177" s="557"/>
      <c r="AW177" s="557"/>
      <c r="AX177" s="557"/>
      <c r="AY177" s="557"/>
      <c r="AZ177" s="557"/>
      <c r="BA177" s="557"/>
      <c r="BB177" s="557"/>
      <c r="BC177" s="557"/>
      <c r="BD177" s="555"/>
      <c r="BE177" s="592"/>
      <c r="BF177" s="592"/>
      <c r="BG177" s="592"/>
      <c r="BH177" s="592"/>
      <c r="BI177" s="592"/>
      <c r="BJ177" s="592"/>
      <c r="BK177" s="592"/>
      <c r="BL177" s="592"/>
      <c r="BM177" s="592"/>
      <c r="BN177" s="592"/>
      <c r="BO177" s="592"/>
      <c r="BP177" s="592"/>
      <c r="BQ177" s="592"/>
      <c r="BR177" s="592"/>
      <c r="BS177" s="592"/>
      <c r="BT177" s="592"/>
    </row>
    <row r="178" spans="1:72" s="591" customFormat="1" ht="15">
      <c r="A178" s="539"/>
      <c r="B178" s="539"/>
      <c r="C178" s="539"/>
      <c r="D178" s="539"/>
      <c r="E178" s="539"/>
      <c r="F178" s="539"/>
      <c r="G178" s="539"/>
      <c r="H178" s="539"/>
      <c r="I178" s="539"/>
      <c r="J178" s="539"/>
      <c r="K178" s="539"/>
      <c r="L178" s="539"/>
      <c r="M178" s="539"/>
      <c r="N178" s="539"/>
      <c r="O178" s="539"/>
      <c r="P178" s="539"/>
      <c r="Q178" s="539"/>
      <c r="R178" s="539"/>
      <c r="S178" s="557"/>
      <c r="T178" s="557"/>
      <c r="U178" s="557"/>
      <c r="V178" s="557"/>
      <c r="W178" s="539"/>
      <c r="X178" s="539"/>
      <c r="Y178" s="557"/>
      <c r="Z178" s="557"/>
      <c r="AA178" s="539"/>
      <c r="AB178" s="539"/>
      <c r="AC178" s="539"/>
      <c r="AD178" s="557"/>
      <c r="AE178" s="557"/>
      <c r="AF178" s="557"/>
      <c r="AG178" s="557"/>
      <c r="AH178" s="557"/>
      <c r="AI178" s="557"/>
      <c r="AJ178" s="557"/>
      <c r="AK178" s="557"/>
      <c r="AL178" s="557"/>
      <c r="AM178" s="557"/>
      <c r="AN178" s="557"/>
      <c r="AO178" s="557"/>
      <c r="AP178" s="557"/>
      <c r="AQ178" s="557"/>
      <c r="AR178" s="557"/>
      <c r="AS178" s="557"/>
      <c r="AT178" s="557"/>
      <c r="AU178" s="557"/>
      <c r="AV178" s="557"/>
      <c r="AW178" s="557"/>
      <c r="AX178" s="557"/>
      <c r="AY178" s="557"/>
      <c r="AZ178" s="557"/>
      <c r="BA178" s="557"/>
      <c r="BB178" s="557"/>
      <c r="BC178" s="557"/>
      <c r="BD178" s="555"/>
      <c r="BE178" s="592"/>
      <c r="BF178" s="592"/>
      <c r="BG178" s="592"/>
      <c r="BH178" s="592"/>
      <c r="BI178" s="592"/>
      <c r="BJ178" s="592"/>
      <c r="BK178" s="592"/>
      <c r="BL178" s="592"/>
      <c r="BM178" s="592"/>
      <c r="BN178" s="592"/>
      <c r="BO178" s="592"/>
      <c r="BP178" s="592"/>
      <c r="BQ178" s="592"/>
      <c r="BR178" s="592"/>
      <c r="BS178" s="592"/>
      <c r="BT178" s="592"/>
    </row>
    <row r="179" spans="1:72" s="591" customFormat="1" ht="15">
      <c r="A179" s="539"/>
      <c r="B179" s="539"/>
      <c r="C179" s="539"/>
      <c r="D179" s="539"/>
      <c r="E179" s="539"/>
      <c r="F179" s="539"/>
      <c r="G179" s="539"/>
      <c r="H179" s="539"/>
      <c r="I179" s="539"/>
      <c r="J179" s="539"/>
      <c r="K179" s="539"/>
      <c r="L179" s="539"/>
      <c r="M179" s="539"/>
      <c r="N179" s="539"/>
      <c r="O179" s="539"/>
      <c r="P179" s="539"/>
      <c r="Q179" s="539"/>
      <c r="R179" s="539"/>
      <c r="S179" s="557"/>
      <c r="T179" s="557"/>
      <c r="U179" s="557"/>
      <c r="V179" s="557"/>
      <c r="W179" s="539"/>
      <c r="X179" s="539"/>
      <c r="Y179" s="557"/>
      <c r="Z179" s="557"/>
      <c r="AA179" s="539"/>
      <c r="AB179" s="539"/>
      <c r="AC179" s="539"/>
      <c r="AD179" s="557"/>
      <c r="AE179" s="557"/>
      <c r="AF179" s="557"/>
      <c r="AG179" s="557"/>
      <c r="AH179" s="557"/>
      <c r="AI179" s="557"/>
      <c r="AJ179" s="557"/>
      <c r="AK179" s="557"/>
      <c r="AL179" s="557"/>
      <c r="AM179" s="557"/>
      <c r="AN179" s="557"/>
      <c r="AO179" s="557"/>
      <c r="AP179" s="557"/>
      <c r="AQ179" s="557"/>
      <c r="AR179" s="557"/>
      <c r="AS179" s="557"/>
      <c r="AT179" s="557"/>
      <c r="AU179" s="557"/>
      <c r="AV179" s="557"/>
      <c r="AW179" s="557"/>
      <c r="AX179" s="557"/>
      <c r="AY179" s="557"/>
      <c r="AZ179" s="557"/>
      <c r="BA179" s="557"/>
      <c r="BB179" s="557"/>
      <c r="BC179" s="557"/>
      <c r="BD179" s="555"/>
      <c r="BE179" s="592"/>
      <c r="BF179" s="592"/>
      <c r="BG179" s="592"/>
      <c r="BH179" s="592"/>
      <c r="BI179" s="592"/>
      <c r="BJ179" s="592"/>
      <c r="BK179" s="592"/>
      <c r="BL179" s="592"/>
      <c r="BM179" s="592"/>
      <c r="BN179" s="592"/>
      <c r="BO179" s="592"/>
      <c r="BP179" s="592"/>
      <c r="BQ179" s="592"/>
      <c r="BR179" s="592"/>
      <c r="BS179" s="592"/>
      <c r="BT179" s="592"/>
    </row>
    <row r="180" spans="1:72" s="591" customFormat="1" ht="15">
      <c r="A180" s="539"/>
      <c r="B180" s="539"/>
      <c r="C180" s="539"/>
      <c r="D180" s="539"/>
      <c r="E180" s="539"/>
      <c r="F180" s="539"/>
      <c r="G180" s="539"/>
      <c r="H180" s="539"/>
      <c r="I180" s="539"/>
      <c r="J180" s="539"/>
      <c r="K180" s="539"/>
      <c r="L180" s="539"/>
      <c r="M180" s="539"/>
      <c r="N180" s="539"/>
      <c r="O180" s="539"/>
      <c r="P180" s="539"/>
      <c r="Q180" s="539"/>
      <c r="R180" s="539"/>
      <c r="S180" s="557"/>
      <c r="T180" s="557"/>
      <c r="U180" s="557"/>
      <c r="V180" s="557"/>
      <c r="W180" s="539"/>
      <c r="X180" s="539"/>
      <c r="Y180" s="557"/>
      <c r="Z180" s="557"/>
      <c r="AA180" s="539"/>
      <c r="AB180" s="539"/>
      <c r="AC180" s="539"/>
      <c r="AD180" s="557"/>
      <c r="AE180" s="557"/>
      <c r="AF180" s="557"/>
      <c r="AG180" s="557"/>
      <c r="AH180" s="557"/>
      <c r="AI180" s="557"/>
      <c r="AJ180" s="557"/>
      <c r="AK180" s="557"/>
      <c r="AL180" s="557"/>
      <c r="AM180" s="557"/>
      <c r="AN180" s="557"/>
      <c r="AO180" s="557"/>
      <c r="AP180" s="557"/>
      <c r="AQ180" s="557"/>
      <c r="AR180" s="557"/>
      <c r="AS180" s="557"/>
      <c r="AT180" s="557"/>
      <c r="AU180" s="557"/>
      <c r="AV180" s="557"/>
      <c r="AW180" s="557"/>
      <c r="AX180" s="557"/>
      <c r="AY180" s="557"/>
      <c r="AZ180" s="557"/>
      <c r="BA180" s="557"/>
      <c r="BB180" s="557"/>
      <c r="BC180" s="557"/>
      <c r="BD180" s="555"/>
      <c r="BE180" s="592"/>
      <c r="BF180" s="592"/>
      <c r="BG180" s="592"/>
      <c r="BH180" s="592"/>
      <c r="BI180" s="592"/>
      <c r="BJ180" s="592"/>
      <c r="BK180" s="592"/>
      <c r="BL180" s="592"/>
      <c r="BM180" s="592"/>
      <c r="BN180" s="592"/>
      <c r="BO180" s="592"/>
      <c r="BP180" s="592"/>
      <c r="BQ180" s="592"/>
      <c r="BR180" s="592"/>
      <c r="BS180" s="592"/>
      <c r="BT180" s="592"/>
    </row>
    <row r="181" spans="1:72" s="591" customFormat="1" ht="15">
      <c r="A181" s="539"/>
      <c r="B181" s="539"/>
      <c r="C181" s="539"/>
      <c r="D181" s="539"/>
      <c r="E181" s="539"/>
      <c r="F181" s="539"/>
      <c r="G181" s="539"/>
      <c r="H181" s="539"/>
      <c r="I181" s="539"/>
      <c r="J181" s="539"/>
      <c r="K181" s="539"/>
      <c r="L181" s="539"/>
      <c r="M181" s="539"/>
      <c r="N181" s="539"/>
      <c r="O181" s="539"/>
      <c r="P181" s="539"/>
      <c r="Q181" s="539"/>
      <c r="R181" s="539"/>
      <c r="S181" s="557"/>
      <c r="T181" s="557"/>
      <c r="U181" s="557"/>
      <c r="V181" s="557"/>
      <c r="W181" s="539"/>
      <c r="X181" s="539"/>
      <c r="Y181" s="557"/>
      <c r="Z181" s="557"/>
      <c r="AA181" s="539"/>
      <c r="AB181" s="539"/>
      <c r="AC181" s="539"/>
      <c r="AD181" s="557"/>
      <c r="AE181" s="557"/>
      <c r="AF181" s="557"/>
      <c r="AG181" s="557"/>
      <c r="AH181" s="557"/>
      <c r="AI181" s="557"/>
      <c r="AJ181" s="557"/>
      <c r="AK181" s="557"/>
      <c r="AL181" s="557"/>
      <c r="AM181" s="557"/>
      <c r="AN181" s="557"/>
      <c r="AO181" s="557"/>
      <c r="AP181" s="557"/>
      <c r="AQ181" s="557"/>
      <c r="AR181" s="557"/>
      <c r="AS181" s="557"/>
      <c r="AT181" s="557"/>
      <c r="AU181" s="557"/>
      <c r="AV181" s="557"/>
      <c r="AW181" s="557"/>
      <c r="AX181" s="557"/>
      <c r="AY181" s="557"/>
      <c r="AZ181" s="557"/>
      <c r="BA181" s="557"/>
      <c r="BB181" s="557"/>
      <c r="BC181" s="557"/>
      <c r="BD181" s="555"/>
      <c r="BE181" s="592"/>
      <c r="BF181" s="592"/>
      <c r="BG181" s="592"/>
      <c r="BH181" s="592"/>
      <c r="BI181" s="592"/>
      <c r="BJ181" s="592"/>
      <c r="BK181" s="592"/>
      <c r="BL181" s="592"/>
      <c r="BM181" s="592"/>
      <c r="BN181" s="592"/>
      <c r="BO181" s="592"/>
      <c r="BP181" s="592"/>
      <c r="BQ181" s="592"/>
      <c r="BR181" s="592"/>
      <c r="BS181" s="592"/>
      <c r="BT181" s="592"/>
    </row>
    <row r="182" spans="1:72" s="591" customFormat="1" ht="15">
      <c r="A182" s="539"/>
      <c r="B182" s="539"/>
      <c r="C182" s="539"/>
      <c r="D182" s="539"/>
      <c r="E182" s="539"/>
      <c r="F182" s="539"/>
      <c r="G182" s="539"/>
      <c r="H182" s="539"/>
      <c r="I182" s="539"/>
      <c r="J182" s="539"/>
      <c r="K182" s="539"/>
      <c r="L182" s="539"/>
      <c r="M182" s="539"/>
      <c r="N182" s="539"/>
      <c r="O182" s="539"/>
      <c r="P182" s="539"/>
      <c r="Q182" s="539"/>
      <c r="R182" s="539"/>
      <c r="S182" s="557"/>
      <c r="T182" s="557"/>
      <c r="U182" s="557"/>
      <c r="V182" s="557"/>
      <c r="W182" s="539"/>
      <c r="X182" s="539"/>
      <c r="Y182" s="557"/>
      <c r="Z182" s="557"/>
      <c r="AA182" s="539"/>
      <c r="AB182" s="539"/>
      <c r="AC182" s="539"/>
      <c r="AD182" s="557"/>
      <c r="AE182" s="557"/>
      <c r="AF182" s="557"/>
      <c r="AG182" s="557"/>
      <c r="AH182" s="557"/>
      <c r="AI182" s="557"/>
      <c r="AJ182" s="557"/>
      <c r="AK182" s="557"/>
      <c r="AL182" s="557"/>
      <c r="AM182" s="557"/>
      <c r="AN182" s="557"/>
      <c r="AO182" s="557"/>
      <c r="AP182" s="557"/>
      <c r="AQ182" s="557"/>
      <c r="AR182" s="557"/>
      <c r="AS182" s="557"/>
      <c r="AT182" s="557"/>
      <c r="AU182" s="557"/>
      <c r="AV182" s="557"/>
      <c r="AW182" s="557"/>
      <c r="AX182" s="557"/>
      <c r="AY182" s="557"/>
      <c r="AZ182" s="557"/>
      <c r="BA182" s="557"/>
      <c r="BB182" s="557"/>
      <c r="BC182" s="557"/>
      <c r="BD182" s="555"/>
      <c r="BE182" s="592"/>
      <c r="BF182" s="592"/>
      <c r="BG182" s="592"/>
      <c r="BH182" s="592"/>
      <c r="BI182" s="592"/>
      <c r="BJ182" s="592"/>
      <c r="BK182" s="592"/>
      <c r="BL182" s="592"/>
      <c r="BM182" s="592"/>
      <c r="BN182" s="592"/>
      <c r="BO182" s="592"/>
      <c r="BP182" s="592"/>
      <c r="BQ182" s="592"/>
      <c r="BR182" s="592"/>
      <c r="BS182" s="592"/>
      <c r="BT182" s="592"/>
    </row>
    <row r="183" spans="1:72" s="591" customFormat="1" ht="15">
      <c r="A183" s="539"/>
      <c r="B183" s="539"/>
      <c r="C183" s="539"/>
      <c r="D183" s="539"/>
      <c r="E183" s="539"/>
      <c r="F183" s="539"/>
      <c r="G183" s="539"/>
      <c r="H183" s="539"/>
      <c r="I183" s="539"/>
      <c r="J183" s="539"/>
      <c r="K183" s="539"/>
      <c r="L183" s="539"/>
      <c r="M183" s="539"/>
      <c r="N183" s="539"/>
      <c r="O183" s="539"/>
      <c r="P183" s="539"/>
      <c r="Q183" s="539"/>
      <c r="R183" s="539"/>
      <c r="S183" s="557"/>
      <c r="T183" s="557"/>
      <c r="U183" s="557"/>
      <c r="V183" s="557"/>
      <c r="W183" s="539"/>
      <c r="X183" s="539"/>
      <c r="Y183" s="557"/>
      <c r="Z183" s="557"/>
      <c r="AA183" s="539"/>
      <c r="AB183" s="539"/>
      <c r="AC183" s="539"/>
      <c r="AD183" s="557"/>
      <c r="AE183" s="557"/>
      <c r="AF183" s="557"/>
      <c r="AG183" s="557"/>
      <c r="AH183" s="557"/>
      <c r="AI183" s="557"/>
      <c r="AJ183" s="557"/>
      <c r="AK183" s="557"/>
      <c r="AL183" s="557"/>
      <c r="AM183" s="557"/>
      <c r="AN183" s="557"/>
      <c r="AO183" s="557"/>
      <c r="AP183" s="557"/>
      <c r="AQ183" s="557"/>
      <c r="AR183" s="557"/>
      <c r="AS183" s="557"/>
      <c r="AT183" s="557"/>
      <c r="AU183" s="557"/>
      <c r="AV183" s="557"/>
      <c r="AW183" s="557"/>
      <c r="AX183" s="557"/>
      <c r="AY183" s="557"/>
      <c r="AZ183" s="557"/>
      <c r="BA183" s="557"/>
      <c r="BB183" s="557"/>
      <c r="BC183" s="557"/>
      <c r="BD183" s="555"/>
      <c r="BE183" s="592"/>
      <c r="BF183" s="592"/>
      <c r="BG183" s="592"/>
      <c r="BH183" s="592"/>
      <c r="BI183" s="592"/>
      <c r="BJ183" s="592"/>
      <c r="BK183" s="592"/>
      <c r="BL183" s="592"/>
      <c r="BM183" s="592"/>
      <c r="BN183" s="592"/>
      <c r="BO183" s="592"/>
      <c r="BP183" s="592"/>
      <c r="BQ183" s="592"/>
      <c r="BR183" s="592"/>
      <c r="BS183" s="592"/>
      <c r="BT183" s="592"/>
    </row>
    <row r="184" spans="1:72" s="591" customFormat="1" ht="15">
      <c r="A184" s="539"/>
      <c r="B184" s="539"/>
      <c r="C184" s="539"/>
      <c r="D184" s="539"/>
      <c r="E184" s="539"/>
      <c r="F184" s="539"/>
      <c r="G184" s="539"/>
      <c r="H184" s="539"/>
      <c r="I184" s="539"/>
      <c r="J184" s="539"/>
      <c r="K184" s="539"/>
      <c r="L184" s="539"/>
      <c r="M184" s="539"/>
      <c r="N184" s="539"/>
      <c r="O184" s="539"/>
      <c r="P184" s="539"/>
      <c r="Q184" s="539"/>
      <c r="R184" s="539"/>
      <c r="S184" s="557"/>
      <c r="T184" s="557"/>
      <c r="U184" s="557"/>
      <c r="V184" s="557"/>
      <c r="W184" s="539"/>
      <c r="X184" s="539"/>
      <c r="Y184" s="557"/>
      <c r="Z184" s="557"/>
      <c r="AA184" s="539"/>
      <c r="AB184" s="539"/>
      <c r="AC184" s="539"/>
      <c r="AD184" s="557"/>
      <c r="AE184" s="557"/>
      <c r="AF184" s="557"/>
      <c r="AG184" s="557"/>
      <c r="AH184" s="557"/>
      <c r="AI184" s="557"/>
      <c r="AJ184" s="557"/>
      <c r="AK184" s="557"/>
      <c r="AL184" s="557"/>
      <c r="AM184" s="557"/>
      <c r="AN184" s="557"/>
      <c r="AO184" s="557"/>
      <c r="AP184" s="557"/>
      <c r="AQ184" s="557"/>
      <c r="AR184" s="557"/>
      <c r="AS184" s="557"/>
      <c r="AT184" s="557"/>
      <c r="AU184" s="557"/>
      <c r="AV184" s="557"/>
      <c r="AW184" s="557"/>
      <c r="AX184" s="557"/>
      <c r="AY184" s="557"/>
      <c r="AZ184" s="557"/>
      <c r="BA184" s="557"/>
      <c r="BB184" s="557"/>
      <c r="BC184" s="557"/>
      <c r="BD184" s="555"/>
      <c r="BE184" s="592"/>
      <c r="BF184" s="592"/>
      <c r="BG184" s="592"/>
      <c r="BH184" s="592"/>
      <c r="BI184" s="592"/>
      <c r="BJ184" s="592"/>
      <c r="BK184" s="592"/>
      <c r="BL184" s="592"/>
      <c r="BM184" s="592"/>
      <c r="BN184" s="592"/>
      <c r="BO184" s="592"/>
      <c r="BP184" s="592"/>
      <c r="BQ184" s="592"/>
      <c r="BR184" s="592"/>
      <c r="BS184" s="592"/>
      <c r="BT184" s="592"/>
    </row>
    <row r="185" spans="1:72" s="591" customFormat="1" ht="15">
      <c r="A185" s="539"/>
      <c r="B185" s="539"/>
      <c r="C185" s="539"/>
      <c r="D185" s="539"/>
      <c r="E185" s="539"/>
      <c r="F185" s="539"/>
      <c r="G185" s="539"/>
      <c r="H185" s="539"/>
      <c r="I185" s="539"/>
      <c r="J185" s="539"/>
      <c r="K185" s="539"/>
      <c r="L185" s="539"/>
      <c r="M185" s="539"/>
      <c r="N185" s="539"/>
      <c r="O185" s="539"/>
      <c r="P185" s="539"/>
      <c r="Q185" s="539"/>
      <c r="R185" s="539"/>
      <c r="S185" s="557"/>
      <c r="T185" s="557"/>
      <c r="U185" s="557"/>
      <c r="V185" s="557"/>
      <c r="W185" s="539"/>
      <c r="X185" s="539"/>
      <c r="Y185" s="557"/>
      <c r="Z185" s="557"/>
      <c r="AA185" s="539"/>
      <c r="AB185" s="539"/>
      <c r="AC185" s="539"/>
      <c r="AD185" s="557"/>
      <c r="AE185" s="557"/>
      <c r="AF185" s="557"/>
      <c r="AG185" s="557"/>
      <c r="AH185" s="557"/>
      <c r="AI185" s="557"/>
      <c r="AJ185" s="557"/>
      <c r="AK185" s="557"/>
      <c r="AL185" s="557"/>
      <c r="AM185" s="557"/>
      <c r="AN185" s="557"/>
      <c r="AO185" s="557"/>
      <c r="AP185" s="557"/>
      <c r="AQ185" s="557"/>
      <c r="AR185" s="557"/>
      <c r="AS185" s="557"/>
      <c r="AT185" s="557"/>
      <c r="AU185" s="557"/>
      <c r="AV185" s="557"/>
      <c r="AW185" s="557"/>
      <c r="AX185" s="557"/>
      <c r="AY185" s="557"/>
      <c r="AZ185" s="557"/>
      <c r="BA185" s="557"/>
      <c r="BB185" s="557"/>
      <c r="BC185" s="557"/>
      <c r="BD185" s="555"/>
      <c r="BE185" s="592"/>
      <c r="BF185" s="592"/>
      <c r="BG185" s="592"/>
      <c r="BH185" s="592"/>
      <c r="BI185" s="592"/>
      <c r="BJ185" s="592"/>
      <c r="BK185" s="592"/>
      <c r="BL185" s="592"/>
      <c r="BM185" s="592"/>
      <c r="BN185" s="592"/>
      <c r="BO185" s="592"/>
      <c r="BP185" s="592"/>
      <c r="BQ185" s="592"/>
      <c r="BR185" s="592"/>
      <c r="BS185" s="592"/>
      <c r="BT185" s="592"/>
    </row>
    <row r="186" spans="1:72" s="591" customFormat="1" ht="15">
      <c r="A186" s="539"/>
      <c r="B186" s="539"/>
      <c r="C186" s="539"/>
      <c r="D186" s="539"/>
      <c r="E186" s="539"/>
      <c r="F186" s="539"/>
      <c r="G186" s="539"/>
      <c r="H186" s="539"/>
      <c r="I186" s="539"/>
      <c r="J186" s="539"/>
      <c r="K186" s="539"/>
      <c r="L186" s="539"/>
      <c r="M186" s="539"/>
      <c r="N186" s="539"/>
      <c r="O186" s="539"/>
      <c r="P186" s="539"/>
      <c r="Q186" s="539"/>
      <c r="R186" s="539"/>
      <c r="S186" s="557"/>
      <c r="T186" s="557"/>
      <c r="U186" s="557"/>
      <c r="V186" s="557"/>
      <c r="W186" s="539"/>
      <c r="X186" s="539"/>
      <c r="Y186" s="557"/>
      <c r="Z186" s="557"/>
      <c r="AA186" s="539"/>
      <c r="AB186" s="539"/>
      <c r="AC186" s="539"/>
      <c r="AD186" s="557"/>
      <c r="AE186" s="557"/>
      <c r="AF186" s="557"/>
      <c r="AG186" s="557"/>
      <c r="AH186" s="557"/>
      <c r="AI186" s="557"/>
      <c r="AJ186" s="557"/>
      <c r="AK186" s="557"/>
      <c r="AL186" s="557"/>
      <c r="AM186" s="557"/>
      <c r="AN186" s="557"/>
      <c r="AO186" s="557"/>
      <c r="AP186" s="557"/>
      <c r="AQ186" s="557"/>
      <c r="AR186" s="557"/>
      <c r="AS186" s="557"/>
      <c r="AT186" s="557"/>
      <c r="AU186" s="557"/>
      <c r="AV186" s="557"/>
      <c r="AW186" s="557"/>
      <c r="AX186" s="557"/>
      <c r="AY186" s="557"/>
      <c r="AZ186" s="557"/>
      <c r="BA186" s="557"/>
      <c r="BB186" s="557"/>
      <c r="BC186" s="557"/>
      <c r="BD186" s="555"/>
      <c r="BE186" s="592"/>
      <c r="BF186" s="592"/>
      <c r="BG186" s="592"/>
      <c r="BH186" s="592"/>
      <c r="BI186" s="592"/>
      <c r="BJ186" s="592"/>
      <c r="BK186" s="592"/>
      <c r="BL186" s="592"/>
      <c r="BM186" s="592"/>
      <c r="BN186" s="592"/>
      <c r="BO186" s="592"/>
      <c r="BP186" s="592"/>
      <c r="BQ186" s="592"/>
      <c r="BR186" s="592"/>
      <c r="BS186" s="592"/>
      <c r="BT186" s="592"/>
    </row>
    <row r="187" spans="1:72" s="591" customFormat="1" ht="15">
      <c r="A187" s="539"/>
      <c r="B187" s="539"/>
      <c r="C187" s="539"/>
      <c r="D187" s="539"/>
      <c r="E187" s="539"/>
      <c r="F187" s="539"/>
      <c r="G187" s="539"/>
      <c r="H187" s="539"/>
      <c r="I187" s="539"/>
      <c r="J187" s="539"/>
      <c r="K187" s="539"/>
      <c r="L187" s="539"/>
      <c r="M187" s="539"/>
      <c r="N187" s="539"/>
      <c r="O187" s="539"/>
      <c r="P187" s="539"/>
      <c r="Q187" s="539"/>
      <c r="R187" s="539"/>
      <c r="S187" s="557"/>
      <c r="T187" s="557"/>
      <c r="U187" s="557"/>
      <c r="V187" s="557"/>
      <c r="W187" s="539"/>
      <c r="X187" s="539"/>
      <c r="Y187" s="557"/>
      <c r="Z187" s="557"/>
      <c r="AA187" s="539"/>
      <c r="AB187" s="539"/>
      <c r="AC187" s="539"/>
      <c r="AD187" s="557"/>
      <c r="AE187" s="557"/>
      <c r="AF187" s="557"/>
      <c r="AG187" s="557"/>
      <c r="AH187" s="557"/>
      <c r="AI187" s="557"/>
      <c r="AJ187" s="557"/>
      <c r="AK187" s="557"/>
      <c r="AL187" s="557"/>
      <c r="AM187" s="557"/>
      <c r="AN187" s="557"/>
      <c r="AO187" s="557"/>
      <c r="AP187" s="557"/>
      <c r="AQ187" s="557"/>
      <c r="AR187" s="557"/>
      <c r="AS187" s="557"/>
      <c r="AT187" s="557"/>
      <c r="AU187" s="557"/>
      <c r="AV187" s="557"/>
      <c r="AW187" s="557"/>
      <c r="AX187" s="557"/>
      <c r="AY187" s="557"/>
      <c r="AZ187" s="557"/>
      <c r="BA187" s="557"/>
      <c r="BB187" s="557"/>
      <c r="BC187" s="557"/>
      <c r="BD187" s="555"/>
      <c r="BE187" s="592"/>
      <c r="BF187" s="592"/>
      <c r="BG187" s="592"/>
      <c r="BH187" s="592"/>
      <c r="BI187" s="592"/>
      <c r="BJ187" s="592"/>
      <c r="BK187" s="592"/>
      <c r="BL187" s="592"/>
      <c r="BM187" s="592"/>
      <c r="BN187" s="592"/>
      <c r="BO187" s="592"/>
      <c r="BP187" s="592"/>
      <c r="BQ187" s="592"/>
      <c r="BR187" s="592"/>
      <c r="BS187" s="592"/>
      <c r="BT187" s="592"/>
    </row>
    <row r="188" spans="1:72" s="591" customFormat="1" ht="15">
      <c r="A188" s="539"/>
      <c r="B188" s="539"/>
      <c r="C188" s="539"/>
      <c r="D188" s="539"/>
      <c r="E188" s="539"/>
      <c r="F188" s="539"/>
      <c r="G188" s="539"/>
      <c r="H188" s="539"/>
      <c r="I188" s="539"/>
      <c r="J188" s="539"/>
      <c r="K188" s="539"/>
      <c r="L188" s="539"/>
      <c r="M188" s="539"/>
      <c r="N188" s="539"/>
      <c r="O188" s="539"/>
      <c r="P188" s="539"/>
      <c r="Q188" s="539"/>
      <c r="R188" s="539"/>
      <c r="S188" s="557"/>
      <c r="T188" s="557"/>
      <c r="U188" s="557"/>
      <c r="V188" s="557"/>
      <c r="W188" s="539"/>
      <c r="X188" s="539"/>
      <c r="Y188" s="557"/>
      <c r="Z188" s="557"/>
      <c r="AA188" s="539"/>
      <c r="AB188" s="539"/>
      <c r="AC188" s="539"/>
      <c r="AD188" s="557"/>
      <c r="AE188" s="557"/>
      <c r="AF188" s="557"/>
      <c r="AG188" s="557"/>
      <c r="AH188" s="557"/>
      <c r="AI188" s="557"/>
      <c r="AJ188" s="557"/>
      <c r="AK188" s="557"/>
      <c r="AL188" s="557"/>
      <c r="AM188" s="557"/>
      <c r="AN188" s="557"/>
      <c r="AO188" s="557"/>
      <c r="AP188" s="557"/>
      <c r="AQ188" s="557"/>
      <c r="AR188" s="557"/>
      <c r="AS188" s="557"/>
      <c r="AT188" s="557"/>
      <c r="AU188" s="557"/>
      <c r="AV188" s="557"/>
      <c r="AW188" s="557"/>
      <c r="AX188" s="557"/>
      <c r="AY188" s="557"/>
      <c r="AZ188" s="557"/>
      <c r="BA188" s="557"/>
      <c r="BB188" s="557"/>
      <c r="BC188" s="557"/>
      <c r="BD188" s="555"/>
      <c r="BE188" s="592"/>
      <c r="BF188" s="592"/>
      <c r="BG188" s="592"/>
      <c r="BH188" s="592"/>
      <c r="BI188" s="592"/>
      <c r="BJ188" s="592"/>
      <c r="BK188" s="592"/>
      <c r="BL188" s="592"/>
      <c r="BM188" s="592"/>
      <c r="BN188" s="592"/>
      <c r="BO188" s="592"/>
      <c r="BP188" s="592"/>
      <c r="BQ188" s="592"/>
      <c r="BR188" s="592"/>
      <c r="BS188" s="592"/>
      <c r="BT188" s="592"/>
    </row>
    <row r="189" spans="1:72" s="591" customFormat="1" ht="15">
      <c r="A189" s="539"/>
      <c r="B189" s="539"/>
      <c r="C189" s="539"/>
      <c r="D189" s="539"/>
      <c r="E189" s="539"/>
      <c r="F189" s="539"/>
      <c r="G189" s="539"/>
      <c r="H189" s="539"/>
      <c r="I189" s="539"/>
      <c r="J189" s="539"/>
      <c r="K189" s="539"/>
      <c r="L189" s="539"/>
      <c r="M189" s="539"/>
      <c r="N189" s="539"/>
      <c r="O189" s="539"/>
      <c r="P189" s="539"/>
      <c r="Q189" s="539"/>
      <c r="R189" s="539"/>
      <c r="S189" s="557"/>
      <c r="T189" s="557"/>
      <c r="U189" s="557"/>
      <c r="V189" s="557"/>
      <c r="W189" s="539"/>
      <c r="X189" s="539"/>
      <c r="Y189" s="557"/>
      <c r="Z189" s="557"/>
      <c r="AA189" s="539"/>
      <c r="AB189" s="539"/>
      <c r="AC189" s="539"/>
      <c r="AD189" s="557"/>
      <c r="AE189" s="557"/>
      <c r="AF189" s="557"/>
      <c r="AG189" s="557"/>
      <c r="AH189" s="557"/>
      <c r="AI189" s="557"/>
      <c r="AJ189" s="557"/>
      <c r="AK189" s="557"/>
      <c r="AL189" s="557"/>
      <c r="AM189" s="557"/>
      <c r="AN189" s="557"/>
      <c r="AO189" s="557"/>
      <c r="AP189" s="557"/>
      <c r="AQ189" s="557"/>
      <c r="AR189" s="557"/>
      <c r="AS189" s="557"/>
      <c r="AT189" s="557"/>
      <c r="AU189" s="557"/>
      <c r="AV189" s="557"/>
      <c r="AW189" s="557"/>
      <c r="AX189" s="557"/>
      <c r="AY189" s="557"/>
      <c r="AZ189" s="557"/>
      <c r="BA189" s="557"/>
      <c r="BB189" s="557"/>
      <c r="BC189" s="557"/>
      <c r="BD189" s="555"/>
      <c r="BE189" s="592"/>
      <c r="BF189" s="592"/>
      <c r="BG189" s="592"/>
      <c r="BH189" s="592"/>
      <c r="BI189" s="592"/>
      <c r="BJ189" s="592"/>
      <c r="BK189" s="592"/>
      <c r="BL189" s="592"/>
      <c r="BM189" s="592"/>
      <c r="BN189" s="592"/>
      <c r="BO189" s="592"/>
      <c r="BP189" s="592"/>
      <c r="BQ189" s="592"/>
      <c r="BR189" s="592"/>
      <c r="BS189" s="592"/>
      <c r="BT189" s="592"/>
    </row>
    <row r="190" spans="1:72" s="591" customFormat="1" ht="15">
      <c r="A190" s="539"/>
      <c r="B190" s="539"/>
      <c r="C190" s="539"/>
      <c r="D190" s="539"/>
      <c r="E190" s="539"/>
      <c r="F190" s="539"/>
      <c r="G190" s="539"/>
      <c r="H190" s="539"/>
      <c r="I190" s="539"/>
      <c r="J190" s="539"/>
      <c r="K190" s="539"/>
      <c r="L190" s="539"/>
      <c r="M190" s="539"/>
      <c r="N190" s="539"/>
      <c r="O190" s="539"/>
      <c r="P190" s="539"/>
      <c r="Q190" s="539"/>
      <c r="R190" s="539"/>
      <c r="S190" s="557"/>
      <c r="T190" s="557"/>
      <c r="U190" s="557"/>
      <c r="V190" s="557"/>
      <c r="W190" s="539"/>
      <c r="X190" s="539"/>
      <c r="Y190" s="557"/>
      <c r="Z190" s="557"/>
      <c r="AA190" s="539"/>
      <c r="AB190" s="539"/>
      <c r="AC190" s="539"/>
      <c r="AD190" s="557"/>
      <c r="AE190" s="557"/>
      <c r="AF190" s="557"/>
      <c r="AG190" s="557"/>
      <c r="AH190" s="557"/>
      <c r="AI190" s="557"/>
      <c r="AJ190" s="557"/>
      <c r="AK190" s="557"/>
      <c r="AL190" s="557"/>
      <c r="AM190" s="557"/>
      <c r="AN190" s="557"/>
      <c r="AO190" s="557"/>
      <c r="AP190" s="557"/>
      <c r="AQ190" s="557"/>
      <c r="AR190" s="557"/>
      <c r="AS190" s="557"/>
      <c r="AT190" s="557"/>
      <c r="AU190" s="557"/>
      <c r="AV190" s="557"/>
      <c r="AW190" s="557"/>
      <c r="AX190" s="557"/>
      <c r="AY190" s="557"/>
      <c r="AZ190" s="557"/>
      <c r="BA190" s="557"/>
      <c r="BB190" s="557"/>
      <c r="BC190" s="557"/>
      <c r="BD190" s="555"/>
      <c r="BE190" s="592"/>
      <c r="BF190" s="592"/>
      <c r="BG190" s="592"/>
      <c r="BH190" s="592"/>
      <c r="BI190" s="592"/>
      <c r="BJ190" s="592"/>
      <c r="BK190" s="592"/>
      <c r="BL190" s="592"/>
      <c r="BM190" s="592"/>
      <c r="BN190" s="592"/>
      <c r="BO190" s="592"/>
      <c r="BP190" s="592"/>
      <c r="BQ190" s="592"/>
      <c r="BR190" s="592"/>
      <c r="BS190" s="592"/>
      <c r="BT190" s="592"/>
    </row>
    <row r="191" spans="1:72" s="591" customFormat="1" ht="15">
      <c r="A191" s="539"/>
      <c r="B191" s="539"/>
      <c r="C191" s="539"/>
      <c r="D191" s="539"/>
      <c r="E191" s="539"/>
      <c r="F191" s="539"/>
      <c r="G191" s="539"/>
      <c r="H191" s="539"/>
      <c r="I191" s="539"/>
      <c r="J191" s="539"/>
      <c r="K191" s="539"/>
      <c r="L191" s="539"/>
      <c r="M191" s="539"/>
      <c r="N191" s="539"/>
      <c r="O191" s="539"/>
      <c r="P191" s="539"/>
      <c r="Q191" s="539"/>
      <c r="R191" s="539"/>
      <c r="S191" s="557"/>
      <c r="T191" s="557"/>
      <c r="U191" s="557"/>
      <c r="V191" s="557"/>
      <c r="W191" s="539"/>
      <c r="X191" s="539"/>
      <c r="Y191" s="557"/>
      <c r="Z191" s="557"/>
      <c r="AA191" s="539"/>
      <c r="AB191" s="539"/>
      <c r="AC191" s="539"/>
      <c r="AD191" s="557"/>
      <c r="AE191" s="557"/>
      <c r="AF191" s="557"/>
      <c r="AG191" s="557"/>
      <c r="AH191" s="557"/>
      <c r="AI191" s="557"/>
      <c r="AJ191" s="557"/>
      <c r="AK191" s="557"/>
      <c r="AL191" s="557"/>
      <c r="AM191" s="557"/>
      <c r="AN191" s="557"/>
      <c r="AO191" s="557"/>
      <c r="AP191" s="557"/>
      <c r="AQ191" s="557"/>
      <c r="AR191" s="557"/>
      <c r="AS191" s="557"/>
      <c r="AT191" s="557"/>
      <c r="AU191" s="557"/>
      <c r="AV191" s="557"/>
      <c r="AW191" s="557"/>
      <c r="AX191" s="557"/>
      <c r="AY191" s="557"/>
      <c r="AZ191" s="557"/>
      <c r="BA191" s="557"/>
      <c r="BB191" s="557"/>
      <c r="BC191" s="557"/>
      <c r="BD191" s="555"/>
      <c r="BE191" s="592"/>
      <c r="BF191" s="592"/>
      <c r="BG191" s="592"/>
      <c r="BH191" s="592"/>
      <c r="BI191" s="592"/>
      <c r="BJ191" s="592"/>
      <c r="BK191" s="592"/>
      <c r="BL191" s="592"/>
      <c r="BM191" s="592"/>
      <c r="BN191" s="592"/>
      <c r="BO191" s="592"/>
      <c r="BP191" s="592"/>
      <c r="BQ191" s="592"/>
      <c r="BR191" s="592"/>
      <c r="BS191" s="592"/>
      <c r="BT191" s="592"/>
    </row>
    <row r="192" spans="1:72" s="591" customFormat="1" ht="15">
      <c r="A192" s="539"/>
      <c r="B192" s="539"/>
      <c r="C192" s="539"/>
      <c r="D192" s="539"/>
      <c r="E192" s="539"/>
      <c r="F192" s="539"/>
      <c r="G192" s="539"/>
      <c r="H192" s="539"/>
      <c r="I192" s="539"/>
      <c r="J192" s="539"/>
      <c r="K192" s="539"/>
      <c r="L192" s="539"/>
      <c r="M192" s="539"/>
      <c r="N192" s="539"/>
      <c r="O192" s="539"/>
      <c r="P192" s="539"/>
      <c r="Q192" s="539"/>
      <c r="R192" s="539"/>
      <c r="S192" s="557"/>
      <c r="T192" s="557"/>
      <c r="U192" s="557"/>
      <c r="V192" s="557"/>
      <c r="W192" s="539"/>
      <c r="X192" s="539"/>
      <c r="Y192" s="557"/>
      <c r="Z192" s="557"/>
      <c r="AA192" s="539"/>
      <c r="AB192" s="539"/>
      <c r="AC192" s="539"/>
      <c r="AD192" s="557"/>
      <c r="AE192" s="557"/>
      <c r="AF192" s="557"/>
      <c r="AG192" s="557"/>
      <c r="AH192" s="557"/>
      <c r="AI192" s="557"/>
      <c r="AJ192" s="557"/>
      <c r="AK192" s="557"/>
      <c r="AL192" s="557"/>
      <c r="AM192" s="557"/>
      <c r="AN192" s="557"/>
      <c r="AO192" s="557"/>
      <c r="AP192" s="557"/>
      <c r="AQ192" s="557"/>
      <c r="AR192" s="557"/>
      <c r="AS192" s="557"/>
      <c r="AT192" s="557"/>
      <c r="AU192" s="557"/>
      <c r="AV192" s="557"/>
      <c r="AW192" s="557"/>
      <c r="AX192" s="557"/>
      <c r="AY192" s="557"/>
      <c r="AZ192" s="557"/>
      <c r="BA192" s="557"/>
      <c r="BB192" s="557"/>
      <c r="BC192" s="557"/>
      <c r="BD192" s="555"/>
      <c r="BE192" s="592"/>
      <c r="BF192" s="592"/>
      <c r="BG192" s="592"/>
      <c r="BH192" s="592"/>
      <c r="BI192" s="592"/>
      <c r="BJ192" s="592"/>
      <c r="BK192" s="592"/>
      <c r="BL192" s="592"/>
      <c r="BM192" s="592"/>
      <c r="BN192" s="592"/>
      <c r="BO192" s="592"/>
      <c r="BP192" s="592"/>
      <c r="BQ192" s="592"/>
      <c r="BR192" s="592"/>
      <c r="BS192" s="592"/>
      <c r="BT192" s="592"/>
    </row>
    <row r="193" spans="1:72" s="591" customFormat="1" ht="15">
      <c r="A193" s="539"/>
      <c r="B193" s="539"/>
      <c r="C193" s="539"/>
      <c r="D193" s="539"/>
      <c r="E193" s="539"/>
      <c r="F193" s="539"/>
      <c r="G193" s="539"/>
      <c r="H193" s="539"/>
      <c r="I193" s="539"/>
      <c r="J193" s="539"/>
      <c r="K193" s="539"/>
      <c r="L193" s="539"/>
      <c r="M193" s="539"/>
      <c r="N193" s="539"/>
      <c r="O193" s="539"/>
      <c r="P193" s="539"/>
      <c r="Q193" s="539"/>
      <c r="R193" s="539"/>
      <c r="S193" s="557"/>
      <c r="T193" s="557"/>
      <c r="U193" s="557"/>
      <c r="V193" s="557"/>
      <c r="W193" s="539"/>
      <c r="X193" s="539"/>
      <c r="Y193" s="557"/>
      <c r="Z193" s="557"/>
      <c r="AA193" s="539"/>
      <c r="AB193" s="539"/>
      <c r="AC193" s="539"/>
      <c r="AD193" s="557"/>
      <c r="AE193" s="557"/>
      <c r="AF193" s="557"/>
      <c r="AG193" s="557"/>
      <c r="AH193" s="557"/>
      <c r="AI193" s="557"/>
      <c r="AJ193" s="557"/>
      <c r="AK193" s="557"/>
      <c r="AL193" s="557"/>
      <c r="AM193" s="557"/>
      <c r="AN193" s="557"/>
      <c r="AO193" s="557"/>
      <c r="AP193" s="557"/>
      <c r="AQ193" s="557"/>
      <c r="AR193" s="557"/>
      <c r="AS193" s="557"/>
      <c r="AT193" s="557"/>
      <c r="AU193" s="557"/>
      <c r="AV193" s="557"/>
      <c r="AW193" s="557"/>
      <c r="AX193" s="557"/>
      <c r="AY193" s="557"/>
      <c r="AZ193" s="557"/>
      <c r="BA193" s="557"/>
      <c r="BB193" s="557"/>
      <c r="BC193" s="557"/>
      <c r="BD193" s="555"/>
      <c r="BE193" s="592"/>
      <c r="BF193" s="592"/>
      <c r="BG193" s="592"/>
      <c r="BH193" s="592"/>
      <c r="BI193" s="592"/>
      <c r="BJ193" s="592"/>
      <c r="BK193" s="592"/>
      <c r="BL193" s="592"/>
      <c r="BM193" s="592"/>
      <c r="BN193" s="592"/>
      <c r="BO193" s="592"/>
      <c r="BP193" s="592"/>
      <c r="BQ193" s="592"/>
      <c r="BR193" s="592"/>
      <c r="BS193" s="592"/>
      <c r="BT193" s="592"/>
    </row>
    <row r="194" spans="1:72" s="591" customFormat="1" ht="15">
      <c r="A194" s="539"/>
      <c r="B194" s="539"/>
      <c r="C194" s="539"/>
      <c r="D194" s="539"/>
      <c r="E194" s="539"/>
      <c r="F194" s="539"/>
      <c r="G194" s="539"/>
      <c r="H194" s="539"/>
      <c r="I194" s="539"/>
      <c r="J194" s="539"/>
      <c r="K194" s="539"/>
      <c r="L194" s="539"/>
      <c r="M194" s="539"/>
      <c r="N194" s="539"/>
      <c r="O194" s="539"/>
      <c r="P194" s="539"/>
      <c r="Q194" s="539"/>
      <c r="R194" s="539"/>
      <c r="S194" s="557"/>
      <c r="T194" s="557"/>
      <c r="U194" s="557"/>
      <c r="V194" s="557"/>
      <c r="W194" s="539"/>
      <c r="X194" s="539"/>
      <c r="Y194" s="557"/>
      <c r="Z194" s="557"/>
      <c r="AA194" s="539"/>
      <c r="AB194" s="539"/>
      <c r="AC194" s="539"/>
      <c r="AD194" s="557"/>
      <c r="AE194" s="557"/>
      <c r="AF194" s="557"/>
      <c r="AG194" s="557"/>
      <c r="AH194" s="557"/>
      <c r="AI194" s="557"/>
      <c r="AJ194" s="557"/>
      <c r="AK194" s="557"/>
      <c r="AL194" s="557"/>
      <c r="AM194" s="557"/>
      <c r="AN194" s="557"/>
      <c r="AO194" s="557"/>
      <c r="AP194" s="557"/>
      <c r="AQ194" s="557"/>
      <c r="AR194" s="557"/>
      <c r="AS194" s="557"/>
      <c r="AT194" s="557"/>
      <c r="AU194" s="557"/>
      <c r="AV194" s="557"/>
      <c r="AW194" s="557"/>
      <c r="AX194" s="557"/>
      <c r="AY194" s="557"/>
      <c r="AZ194" s="557"/>
      <c r="BA194" s="557"/>
      <c r="BB194" s="557"/>
      <c r="BC194" s="557"/>
      <c r="BD194" s="555"/>
      <c r="BE194" s="592"/>
      <c r="BF194" s="592"/>
      <c r="BG194" s="592"/>
      <c r="BH194" s="592"/>
      <c r="BI194" s="592"/>
      <c r="BJ194" s="592"/>
      <c r="BK194" s="592"/>
      <c r="BL194" s="592"/>
      <c r="BM194" s="592"/>
      <c r="BN194" s="592"/>
      <c r="BO194" s="592"/>
      <c r="BP194" s="592"/>
      <c r="BQ194" s="592"/>
      <c r="BR194" s="592"/>
      <c r="BS194" s="592"/>
      <c r="BT194" s="592"/>
    </row>
    <row r="195" spans="1:72" s="591" customFormat="1" ht="15">
      <c r="A195" s="539"/>
      <c r="B195" s="539"/>
      <c r="C195" s="539"/>
      <c r="D195" s="539"/>
      <c r="E195" s="539"/>
      <c r="F195" s="539"/>
      <c r="G195" s="539"/>
      <c r="H195" s="539"/>
      <c r="I195" s="539"/>
      <c r="J195" s="539"/>
      <c r="K195" s="539"/>
      <c r="L195" s="539"/>
      <c r="M195" s="539"/>
      <c r="N195" s="539"/>
      <c r="O195" s="539"/>
      <c r="P195" s="539"/>
      <c r="Q195" s="539"/>
      <c r="R195" s="539"/>
      <c r="S195" s="557"/>
      <c r="T195" s="557"/>
      <c r="U195" s="557"/>
      <c r="V195" s="557"/>
      <c r="W195" s="539"/>
      <c r="X195" s="539"/>
      <c r="Y195" s="557"/>
      <c r="Z195" s="557"/>
      <c r="AA195" s="539"/>
      <c r="AB195" s="539"/>
      <c r="AC195" s="539"/>
      <c r="AD195" s="557"/>
      <c r="AE195" s="557"/>
      <c r="AF195" s="557"/>
      <c r="AG195" s="557"/>
      <c r="AH195" s="557"/>
      <c r="AI195" s="557"/>
      <c r="AJ195" s="557"/>
      <c r="AK195" s="557"/>
      <c r="AL195" s="557"/>
      <c r="AM195" s="557"/>
      <c r="AN195" s="557"/>
      <c r="AO195" s="557"/>
      <c r="AP195" s="557"/>
      <c r="AQ195" s="557"/>
      <c r="AR195" s="557"/>
      <c r="AS195" s="557"/>
      <c r="AT195" s="557"/>
      <c r="AU195" s="557"/>
      <c r="AV195" s="557"/>
      <c r="AW195" s="557"/>
      <c r="AX195" s="557"/>
      <c r="AY195" s="557"/>
      <c r="AZ195" s="557"/>
      <c r="BA195" s="557"/>
      <c r="BB195" s="557"/>
      <c r="BC195" s="557"/>
      <c r="BD195" s="555"/>
      <c r="BE195" s="592"/>
      <c r="BF195" s="592"/>
      <c r="BG195" s="592"/>
      <c r="BH195" s="592"/>
      <c r="BI195" s="592"/>
      <c r="BJ195" s="592"/>
      <c r="BK195" s="592"/>
      <c r="BL195" s="592"/>
      <c r="BM195" s="592"/>
      <c r="BN195" s="592"/>
      <c r="BO195" s="592"/>
      <c r="BP195" s="592"/>
      <c r="BQ195" s="592"/>
      <c r="BR195" s="592"/>
      <c r="BS195" s="592"/>
      <c r="BT195" s="592"/>
    </row>
    <row r="196" spans="1:72" s="591" customFormat="1" ht="15">
      <c r="A196" s="539"/>
      <c r="B196" s="539"/>
      <c r="C196" s="539"/>
      <c r="D196" s="539"/>
      <c r="E196" s="539"/>
      <c r="F196" s="539"/>
      <c r="G196" s="539"/>
      <c r="H196" s="539"/>
      <c r="I196" s="539"/>
      <c r="J196" s="539"/>
      <c r="K196" s="539"/>
      <c r="L196" s="539"/>
      <c r="M196" s="539"/>
      <c r="N196" s="539"/>
      <c r="O196" s="539"/>
      <c r="P196" s="539"/>
      <c r="Q196" s="539"/>
      <c r="R196" s="539"/>
      <c r="S196" s="557"/>
      <c r="T196" s="557"/>
      <c r="U196" s="557"/>
      <c r="V196" s="557"/>
      <c r="W196" s="539"/>
      <c r="X196" s="539"/>
      <c r="Y196" s="557"/>
      <c r="Z196" s="557"/>
      <c r="AA196" s="539"/>
      <c r="AB196" s="539"/>
      <c r="AC196" s="539"/>
      <c r="AD196" s="557"/>
      <c r="AE196" s="557"/>
      <c r="AF196" s="557"/>
      <c r="AG196" s="557"/>
      <c r="AH196" s="557"/>
      <c r="AI196" s="557"/>
      <c r="AJ196" s="557"/>
      <c r="AK196" s="557"/>
      <c r="AL196" s="557"/>
      <c r="AM196" s="557"/>
      <c r="AN196" s="557"/>
      <c r="AO196" s="557"/>
      <c r="AP196" s="557"/>
      <c r="AQ196" s="557"/>
      <c r="AR196" s="557"/>
      <c r="AS196" s="557"/>
      <c r="AT196" s="557"/>
      <c r="AU196" s="557"/>
      <c r="AV196" s="557"/>
      <c r="AW196" s="557"/>
      <c r="AX196" s="557"/>
      <c r="AY196" s="557"/>
      <c r="AZ196" s="557"/>
      <c r="BA196" s="557"/>
      <c r="BB196" s="557"/>
      <c r="BC196" s="557"/>
      <c r="BD196" s="555"/>
      <c r="BE196" s="592"/>
      <c r="BF196" s="592"/>
      <c r="BG196" s="592"/>
      <c r="BH196" s="592"/>
      <c r="BI196" s="592"/>
      <c r="BJ196" s="592"/>
      <c r="BK196" s="592"/>
      <c r="BL196" s="592"/>
      <c r="BM196" s="592"/>
      <c r="BN196" s="592"/>
      <c r="BO196" s="592"/>
      <c r="BP196" s="592"/>
      <c r="BQ196" s="592"/>
      <c r="BR196" s="592"/>
      <c r="BS196" s="592"/>
      <c r="BT196" s="592"/>
    </row>
    <row r="197" spans="1:72" s="591" customFormat="1" ht="15">
      <c r="A197" s="539"/>
      <c r="B197" s="539"/>
      <c r="C197" s="539"/>
      <c r="D197" s="539"/>
      <c r="E197" s="539"/>
      <c r="F197" s="539"/>
      <c r="G197" s="539"/>
      <c r="H197" s="539"/>
      <c r="I197" s="539"/>
      <c r="J197" s="539"/>
      <c r="K197" s="539"/>
      <c r="L197" s="539"/>
      <c r="M197" s="539"/>
      <c r="N197" s="539"/>
      <c r="O197" s="539"/>
      <c r="P197" s="539"/>
      <c r="Q197" s="539"/>
      <c r="R197" s="539"/>
      <c r="S197" s="557"/>
      <c r="T197" s="557"/>
      <c r="U197" s="557"/>
      <c r="V197" s="557"/>
      <c r="W197" s="539"/>
      <c r="X197" s="539"/>
      <c r="Y197" s="557"/>
      <c r="Z197" s="557"/>
      <c r="AA197" s="539"/>
      <c r="AB197" s="539"/>
      <c r="AC197" s="539"/>
      <c r="AD197" s="557"/>
      <c r="AE197" s="557"/>
      <c r="AF197" s="557"/>
      <c r="AG197" s="557"/>
      <c r="AH197" s="557"/>
      <c r="AI197" s="557"/>
      <c r="AJ197" s="557"/>
      <c r="AK197" s="557"/>
      <c r="AL197" s="557"/>
      <c r="AM197" s="557"/>
      <c r="AN197" s="557"/>
      <c r="AO197" s="557"/>
      <c r="AP197" s="557"/>
      <c r="AQ197" s="557"/>
      <c r="AR197" s="557"/>
      <c r="AS197" s="557"/>
      <c r="AT197" s="557"/>
      <c r="AU197" s="557"/>
      <c r="AV197" s="557"/>
      <c r="AW197" s="557"/>
      <c r="AX197" s="557"/>
      <c r="AY197" s="557"/>
      <c r="AZ197" s="557"/>
      <c r="BA197" s="557"/>
      <c r="BB197" s="557"/>
      <c r="BC197" s="557"/>
      <c r="BD197" s="555"/>
      <c r="BE197" s="592"/>
      <c r="BF197" s="592"/>
      <c r="BG197" s="592"/>
      <c r="BH197" s="592"/>
      <c r="BI197" s="592"/>
      <c r="BJ197" s="592"/>
      <c r="BK197" s="592"/>
      <c r="BL197" s="592"/>
      <c r="BM197" s="592"/>
      <c r="BN197" s="592"/>
      <c r="BO197" s="592"/>
      <c r="BP197" s="592"/>
      <c r="BQ197" s="592"/>
      <c r="BR197" s="592"/>
      <c r="BS197" s="592"/>
      <c r="BT197" s="592"/>
    </row>
    <row r="198" spans="1:72" s="591" customFormat="1" ht="15">
      <c r="A198" s="539"/>
      <c r="B198" s="539"/>
      <c r="C198" s="539"/>
      <c r="D198" s="539"/>
      <c r="E198" s="539"/>
      <c r="F198" s="539"/>
      <c r="G198" s="539"/>
      <c r="H198" s="539"/>
      <c r="I198" s="539"/>
      <c r="J198" s="539"/>
      <c r="K198" s="539"/>
      <c r="L198" s="539"/>
      <c r="M198" s="539"/>
      <c r="N198" s="539"/>
      <c r="O198" s="539"/>
      <c r="P198" s="539"/>
      <c r="Q198" s="539"/>
      <c r="R198" s="539"/>
      <c r="S198" s="557"/>
      <c r="T198" s="557"/>
      <c r="U198" s="557"/>
      <c r="V198" s="557"/>
      <c r="W198" s="539"/>
      <c r="X198" s="539"/>
      <c r="Y198" s="557"/>
      <c r="Z198" s="557"/>
      <c r="AA198" s="539"/>
      <c r="AB198" s="539"/>
      <c r="AC198" s="539"/>
      <c r="AD198" s="557"/>
      <c r="AE198" s="557"/>
      <c r="AF198" s="557"/>
      <c r="AG198" s="557"/>
      <c r="AH198" s="557"/>
      <c r="AI198" s="557"/>
      <c r="AJ198" s="557"/>
      <c r="AK198" s="557"/>
      <c r="AL198" s="557"/>
      <c r="AM198" s="557"/>
      <c r="AN198" s="557"/>
      <c r="AO198" s="557"/>
      <c r="AP198" s="557"/>
      <c r="AQ198" s="557"/>
      <c r="AR198" s="557"/>
      <c r="AS198" s="557"/>
      <c r="AT198" s="557"/>
      <c r="AU198" s="557"/>
      <c r="AV198" s="557"/>
      <c r="AW198" s="557"/>
      <c r="AX198" s="557"/>
      <c r="AY198" s="557"/>
      <c r="AZ198" s="557"/>
      <c r="BA198" s="557"/>
      <c r="BB198" s="557"/>
      <c r="BC198" s="557"/>
      <c r="BD198" s="555"/>
      <c r="BE198" s="592"/>
      <c r="BF198" s="592"/>
      <c r="BG198" s="592"/>
      <c r="BH198" s="592"/>
      <c r="BI198" s="592"/>
      <c r="BJ198" s="592"/>
      <c r="BK198" s="592"/>
      <c r="BL198" s="592"/>
      <c r="BM198" s="592"/>
      <c r="BN198" s="592"/>
      <c r="BO198" s="592"/>
      <c r="BP198" s="592"/>
      <c r="BQ198" s="592"/>
      <c r="BR198" s="592"/>
      <c r="BS198" s="592"/>
      <c r="BT198" s="592"/>
    </row>
    <row r="199" spans="1:72" s="591" customFormat="1" ht="15">
      <c r="A199" s="539"/>
      <c r="B199" s="539"/>
      <c r="C199" s="539"/>
      <c r="D199" s="539"/>
      <c r="E199" s="539"/>
      <c r="F199" s="539"/>
      <c r="G199" s="539"/>
      <c r="H199" s="539"/>
      <c r="I199" s="539"/>
      <c r="J199" s="539"/>
      <c r="K199" s="539"/>
      <c r="L199" s="539"/>
      <c r="M199" s="539"/>
      <c r="N199" s="539"/>
      <c r="O199" s="539"/>
      <c r="P199" s="539"/>
      <c r="Q199" s="539"/>
      <c r="R199" s="539"/>
      <c r="S199" s="557"/>
      <c r="T199" s="557"/>
      <c r="U199" s="557"/>
      <c r="V199" s="557"/>
      <c r="W199" s="539"/>
      <c r="X199" s="539"/>
      <c r="Y199" s="557"/>
      <c r="Z199" s="557"/>
      <c r="AA199" s="539"/>
      <c r="AB199" s="539"/>
      <c r="AC199" s="539"/>
      <c r="AD199" s="557"/>
      <c r="AE199" s="557"/>
      <c r="AF199" s="557"/>
      <c r="AG199" s="557"/>
      <c r="AH199" s="557"/>
      <c r="AI199" s="557"/>
      <c r="AJ199" s="557"/>
      <c r="AK199" s="557"/>
      <c r="AL199" s="557"/>
      <c r="AM199" s="557"/>
      <c r="AN199" s="557"/>
      <c r="AO199" s="557"/>
      <c r="AP199" s="557"/>
      <c r="AQ199" s="557"/>
      <c r="AR199" s="557"/>
      <c r="AS199" s="557"/>
      <c r="AT199" s="557"/>
      <c r="AU199" s="557"/>
      <c r="AV199" s="557"/>
      <c r="AW199" s="557"/>
      <c r="AX199" s="557"/>
      <c r="AY199" s="557"/>
      <c r="AZ199" s="557"/>
      <c r="BA199" s="557"/>
      <c r="BB199" s="557"/>
      <c r="BC199" s="557"/>
      <c r="BD199" s="555"/>
      <c r="BE199" s="592"/>
      <c r="BF199" s="592"/>
      <c r="BG199" s="592"/>
      <c r="BH199" s="592"/>
      <c r="BI199" s="592"/>
      <c r="BJ199" s="592"/>
      <c r="BK199" s="592"/>
      <c r="BL199" s="592"/>
      <c r="BM199" s="592"/>
      <c r="BN199" s="592"/>
      <c r="BO199" s="592"/>
      <c r="BP199" s="592"/>
      <c r="BQ199" s="592"/>
      <c r="BR199" s="592"/>
      <c r="BS199" s="592"/>
      <c r="BT199" s="592"/>
    </row>
    <row r="200" spans="1:72" s="591" customFormat="1" ht="15">
      <c r="A200" s="539"/>
      <c r="B200" s="539"/>
      <c r="C200" s="539"/>
      <c r="D200" s="539"/>
      <c r="E200" s="539"/>
      <c r="F200" s="539"/>
      <c r="G200" s="539"/>
      <c r="H200" s="539"/>
      <c r="I200" s="539"/>
      <c r="J200" s="539"/>
      <c r="K200" s="539"/>
      <c r="L200" s="539"/>
      <c r="M200" s="539"/>
      <c r="N200" s="539"/>
      <c r="O200" s="539"/>
      <c r="P200" s="539"/>
      <c r="Q200" s="539"/>
      <c r="R200" s="539"/>
      <c r="S200" s="557"/>
      <c r="T200" s="557"/>
      <c r="U200" s="557"/>
      <c r="V200" s="557"/>
      <c r="W200" s="539"/>
      <c r="X200" s="539"/>
      <c r="Y200" s="557"/>
      <c r="Z200" s="557"/>
      <c r="AA200" s="539"/>
      <c r="AB200" s="539"/>
      <c r="AC200" s="539"/>
      <c r="AD200" s="557"/>
      <c r="AE200" s="557"/>
      <c r="AF200" s="557"/>
      <c r="AG200" s="557"/>
      <c r="AH200" s="557"/>
      <c r="AI200" s="557"/>
      <c r="AJ200" s="557"/>
      <c r="AK200" s="557"/>
      <c r="AL200" s="557"/>
      <c r="AM200" s="557"/>
      <c r="AN200" s="557"/>
      <c r="AO200" s="557"/>
      <c r="AP200" s="557"/>
      <c r="AQ200" s="557"/>
      <c r="AR200" s="557"/>
      <c r="AS200" s="557"/>
      <c r="AT200" s="557"/>
      <c r="AU200" s="557"/>
      <c r="AV200" s="557"/>
      <c r="AW200" s="557"/>
      <c r="AX200" s="557"/>
      <c r="AY200" s="557"/>
      <c r="AZ200" s="557"/>
      <c r="BA200" s="557"/>
      <c r="BB200" s="557"/>
      <c r="BC200" s="557"/>
      <c r="BD200" s="555"/>
      <c r="BE200" s="592"/>
      <c r="BF200" s="592"/>
      <c r="BG200" s="592"/>
      <c r="BH200" s="592"/>
      <c r="BI200" s="592"/>
      <c r="BJ200" s="592"/>
      <c r="BK200" s="592"/>
      <c r="BL200" s="592"/>
      <c r="BM200" s="592"/>
      <c r="BN200" s="592"/>
      <c r="BO200" s="592"/>
      <c r="BP200" s="592"/>
      <c r="BQ200" s="592"/>
      <c r="BR200" s="592"/>
      <c r="BS200" s="592"/>
      <c r="BT200" s="592"/>
    </row>
    <row r="201" spans="1:72" s="591" customFormat="1" ht="15">
      <c r="A201" s="539"/>
      <c r="B201" s="539"/>
      <c r="C201" s="539"/>
      <c r="D201" s="539"/>
      <c r="E201" s="539"/>
      <c r="F201" s="539"/>
      <c r="G201" s="539"/>
      <c r="H201" s="539"/>
      <c r="I201" s="539"/>
      <c r="J201" s="539"/>
      <c r="K201" s="539"/>
      <c r="L201" s="539"/>
      <c r="M201" s="539"/>
      <c r="N201" s="539"/>
      <c r="O201" s="539"/>
      <c r="P201" s="539"/>
      <c r="Q201" s="539"/>
      <c r="R201" s="539"/>
      <c r="S201" s="557"/>
      <c r="T201" s="557"/>
      <c r="U201" s="557"/>
      <c r="V201" s="557"/>
      <c r="W201" s="539"/>
      <c r="X201" s="539"/>
      <c r="Y201" s="557"/>
      <c r="Z201" s="557"/>
      <c r="AA201" s="539"/>
      <c r="AB201" s="539"/>
      <c r="AC201" s="539"/>
      <c r="AD201" s="557"/>
      <c r="AE201" s="557"/>
      <c r="AF201" s="557"/>
      <c r="AG201" s="557"/>
      <c r="AH201" s="557"/>
      <c r="AI201" s="557"/>
      <c r="AJ201" s="557"/>
      <c r="AK201" s="557"/>
      <c r="AL201" s="557"/>
      <c r="AM201" s="557"/>
      <c r="AN201" s="557"/>
      <c r="AO201" s="557"/>
      <c r="AP201" s="557"/>
      <c r="AQ201" s="557"/>
      <c r="AR201" s="557"/>
      <c r="AS201" s="557"/>
      <c r="AT201" s="557"/>
      <c r="AU201" s="557"/>
      <c r="AV201" s="557"/>
      <c r="AW201" s="557"/>
      <c r="AX201" s="557"/>
      <c r="AY201" s="557"/>
      <c r="AZ201" s="557"/>
      <c r="BA201" s="557"/>
      <c r="BB201" s="557"/>
      <c r="BC201" s="557"/>
      <c r="BD201" s="555"/>
      <c r="BE201" s="592"/>
      <c r="BF201" s="592"/>
      <c r="BG201" s="592"/>
      <c r="BH201" s="592"/>
      <c r="BI201" s="592"/>
      <c r="BJ201" s="592"/>
      <c r="BK201" s="592"/>
      <c r="BL201" s="592"/>
      <c r="BM201" s="592"/>
      <c r="BN201" s="592"/>
      <c r="BO201" s="592"/>
      <c r="BP201" s="592"/>
      <c r="BQ201" s="592"/>
      <c r="BR201" s="592"/>
      <c r="BS201" s="592"/>
      <c r="BT201" s="592"/>
    </row>
    <row r="202" spans="1:72" s="591" customFormat="1" ht="15">
      <c r="A202" s="539"/>
      <c r="B202" s="539"/>
      <c r="C202" s="539"/>
      <c r="D202" s="539"/>
      <c r="E202" s="539"/>
      <c r="F202" s="539"/>
      <c r="G202" s="539"/>
      <c r="H202" s="539"/>
      <c r="I202" s="539"/>
      <c r="J202" s="539"/>
      <c r="K202" s="539"/>
      <c r="L202" s="539"/>
      <c r="M202" s="539"/>
      <c r="N202" s="539"/>
      <c r="O202" s="539"/>
      <c r="P202" s="539"/>
      <c r="Q202" s="539"/>
      <c r="R202" s="539"/>
      <c r="S202" s="557"/>
      <c r="T202" s="557"/>
      <c r="U202" s="557"/>
      <c r="V202" s="557"/>
      <c r="W202" s="539"/>
      <c r="X202" s="539"/>
      <c r="Y202" s="557"/>
      <c r="Z202" s="557"/>
      <c r="AA202" s="539"/>
      <c r="AB202" s="539"/>
      <c r="AC202" s="539"/>
      <c r="AD202" s="557"/>
      <c r="AE202" s="557"/>
      <c r="AF202" s="557"/>
      <c r="AG202" s="557"/>
      <c r="AH202" s="557"/>
      <c r="AI202" s="557"/>
      <c r="AJ202" s="557"/>
      <c r="AK202" s="557"/>
      <c r="AL202" s="557"/>
      <c r="AM202" s="557"/>
      <c r="AN202" s="557"/>
      <c r="AO202" s="557"/>
      <c r="AP202" s="557"/>
      <c r="AQ202" s="557"/>
      <c r="AR202" s="557"/>
      <c r="AS202" s="557"/>
      <c r="AT202" s="557"/>
      <c r="AU202" s="557"/>
      <c r="AV202" s="557"/>
      <c r="AW202" s="557"/>
      <c r="AX202" s="557"/>
      <c r="AY202" s="557"/>
      <c r="AZ202" s="557"/>
      <c r="BA202" s="557"/>
      <c r="BB202" s="557"/>
      <c r="BC202" s="557"/>
      <c r="BD202" s="555"/>
      <c r="BE202" s="592"/>
      <c r="BF202" s="592"/>
      <c r="BG202" s="592"/>
      <c r="BH202" s="592"/>
      <c r="BI202" s="592"/>
      <c r="BJ202" s="592"/>
      <c r="BK202" s="592"/>
      <c r="BL202" s="592"/>
      <c r="BM202" s="592"/>
      <c r="BN202" s="592"/>
      <c r="BO202" s="592"/>
      <c r="BP202" s="592"/>
      <c r="BQ202" s="592"/>
      <c r="BR202" s="592"/>
      <c r="BS202" s="592"/>
      <c r="BT202" s="592"/>
    </row>
    <row r="203" spans="1:72" s="591" customFormat="1" ht="15">
      <c r="A203" s="539"/>
      <c r="B203" s="539"/>
      <c r="C203" s="539"/>
      <c r="D203" s="539"/>
      <c r="E203" s="539"/>
      <c r="F203" s="539"/>
      <c r="G203" s="539"/>
      <c r="H203" s="539"/>
      <c r="I203" s="539"/>
      <c r="J203" s="539"/>
      <c r="K203" s="539"/>
      <c r="L203" s="539"/>
      <c r="M203" s="539"/>
      <c r="N203" s="539"/>
      <c r="O203" s="539"/>
      <c r="P203" s="539"/>
      <c r="Q203" s="539"/>
      <c r="R203" s="539"/>
      <c r="S203" s="557"/>
      <c r="T203" s="557"/>
      <c r="U203" s="557"/>
      <c r="V203" s="557"/>
      <c r="W203" s="539"/>
      <c r="X203" s="539"/>
      <c r="Y203" s="557"/>
      <c r="Z203" s="557"/>
      <c r="AA203" s="539"/>
      <c r="AB203" s="539"/>
      <c r="AC203" s="539"/>
      <c r="AD203" s="557"/>
      <c r="AE203" s="557"/>
      <c r="AF203" s="557"/>
      <c r="AG203" s="557"/>
      <c r="AH203" s="557"/>
      <c r="AI203" s="557"/>
      <c r="AJ203" s="557"/>
      <c r="AK203" s="557"/>
      <c r="AL203" s="557"/>
      <c r="AM203" s="557"/>
      <c r="AN203" s="557"/>
      <c r="AO203" s="557"/>
      <c r="AP203" s="557"/>
      <c r="AQ203" s="557"/>
      <c r="AR203" s="557"/>
      <c r="AS203" s="557"/>
      <c r="AT203" s="557"/>
      <c r="AU203" s="557"/>
      <c r="AV203" s="557"/>
      <c r="AW203" s="557"/>
      <c r="AX203" s="557"/>
      <c r="AY203" s="557"/>
      <c r="AZ203" s="557"/>
      <c r="BA203" s="557"/>
      <c r="BB203" s="557"/>
      <c r="BC203" s="557"/>
      <c r="BD203" s="555"/>
      <c r="BE203" s="592"/>
      <c r="BF203" s="592"/>
      <c r="BG203" s="592"/>
      <c r="BH203" s="592"/>
      <c r="BI203" s="592"/>
      <c r="BJ203" s="592"/>
      <c r="BK203" s="592"/>
      <c r="BL203" s="592"/>
      <c r="BM203" s="592"/>
      <c r="BN203" s="592"/>
      <c r="BO203" s="592"/>
      <c r="BP203" s="592"/>
      <c r="BQ203" s="592"/>
      <c r="BR203" s="592"/>
      <c r="BS203" s="592"/>
      <c r="BT203" s="592"/>
    </row>
    <row r="204" spans="1:72" s="591" customFormat="1" ht="15">
      <c r="A204" s="539"/>
      <c r="B204" s="539"/>
      <c r="C204" s="539"/>
      <c r="D204" s="539"/>
      <c r="E204" s="539"/>
      <c r="F204" s="539"/>
      <c r="G204" s="539"/>
      <c r="H204" s="539"/>
      <c r="I204" s="539"/>
      <c r="J204" s="539"/>
      <c r="K204" s="539"/>
      <c r="L204" s="539"/>
      <c r="M204" s="539"/>
      <c r="N204" s="539"/>
      <c r="O204" s="539"/>
      <c r="P204" s="539"/>
      <c r="Q204" s="539"/>
      <c r="R204" s="539"/>
      <c r="S204" s="557"/>
      <c r="T204" s="557"/>
      <c r="U204" s="557"/>
      <c r="V204" s="557"/>
      <c r="W204" s="539"/>
      <c r="X204" s="539"/>
      <c r="Y204" s="557"/>
      <c r="Z204" s="557"/>
      <c r="AA204" s="539"/>
      <c r="AB204" s="539"/>
      <c r="AC204" s="539"/>
      <c r="AD204" s="557"/>
      <c r="AE204" s="557"/>
      <c r="AF204" s="557"/>
      <c r="AG204" s="557"/>
      <c r="AH204" s="557"/>
      <c r="AI204" s="557"/>
      <c r="AJ204" s="557"/>
      <c r="AK204" s="557"/>
      <c r="AL204" s="557"/>
      <c r="AM204" s="557"/>
      <c r="AN204" s="557"/>
      <c r="AO204" s="557"/>
      <c r="AP204" s="557"/>
      <c r="AQ204" s="557"/>
      <c r="AR204" s="557"/>
      <c r="AS204" s="557"/>
      <c r="AT204" s="557"/>
      <c r="AU204" s="557"/>
      <c r="AV204" s="557"/>
      <c r="AW204" s="557"/>
      <c r="AX204" s="557"/>
      <c r="AY204" s="557"/>
      <c r="AZ204" s="557"/>
      <c r="BA204" s="557"/>
      <c r="BB204" s="557"/>
      <c r="BC204" s="557"/>
      <c r="BD204" s="555"/>
      <c r="BE204" s="592"/>
      <c r="BF204" s="592"/>
      <c r="BG204" s="592"/>
      <c r="BH204" s="592"/>
      <c r="BI204" s="592"/>
      <c r="BJ204" s="592"/>
      <c r="BK204" s="592"/>
      <c r="BL204" s="592"/>
      <c r="BM204" s="592"/>
      <c r="BN204" s="592"/>
      <c r="BO204" s="592"/>
      <c r="BP204" s="592"/>
      <c r="BQ204" s="592"/>
      <c r="BR204" s="592"/>
      <c r="BS204" s="592"/>
      <c r="BT204" s="592"/>
    </row>
    <row r="205" spans="1:72" s="591" customFormat="1" ht="15">
      <c r="A205" s="539"/>
      <c r="B205" s="539"/>
      <c r="C205" s="539"/>
      <c r="D205" s="539"/>
      <c r="E205" s="539"/>
      <c r="F205" s="539"/>
      <c r="G205" s="539"/>
      <c r="H205" s="539"/>
      <c r="I205" s="539"/>
      <c r="J205" s="539"/>
      <c r="K205" s="539"/>
      <c r="L205" s="539"/>
      <c r="M205" s="539"/>
      <c r="N205" s="539"/>
      <c r="O205" s="539"/>
      <c r="P205" s="539"/>
      <c r="Q205" s="539"/>
      <c r="R205" s="539"/>
      <c r="S205" s="557"/>
      <c r="T205" s="557"/>
      <c r="U205" s="557"/>
      <c r="V205" s="557"/>
      <c r="W205" s="539"/>
      <c r="X205" s="539"/>
      <c r="Y205" s="557"/>
      <c r="Z205" s="557"/>
      <c r="AA205" s="539"/>
      <c r="AB205" s="539"/>
      <c r="AC205" s="539"/>
      <c r="AD205" s="557"/>
      <c r="AE205" s="557"/>
      <c r="AF205" s="557"/>
      <c r="AG205" s="557"/>
      <c r="AH205" s="557"/>
      <c r="AI205" s="557"/>
      <c r="AJ205" s="557"/>
      <c r="AK205" s="557"/>
      <c r="AL205" s="557"/>
      <c r="AM205" s="557"/>
      <c r="AN205" s="557"/>
      <c r="AO205" s="557"/>
      <c r="AP205" s="557"/>
      <c r="AQ205" s="557"/>
      <c r="AR205" s="557"/>
      <c r="AS205" s="557"/>
      <c r="AT205" s="557"/>
      <c r="AU205" s="557"/>
      <c r="AV205" s="557"/>
      <c r="AW205" s="557"/>
      <c r="AX205" s="557"/>
      <c r="AY205" s="557"/>
      <c r="AZ205" s="557"/>
      <c r="BA205" s="557"/>
      <c r="BB205" s="557"/>
      <c r="BC205" s="557"/>
      <c r="BD205" s="555"/>
      <c r="BE205" s="592"/>
      <c r="BF205" s="592"/>
      <c r="BG205" s="592"/>
      <c r="BH205" s="592"/>
      <c r="BI205" s="592"/>
      <c r="BJ205" s="592"/>
      <c r="BK205" s="592"/>
      <c r="BL205" s="592"/>
      <c r="BM205" s="592"/>
      <c r="BN205" s="592"/>
      <c r="BO205" s="592"/>
      <c r="BP205" s="592"/>
      <c r="BQ205" s="592"/>
      <c r="BR205" s="592"/>
      <c r="BS205" s="592"/>
      <c r="BT205" s="592"/>
    </row>
    <row r="206" spans="1:72" s="591" customFormat="1" ht="15">
      <c r="A206" s="539"/>
      <c r="B206" s="539"/>
      <c r="C206" s="539"/>
      <c r="D206" s="539"/>
      <c r="E206" s="539"/>
      <c r="F206" s="539"/>
      <c r="G206" s="539"/>
      <c r="H206" s="539"/>
      <c r="I206" s="539"/>
      <c r="J206" s="539"/>
      <c r="K206" s="539"/>
      <c r="L206" s="539"/>
      <c r="M206" s="539"/>
      <c r="N206" s="539"/>
      <c r="O206" s="539"/>
      <c r="P206" s="539"/>
      <c r="Q206" s="539"/>
      <c r="R206" s="539"/>
      <c r="S206" s="557"/>
      <c r="T206" s="557"/>
      <c r="U206" s="557"/>
      <c r="V206" s="557"/>
      <c r="W206" s="539"/>
      <c r="X206" s="539"/>
      <c r="Y206" s="557"/>
      <c r="Z206" s="557"/>
      <c r="AA206" s="539"/>
      <c r="AB206" s="539"/>
      <c r="AC206" s="539"/>
      <c r="AD206" s="557"/>
      <c r="AE206" s="557"/>
      <c r="AF206" s="557"/>
      <c r="AG206" s="557"/>
      <c r="AH206" s="557"/>
      <c r="AI206" s="557"/>
      <c r="AJ206" s="557"/>
      <c r="AK206" s="557"/>
      <c r="AL206" s="557"/>
      <c r="AM206" s="557"/>
      <c r="AN206" s="557"/>
      <c r="AO206" s="557"/>
      <c r="AP206" s="557"/>
      <c r="AQ206" s="557"/>
      <c r="AR206" s="557"/>
      <c r="AS206" s="557"/>
      <c r="AT206" s="557"/>
      <c r="AU206" s="557"/>
      <c r="AV206" s="557"/>
      <c r="AW206" s="557"/>
      <c r="AX206" s="557"/>
      <c r="AY206" s="557"/>
      <c r="AZ206" s="557"/>
      <c r="BA206" s="557"/>
      <c r="BB206" s="557"/>
      <c r="BC206" s="557"/>
      <c r="BD206" s="555"/>
      <c r="BE206" s="592"/>
      <c r="BF206" s="592"/>
      <c r="BG206" s="592"/>
      <c r="BH206" s="592"/>
      <c r="BI206" s="592"/>
      <c r="BJ206" s="592"/>
      <c r="BK206" s="592"/>
      <c r="BL206" s="592"/>
      <c r="BM206" s="592"/>
      <c r="BN206" s="592"/>
      <c r="BO206" s="592"/>
      <c r="BP206" s="592"/>
      <c r="BQ206" s="592"/>
      <c r="BR206" s="592"/>
      <c r="BS206" s="592"/>
      <c r="BT206" s="592"/>
    </row>
    <row r="207" spans="1:72" s="591" customFormat="1" ht="15">
      <c r="A207" s="539"/>
      <c r="B207" s="539"/>
      <c r="C207" s="539"/>
      <c r="D207" s="539"/>
      <c r="E207" s="539"/>
      <c r="F207" s="539"/>
      <c r="G207" s="539"/>
      <c r="H207" s="539"/>
      <c r="I207" s="539"/>
      <c r="J207" s="539"/>
      <c r="K207" s="539"/>
      <c r="L207" s="539"/>
      <c r="M207" s="539"/>
      <c r="N207" s="539"/>
      <c r="O207" s="539"/>
      <c r="P207" s="539"/>
      <c r="Q207" s="539"/>
      <c r="R207" s="539"/>
      <c r="S207" s="557"/>
      <c r="T207" s="557"/>
      <c r="U207" s="557"/>
      <c r="V207" s="557"/>
      <c r="W207" s="539"/>
      <c r="X207" s="539"/>
      <c r="Y207" s="557"/>
      <c r="Z207" s="557"/>
      <c r="AA207" s="539"/>
      <c r="AB207" s="539"/>
      <c r="AC207" s="539"/>
      <c r="AD207" s="557"/>
      <c r="AE207" s="557"/>
      <c r="AF207" s="557"/>
      <c r="AG207" s="557"/>
      <c r="AH207" s="557"/>
      <c r="AI207" s="557"/>
      <c r="AJ207" s="557"/>
      <c r="AK207" s="557"/>
      <c r="AL207" s="557"/>
      <c r="AM207" s="557"/>
      <c r="AN207" s="557"/>
      <c r="AO207" s="557"/>
      <c r="AP207" s="557"/>
      <c r="AQ207" s="557"/>
      <c r="AR207" s="557"/>
      <c r="AS207" s="557"/>
      <c r="AT207" s="557"/>
      <c r="AU207" s="557"/>
      <c r="AV207" s="557"/>
      <c r="AW207" s="557"/>
      <c r="AX207" s="557"/>
      <c r="AY207" s="557"/>
      <c r="AZ207" s="557"/>
      <c r="BA207" s="557"/>
      <c r="BB207" s="557"/>
      <c r="BC207" s="557"/>
      <c r="BD207" s="555"/>
      <c r="BE207" s="592"/>
      <c r="BF207" s="592"/>
      <c r="BG207" s="592"/>
      <c r="BH207" s="592"/>
      <c r="BI207" s="592"/>
      <c r="BJ207" s="592"/>
      <c r="BK207" s="592"/>
      <c r="BL207" s="592"/>
      <c r="BM207" s="592"/>
      <c r="BN207" s="592"/>
      <c r="BO207" s="592"/>
      <c r="BP207" s="592"/>
      <c r="BQ207" s="592"/>
      <c r="BR207" s="592"/>
      <c r="BS207" s="592"/>
      <c r="BT207" s="592"/>
    </row>
    <row r="208" spans="1:72" s="591" customFormat="1" ht="15">
      <c r="A208" s="539"/>
      <c r="B208" s="539"/>
      <c r="C208" s="539"/>
      <c r="D208" s="539"/>
      <c r="E208" s="539"/>
      <c r="F208" s="539"/>
      <c r="G208" s="539"/>
      <c r="H208" s="539"/>
      <c r="I208" s="539"/>
      <c r="J208" s="539"/>
      <c r="K208" s="539"/>
      <c r="L208" s="539"/>
      <c r="M208" s="539"/>
      <c r="N208" s="539"/>
      <c r="O208" s="539"/>
      <c r="P208" s="539"/>
      <c r="Q208" s="539"/>
      <c r="R208" s="539"/>
      <c r="S208" s="557"/>
      <c r="T208" s="557"/>
      <c r="U208" s="557"/>
      <c r="V208" s="557"/>
      <c r="W208" s="539"/>
      <c r="X208" s="539"/>
      <c r="Y208" s="557"/>
      <c r="Z208" s="557"/>
      <c r="AA208" s="539"/>
      <c r="AB208" s="539"/>
      <c r="AC208" s="539"/>
      <c r="AD208" s="557"/>
      <c r="AE208" s="557"/>
      <c r="AF208" s="557"/>
      <c r="AG208" s="557"/>
      <c r="AH208" s="557"/>
      <c r="AI208" s="557"/>
      <c r="AJ208" s="557"/>
      <c r="AK208" s="557"/>
      <c r="AL208" s="557"/>
      <c r="AM208" s="557"/>
      <c r="AN208" s="557"/>
      <c r="AO208" s="557"/>
      <c r="AP208" s="557"/>
      <c r="AQ208" s="557"/>
      <c r="AR208" s="557"/>
      <c r="AS208" s="557"/>
      <c r="AT208" s="557"/>
      <c r="AU208" s="557"/>
      <c r="AV208" s="557"/>
      <c r="AW208" s="557"/>
      <c r="AX208" s="557"/>
      <c r="AY208" s="557"/>
      <c r="AZ208" s="557"/>
      <c r="BA208" s="557"/>
      <c r="BB208" s="557"/>
      <c r="BC208" s="557"/>
      <c r="BD208" s="555"/>
      <c r="BE208" s="592"/>
      <c r="BF208" s="592"/>
      <c r="BG208" s="592"/>
      <c r="BH208" s="592"/>
      <c r="BI208" s="592"/>
      <c r="BJ208" s="592"/>
      <c r="BK208" s="592"/>
      <c r="BL208" s="592"/>
      <c r="BM208" s="592"/>
      <c r="BN208" s="592"/>
      <c r="BO208" s="592"/>
      <c r="BP208" s="592"/>
      <c r="BQ208" s="592"/>
      <c r="BR208" s="592"/>
      <c r="BS208" s="592"/>
      <c r="BT208" s="592"/>
    </row>
    <row r="209" spans="1:72" s="591" customFormat="1" ht="15">
      <c r="A209" s="539"/>
      <c r="B209" s="539"/>
      <c r="C209" s="539"/>
      <c r="D209" s="539"/>
      <c r="E209" s="539"/>
      <c r="F209" s="539"/>
      <c r="G209" s="539"/>
      <c r="H209" s="539"/>
      <c r="I209" s="539"/>
      <c r="J209" s="539"/>
      <c r="K209" s="539"/>
      <c r="L209" s="539"/>
      <c r="M209" s="539"/>
      <c r="N209" s="539"/>
      <c r="O209" s="539"/>
      <c r="P209" s="539"/>
      <c r="Q209" s="539"/>
      <c r="R209" s="539"/>
      <c r="S209" s="557"/>
      <c r="T209" s="557"/>
      <c r="U209" s="557"/>
      <c r="V209" s="557"/>
      <c r="W209" s="539"/>
      <c r="X209" s="539"/>
      <c r="Y209" s="557"/>
      <c r="Z209" s="557"/>
      <c r="AA209" s="539"/>
      <c r="AB209" s="539"/>
      <c r="AC209" s="539"/>
      <c r="AD209" s="557"/>
      <c r="AE209" s="557"/>
      <c r="AF209" s="557"/>
      <c r="AG209" s="557"/>
      <c r="AH209" s="557"/>
      <c r="AI209" s="557"/>
      <c r="AJ209" s="557"/>
      <c r="AK209" s="557"/>
      <c r="AL209" s="557"/>
      <c r="AM209" s="557"/>
      <c r="AN209" s="557"/>
      <c r="AO209" s="557"/>
      <c r="AP209" s="557"/>
      <c r="AQ209" s="557"/>
      <c r="AR209" s="557"/>
      <c r="AS209" s="557"/>
      <c r="AT209" s="557"/>
      <c r="AU209" s="557"/>
      <c r="AV209" s="557"/>
      <c r="AW209" s="557"/>
      <c r="AX209" s="557"/>
      <c r="AY209" s="557"/>
      <c r="AZ209" s="557"/>
      <c r="BA209" s="557"/>
      <c r="BB209" s="557"/>
      <c r="BC209" s="557"/>
      <c r="BD209" s="555"/>
      <c r="BE209" s="592"/>
      <c r="BF209" s="592"/>
      <c r="BG209" s="592"/>
      <c r="BH209" s="592"/>
      <c r="BI209" s="592"/>
      <c r="BJ209" s="592"/>
      <c r="BK209" s="592"/>
      <c r="BL209" s="592"/>
      <c r="BM209" s="592"/>
      <c r="BN209" s="592"/>
      <c r="BO209" s="592"/>
      <c r="BP209" s="592"/>
      <c r="BQ209" s="592"/>
      <c r="BR209" s="592"/>
      <c r="BS209" s="592"/>
      <c r="BT209" s="592"/>
    </row>
    <row r="210" spans="1:72" s="591" customFormat="1" ht="15">
      <c r="A210" s="539"/>
      <c r="B210" s="539"/>
      <c r="C210" s="539"/>
      <c r="D210" s="539"/>
      <c r="E210" s="539"/>
      <c r="F210" s="539"/>
      <c r="G210" s="539"/>
      <c r="H210" s="539"/>
      <c r="I210" s="539"/>
      <c r="J210" s="539"/>
      <c r="K210" s="539"/>
      <c r="L210" s="539"/>
      <c r="M210" s="539"/>
      <c r="N210" s="539"/>
      <c r="O210" s="539"/>
      <c r="P210" s="539"/>
      <c r="Q210" s="539"/>
      <c r="R210" s="539"/>
      <c r="S210" s="557"/>
      <c r="T210" s="557"/>
      <c r="U210" s="557"/>
      <c r="V210" s="557"/>
      <c r="W210" s="539"/>
      <c r="X210" s="539"/>
      <c r="Y210" s="557"/>
      <c r="Z210" s="557"/>
      <c r="AA210" s="539"/>
      <c r="AB210" s="539"/>
      <c r="AC210" s="539"/>
      <c r="AD210" s="557"/>
      <c r="AE210" s="557"/>
      <c r="AF210" s="557"/>
      <c r="AG210" s="557"/>
      <c r="AH210" s="557"/>
      <c r="AI210" s="557"/>
      <c r="AJ210" s="557"/>
      <c r="AK210" s="557"/>
      <c r="AL210" s="557"/>
      <c r="AM210" s="557"/>
      <c r="AN210" s="557"/>
      <c r="AO210" s="557"/>
      <c r="AP210" s="557"/>
      <c r="AQ210" s="557"/>
      <c r="AR210" s="557"/>
      <c r="AS210" s="557"/>
      <c r="AT210" s="557"/>
      <c r="AU210" s="557"/>
      <c r="AV210" s="557"/>
      <c r="AW210" s="557"/>
      <c r="AX210" s="557"/>
      <c r="AY210" s="557"/>
      <c r="AZ210" s="557"/>
      <c r="BA210" s="557"/>
      <c r="BB210" s="557"/>
      <c r="BC210" s="557"/>
      <c r="BD210" s="555"/>
      <c r="BE210" s="592"/>
      <c r="BF210" s="592"/>
      <c r="BG210" s="592"/>
      <c r="BH210" s="592"/>
      <c r="BI210" s="592"/>
      <c r="BJ210" s="592"/>
      <c r="BK210" s="592"/>
      <c r="BL210" s="592"/>
      <c r="BM210" s="592"/>
      <c r="BN210" s="592"/>
      <c r="BO210" s="592"/>
      <c r="BP210" s="592"/>
      <c r="BQ210" s="592"/>
      <c r="BR210" s="592"/>
      <c r="BS210" s="592"/>
      <c r="BT210" s="592"/>
    </row>
    <row r="211" spans="1:72" s="591" customFormat="1" ht="15">
      <c r="A211" s="539"/>
      <c r="B211" s="539"/>
      <c r="C211" s="539"/>
      <c r="D211" s="539"/>
      <c r="E211" s="539"/>
      <c r="F211" s="539"/>
      <c r="G211" s="539"/>
      <c r="H211" s="539"/>
      <c r="I211" s="539"/>
      <c r="J211" s="539"/>
      <c r="K211" s="539"/>
      <c r="L211" s="539"/>
      <c r="M211" s="539"/>
      <c r="N211" s="539"/>
      <c r="O211" s="539"/>
      <c r="P211" s="539"/>
      <c r="Q211" s="539"/>
      <c r="R211" s="539"/>
      <c r="S211" s="557"/>
      <c r="T211" s="557"/>
      <c r="U211" s="557"/>
      <c r="V211" s="557"/>
      <c r="W211" s="539"/>
      <c r="X211" s="539"/>
      <c r="Y211" s="557"/>
      <c r="Z211" s="557"/>
      <c r="AA211" s="539"/>
      <c r="AB211" s="539"/>
      <c r="AC211" s="539"/>
      <c r="AD211" s="557"/>
      <c r="AE211" s="557"/>
      <c r="AF211" s="557"/>
      <c r="AG211" s="557"/>
      <c r="AH211" s="557"/>
      <c r="AI211" s="557"/>
      <c r="AJ211" s="557"/>
      <c r="AK211" s="557"/>
      <c r="AL211" s="557"/>
      <c r="AM211" s="557"/>
      <c r="AN211" s="557"/>
      <c r="AO211" s="557"/>
      <c r="AP211" s="557"/>
      <c r="AQ211" s="557"/>
      <c r="AR211" s="557"/>
      <c r="AS211" s="557"/>
      <c r="AT211" s="557"/>
      <c r="AU211" s="557"/>
      <c r="AV211" s="557"/>
      <c r="AW211" s="557"/>
      <c r="AX211" s="557"/>
      <c r="AY211" s="557"/>
      <c r="AZ211" s="557"/>
      <c r="BA211" s="557"/>
      <c r="BB211" s="557"/>
      <c r="BC211" s="557"/>
      <c r="BD211" s="555"/>
      <c r="BE211" s="592"/>
      <c r="BF211" s="592"/>
      <c r="BG211" s="592"/>
      <c r="BH211" s="592"/>
      <c r="BI211" s="592"/>
      <c r="BJ211" s="592"/>
      <c r="BK211" s="592"/>
      <c r="BL211" s="592"/>
      <c r="BM211" s="592"/>
      <c r="BN211" s="592"/>
      <c r="BO211" s="592"/>
      <c r="BP211" s="592"/>
      <c r="BQ211" s="592"/>
      <c r="BR211" s="592"/>
      <c r="BS211" s="592"/>
      <c r="BT211" s="592"/>
    </row>
    <row r="212" spans="1:72" s="591" customFormat="1" ht="15">
      <c r="A212" s="539"/>
      <c r="B212" s="539"/>
      <c r="C212" s="539"/>
      <c r="D212" s="539"/>
      <c r="E212" s="539"/>
      <c r="F212" s="539"/>
      <c r="G212" s="539"/>
      <c r="H212" s="539"/>
      <c r="I212" s="539"/>
      <c r="J212" s="539"/>
      <c r="K212" s="539"/>
      <c r="L212" s="539"/>
      <c r="M212" s="539"/>
      <c r="N212" s="539"/>
      <c r="O212" s="539"/>
      <c r="P212" s="539"/>
      <c r="Q212" s="539"/>
      <c r="R212" s="539"/>
      <c r="S212" s="557"/>
      <c r="T212" s="557"/>
      <c r="U212" s="557"/>
      <c r="V212" s="557"/>
      <c r="W212" s="539"/>
      <c r="X212" s="539"/>
      <c r="Y212" s="557"/>
      <c r="Z212" s="557"/>
      <c r="AA212" s="539"/>
      <c r="AB212" s="539"/>
      <c r="AC212" s="539"/>
      <c r="AD212" s="557"/>
      <c r="AE212" s="557"/>
      <c r="AF212" s="557"/>
      <c r="AG212" s="557"/>
      <c r="AH212" s="557"/>
      <c r="AI212" s="557"/>
      <c r="AJ212" s="557"/>
      <c r="AK212" s="557"/>
      <c r="AL212" s="557"/>
      <c r="AM212" s="557"/>
      <c r="AN212" s="557"/>
      <c r="AO212" s="557"/>
      <c r="AP212" s="557"/>
      <c r="AQ212" s="557"/>
      <c r="AR212" s="557"/>
      <c r="AS212" s="557"/>
      <c r="AT212" s="557"/>
      <c r="AU212" s="557"/>
      <c r="AV212" s="557"/>
      <c r="AW212" s="557"/>
      <c r="AX212" s="557"/>
      <c r="AY212" s="557"/>
      <c r="AZ212" s="557"/>
      <c r="BA212" s="557"/>
      <c r="BB212" s="557"/>
      <c r="BC212" s="557"/>
      <c r="BD212" s="555"/>
      <c r="BE212" s="592"/>
      <c r="BF212" s="592"/>
      <c r="BG212" s="592"/>
      <c r="BH212" s="592"/>
      <c r="BI212" s="592"/>
      <c r="BJ212" s="592"/>
      <c r="BK212" s="592"/>
      <c r="BL212" s="592"/>
      <c r="BM212" s="592"/>
      <c r="BN212" s="592"/>
      <c r="BO212" s="592"/>
      <c r="BP212" s="592"/>
      <c r="BQ212" s="592"/>
      <c r="BR212" s="592"/>
      <c r="BS212" s="592"/>
      <c r="BT212" s="592"/>
    </row>
  </sheetData>
  <mergeCells count="27">
    <mergeCell ref="A5:BA5"/>
    <mergeCell ref="BB5:BC5"/>
    <mergeCell ref="AV2:AY2"/>
    <mergeCell ref="AZ2:BC3"/>
    <mergeCell ref="A3:H3"/>
    <mergeCell ref="I3:L3"/>
    <mergeCell ref="M3:W3"/>
    <mergeCell ref="X3:Z3"/>
    <mergeCell ref="AA3:AR3"/>
    <mergeCell ref="AS3:AU3"/>
    <mergeCell ref="AV3:AY3"/>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s>
  <phoneticPr fontId="57"/>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71D2C-D985-4695-8A8E-E0DDD89A760E}">
  <dimension ref="A1:DX214"/>
  <sheetViews>
    <sheetView showGridLines="0" topLeftCell="A5" zoomScale="80" zoomScaleNormal="80" zoomScaleSheetLayoutView="100" workbookViewId="0">
      <pane ySplit="2" topLeftCell="A7" activePane="bottomLeft" state="frozen"/>
      <selection activeCell="A5" sqref="A5"/>
      <selection pane="bottomLeft" activeCell="A7" sqref="A7"/>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128" width="2.6328125" style="591" customWidth="1"/>
    <col min="129" max="16384" width="9" style="35"/>
  </cols>
  <sheetData>
    <row r="1" spans="1:75" ht="12" customHeight="1">
      <c r="A1" s="740" t="s">
        <v>4</v>
      </c>
      <c r="B1" s="740"/>
      <c r="C1" s="740"/>
      <c r="D1" s="740"/>
      <c r="E1" s="740"/>
      <c r="F1" s="740"/>
      <c r="G1" s="740"/>
      <c r="H1" s="740"/>
      <c r="I1" s="727" t="s">
        <v>5</v>
      </c>
      <c r="J1" s="727"/>
      <c r="K1" s="727"/>
      <c r="L1" s="727"/>
      <c r="M1" s="738" t="str">
        <f>変更来歴!M1</f>
        <v>ヒロセ電機株式会社</v>
      </c>
      <c r="N1" s="738"/>
      <c r="O1" s="738"/>
      <c r="P1" s="738"/>
      <c r="Q1" s="738"/>
      <c r="R1" s="738"/>
      <c r="S1" s="738"/>
      <c r="T1" s="738"/>
      <c r="U1" s="738"/>
      <c r="V1" s="738"/>
      <c r="W1" s="738"/>
      <c r="X1" s="727" t="s">
        <v>7</v>
      </c>
      <c r="Y1" s="727"/>
      <c r="Z1" s="727"/>
      <c r="AA1" s="742" t="str">
        <f>変更来歴!AA1</f>
        <v>化学物質データ申請</v>
      </c>
      <c r="AB1" s="742"/>
      <c r="AC1" s="742"/>
      <c r="AD1" s="742"/>
      <c r="AE1" s="742"/>
      <c r="AF1" s="742"/>
      <c r="AG1" s="742"/>
      <c r="AH1" s="742"/>
      <c r="AI1" s="742"/>
      <c r="AJ1" s="742"/>
      <c r="AK1" s="716" t="s">
        <v>8</v>
      </c>
      <c r="AL1" s="716"/>
      <c r="AM1" s="716"/>
      <c r="AN1" s="718" t="str">
        <f>変更来歴!AP7</f>
        <v>古竹</v>
      </c>
      <c r="AO1" s="718"/>
      <c r="AP1" s="718"/>
      <c r="AQ1" s="718"/>
      <c r="AR1" s="718"/>
      <c r="AS1" s="716" t="s">
        <v>9</v>
      </c>
      <c r="AT1" s="716"/>
      <c r="AU1" s="716"/>
      <c r="AV1" s="719">
        <f>変更来歴!AL7</f>
        <v>46125</v>
      </c>
      <c r="AW1" s="717"/>
      <c r="AX1" s="717"/>
      <c r="AY1" s="717"/>
      <c r="AZ1" s="723" t="s">
        <v>10</v>
      </c>
      <c r="BA1" s="724"/>
      <c r="BB1" s="724"/>
      <c r="BC1" s="725"/>
    </row>
    <row r="2" spans="1:75">
      <c r="A2" s="726" t="s">
        <v>16</v>
      </c>
      <c r="B2" s="726"/>
      <c r="C2" s="726"/>
      <c r="D2" s="726"/>
      <c r="E2" s="726"/>
      <c r="F2" s="726"/>
      <c r="G2" s="726"/>
      <c r="H2" s="726"/>
      <c r="I2" s="727" t="s">
        <v>11</v>
      </c>
      <c r="J2" s="727"/>
      <c r="K2" s="727"/>
      <c r="L2" s="727"/>
      <c r="M2" s="762" t="str">
        <f>変更来歴!M2</f>
        <v>　</v>
      </c>
      <c r="N2" s="762"/>
      <c r="O2" s="762"/>
      <c r="P2" s="762"/>
      <c r="Q2" s="762"/>
      <c r="R2" s="762"/>
      <c r="S2" s="762"/>
      <c r="T2" s="762"/>
      <c r="U2" s="762"/>
      <c r="V2" s="762"/>
      <c r="W2" s="762"/>
      <c r="X2" s="727"/>
      <c r="Y2" s="727"/>
      <c r="Z2" s="727"/>
      <c r="AA2" s="742"/>
      <c r="AB2" s="742"/>
      <c r="AC2" s="742"/>
      <c r="AD2" s="742"/>
      <c r="AE2" s="742"/>
      <c r="AF2" s="742"/>
      <c r="AG2" s="742"/>
      <c r="AH2" s="742"/>
      <c r="AI2" s="742"/>
      <c r="AJ2" s="742"/>
      <c r="AK2" s="716" t="s">
        <v>12</v>
      </c>
      <c r="AL2" s="716"/>
      <c r="AM2" s="716"/>
      <c r="AN2" s="718" t="str">
        <f ca="1">INDIRECT("変更来歴!AP" &amp; COUNTA(変更来歴!AP7:'変更来歴'!AP39) + 6)</f>
        <v>古竹</v>
      </c>
      <c r="AO2" s="718"/>
      <c r="AP2" s="718"/>
      <c r="AQ2" s="718"/>
      <c r="AR2" s="718"/>
      <c r="AS2" s="716" t="s">
        <v>13</v>
      </c>
      <c r="AT2" s="716"/>
      <c r="AU2" s="716"/>
      <c r="AV2" s="719">
        <f ca="1">INDIRECT("変更来歴!AL" &amp; COUNTA(変更来歴!AL7:'変更来歴'!AL39) + 6)</f>
        <v>46162</v>
      </c>
      <c r="AW2" s="717"/>
      <c r="AX2" s="717"/>
      <c r="AY2" s="717"/>
      <c r="AZ2" s="731" t="str">
        <f>変更来歴!AX2</f>
        <v>IMWF-53</v>
      </c>
      <c r="BA2" s="732"/>
      <c r="BB2" s="732"/>
      <c r="BC2" s="733"/>
    </row>
    <row r="3" spans="1:75" ht="12" customHeight="1">
      <c r="A3" s="737" t="str">
        <f>変更来歴!A3</f>
        <v>画面設計書</v>
      </c>
      <c r="B3" s="737"/>
      <c r="C3" s="737"/>
      <c r="D3" s="737"/>
      <c r="E3" s="737"/>
      <c r="F3" s="737"/>
      <c r="G3" s="737"/>
      <c r="H3" s="737"/>
      <c r="I3" s="727" t="s">
        <v>14</v>
      </c>
      <c r="J3" s="727"/>
      <c r="K3" s="727"/>
      <c r="L3" s="727"/>
      <c r="M3" s="738" t="str">
        <f ca="1">RIGHT(CELL("filename",A1),LEN(CELL("filename",A1))-FIND("]",CELL("filename",A1)))</f>
        <v>化学物質データ申請画面(日英併記)</v>
      </c>
      <c r="N3" s="738"/>
      <c r="O3" s="738"/>
      <c r="P3" s="738"/>
      <c r="Q3" s="738"/>
      <c r="R3" s="738"/>
      <c r="S3" s="738"/>
      <c r="T3" s="738"/>
      <c r="U3" s="738"/>
      <c r="V3" s="738"/>
      <c r="W3" s="738"/>
      <c r="X3" s="727" t="s">
        <v>27</v>
      </c>
      <c r="Y3" s="727"/>
      <c r="Z3" s="727"/>
      <c r="AA3" s="739" t="str">
        <f ca="1">MID(CELL("filename"),FIND("]",CELL("filename"))+1,LEN(CELL("filename"))) &amp; "画面"</f>
        <v>表紙画面</v>
      </c>
      <c r="AB3" s="739"/>
      <c r="AC3" s="739"/>
      <c r="AD3" s="739"/>
      <c r="AE3" s="739"/>
      <c r="AF3" s="739"/>
      <c r="AG3" s="739"/>
      <c r="AH3" s="739"/>
      <c r="AI3" s="739"/>
      <c r="AJ3" s="739"/>
      <c r="AK3" s="739"/>
      <c r="AL3" s="739"/>
      <c r="AM3" s="739"/>
      <c r="AN3" s="739"/>
      <c r="AO3" s="739"/>
      <c r="AP3" s="739"/>
      <c r="AQ3" s="739"/>
      <c r="AR3" s="739"/>
      <c r="AS3" s="716" t="s">
        <v>15</v>
      </c>
      <c r="AT3" s="716"/>
      <c r="AU3" s="716"/>
      <c r="AV3" s="717" t="str">
        <f ca="1">INDIRECT("変更来歴!A" &amp; COUNTA(変更来歴!A7:'変更来歴'!A39) + 6)</f>
        <v>r1.2</v>
      </c>
      <c r="AW3" s="717"/>
      <c r="AX3" s="717"/>
      <c r="AY3" s="717"/>
      <c r="AZ3" s="734"/>
      <c r="BA3" s="735"/>
      <c r="BB3" s="735"/>
      <c r="BC3" s="736"/>
    </row>
    <row r="4" spans="1:75" ht="5.9" customHeight="1"/>
    <row r="5" spans="1:75" ht="13.5" customHeight="1">
      <c r="A5" s="763" t="str">
        <f ca="1">"画面レイアウト"&amp;"("&amp;MID(CELL("filename"),FIND("]",CELL("filename"))+1,LEN(CELL("filename")))&amp;")"</f>
        <v>画面レイアウト(表紙)</v>
      </c>
      <c r="B5" s="764"/>
      <c r="C5" s="764"/>
      <c r="D5" s="764"/>
      <c r="E5" s="764"/>
      <c r="F5" s="764"/>
      <c r="G5" s="764"/>
      <c r="H5" s="764"/>
      <c r="I5" s="764"/>
      <c r="J5" s="764"/>
      <c r="K5" s="764"/>
      <c r="L5" s="764"/>
      <c r="M5" s="764"/>
      <c r="N5" s="764"/>
      <c r="O5" s="764"/>
      <c r="P5" s="764"/>
      <c r="Q5" s="764"/>
      <c r="R5" s="764"/>
      <c r="S5" s="764"/>
      <c r="T5" s="764"/>
      <c r="U5" s="764"/>
      <c r="V5" s="764"/>
      <c r="W5" s="764"/>
      <c r="X5" s="764"/>
      <c r="Y5" s="764"/>
      <c r="Z5" s="764"/>
      <c r="AA5" s="764"/>
      <c r="AB5" s="764"/>
      <c r="AC5" s="764"/>
      <c r="AD5" s="764"/>
      <c r="AE5" s="764"/>
      <c r="AF5" s="764"/>
      <c r="AG5" s="764"/>
      <c r="AH5" s="764"/>
      <c r="AI5" s="764"/>
      <c r="AJ5" s="764"/>
      <c r="AK5" s="764"/>
      <c r="AL5" s="764"/>
      <c r="AM5" s="764"/>
      <c r="AN5" s="764"/>
      <c r="AO5" s="764"/>
      <c r="AP5" s="764"/>
      <c r="AQ5" s="764"/>
      <c r="AR5" s="764"/>
      <c r="AS5" s="764"/>
      <c r="AT5" s="764"/>
      <c r="AU5" s="764"/>
      <c r="AV5" s="764"/>
      <c r="AW5" s="764"/>
      <c r="AX5" s="764"/>
      <c r="AY5" s="764"/>
      <c r="AZ5" s="764"/>
      <c r="BA5" s="765"/>
      <c r="BB5" s="766" t="s">
        <v>24</v>
      </c>
      <c r="BC5" s="767"/>
      <c r="BD5" s="28"/>
    </row>
    <row r="6" spans="1:75"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75" ht="21" customHeight="1">
      <c r="A7" s="540"/>
      <c r="B7" s="585"/>
      <c r="C7" s="590" t="s">
        <v>365</v>
      </c>
      <c r="D7" s="586"/>
      <c r="E7" s="587"/>
      <c r="F7" s="587"/>
      <c r="G7" s="587"/>
      <c r="H7" s="581"/>
      <c r="I7" s="581"/>
      <c r="J7" s="675"/>
      <c r="K7" s="675"/>
      <c r="L7" s="675"/>
      <c r="M7" s="675"/>
      <c r="N7" s="584"/>
      <c r="O7" s="583"/>
      <c r="P7" s="584"/>
      <c r="Q7" s="581"/>
      <c r="R7" s="581"/>
      <c r="S7" s="581"/>
      <c r="T7" s="582"/>
      <c r="U7" s="582"/>
      <c r="V7" s="582"/>
      <c r="W7" s="582"/>
      <c r="X7" s="582"/>
      <c r="Y7" s="583"/>
      <c r="Z7" s="582"/>
      <c r="AA7" s="581"/>
      <c r="AB7" s="583"/>
      <c r="AC7" s="582"/>
      <c r="AD7" s="581"/>
      <c r="AE7" s="583"/>
      <c r="AF7" s="581"/>
      <c r="AG7" s="581"/>
      <c r="AH7" s="583"/>
      <c r="AI7" s="581"/>
      <c r="AJ7" s="581"/>
      <c r="AK7" s="588"/>
      <c r="AL7" s="581"/>
      <c r="AM7" s="581"/>
      <c r="AN7" s="581"/>
      <c r="AO7" s="581"/>
      <c r="AP7" s="581"/>
      <c r="AQ7" s="581"/>
      <c r="AR7" s="581"/>
      <c r="AS7" s="581"/>
      <c r="AT7" s="587"/>
      <c r="AU7" s="587"/>
      <c r="AV7" s="587"/>
      <c r="AW7" s="587"/>
      <c r="AX7" s="587"/>
      <c r="AY7" s="587"/>
      <c r="AZ7" s="589"/>
      <c r="BA7" s="570"/>
      <c r="BB7" s="553"/>
      <c r="BC7" s="554"/>
      <c r="BD7" s="538"/>
    </row>
    <row r="8" spans="1:75" ht="12.5" customHeight="1">
      <c r="A8" s="540"/>
      <c r="B8" s="566"/>
      <c r="C8" s="574"/>
      <c r="D8" s="575"/>
      <c r="E8" s="569"/>
      <c r="F8" s="569"/>
      <c r="G8" s="569"/>
      <c r="H8" s="578"/>
      <c r="I8" s="578"/>
      <c r="J8" s="578"/>
      <c r="K8" s="578"/>
      <c r="L8" s="578"/>
      <c r="M8" s="578"/>
      <c r="N8" s="578"/>
      <c r="O8" s="578"/>
      <c r="P8" s="578"/>
      <c r="Q8" s="578"/>
      <c r="R8" s="578"/>
      <c r="S8" s="578"/>
      <c r="T8" s="578"/>
      <c r="U8" s="578"/>
      <c r="V8" s="578"/>
      <c r="W8" s="578"/>
      <c r="X8" s="578"/>
      <c r="Y8" s="578"/>
      <c r="Z8" s="578"/>
      <c r="AA8" s="578"/>
      <c r="AB8" s="578"/>
      <c r="AC8" s="578"/>
      <c r="AD8" s="578"/>
      <c r="AE8" s="578"/>
      <c r="AF8" s="578"/>
      <c r="AG8" s="578"/>
      <c r="AH8" s="578"/>
      <c r="AI8" s="578"/>
      <c r="AJ8" s="578"/>
      <c r="AK8" s="578"/>
      <c r="AL8" s="578"/>
      <c r="AM8" s="578"/>
      <c r="AN8" s="578"/>
      <c r="AO8" s="578"/>
      <c r="AP8" s="578"/>
      <c r="AQ8" s="578"/>
      <c r="AR8" s="578"/>
      <c r="AS8" s="580"/>
      <c r="AT8" s="576"/>
      <c r="AU8" s="576"/>
      <c r="AV8" s="576"/>
      <c r="AW8" s="576"/>
      <c r="AX8" s="576"/>
      <c r="AY8" s="576"/>
      <c r="AZ8" s="570"/>
      <c r="BA8" s="570"/>
      <c r="BB8" s="553"/>
      <c r="BC8" s="554"/>
      <c r="BD8" s="538"/>
      <c r="BE8" s="769" t="s">
        <v>612</v>
      </c>
      <c r="BF8" s="770"/>
      <c r="BG8" s="770"/>
      <c r="BH8" s="771"/>
    </row>
    <row r="9" spans="1:75" ht="24" customHeight="1">
      <c r="A9" s="540"/>
      <c r="B9" s="541"/>
      <c r="C9" s="544"/>
      <c r="D9" s="544"/>
      <c r="E9" s="544"/>
      <c r="F9" s="542"/>
      <c r="G9" s="542"/>
      <c r="H9" s="768" t="s">
        <v>581</v>
      </c>
      <c r="I9" s="768"/>
      <c r="J9" s="768"/>
      <c r="K9" s="768"/>
      <c r="L9" s="768"/>
      <c r="M9" s="768"/>
      <c r="N9" s="768"/>
      <c r="O9" s="768"/>
      <c r="P9" s="768"/>
      <c r="Q9" s="768"/>
      <c r="R9" s="768"/>
      <c r="S9" s="768"/>
      <c r="T9" s="768"/>
      <c r="U9" s="768"/>
      <c r="V9" s="768"/>
      <c r="W9" s="768"/>
      <c r="X9" s="768"/>
      <c r="Y9" s="768"/>
      <c r="Z9" s="768"/>
      <c r="AA9" s="768"/>
      <c r="AB9" s="768"/>
      <c r="AC9" s="768"/>
      <c r="AD9" s="768"/>
      <c r="AE9" s="768"/>
      <c r="AF9" s="768"/>
      <c r="AG9" s="768"/>
      <c r="AH9" s="768"/>
      <c r="AI9" s="768"/>
      <c r="AJ9" s="768"/>
      <c r="AK9" s="768"/>
      <c r="AL9" s="768"/>
      <c r="AM9" s="768"/>
      <c r="AN9" s="768"/>
      <c r="AO9" s="768"/>
      <c r="AP9" s="768"/>
      <c r="AQ9" s="768"/>
      <c r="AR9" s="768"/>
      <c r="AS9" s="768"/>
      <c r="AT9" s="547"/>
      <c r="AU9" s="545"/>
      <c r="AV9" s="548"/>
      <c r="AW9" s="548"/>
      <c r="AX9" s="548"/>
      <c r="AY9" s="542"/>
      <c r="AZ9" s="543"/>
      <c r="BA9" s="543"/>
      <c r="BB9" s="536"/>
      <c r="BC9" s="537"/>
      <c r="BD9" s="538"/>
      <c r="BE9" s="696"/>
      <c r="BF9" s="697" t="s">
        <v>577</v>
      </c>
      <c r="BG9" s="697"/>
      <c r="BH9" s="698"/>
      <c r="BI9" s="697"/>
      <c r="BJ9" s="699"/>
      <c r="BK9" s="699"/>
      <c r="BL9" s="699"/>
      <c r="BM9" s="699"/>
      <c r="BN9" s="699"/>
      <c r="BO9" s="699"/>
      <c r="BP9" s="699"/>
      <c r="BQ9" s="700"/>
      <c r="BR9" s="700"/>
      <c r="BS9" s="700"/>
      <c r="BT9" s="700"/>
      <c r="BU9" s="701"/>
      <c r="BV9" s="701"/>
      <c r="BW9" s="702"/>
    </row>
    <row r="10" spans="1:75" ht="12.5" customHeight="1">
      <c r="A10" s="540"/>
      <c r="B10" s="566"/>
      <c r="C10" s="568"/>
      <c r="D10" s="568"/>
      <c r="E10" s="568"/>
      <c r="F10" s="568"/>
      <c r="G10" s="568"/>
      <c r="H10" s="600" t="s">
        <v>543</v>
      </c>
      <c r="I10" s="568"/>
      <c r="J10" s="568"/>
      <c r="K10" s="568"/>
      <c r="L10" s="568"/>
      <c r="M10" s="568"/>
      <c r="N10" s="568"/>
      <c r="O10" s="568"/>
      <c r="P10" s="568"/>
      <c r="Q10" s="568"/>
      <c r="R10" s="568"/>
      <c r="S10" s="568"/>
      <c r="T10" s="568"/>
      <c r="U10" s="568"/>
      <c r="V10" s="568"/>
      <c r="W10" s="568"/>
      <c r="X10" s="568"/>
      <c r="Y10" s="568"/>
      <c r="Z10" s="568"/>
      <c r="AA10" s="568"/>
      <c r="AB10" s="568"/>
      <c r="AC10" s="568"/>
      <c r="AD10" s="568"/>
      <c r="AE10" s="568"/>
      <c r="AF10" s="568"/>
      <c r="AG10" s="568"/>
      <c r="AH10" s="568"/>
      <c r="AI10" s="568"/>
      <c r="AJ10" s="568"/>
      <c r="AK10" s="568"/>
      <c r="AL10" s="568"/>
      <c r="AM10" s="568"/>
      <c r="AN10" s="568"/>
      <c r="AO10" s="568"/>
      <c r="AP10" s="568"/>
      <c r="AQ10" s="568"/>
      <c r="AR10" s="568"/>
      <c r="AS10" s="568"/>
      <c r="AT10" s="568"/>
      <c r="AU10" s="568"/>
      <c r="AV10" s="568"/>
      <c r="AW10" s="568"/>
      <c r="AX10" s="568"/>
      <c r="AY10" s="568"/>
      <c r="AZ10" s="570"/>
      <c r="BA10" s="570"/>
      <c r="BB10" s="553"/>
      <c r="BC10" s="554"/>
      <c r="BD10" s="538"/>
      <c r="BE10" s="703"/>
      <c r="BF10" s="592"/>
      <c r="BG10" s="595" t="s">
        <v>578</v>
      </c>
      <c r="BH10" s="592"/>
      <c r="BI10" s="592"/>
      <c r="BJ10" s="592"/>
      <c r="BK10" s="592"/>
      <c r="BL10" s="592"/>
      <c r="BM10" s="592"/>
      <c r="BN10" s="592"/>
      <c r="BO10" s="592"/>
      <c r="BP10" s="592"/>
      <c r="BQ10" s="592"/>
      <c r="BR10" s="592"/>
      <c r="BS10" s="592"/>
      <c r="BT10" s="592"/>
      <c r="BW10" s="704"/>
    </row>
    <row r="11" spans="1:75" ht="12" customHeight="1">
      <c r="A11" s="540"/>
      <c r="B11" s="549"/>
      <c r="C11" s="550"/>
      <c r="D11" s="538"/>
      <c r="E11" s="538"/>
      <c r="F11" s="538"/>
      <c r="G11" s="538"/>
      <c r="H11" s="551"/>
      <c r="I11" s="546"/>
      <c r="J11" s="545"/>
      <c r="K11" s="546"/>
      <c r="L11" s="545"/>
      <c r="M11" s="552"/>
      <c r="N11" s="552"/>
      <c r="O11" s="548"/>
      <c r="P11" s="552"/>
      <c r="Q11" s="548"/>
      <c r="R11" s="552"/>
      <c r="S11" s="539"/>
      <c r="T11" s="538"/>
      <c r="U11" s="538"/>
      <c r="V11" s="538"/>
      <c r="W11" s="538"/>
      <c r="X11" s="538"/>
      <c r="Y11" s="551"/>
      <c r="Z11" s="546"/>
      <c r="AA11" s="545"/>
      <c r="AB11" s="546"/>
      <c r="AC11" s="545"/>
      <c r="AD11" s="552"/>
      <c r="AE11" s="552"/>
      <c r="AF11" s="548"/>
      <c r="AG11" s="552"/>
      <c r="AH11" s="552"/>
      <c r="AI11" s="547"/>
      <c r="AJ11" s="552"/>
      <c r="AK11" s="548"/>
      <c r="AL11" s="538"/>
      <c r="AM11" s="538"/>
      <c r="AN11" s="538"/>
      <c r="AO11" s="538"/>
      <c r="AP11" s="538"/>
      <c r="AQ11" s="538"/>
      <c r="AR11" s="538"/>
      <c r="AS11" s="545"/>
      <c r="AT11" s="547"/>
      <c r="AU11" s="545"/>
      <c r="AV11" s="548"/>
      <c r="AW11" s="548"/>
      <c r="AX11" s="548"/>
      <c r="AY11" s="542"/>
      <c r="AZ11" s="543"/>
      <c r="BA11" s="543"/>
      <c r="BB11" s="536"/>
      <c r="BC11" s="537"/>
      <c r="BD11" s="538"/>
      <c r="BE11" s="705"/>
      <c r="BF11" s="592"/>
      <c r="BG11" s="592"/>
      <c r="BH11" s="592"/>
      <c r="BI11" s="592"/>
      <c r="BJ11" s="592"/>
      <c r="BK11" s="592"/>
      <c r="BL11" s="592"/>
      <c r="BM11" s="592"/>
      <c r="BN11" s="592"/>
      <c r="BO11" s="592"/>
      <c r="BP11" s="592"/>
      <c r="BQ11" s="592"/>
      <c r="BR11" s="592"/>
      <c r="BS11" s="592"/>
      <c r="BT11" s="592"/>
      <c r="BW11" s="704"/>
    </row>
    <row r="12" spans="1:75" ht="12.5" customHeight="1">
      <c r="A12" s="540"/>
      <c r="B12" s="541"/>
      <c r="C12" s="538"/>
      <c r="D12" s="538"/>
      <c r="E12" s="538"/>
      <c r="F12" s="539"/>
      <c r="G12" s="544"/>
      <c r="H12" s="601"/>
      <c r="I12" s="601"/>
      <c r="J12" s="601"/>
      <c r="K12" s="601"/>
      <c r="L12" s="601"/>
      <c r="M12" s="601"/>
      <c r="N12" s="601"/>
      <c r="O12" s="601"/>
      <c r="P12" s="601"/>
      <c r="Q12" s="601"/>
      <c r="R12" s="601"/>
      <c r="S12" s="601"/>
      <c r="T12" s="602"/>
      <c r="U12" s="602"/>
      <c r="V12" s="602"/>
      <c r="W12" s="602"/>
      <c r="X12" s="603"/>
      <c r="Y12" s="602"/>
      <c r="Z12" s="602"/>
      <c r="AA12" s="602"/>
      <c r="AB12" s="604"/>
      <c r="AC12" s="602"/>
      <c r="AD12" s="605"/>
      <c r="AE12" s="605"/>
      <c r="AF12" s="605"/>
      <c r="AG12" s="605"/>
      <c r="AH12" s="605"/>
      <c r="AI12" s="601"/>
      <c r="AJ12" s="602"/>
      <c r="AK12" s="602"/>
      <c r="AL12" s="602"/>
      <c r="AM12" s="602"/>
      <c r="AN12" s="606"/>
      <c r="AO12" s="603"/>
      <c r="AP12" s="603"/>
      <c r="AQ12" s="602"/>
      <c r="AR12" s="602"/>
      <c r="AS12" s="602"/>
      <c r="AT12" s="547"/>
      <c r="AU12" s="545"/>
      <c r="AV12" s="548"/>
      <c r="AW12" s="548"/>
      <c r="AX12" s="548"/>
      <c r="AY12" s="542"/>
      <c r="AZ12" s="543"/>
      <c r="BA12" s="543"/>
      <c r="BB12" s="536"/>
      <c r="BC12" s="537"/>
      <c r="BD12" s="538"/>
      <c r="BE12" s="703"/>
      <c r="BF12" s="592" t="s">
        <v>382</v>
      </c>
      <c r="BG12" s="595"/>
      <c r="BH12" s="592"/>
      <c r="BI12" s="592"/>
      <c r="BJ12" s="592"/>
      <c r="BK12" s="592"/>
      <c r="BL12" s="592"/>
      <c r="BM12" s="592"/>
      <c r="BN12" s="592"/>
      <c r="BO12" s="592"/>
      <c r="BP12" s="592"/>
      <c r="BQ12" s="592"/>
      <c r="BR12" s="592"/>
      <c r="BS12" s="592"/>
      <c r="BT12" s="592"/>
      <c r="BW12" s="704"/>
    </row>
    <row r="13" spans="1:75" ht="12.5" customHeight="1">
      <c r="A13" s="540"/>
      <c r="B13" s="566"/>
      <c r="C13" s="565"/>
      <c r="D13" s="567"/>
      <c r="E13" s="567"/>
      <c r="F13" s="567"/>
      <c r="G13" s="565"/>
      <c r="H13" s="601"/>
      <c r="I13" s="616" t="s">
        <v>366</v>
      </c>
      <c r="J13" s="601"/>
      <c r="K13" s="601"/>
      <c r="L13" s="601"/>
      <c r="M13" s="601"/>
      <c r="N13" s="601"/>
      <c r="O13" s="601"/>
      <c r="P13" s="601"/>
      <c r="Q13" s="601"/>
      <c r="R13" s="601"/>
      <c r="S13" s="601"/>
      <c r="T13" s="602"/>
      <c r="U13" s="602"/>
      <c r="V13" s="602"/>
      <c r="W13" s="602"/>
      <c r="X13" s="603"/>
      <c r="Y13" s="602"/>
      <c r="Z13" s="601"/>
      <c r="AA13" s="601"/>
      <c r="AB13" s="601"/>
      <c r="AC13" s="601"/>
      <c r="AD13" s="601"/>
      <c r="AE13" s="601"/>
      <c r="AF13" s="601"/>
      <c r="AG13" s="601"/>
      <c r="AH13" s="601"/>
      <c r="AI13" s="601"/>
      <c r="AJ13" s="601"/>
      <c r="AK13" s="601"/>
      <c r="AL13" s="601"/>
      <c r="AM13" s="601"/>
      <c r="AN13" s="601"/>
      <c r="AO13" s="601"/>
      <c r="AP13" s="601"/>
      <c r="AQ13" s="601"/>
      <c r="AR13" s="601"/>
      <c r="AS13" s="601"/>
      <c r="AT13" s="565"/>
      <c r="AU13" s="565"/>
      <c r="AV13" s="565"/>
      <c r="AW13" s="565"/>
      <c r="AX13" s="569"/>
      <c r="AY13" s="565"/>
      <c r="AZ13" s="570"/>
      <c r="BA13" s="570"/>
      <c r="BB13" s="536"/>
      <c r="BC13" s="537"/>
      <c r="BD13" s="538"/>
      <c r="BE13" s="705"/>
      <c r="BF13" s="575"/>
      <c r="BG13" s="575" t="s">
        <v>383</v>
      </c>
      <c r="BH13" s="592"/>
      <c r="BI13" s="592"/>
      <c r="BJ13" s="592"/>
      <c r="BK13" s="592"/>
      <c r="BL13" s="592"/>
      <c r="BM13" s="592"/>
      <c r="BN13" s="592"/>
      <c r="BO13" s="592"/>
      <c r="BP13" s="592"/>
      <c r="BQ13" s="592"/>
      <c r="BR13" s="592"/>
      <c r="BS13" s="592"/>
      <c r="BT13" s="592"/>
      <c r="BW13" s="704"/>
    </row>
    <row r="14" spans="1:75" ht="12.5" customHeight="1">
      <c r="A14" s="540"/>
      <c r="B14" s="566"/>
      <c r="C14" s="571"/>
      <c r="D14" s="567"/>
      <c r="E14" s="567"/>
      <c r="F14" s="567"/>
      <c r="G14" s="569"/>
      <c r="H14" s="601"/>
      <c r="I14" s="676" t="s">
        <v>564</v>
      </c>
      <c r="J14" s="608"/>
      <c r="K14" s="607"/>
      <c r="L14" s="607"/>
      <c r="M14" s="607"/>
      <c r="N14" s="607"/>
      <c r="O14" s="607"/>
      <c r="P14" s="607"/>
      <c r="Q14" s="607"/>
      <c r="R14" s="607"/>
      <c r="S14" s="607"/>
      <c r="T14" s="607"/>
      <c r="U14" s="607"/>
      <c r="V14" s="607"/>
      <c r="W14" s="607"/>
      <c r="X14" s="609"/>
      <c r="Y14" s="601"/>
      <c r="Z14" s="601"/>
      <c r="AA14" s="610"/>
      <c r="AB14" s="601"/>
      <c r="AC14" s="611"/>
      <c r="AD14" s="611"/>
      <c r="AE14" s="612"/>
      <c r="AF14" s="611"/>
      <c r="AG14" s="612"/>
      <c r="AH14" s="611"/>
      <c r="AI14" s="613"/>
      <c r="AJ14" s="611"/>
      <c r="AK14" s="612"/>
      <c r="AL14" s="612"/>
      <c r="AM14" s="612"/>
      <c r="AN14" s="612"/>
      <c r="AO14" s="612"/>
      <c r="AP14" s="612"/>
      <c r="AQ14" s="612"/>
      <c r="AR14" s="612"/>
      <c r="AS14" s="612"/>
      <c r="AT14" s="569"/>
      <c r="AU14" s="569"/>
      <c r="AV14" s="569"/>
      <c r="AW14" s="569"/>
      <c r="AX14" s="569"/>
      <c r="AY14" s="565"/>
      <c r="AZ14" s="570"/>
      <c r="BA14" s="570"/>
      <c r="BB14" s="536"/>
      <c r="BC14" s="537"/>
      <c r="BD14" s="538"/>
      <c r="BE14" s="705"/>
      <c r="BF14" s="575"/>
      <c r="BG14" s="575"/>
      <c r="BH14" s="592" t="s">
        <v>579</v>
      </c>
      <c r="BI14" s="592"/>
      <c r="BJ14" s="592"/>
      <c r="BK14" s="592"/>
      <c r="BL14" s="592"/>
      <c r="BM14" s="592"/>
      <c r="BN14" s="592"/>
      <c r="BO14" s="592"/>
      <c r="BP14" s="592"/>
      <c r="BQ14" s="592"/>
      <c r="BR14" s="592"/>
      <c r="BS14" s="592"/>
      <c r="BT14" s="592"/>
      <c r="BW14" s="704"/>
    </row>
    <row r="15" spans="1:75" ht="12.5" customHeight="1">
      <c r="A15" s="540"/>
      <c r="B15" s="566"/>
      <c r="C15" s="573"/>
      <c r="D15" s="569"/>
      <c r="E15" s="569"/>
      <c r="F15" s="569"/>
      <c r="G15" s="569"/>
      <c r="H15" s="614"/>
      <c r="I15" s="609"/>
      <c r="J15" s="607"/>
      <c r="K15" s="609"/>
      <c r="L15" s="607"/>
      <c r="M15" s="607"/>
      <c r="N15" s="607"/>
      <c r="O15" s="607"/>
      <c r="P15" s="607"/>
      <c r="Q15" s="607"/>
      <c r="R15" s="607"/>
      <c r="S15" s="607"/>
      <c r="T15" s="607"/>
      <c r="U15" s="607"/>
      <c r="V15" s="607"/>
      <c r="W15" s="607"/>
      <c r="X15" s="609"/>
      <c r="Y15" s="601"/>
      <c r="Z15" s="610"/>
      <c r="AA15" s="601"/>
      <c r="AB15" s="610"/>
      <c r="AC15" s="601"/>
      <c r="AD15" s="611"/>
      <c r="AE15" s="611"/>
      <c r="AF15" s="612"/>
      <c r="AG15" s="611"/>
      <c r="AH15" s="611"/>
      <c r="AI15" s="613"/>
      <c r="AJ15" s="611"/>
      <c r="AK15" s="612"/>
      <c r="AL15" s="612"/>
      <c r="AM15" s="612"/>
      <c r="AN15" s="612"/>
      <c r="AO15" s="612"/>
      <c r="AP15" s="612"/>
      <c r="AQ15" s="612"/>
      <c r="AR15" s="612"/>
      <c r="AS15" s="601"/>
      <c r="AT15" s="572"/>
      <c r="AU15" s="565"/>
      <c r="AV15" s="569"/>
      <c r="AW15" s="569"/>
      <c r="AX15" s="569"/>
      <c r="AY15" s="565"/>
      <c r="AZ15" s="570"/>
      <c r="BA15" s="570"/>
      <c r="BB15" s="536"/>
      <c r="BC15" s="537"/>
      <c r="BD15" s="538"/>
      <c r="BE15" s="705"/>
      <c r="BF15" s="575"/>
      <c r="BG15" s="575"/>
      <c r="BH15" s="592" t="s">
        <v>580</v>
      </c>
      <c r="BI15" s="592"/>
      <c r="BJ15" s="592"/>
      <c r="BK15" s="592"/>
      <c r="BL15" s="592"/>
      <c r="BM15" s="592"/>
      <c r="BN15" s="592"/>
      <c r="BO15" s="592"/>
      <c r="BP15" s="592"/>
      <c r="BQ15" s="592"/>
      <c r="BR15" s="592"/>
      <c r="BS15" s="592"/>
      <c r="BT15" s="592"/>
      <c r="BW15" s="704"/>
    </row>
    <row r="16" spans="1:75" ht="12.5" customHeight="1">
      <c r="A16" s="540"/>
      <c r="B16" s="566"/>
      <c r="C16" s="565"/>
      <c r="D16" s="569"/>
      <c r="E16" s="569"/>
      <c r="F16" s="569"/>
      <c r="G16" s="569"/>
      <c r="H16" s="614"/>
      <c r="I16" s="609"/>
      <c r="J16" s="607"/>
      <c r="K16" s="609"/>
      <c r="L16" s="607"/>
      <c r="M16" s="607"/>
      <c r="N16" s="607"/>
      <c r="O16" s="607"/>
      <c r="P16" s="607"/>
      <c r="Q16" s="607"/>
      <c r="R16" s="607"/>
      <c r="S16" s="607"/>
      <c r="T16" s="607"/>
      <c r="U16" s="607"/>
      <c r="V16" s="607"/>
      <c r="W16" s="607"/>
      <c r="X16" s="609"/>
      <c r="Y16" s="601"/>
      <c r="Z16" s="612"/>
      <c r="AA16" s="612"/>
      <c r="AB16" s="612"/>
      <c r="AC16" s="612"/>
      <c r="AD16" s="612"/>
      <c r="AE16" s="612"/>
      <c r="AF16" s="612"/>
      <c r="AG16" s="612"/>
      <c r="AH16" s="612"/>
      <c r="AI16" s="612"/>
      <c r="AJ16" s="612"/>
      <c r="AK16" s="612"/>
      <c r="AL16" s="612"/>
      <c r="AM16" s="601"/>
      <c r="AN16" s="601"/>
      <c r="AO16" s="601"/>
      <c r="AP16" s="601"/>
      <c r="AQ16" s="601"/>
      <c r="AR16" s="601"/>
      <c r="AS16" s="601"/>
      <c r="AT16" s="565"/>
      <c r="AU16" s="565"/>
      <c r="AV16" s="565"/>
      <c r="AW16" s="565"/>
      <c r="AX16" s="569"/>
      <c r="AY16" s="565"/>
      <c r="AZ16" s="570"/>
      <c r="BA16" s="570"/>
      <c r="BB16" s="536"/>
      <c r="BC16" s="537"/>
      <c r="BD16" s="538"/>
      <c r="BE16" s="706"/>
      <c r="BF16" s="707"/>
      <c r="BG16" s="707"/>
      <c r="BH16" s="707"/>
      <c r="BI16" s="707"/>
      <c r="BJ16" s="707"/>
      <c r="BK16" s="707"/>
      <c r="BL16" s="707"/>
      <c r="BM16" s="707"/>
      <c r="BN16" s="707"/>
      <c r="BO16" s="707"/>
      <c r="BP16" s="707"/>
      <c r="BQ16" s="707"/>
      <c r="BR16" s="707"/>
      <c r="BS16" s="707"/>
      <c r="BT16" s="707"/>
      <c r="BU16" s="708"/>
      <c r="BV16" s="708"/>
      <c r="BW16" s="709"/>
    </row>
    <row r="17" spans="1:72" ht="12.5" customHeight="1">
      <c r="A17" s="540"/>
      <c r="B17" s="541"/>
      <c r="C17" s="538"/>
      <c r="D17" s="538"/>
      <c r="E17" s="538"/>
      <c r="F17" s="539"/>
      <c r="G17" s="544"/>
      <c r="H17" s="617"/>
      <c r="I17" s="617"/>
      <c r="J17" s="617"/>
      <c r="K17" s="617"/>
      <c r="L17" s="617"/>
      <c r="M17" s="617"/>
      <c r="N17" s="617"/>
      <c r="O17" s="617"/>
      <c r="P17" s="617"/>
      <c r="Q17" s="617"/>
      <c r="R17" s="617"/>
      <c r="S17" s="617"/>
      <c r="T17" s="618"/>
      <c r="U17" s="618"/>
      <c r="V17" s="618"/>
      <c r="W17" s="618"/>
      <c r="X17" s="619"/>
      <c r="Y17" s="618"/>
      <c r="Z17" s="618"/>
      <c r="AA17" s="618"/>
      <c r="AB17" s="620"/>
      <c r="AC17" s="618"/>
      <c r="AD17" s="621"/>
      <c r="AE17" s="621"/>
      <c r="AF17" s="621"/>
      <c r="AG17" s="621"/>
      <c r="AH17" s="621"/>
      <c r="AI17" s="617"/>
      <c r="AJ17" s="618"/>
      <c r="AK17" s="618"/>
      <c r="AL17" s="618"/>
      <c r="AM17" s="618"/>
      <c r="AN17" s="622"/>
      <c r="AO17" s="619"/>
      <c r="AP17" s="619"/>
      <c r="AQ17" s="618"/>
      <c r="AR17" s="618"/>
      <c r="AS17" s="618"/>
      <c r="AT17" s="547"/>
      <c r="AU17" s="545"/>
      <c r="AV17" s="548"/>
      <c r="AW17" s="548"/>
      <c r="AX17" s="548"/>
      <c r="AY17" s="542"/>
      <c r="AZ17" s="543"/>
      <c r="BA17" s="543"/>
      <c r="BB17" s="536"/>
      <c r="BC17" s="537"/>
      <c r="BD17" s="538"/>
      <c r="BF17" s="575"/>
      <c r="BG17" s="575"/>
      <c r="BH17" s="592"/>
      <c r="BI17" s="592"/>
      <c r="BJ17" s="592"/>
      <c r="BK17" s="592"/>
      <c r="BL17" s="592"/>
      <c r="BM17" s="592"/>
      <c r="BN17" s="592"/>
      <c r="BO17" s="592"/>
      <c r="BP17" s="592"/>
      <c r="BQ17" s="592"/>
      <c r="BR17" s="592"/>
      <c r="BS17" s="592"/>
      <c r="BT17" s="592"/>
    </row>
    <row r="18" spans="1:72" ht="12.5" customHeight="1">
      <c r="A18" s="540"/>
      <c r="B18" s="566"/>
      <c r="C18" s="565"/>
      <c r="D18" s="567"/>
      <c r="E18" s="567"/>
      <c r="F18" s="567"/>
      <c r="G18" s="565"/>
      <c r="H18" s="617"/>
      <c r="I18" s="631" t="s">
        <v>299</v>
      </c>
      <c r="J18" s="617"/>
      <c r="K18" s="617"/>
      <c r="L18" s="617"/>
      <c r="M18" s="617"/>
      <c r="N18" s="617"/>
      <c r="O18" s="617"/>
      <c r="P18" s="617"/>
      <c r="Q18" s="617"/>
      <c r="R18" s="617"/>
      <c r="S18" s="617"/>
      <c r="T18" s="618"/>
      <c r="U18" s="618"/>
      <c r="V18" s="618"/>
      <c r="W18" s="618"/>
      <c r="X18" s="619"/>
      <c r="Y18" s="618"/>
      <c r="Z18" s="617"/>
      <c r="AA18" s="617"/>
      <c r="AB18" s="617"/>
      <c r="AC18" s="617"/>
      <c r="AD18" s="617"/>
      <c r="AE18" s="617"/>
      <c r="AF18" s="617"/>
      <c r="AG18" s="617"/>
      <c r="AH18" s="617"/>
      <c r="AI18" s="617"/>
      <c r="AJ18" s="617"/>
      <c r="AK18" s="617"/>
      <c r="AL18" s="617"/>
      <c r="AM18" s="617"/>
      <c r="AN18" s="617"/>
      <c r="AO18" s="617"/>
      <c r="AP18" s="617"/>
      <c r="AQ18" s="617"/>
      <c r="AR18" s="617"/>
      <c r="AS18" s="617"/>
      <c r="AT18" s="565"/>
      <c r="AU18" s="565"/>
      <c r="AV18" s="565"/>
      <c r="AW18" s="565"/>
      <c r="AX18" s="569"/>
      <c r="AY18" s="565"/>
      <c r="AZ18" s="570"/>
      <c r="BA18" s="570"/>
      <c r="BB18" s="536"/>
      <c r="BC18" s="537"/>
      <c r="BD18" s="538"/>
      <c r="BE18" s="592"/>
      <c r="BF18" s="575"/>
      <c r="BG18" s="575"/>
      <c r="BH18" s="592"/>
      <c r="BI18" s="592"/>
      <c r="BJ18" s="592"/>
      <c r="BK18" s="592"/>
      <c r="BL18" s="592"/>
      <c r="BM18" s="592"/>
      <c r="BN18" s="592"/>
      <c r="BO18" s="592"/>
      <c r="BP18" s="592"/>
      <c r="BQ18" s="592"/>
      <c r="BR18" s="592"/>
      <c r="BS18" s="592"/>
      <c r="BT18" s="592"/>
    </row>
    <row r="19" spans="1:72" ht="12.5" customHeight="1">
      <c r="A19" s="540"/>
      <c r="B19" s="566"/>
      <c r="C19" s="571"/>
      <c r="D19" s="567"/>
      <c r="E19" s="567"/>
      <c r="F19" s="567"/>
      <c r="G19" s="569"/>
      <c r="H19" s="617"/>
      <c r="I19" s="617" t="s">
        <v>565</v>
      </c>
      <c r="J19" s="624"/>
      <c r="K19" s="623"/>
      <c r="L19" s="623"/>
      <c r="M19" s="623"/>
      <c r="N19" s="623"/>
      <c r="O19" s="623"/>
      <c r="P19" s="623"/>
      <c r="Q19" s="623"/>
      <c r="R19" s="623"/>
      <c r="S19" s="623"/>
      <c r="T19" s="623"/>
      <c r="U19" s="623"/>
      <c r="V19" s="623"/>
      <c r="W19" s="623"/>
      <c r="X19" s="625"/>
      <c r="Y19" s="617"/>
      <c r="Z19" s="617"/>
      <c r="AA19" s="626"/>
      <c r="AB19" s="617"/>
      <c r="AC19" s="627"/>
      <c r="AD19" s="627"/>
      <c r="AE19" s="628"/>
      <c r="AF19" s="627"/>
      <c r="AG19" s="628"/>
      <c r="AH19" s="627"/>
      <c r="AI19" s="629"/>
      <c r="AJ19" s="627"/>
      <c r="AK19" s="628"/>
      <c r="AL19" s="628"/>
      <c r="AM19" s="628"/>
      <c r="AN19" s="628"/>
      <c r="AO19" s="628"/>
      <c r="AP19" s="628"/>
      <c r="AQ19" s="628"/>
      <c r="AR19" s="628"/>
      <c r="AS19" s="628"/>
      <c r="AT19" s="569"/>
      <c r="AU19" s="569"/>
      <c r="AV19" s="569"/>
      <c r="AW19" s="569"/>
      <c r="AX19" s="569"/>
      <c r="AY19" s="565"/>
      <c r="AZ19" s="570"/>
      <c r="BA19" s="570"/>
      <c r="BB19" s="536"/>
      <c r="BC19" s="537"/>
      <c r="BD19" s="538"/>
      <c r="BE19" s="595"/>
      <c r="BF19" s="592"/>
      <c r="BG19" s="592"/>
      <c r="BH19" s="592"/>
      <c r="BI19" s="592"/>
      <c r="BJ19" s="592"/>
      <c r="BK19" s="592"/>
      <c r="BL19" s="592"/>
      <c r="BM19" s="592"/>
      <c r="BN19" s="592"/>
      <c r="BO19" s="592"/>
      <c r="BP19" s="592"/>
      <c r="BQ19" s="592"/>
      <c r="BR19" s="592"/>
      <c r="BS19" s="592"/>
      <c r="BT19" s="592"/>
    </row>
    <row r="20" spans="1:72" s="591" customFormat="1" ht="12.5" customHeight="1">
      <c r="A20" s="540"/>
      <c r="B20" s="566"/>
      <c r="C20" s="573"/>
      <c r="D20" s="569"/>
      <c r="E20" s="569"/>
      <c r="F20" s="569"/>
      <c r="G20" s="569"/>
      <c r="H20" s="630"/>
      <c r="I20" s="625"/>
      <c r="J20" s="623"/>
      <c r="K20" s="625"/>
      <c r="L20" s="623"/>
      <c r="M20" s="623"/>
      <c r="N20" s="623"/>
      <c r="O20" s="623"/>
      <c r="P20" s="623"/>
      <c r="Q20" s="623"/>
      <c r="R20" s="617" t="s">
        <v>367</v>
      </c>
      <c r="S20" s="623"/>
      <c r="T20" s="623"/>
      <c r="U20" s="623"/>
      <c r="V20" s="623"/>
      <c r="W20" s="623"/>
      <c r="X20" s="625"/>
      <c r="Y20" s="617"/>
      <c r="Z20" s="626"/>
      <c r="AA20" s="617"/>
      <c r="AB20" s="626"/>
      <c r="AC20" s="617"/>
      <c r="AD20" s="627"/>
      <c r="AE20" s="627"/>
      <c r="AF20" s="628"/>
      <c r="AG20" s="627"/>
      <c r="AH20" s="627"/>
      <c r="AI20" s="629"/>
      <c r="AJ20" s="627"/>
      <c r="AK20" s="628"/>
      <c r="AL20" s="628"/>
      <c r="AM20" s="628"/>
      <c r="AN20" s="628"/>
      <c r="AO20" s="628"/>
      <c r="AP20" s="628"/>
      <c r="AQ20" s="628"/>
      <c r="AR20" s="628"/>
      <c r="AS20" s="617"/>
      <c r="AT20" s="572"/>
      <c r="AU20" s="565"/>
      <c r="AV20" s="569"/>
      <c r="AW20" s="569"/>
      <c r="AX20" s="569"/>
      <c r="AY20" s="565"/>
      <c r="AZ20" s="570"/>
      <c r="BA20" s="570"/>
      <c r="BB20" s="536"/>
      <c r="BC20" s="537"/>
      <c r="BD20" s="538"/>
      <c r="BE20" s="592"/>
      <c r="BF20" s="592"/>
      <c r="BG20" s="575"/>
      <c r="BH20" s="592"/>
      <c r="BI20" s="592"/>
      <c r="BJ20" s="592"/>
      <c r="BK20" s="592"/>
      <c r="BL20" s="592"/>
      <c r="BM20" s="592"/>
      <c r="BN20" s="592"/>
      <c r="BO20" s="592"/>
      <c r="BP20" s="592"/>
      <c r="BQ20" s="592"/>
      <c r="BR20" s="592"/>
      <c r="BS20" s="592"/>
      <c r="BT20" s="592"/>
    </row>
    <row r="21" spans="1:72" s="591" customFormat="1" ht="12.5" customHeight="1">
      <c r="A21" s="540"/>
      <c r="B21" s="566"/>
      <c r="C21" s="565"/>
      <c r="D21" s="569"/>
      <c r="E21" s="569"/>
      <c r="F21" s="569"/>
      <c r="G21" s="569"/>
      <c r="H21" s="630"/>
      <c r="I21" s="625"/>
      <c r="J21" s="623"/>
      <c r="K21" s="625"/>
      <c r="L21" s="623"/>
      <c r="M21" s="623"/>
      <c r="N21" s="623"/>
      <c r="O21" s="623"/>
      <c r="P21" s="623"/>
      <c r="Q21" s="623"/>
      <c r="R21" s="677" t="s">
        <v>566</v>
      </c>
      <c r="S21" s="623"/>
      <c r="T21" s="623"/>
      <c r="U21" s="623"/>
      <c r="V21" s="623"/>
      <c r="W21" s="623"/>
      <c r="X21" s="625"/>
      <c r="Y21" s="617"/>
      <c r="Z21" s="628"/>
      <c r="AA21" s="628"/>
      <c r="AB21" s="628"/>
      <c r="AC21" s="628"/>
      <c r="AD21" s="628"/>
      <c r="AE21" s="628"/>
      <c r="AF21" s="628"/>
      <c r="AG21" s="628"/>
      <c r="AH21" s="628"/>
      <c r="AI21" s="628"/>
      <c r="AJ21" s="628"/>
      <c r="AK21" s="628"/>
      <c r="AL21" s="628"/>
      <c r="AM21" s="617"/>
      <c r="AN21" s="617"/>
      <c r="AO21" s="617"/>
      <c r="AP21" s="617"/>
      <c r="AQ21" s="617"/>
      <c r="AR21" s="617"/>
      <c r="AS21" s="617"/>
      <c r="AT21" s="565"/>
      <c r="AU21" s="565"/>
      <c r="AV21" s="565"/>
      <c r="AW21" s="565"/>
      <c r="AX21" s="569"/>
      <c r="AY21" s="565"/>
      <c r="AZ21" s="570"/>
      <c r="BA21" s="570"/>
      <c r="BB21" s="536"/>
      <c r="BC21" s="537"/>
      <c r="BD21" s="538"/>
      <c r="BE21" s="592"/>
      <c r="BF21" s="575"/>
      <c r="BG21" s="575"/>
      <c r="BH21" s="592"/>
      <c r="BI21" s="592"/>
      <c r="BJ21" s="592"/>
      <c r="BK21" s="592"/>
      <c r="BL21" s="592"/>
      <c r="BM21" s="592"/>
      <c r="BN21" s="592"/>
      <c r="BO21" s="592"/>
      <c r="BP21" s="592"/>
      <c r="BQ21" s="592"/>
      <c r="BR21" s="592"/>
      <c r="BS21" s="592"/>
      <c r="BT21" s="592"/>
    </row>
    <row r="22" spans="1:72" s="591" customFormat="1" ht="12.5" customHeight="1">
      <c r="A22" s="540"/>
      <c r="B22" s="566"/>
      <c r="C22" s="565"/>
      <c r="D22" s="569"/>
      <c r="E22" s="569"/>
      <c r="F22" s="569"/>
      <c r="G22" s="569"/>
      <c r="H22" s="630"/>
      <c r="I22" s="625"/>
      <c r="J22" s="623"/>
      <c r="K22" s="625"/>
      <c r="L22" s="623"/>
      <c r="M22" s="623"/>
      <c r="N22" s="623"/>
      <c r="O22" s="623"/>
      <c r="P22" s="623"/>
      <c r="Q22" s="623"/>
      <c r="R22" s="633"/>
      <c r="S22" s="623"/>
      <c r="T22" s="623"/>
      <c r="U22" s="623"/>
      <c r="V22" s="623"/>
      <c r="W22" s="623"/>
      <c r="X22" s="625"/>
      <c r="Y22" s="617"/>
      <c r="Z22" s="628"/>
      <c r="AA22" s="628"/>
      <c r="AB22" s="628"/>
      <c r="AC22" s="628"/>
      <c r="AD22" s="628"/>
      <c r="AE22" s="628"/>
      <c r="AF22" s="628"/>
      <c r="AG22" s="628"/>
      <c r="AH22" s="628"/>
      <c r="AI22" s="628"/>
      <c r="AJ22" s="628"/>
      <c r="AK22" s="628"/>
      <c r="AL22" s="628"/>
      <c r="AM22" s="617"/>
      <c r="AN22" s="617"/>
      <c r="AO22" s="617"/>
      <c r="AP22" s="617"/>
      <c r="AQ22" s="617"/>
      <c r="AR22" s="617"/>
      <c r="AS22" s="617"/>
      <c r="AT22" s="565"/>
      <c r="AU22" s="565"/>
      <c r="AV22" s="565"/>
      <c r="AW22" s="565"/>
      <c r="AX22" s="569"/>
      <c r="AY22" s="565"/>
      <c r="AZ22" s="570"/>
      <c r="BA22" s="570"/>
      <c r="BB22" s="536"/>
      <c r="BC22" s="537"/>
      <c r="BD22" s="538"/>
      <c r="BE22" s="592"/>
      <c r="BF22" s="575"/>
      <c r="BG22" s="592"/>
      <c r="BH22" s="592"/>
      <c r="BI22" s="592"/>
      <c r="BJ22" s="592"/>
      <c r="BK22" s="592"/>
      <c r="BL22" s="592"/>
      <c r="BM22" s="592"/>
      <c r="BN22" s="592"/>
      <c r="BO22" s="592"/>
      <c r="BP22" s="592"/>
      <c r="BQ22" s="592"/>
      <c r="BR22" s="592"/>
      <c r="BS22" s="592"/>
      <c r="BT22" s="592"/>
    </row>
    <row r="23" spans="1:72" s="591" customFormat="1" ht="12.5" customHeight="1">
      <c r="A23" s="540"/>
      <c r="B23" s="541"/>
      <c r="C23" s="538"/>
      <c r="D23" s="538"/>
      <c r="E23" s="538"/>
      <c r="F23" s="539"/>
      <c r="G23" s="544"/>
      <c r="H23" s="601"/>
      <c r="I23" s="601"/>
      <c r="J23" s="601"/>
      <c r="K23" s="601"/>
      <c r="L23" s="601"/>
      <c r="M23" s="601"/>
      <c r="N23" s="601"/>
      <c r="O23" s="601"/>
      <c r="P23" s="601"/>
      <c r="Q23" s="601"/>
      <c r="R23" s="601"/>
      <c r="S23" s="601"/>
      <c r="T23" s="602"/>
      <c r="U23" s="602"/>
      <c r="V23" s="602"/>
      <c r="W23" s="602"/>
      <c r="X23" s="603"/>
      <c r="Y23" s="602"/>
      <c r="Z23" s="602"/>
      <c r="AA23" s="602"/>
      <c r="AB23" s="604"/>
      <c r="AC23" s="602"/>
      <c r="AD23" s="605"/>
      <c r="AE23" s="605"/>
      <c r="AF23" s="605"/>
      <c r="AG23" s="605"/>
      <c r="AH23" s="605"/>
      <c r="AI23" s="601"/>
      <c r="AJ23" s="602"/>
      <c r="AK23" s="602"/>
      <c r="AL23" s="602"/>
      <c r="AM23" s="602"/>
      <c r="AN23" s="606"/>
      <c r="AO23" s="603"/>
      <c r="AP23" s="603"/>
      <c r="AQ23" s="602"/>
      <c r="AR23" s="602"/>
      <c r="AS23" s="602"/>
      <c r="AT23" s="547"/>
      <c r="AU23" s="545"/>
      <c r="AV23" s="548"/>
      <c r="AW23" s="548"/>
      <c r="AX23" s="548"/>
      <c r="AY23" s="542"/>
      <c r="AZ23" s="543"/>
      <c r="BA23" s="543"/>
      <c r="BB23" s="536"/>
      <c r="BC23" s="537"/>
      <c r="BD23" s="538"/>
      <c r="BE23" s="595"/>
      <c r="BF23" s="592"/>
      <c r="BG23" s="592"/>
      <c r="BH23" s="592"/>
      <c r="BI23" s="592"/>
      <c r="BJ23" s="592"/>
      <c r="BK23" s="592"/>
      <c r="BL23" s="592"/>
      <c r="BM23" s="592"/>
      <c r="BN23" s="592"/>
      <c r="BO23" s="592"/>
      <c r="BP23" s="592"/>
      <c r="BQ23" s="592"/>
      <c r="BR23" s="592"/>
      <c r="BS23" s="592"/>
      <c r="BT23" s="592"/>
    </row>
    <row r="24" spans="1:72" s="591" customFormat="1" ht="12.5" customHeight="1">
      <c r="A24" s="540"/>
      <c r="B24" s="566"/>
      <c r="C24" s="565"/>
      <c r="D24" s="567"/>
      <c r="E24" s="567"/>
      <c r="F24" s="567"/>
      <c r="G24" s="565"/>
      <c r="H24" s="601"/>
      <c r="I24" s="615" t="s">
        <v>368</v>
      </c>
      <c r="J24" s="601"/>
      <c r="K24" s="601"/>
      <c r="L24" s="601"/>
      <c r="M24" s="601"/>
      <c r="N24" s="601"/>
      <c r="O24" s="601"/>
      <c r="P24" s="601"/>
      <c r="Q24" s="601"/>
      <c r="R24" s="601"/>
      <c r="S24" s="601"/>
      <c r="T24" s="602"/>
      <c r="U24" s="602"/>
      <c r="V24" s="602"/>
      <c r="W24" s="602"/>
      <c r="X24" s="603"/>
      <c r="Y24" s="602"/>
      <c r="Z24" s="601"/>
      <c r="AA24" s="601"/>
      <c r="AB24" s="601"/>
      <c r="AC24" s="601"/>
      <c r="AD24" s="601"/>
      <c r="AE24" s="601"/>
      <c r="AF24" s="601"/>
      <c r="AG24" s="601"/>
      <c r="AH24" s="601"/>
      <c r="AI24" s="601"/>
      <c r="AJ24" s="601"/>
      <c r="AK24" s="601"/>
      <c r="AL24" s="601"/>
      <c r="AM24" s="601"/>
      <c r="AN24" s="601"/>
      <c r="AO24" s="601"/>
      <c r="AP24" s="601"/>
      <c r="AQ24" s="601"/>
      <c r="AR24" s="601"/>
      <c r="AS24" s="601"/>
      <c r="AT24" s="565"/>
      <c r="AU24" s="565"/>
      <c r="AV24" s="565"/>
      <c r="AW24" s="565"/>
      <c r="AX24" s="569"/>
      <c r="AY24" s="565"/>
      <c r="AZ24" s="570"/>
      <c r="BA24" s="570"/>
      <c r="BB24" s="536"/>
      <c r="BC24" s="537"/>
      <c r="BD24" s="538"/>
      <c r="BE24" s="592"/>
      <c r="BF24" s="592"/>
      <c r="BG24" s="592"/>
      <c r="BH24" s="592"/>
      <c r="BI24" s="592"/>
      <c r="BJ24" s="592"/>
      <c r="BK24" s="592"/>
      <c r="BL24" s="592"/>
      <c r="BM24" s="592"/>
      <c r="BN24" s="592"/>
      <c r="BO24" s="592"/>
      <c r="BP24" s="592"/>
      <c r="BQ24" s="592"/>
      <c r="BR24" s="592"/>
      <c r="BS24" s="592"/>
      <c r="BT24" s="592"/>
    </row>
    <row r="25" spans="1:72" s="591" customFormat="1" ht="12.5" customHeight="1">
      <c r="A25" s="540"/>
      <c r="B25" s="566"/>
      <c r="C25" s="571"/>
      <c r="D25" s="567"/>
      <c r="E25" s="567"/>
      <c r="F25" s="567"/>
      <c r="G25" s="569"/>
      <c r="H25" s="601"/>
      <c r="I25" s="601" t="s">
        <v>547</v>
      </c>
      <c r="J25" s="608"/>
      <c r="K25" s="607"/>
      <c r="L25" s="607"/>
      <c r="M25" s="607"/>
      <c r="N25" s="607"/>
      <c r="O25" s="607"/>
      <c r="P25" s="607"/>
      <c r="Q25" s="607"/>
      <c r="R25" s="607"/>
      <c r="S25" s="607"/>
      <c r="T25" s="607"/>
      <c r="U25" s="607"/>
      <c r="V25" s="607"/>
      <c r="W25" s="607"/>
      <c r="X25" s="609"/>
      <c r="Y25" s="601"/>
      <c r="Z25" s="601"/>
      <c r="AA25" s="610"/>
      <c r="AB25" s="601"/>
      <c r="AC25" s="611"/>
      <c r="AD25" s="611"/>
      <c r="AE25" s="612"/>
      <c r="AF25" s="611"/>
      <c r="AG25" s="612"/>
      <c r="AH25" s="611"/>
      <c r="AI25" s="613"/>
      <c r="AJ25" s="611"/>
      <c r="AK25" s="612"/>
      <c r="AL25" s="612"/>
      <c r="AM25" s="612"/>
      <c r="AN25" s="612"/>
      <c r="AO25" s="612"/>
      <c r="AP25" s="612"/>
      <c r="AQ25" s="612"/>
      <c r="AR25" s="612"/>
      <c r="AS25" s="612"/>
      <c r="AT25" s="569"/>
      <c r="AU25" s="569"/>
      <c r="AV25" s="569"/>
      <c r="AW25" s="569"/>
      <c r="AX25" s="569"/>
      <c r="AY25" s="565"/>
      <c r="AZ25" s="570"/>
      <c r="BA25" s="570"/>
      <c r="BB25" s="536"/>
      <c r="BC25" s="537"/>
      <c r="BD25" s="538"/>
      <c r="BE25" s="592"/>
      <c r="BF25" s="592"/>
      <c r="BG25" s="592"/>
      <c r="BH25" s="592"/>
      <c r="BI25" s="592"/>
      <c r="BJ25" s="592"/>
      <c r="BK25" s="592"/>
      <c r="BL25" s="592"/>
      <c r="BM25" s="592"/>
      <c r="BN25" s="592"/>
      <c r="BO25" s="592"/>
      <c r="BP25" s="592"/>
      <c r="BQ25" s="592"/>
      <c r="BR25" s="592"/>
      <c r="BS25" s="592"/>
      <c r="BT25" s="592"/>
    </row>
    <row r="26" spans="1:72" s="591" customFormat="1" ht="12.5" customHeight="1">
      <c r="A26" s="540"/>
      <c r="B26" s="566"/>
      <c r="C26" s="573"/>
      <c r="D26" s="569"/>
      <c r="E26" s="569"/>
      <c r="F26" s="569"/>
      <c r="G26" s="569"/>
      <c r="H26" s="614"/>
      <c r="I26" s="609"/>
      <c r="J26" s="607"/>
      <c r="K26" s="609"/>
      <c r="L26" s="607"/>
      <c r="M26" s="607"/>
      <c r="N26" s="607"/>
      <c r="O26" s="607"/>
      <c r="P26" s="607"/>
      <c r="Q26" s="607"/>
      <c r="R26" s="607"/>
      <c r="S26" s="607"/>
      <c r="T26" s="607"/>
      <c r="U26" s="607"/>
      <c r="V26" s="607"/>
      <c r="W26" s="607"/>
      <c r="X26" s="609"/>
      <c r="Y26" s="601"/>
      <c r="Z26" s="610"/>
      <c r="AA26" s="601"/>
      <c r="AB26" s="610"/>
      <c r="AC26" s="601"/>
      <c r="AD26" s="611"/>
      <c r="AE26" s="611"/>
      <c r="AF26" s="612"/>
      <c r="AG26" s="611"/>
      <c r="AH26" s="611"/>
      <c r="AI26" s="613"/>
      <c r="AJ26" s="611"/>
      <c r="AK26" s="612"/>
      <c r="AL26" s="612"/>
      <c r="AM26" s="612"/>
      <c r="AN26" s="612"/>
      <c r="AO26" s="612"/>
      <c r="AP26" s="612"/>
      <c r="AQ26" s="612"/>
      <c r="AR26" s="612"/>
      <c r="AS26" s="601"/>
      <c r="AT26" s="572"/>
      <c r="AU26" s="565"/>
      <c r="AV26" s="569"/>
      <c r="AW26" s="569"/>
      <c r="AX26" s="569"/>
      <c r="AY26" s="565"/>
      <c r="AZ26" s="570"/>
      <c r="BA26" s="570"/>
      <c r="BB26" s="536"/>
      <c r="BC26" s="537"/>
      <c r="BD26" s="538"/>
      <c r="BE26" s="592"/>
      <c r="BF26" s="592"/>
      <c r="BG26" s="592"/>
      <c r="BH26" s="592"/>
      <c r="BI26" s="592"/>
      <c r="BJ26" s="592"/>
      <c r="BK26" s="592"/>
      <c r="BL26" s="592"/>
      <c r="BM26" s="592"/>
      <c r="BN26" s="592"/>
      <c r="BO26" s="592"/>
      <c r="BP26" s="592"/>
      <c r="BQ26" s="592"/>
      <c r="BR26" s="592"/>
      <c r="BS26" s="592"/>
      <c r="BT26" s="592"/>
    </row>
    <row r="27" spans="1:72" s="591" customFormat="1" ht="12.5" customHeight="1">
      <c r="A27" s="540"/>
      <c r="B27" s="566"/>
      <c r="C27" s="565"/>
      <c r="D27" s="569"/>
      <c r="E27" s="569"/>
      <c r="F27" s="569"/>
      <c r="G27" s="569"/>
      <c r="H27" s="614"/>
      <c r="I27" s="609"/>
      <c r="J27" s="607"/>
      <c r="K27" s="609"/>
      <c r="L27" s="607"/>
      <c r="M27" s="607"/>
      <c r="N27" s="607"/>
      <c r="O27" s="607"/>
      <c r="P27" s="607"/>
      <c r="Q27" s="607"/>
      <c r="R27" s="607"/>
      <c r="S27" s="607"/>
      <c r="T27" s="607"/>
      <c r="U27" s="607"/>
      <c r="V27" s="607"/>
      <c r="W27" s="607"/>
      <c r="X27" s="609"/>
      <c r="Y27" s="601"/>
      <c r="Z27" s="612"/>
      <c r="AA27" s="612"/>
      <c r="AB27" s="612"/>
      <c r="AC27" s="612"/>
      <c r="AD27" s="612"/>
      <c r="AE27" s="612"/>
      <c r="AF27" s="612"/>
      <c r="AG27" s="612"/>
      <c r="AH27" s="612"/>
      <c r="AI27" s="612"/>
      <c r="AJ27" s="612"/>
      <c r="AK27" s="612"/>
      <c r="AL27" s="612"/>
      <c r="AM27" s="601"/>
      <c r="AN27" s="601"/>
      <c r="AO27" s="601"/>
      <c r="AP27" s="601"/>
      <c r="AQ27" s="601"/>
      <c r="AR27" s="601"/>
      <c r="AS27" s="601"/>
      <c r="AT27" s="565"/>
      <c r="AU27" s="565"/>
      <c r="AV27" s="565"/>
      <c r="AW27" s="565"/>
      <c r="AX27" s="569"/>
      <c r="AY27" s="565"/>
      <c r="AZ27" s="570"/>
      <c r="BA27" s="570"/>
      <c r="BB27" s="536"/>
      <c r="BC27" s="537"/>
      <c r="BD27" s="538"/>
      <c r="BE27" s="592"/>
      <c r="BF27" s="592"/>
      <c r="BG27" s="592"/>
      <c r="BH27" s="592"/>
      <c r="BI27" s="592"/>
      <c r="BJ27" s="592"/>
      <c r="BK27" s="592"/>
      <c r="BL27" s="592"/>
      <c r="BM27" s="592"/>
      <c r="BN27" s="592"/>
      <c r="BO27" s="592"/>
      <c r="BP27" s="592"/>
      <c r="BQ27" s="592"/>
      <c r="BR27" s="592"/>
      <c r="BS27" s="592"/>
      <c r="BT27" s="592"/>
    </row>
    <row r="28" spans="1:72" s="591" customFormat="1" ht="12.5" customHeight="1">
      <c r="A28" s="540"/>
      <c r="B28" s="566"/>
      <c r="C28" s="565"/>
      <c r="D28" s="569"/>
      <c r="E28" s="569"/>
      <c r="F28" s="569"/>
      <c r="G28" s="569"/>
      <c r="H28" s="614"/>
      <c r="I28" s="609"/>
      <c r="J28" s="607"/>
      <c r="K28" s="609"/>
      <c r="L28" s="607"/>
      <c r="M28" s="607"/>
      <c r="N28" s="607"/>
      <c r="O28" s="607"/>
      <c r="P28" s="607"/>
      <c r="Q28" s="607"/>
      <c r="R28" s="607"/>
      <c r="S28" s="607"/>
      <c r="T28" s="607"/>
      <c r="U28" s="607"/>
      <c r="V28" s="607"/>
      <c r="W28" s="607"/>
      <c r="X28" s="609"/>
      <c r="Y28" s="601"/>
      <c r="Z28" s="612"/>
      <c r="AA28" s="612"/>
      <c r="AB28" s="612"/>
      <c r="AC28" s="612"/>
      <c r="AD28" s="612"/>
      <c r="AE28" s="612"/>
      <c r="AF28" s="612"/>
      <c r="AG28" s="612"/>
      <c r="AH28" s="612"/>
      <c r="AI28" s="612"/>
      <c r="AJ28" s="612"/>
      <c r="AK28" s="612"/>
      <c r="AL28" s="612"/>
      <c r="AM28" s="601"/>
      <c r="AN28" s="601"/>
      <c r="AO28" s="601"/>
      <c r="AP28" s="601"/>
      <c r="AQ28" s="601"/>
      <c r="AR28" s="601"/>
      <c r="AS28" s="601"/>
      <c r="AT28" s="565"/>
      <c r="AU28" s="565"/>
      <c r="AV28" s="565"/>
      <c r="AW28" s="565"/>
      <c r="AX28" s="569"/>
      <c r="AY28" s="565"/>
      <c r="AZ28" s="570"/>
      <c r="BA28" s="570"/>
      <c r="BB28" s="536"/>
      <c r="BC28" s="537"/>
      <c r="BD28" s="538"/>
      <c r="BE28" s="592"/>
      <c r="BF28" s="592"/>
      <c r="BG28" s="592"/>
      <c r="BH28" s="592"/>
      <c r="BI28" s="592"/>
      <c r="BJ28" s="592"/>
      <c r="BK28" s="592"/>
      <c r="BL28" s="592"/>
      <c r="BM28" s="592"/>
      <c r="BN28" s="592"/>
      <c r="BO28" s="592"/>
      <c r="BP28" s="592"/>
      <c r="BQ28" s="592"/>
      <c r="BR28" s="592"/>
      <c r="BS28" s="592"/>
      <c r="BT28" s="592"/>
    </row>
    <row r="29" spans="1:72" s="591" customFormat="1" ht="12.5" customHeight="1">
      <c r="A29" s="540"/>
      <c r="B29" s="566"/>
      <c r="C29" s="565"/>
      <c r="D29" s="569"/>
      <c r="E29" s="569"/>
      <c r="F29" s="569"/>
      <c r="G29" s="569"/>
      <c r="H29" s="614"/>
      <c r="I29" s="609"/>
      <c r="J29" s="607"/>
      <c r="K29" s="609"/>
      <c r="L29" s="607"/>
      <c r="M29" s="607"/>
      <c r="N29" s="607"/>
      <c r="O29" s="607"/>
      <c r="P29" s="607"/>
      <c r="Q29" s="607"/>
      <c r="R29" s="607"/>
      <c r="S29" s="607"/>
      <c r="T29" s="607"/>
      <c r="U29" s="607"/>
      <c r="V29" s="607"/>
      <c r="W29" s="607"/>
      <c r="X29" s="609"/>
      <c r="Y29" s="601"/>
      <c r="Z29" s="612"/>
      <c r="AA29" s="612"/>
      <c r="AB29" s="612"/>
      <c r="AC29" s="612"/>
      <c r="AD29" s="612"/>
      <c r="AE29" s="612"/>
      <c r="AF29" s="612"/>
      <c r="AG29" s="612"/>
      <c r="AH29" s="612"/>
      <c r="AI29" s="612"/>
      <c r="AJ29" s="612"/>
      <c r="AK29" s="612"/>
      <c r="AL29" s="612"/>
      <c r="AM29" s="601"/>
      <c r="AN29" s="601"/>
      <c r="AO29" s="601"/>
      <c r="AP29" s="601"/>
      <c r="AQ29" s="601"/>
      <c r="AR29" s="601"/>
      <c r="AS29" s="601"/>
      <c r="AT29" s="565"/>
      <c r="AU29" s="565"/>
      <c r="AV29" s="565"/>
      <c r="AW29" s="565"/>
      <c r="AX29" s="569"/>
      <c r="AY29" s="565"/>
      <c r="AZ29" s="570"/>
      <c r="BA29" s="570"/>
      <c r="BB29" s="536"/>
      <c r="BC29" s="537"/>
      <c r="BD29" s="538"/>
      <c r="BE29" s="592"/>
      <c r="BF29" s="592"/>
      <c r="BG29" s="592"/>
      <c r="BH29" s="592"/>
      <c r="BI29" s="592"/>
      <c r="BJ29" s="592"/>
      <c r="BK29" s="592"/>
      <c r="BL29" s="592"/>
      <c r="BM29" s="592"/>
      <c r="BN29" s="592"/>
      <c r="BO29" s="592"/>
      <c r="BP29" s="592"/>
      <c r="BQ29" s="592"/>
      <c r="BR29" s="592"/>
      <c r="BS29" s="592"/>
      <c r="BT29" s="592"/>
    </row>
    <row r="30" spans="1:72" s="591" customFormat="1" ht="12.5" customHeight="1">
      <c r="A30" s="540"/>
      <c r="B30" s="566"/>
      <c r="C30" s="565"/>
      <c r="D30" s="569"/>
      <c r="E30" s="569"/>
      <c r="F30" s="569"/>
      <c r="G30" s="569"/>
      <c r="H30" s="614"/>
      <c r="I30" s="609"/>
      <c r="J30" s="607"/>
      <c r="K30" s="609"/>
      <c r="L30" s="607"/>
      <c r="M30" s="607"/>
      <c r="N30" s="607"/>
      <c r="O30" s="607"/>
      <c r="P30" s="607"/>
      <c r="Q30" s="607"/>
      <c r="R30" s="607"/>
      <c r="S30" s="607"/>
      <c r="T30" s="607"/>
      <c r="U30" s="607"/>
      <c r="V30" s="607"/>
      <c r="W30" s="607"/>
      <c r="X30" s="609"/>
      <c r="Y30" s="601"/>
      <c r="Z30" s="612"/>
      <c r="AA30" s="612"/>
      <c r="AB30" s="612"/>
      <c r="AC30" s="612"/>
      <c r="AD30" s="612"/>
      <c r="AE30" s="612"/>
      <c r="AF30" s="612"/>
      <c r="AG30" s="612"/>
      <c r="AH30" s="612"/>
      <c r="AI30" s="612"/>
      <c r="AJ30" s="612"/>
      <c r="AK30" s="612"/>
      <c r="AL30" s="612"/>
      <c r="AM30" s="601"/>
      <c r="AN30" s="601"/>
      <c r="AO30" s="601"/>
      <c r="AP30" s="601"/>
      <c r="AQ30" s="601"/>
      <c r="AR30" s="601"/>
      <c r="AS30" s="601"/>
      <c r="AT30" s="565"/>
      <c r="AU30" s="565"/>
      <c r="AV30" s="565"/>
      <c r="AW30" s="565"/>
      <c r="AX30" s="569"/>
      <c r="AY30" s="565"/>
      <c r="AZ30" s="570"/>
      <c r="BA30" s="570"/>
      <c r="BB30" s="536"/>
      <c r="BC30" s="537"/>
      <c r="BD30" s="538"/>
      <c r="BE30" s="592"/>
      <c r="BF30" s="592"/>
      <c r="BG30" s="575"/>
      <c r="BH30" s="592"/>
      <c r="BI30" s="592"/>
      <c r="BJ30" s="592"/>
      <c r="BK30" s="592"/>
      <c r="BL30" s="592"/>
      <c r="BM30" s="592"/>
      <c r="BN30" s="592"/>
      <c r="BO30" s="592"/>
      <c r="BP30" s="592"/>
      <c r="BQ30" s="592"/>
      <c r="BR30" s="592"/>
      <c r="BS30" s="592"/>
      <c r="BT30" s="592"/>
    </row>
    <row r="31" spans="1:72" s="591" customFormat="1" ht="12.5" customHeight="1">
      <c r="A31" s="540"/>
      <c r="B31" s="566"/>
      <c r="C31" s="565"/>
      <c r="D31" s="569"/>
      <c r="E31" s="569"/>
      <c r="F31" s="569"/>
      <c r="G31" s="569"/>
      <c r="H31" s="614"/>
      <c r="I31" s="609"/>
      <c r="J31" s="607"/>
      <c r="K31" s="609"/>
      <c r="L31" s="607"/>
      <c r="M31" s="607"/>
      <c r="N31" s="607"/>
      <c r="O31" s="607"/>
      <c r="P31" s="607"/>
      <c r="Q31" s="607"/>
      <c r="R31" s="607"/>
      <c r="S31" s="607"/>
      <c r="T31" s="607"/>
      <c r="U31" s="607"/>
      <c r="V31" s="607"/>
      <c r="W31" s="607"/>
      <c r="X31" s="609"/>
      <c r="Y31" s="601"/>
      <c r="Z31" s="612"/>
      <c r="AA31" s="612"/>
      <c r="AB31" s="612"/>
      <c r="AC31" s="612"/>
      <c r="AD31" s="612"/>
      <c r="AE31" s="612"/>
      <c r="AF31" s="612"/>
      <c r="AG31" s="612"/>
      <c r="AH31" s="612"/>
      <c r="AI31" s="612"/>
      <c r="AJ31" s="612"/>
      <c r="AK31" s="612"/>
      <c r="AL31" s="612"/>
      <c r="AM31" s="601"/>
      <c r="AN31" s="601"/>
      <c r="AO31" s="601"/>
      <c r="AP31" s="601"/>
      <c r="AQ31" s="601"/>
      <c r="AR31" s="601"/>
      <c r="AS31" s="601"/>
      <c r="AT31" s="565"/>
      <c r="AU31" s="565"/>
      <c r="AV31" s="565"/>
      <c r="AW31" s="565"/>
      <c r="AX31" s="569"/>
      <c r="AY31" s="565"/>
      <c r="AZ31" s="570"/>
      <c r="BA31" s="570"/>
      <c r="BB31" s="536"/>
      <c r="BC31" s="537"/>
      <c r="BD31" s="538"/>
      <c r="BE31" s="592"/>
      <c r="BF31" s="592"/>
      <c r="BG31" s="575"/>
      <c r="BH31" s="592"/>
      <c r="BI31" s="592"/>
      <c r="BJ31" s="592"/>
      <c r="BK31" s="592"/>
      <c r="BL31" s="592"/>
      <c r="BM31" s="592"/>
      <c r="BN31" s="592"/>
      <c r="BO31" s="592"/>
      <c r="BP31" s="592"/>
      <c r="BQ31" s="592"/>
      <c r="BR31" s="592"/>
      <c r="BS31" s="592"/>
      <c r="BT31" s="592"/>
    </row>
    <row r="32" spans="1:72" s="591" customFormat="1" ht="12.5" customHeight="1">
      <c r="A32" s="540"/>
      <c r="B32" s="566"/>
      <c r="C32" s="565"/>
      <c r="D32" s="569"/>
      <c r="E32" s="569"/>
      <c r="F32" s="569"/>
      <c r="G32" s="569"/>
      <c r="H32" s="614"/>
      <c r="I32" s="609"/>
      <c r="J32" s="607"/>
      <c r="K32" s="609"/>
      <c r="L32" s="607"/>
      <c r="M32" s="607"/>
      <c r="N32" s="607"/>
      <c r="O32" s="607"/>
      <c r="P32" s="607"/>
      <c r="Q32" s="607"/>
      <c r="R32" s="607"/>
      <c r="S32" s="607"/>
      <c r="T32" s="607"/>
      <c r="U32" s="607"/>
      <c r="V32" s="607"/>
      <c r="W32" s="607"/>
      <c r="X32" s="609"/>
      <c r="Y32" s="601"/>
      <c r="Z32" s="612"/>
      <c r="AA32" s="612"/>
      <c r="AB32" s="612"/>
      <c r="AC32" s="612"/>
      <c r="AD32" s="612"/>
      <c r="AE32" s="612"/>
      <c r="AF32" s="612"/>
      <c r="AG32" s="612"/>
      <c r="AH32" s="612"/>
      <c r="AI32" s="612"/>
      <c r="AJ32" s="612"/>
      <c r="AK32" s="612"/>
      <c r="AL32" s="612"/>
      <c r="AM32" s="601"/>
      <c r="AN32" s="601"/>
      <c r="AO32" s="601"/>
      <c r="AP32" s="601"/>
      <c r="AQ32" s="601"/>
      <c r="AR32" s="601"/>
      <c r="AS32" s="601"/>
      <c r="AT32" s="565"/>
      <c r="AU32" s="565"/>
      <c r="AV32" s="565"/>
      <c r="AW32" s="565"/>
      <c r="AX32" s="569"/>
      <c r="AY32" s="565"/>
      <c r="AZ32" s="570"/>
      <c r="BA32" s="570"/>
      <c r="BB32" s="536"/>
      <c r="BC32" s="537"/>
      <c r="BD32" s="538"/>
      <c r="BE32" s="592"/>
      <c r="BF32" s="592"/>
      <c r="BG32" s="592"/>
      <c r="BH32" s="592"/>
      <c r="BI32" s="592"/>
      <c r="BJ32" s="592"/>
      <c r="BK32" s="592"/>
      <c r="BL32" s="592"/>
      <c r="BM32" s="592"/>
      <c r="BN32" s="592"/>
      <c r="BO32" s="592"/>
      <c r="BP32" s="592"/>
      <c r="BQ32" s="592"/>
      <c r="BR32" s="592"/>
      <c r="BS32" s="592"/>
      <c r="BT32" s="592"/>
    </row>
    <row r="33" spans="1:72" s="591" customFormat="1" ht="12.5" customHeight="1">
      <c r="A33" s="540"/>
      <c r="B33" s="566"/>
      <c r="C33" s="565"/>
      <c r="D33" s="569"/>
      <c r="E33" s="569"/>
      <c r="F33" s="569"/>
      <c r="G33" s="569"/>
      <c r="H33" s="614"/>
      <c r="I33" s="609"/>
      <c r="J33" s="607"/>
      <c r="K33" s="609"/>
      <c r="L33" s="607"/>
      <c r="M33" s="607"/>
      <c r="N33" s="607"/>
      <c r="O33" s="607"/>
      <c r="P33" s="607"/>
      <c r="Q33" s="607"/>
      <c r="R33" s="632" t="s">
        <v>369</v>
      </c>
      <c r="S33" s="607"/>
      <c r="T33" s="607"/>
      <c r="U33" s="607"/>
      <c r="V33" s="607"/>
      <c r="W33" s="607"/>
      <c r="X33" s="609"/>
      <c r="Y33" s="601"/>
      <c r="Z33" s="612"/>
      <c r="AA33" s="612"/>
      <c r="AB33" s="612"/>
      <c r="AC33" s="612"/>
      <c r="AD33" s="612"/>
      <c r="AE33" s="612"/>
      <c r="AF33" s="612"/>
      <c r="AG33" s="612"/>
      <c r="AH33" s="612"/>
      <c r="AI33" s="612"/>
      <c r="AJ33" s="612"/>
      <c r="AK33" s="612"/>
      <c r="AL33" s="612"/>
      <c r="AM33" s="601"/>
      <c r="AN33" s="601"/>
      <c r="AO33" s="601"/>
      <c r="AP33" s="601"/>
      <c r="AQ33" s="601"/>
      <c r="AR33" s="601"/>
      <c r="AS33" s="601"/>
      <c r="AT33" s="565"/>
      <c r="AU33" s="565"/>
      <c r="AV33" s="565"/>
      <c r="AW33" s="565"/>
      <c r="AX33" s="569"/>
      <c r="AY33" s="565"/>
      <c r="AZ33" s="570"/>
      <c r="BA33" s="570"/>
      <c r="BB33" s="536"/>
      <c r="BC33" s="537"/>
      <c r="BD33" s="538"/>
      <c r="BE33" s="592"/>
      <c r="BF33" s="575"/>
      <c r="BG33" s="592"/>
      <c r="BH33" s="592"/>
      <c r="BI33" s="592"/>
      <c r="BJ33" s="592"/>
      <c r="BK33" s="592"/>
      <c r="BL33" s="592"/>
      <c r="BM33" s="592"/>
      <c r="BN33" s="592"/>
      <c r="BO33" s="592"/>
      <c r="BP33" s="592"/>
      <c r="BQ33" s="592"/>
      <c r="BR33" s="592"/>
      <c r="BS33" s="592"/>
      <c r="BT33" s="592"/>
    </row>
    <row r="34" spans="1:72" s="591" customFormat="1" ht="12.5" customHeight="1">
      <c r="A34" s="540"/>
      <c r="B34" s="566"/>
      <c r="C34" s="565"/>
      <c r="D34" s="569"/>
      <c r="E34" s="569"/>
      <c r="F34" s="569"/>
      <c r="G34" s="569"/>
      <c r="H34" s="614"/>
      <c r="I34" s="609"/>
      <c r="J34" s="607"/>
      <c r="K34" s="609"/>
      <c r="L34" s="607"/>
      <c r="M34" s="607"/>
      <c r="N34" s="607"/>
      <c r="O34" s="607"/>
      <c r="P34" s="607"/>
      <c r="Q34" s="607"/>
      <c r="R34" s="632" t="s">
        <v>567</v>
      </c>
      <c r="S34" s="607"/>
      <c r="T34" s="607"/>
      <c r="U34" s="607"/>
      <c r="V34" s="607"/>
      <c r="W34" s="607"/>
      <c r="X34" s="609"/>
      <c r="Y34" s="601"/>
      <c r="Z34" s="612"/>
      <c r="AA34" s="612"/>
      <c r="AB34" s="612"/>
      <c r="AC34" s="612"/>
      <c r="AD34" s="612"/>
      <c r="AE34" s="612"/>
      <c r="AF34" s="612"/>
      <c r="AG34" s="612"/>
      <c r="AH34" s="612"/>
      <c r="AI34" s="612"/>
      <c r="AJ34" s="612"/>
      <c r="AK34" s="612"/>
      <c r="AL34" s="612"/>
      <c r="AM34" s="601"/>
      <c r="AN34" s="601"/>
      <c r="AO34" s="601"/>
      <c r="AP34" s="601"/>
      <c r="AQ34" s="601"/>
      <c r="AR34" s="601"/>
      <c r="AS34" s="601"/>
      <c r="AT34" s="565"/>
      <c r="AU34" s="565"/>
      <c r="AV34" s="565"/>
      <c r="AW34" s="565"/>
      <c r="AX34" s="569"/>
      <c r="AY34" s="565"/>
      <c r="AZ34" s="570"/>
      <c r="BA34" s="570"/>
      <c r="BB34" s="536"/>
      <c r="BC34" s="537"/>
      <c r="BD34" s="538"/>
      <c r="BE34" s="592"/>
      <c r="BF34" s="575"/>
      <c r="BG34" s="575"/>
      <c r="BH34" s="592"/>
      <c r="BI34" s="592"/>
      <c r="BJ34" s="592"/>
      <c r="BK34" s="592"/>
      <c r="BL34" s="592"/>
      <c r="BM34" s="592"/>
      <c r="BN34" s="592"/>
      <c r="BO34" s="592"/>
      <c r="BP34" s="592"/>
      <c r="BQ34" s="592"/>
      <c r="BR34" s="592"/>
      <c r="BS34" s="592"/>
      <c r="BT34" s="592"/>
    </row>
    <row r="35" spans="1:72" s="591" customFormat="1" ht="12.5" customHeight="1">
      <c r="A35" s="540"/>
      <c r="B35" s="566"/>
      <c r="C35" s="565"/>
      <c r="D35" s="569"/>
      <c r="E35" s="569"/>
      <c r="F35" s="569"/>
      <c r="G35" s="569"/>
      <c r="H35" s="614"/>
      <c r="I35" s="609"/>
      <c r="J35" s="607"/>
      <c r="K35" s="609"/>
      <c r="L35" s="607"/>
      <c r="M35" s="607"/>
      <c r="N35" s="607"/>
      <c r="O35" s="607"/>
      <c r="P35" s="607"/>
      <c r="Q35" s="607"/>
      <c r="R35" s="632" t="s">
        <v>370</v>
      </c>
      <c r="S35" s="607"/>
      <c r="T35" s="607"/>
      <c r="U35" s="607"/>
      <c r="V35" s="607"/>
      <c r="W35" s="607"/>
      <c r="X35" s="609"/>
      <c r="Y35" s="601"/>
      <c r="Z35" s="612"/>
      <c r="AA35" s="612"/>
      <c r="AB35" s="612"/>
      <c r="AC35" s="612"/>
      <c r="AD35" s="612"/>
      <c r="AE35" s="612"/>
      <c r="AF35" s="612"/>
      <c r="AG35" s="612"/>
      <c r="AH35" s="612"/>
      <c r="AI35" s="612"/>
      <c r="AJ35" s="612"/>
      <c r="AK35" s="612"/>
      <c r="AL35" s="612"/>
      <c r="AM35" s="601"/>
      <c r="AN35" s="601"/>
      <c r="AO35" s="601"/>
      <c r="AP35" s="601"/>
      <c r="AQ35" s="601"/>
      <c r="AR35" s="601"/>
      <c r="AS35" s="601"/>
      <c r="AT35" s="565"/>
      <c r="AU35" s="565"/>
      <c r="AV35" s="565"/>
      <c r="AW35" s="565"/>
      <c r="AX35" s="569"/>
      <c r="AY35" s="565"/>
      <c r="AZ35" s="570"/>
      <c r="BA35" s="570"/>
      <c r="BB35" s="536"/>
      <c r="BC35" s="537"/>
      <c r="BD35" s="538"/>
      <c r="BE35" s="595"/>
      <c r="BF35" s="592"/>
      <c r="BG35" s="592"/>
      <c r="BH35" s="592"/>
      <c r="BI35" s="592"/>
      <c r="BJ35" s="592"/>
      <c r="BK35" s="592"/>
      <c r="BL35" s="592"/>
      <c r="BM35" s="592"/>
      <c r="BN35" s="592"/>
      <c r="BO35" s="592"/>
      <c r="BP35" s="592"/>
      <c r="BQ35" s="592"/>
      <c r="BR35" s="592"/>
      <c r="BS35" s="592"/>
      <c r="BT35" s="592"/>
    </row>
    <row r="36" spans="1:72" s="591" customFormat="1" ht="12.5" customHeight="1">
      <c r="A36" s="540"/>
      <c r="B36" s="566"/>
      <c r="C36" s="565"/>
      <c r="D36" s="569"/>
      <c r="E36" s="569"/>
      <c r="F36" s="569"/>
      <c r="G36" s="569"/>
      <c r="H36" s="614"/>
      <c r="I36" s="609"/>
      <c r="J36" s="607"/>
      <c r="K36" s="609"/>
      <c r="L36" s="607"/>
      <c r="M36" s="607"/>
      <c r="N36" s="607"/>
      <c r="O36" s="607"/>
      <c r="P36" s="607"/>
      <c r="Q36" s="607"/>
      <c r="R36" s="632" t="s">
        <v>568</v>
      </c>
      <c r="S36" s="607"/>
      <c r="T36" s="607"/>
      <c r="U36" s="607"/>
      <c r="V36" s="607"/>
      <c r="W36" s="607"/>
      <c r="X36" s="609"/>
      <c r="Y36" s="601"/>
      <c r="Z36" s="612"/>
      <c r="AA36" s="612"/>
      <c r="AB36" s="612"/>
      <c r="AC36" s="612"/>
      <c r="AD36" s="612"/>
      <c r="AE36" s="612"/>
      <c r="AF36" s="612"/>
      <c r="AG36" s="612"/>
      <c r="AH36" s="612"/>
      <c r="AI36" s="612"/>
      <c r="AJ36" s="612"/>
      <c r="AK36" s="612"/>
      <c r="AL36" s="612"/>
      <c r="AM36" s="601"/>
      <c r="AN36" s="601"/>
      <c r="AO36" s="601"/>
      <c r="AP36" s="601"/>
      <c r="AQ36" s="601"/>
      <c r="AR36" s="601"/>
      <c r="AS36" s="601"/>
      <c r="AT36" s="565"/>
      <c r="AU36" s="565"/>
      <c r="AV36" s="565"/>
      <c r="AW36" s="565"/>
      <c r="AX36" s="569"/>
      <c r="AY36" s="565"/>
      <c r="AZ36" s="570"/>
      <c r="BA36" s="570"/>
      <c r="BB36" s="536"/>
      <c r="BC36" s="537"/>
      <c r="BD36" s="538"/>
      <c r="BE36" s="592"/>
      <c r="BF36" s="592"/>
      <c r="BG36" s="592"/>
      <c r="BH36" s="592"/>
      <c r="BI36" s="592"/>
      <c r="BJ36" s="592"/>
      <c r="BK36" s="592"/>
      <c r="BL36" s="592"/>
      <c r="BM36" s="592"/>
      <c r="BN36" s="592"/>
      <c r="BO36" s="592"/>
      <c r="BP36" s="592"/>
      <c r="BQ36" s="592"/>
      <c r="BR36" s="592"/>
      <c r="BS36" s="592"/>
      <c r="BT36" s="592"/>
    </row>
    <row r="37" spans="1:72" s="591" customFormat="1" ht="12.5" customHeight="1">
      <c r="A37" s="540"/>
      <c r="B37" s="541"/>
      <c r="C37" s="538"/>
      <c r="D37" s="538"/>
      <c r="E37" s="538"/>
      <c r="F37" s="539"/>
      <c r="G37" s="544"/>
      <c r="H37" s="617"/>
      <c r="I37" s="617"/>
      <c r="J37" s="617"/>
      <c r="K37" s="617"/>
      <c r="L37" s="617"/>
      <c r="M37" s="617"/>
      <c r="N37" s="617"/>
      <c r="O37" s="617"/>
      <c r="P37" s="617"/>
      <c r="Q37" s="617"/>
      <c r="R37" s="617"/>
      <c r="S37" s="617"/>
      <c r="T37" s="618"/>
      <c r="U37" s="618"/>
      <c r="V37" s="618"/>
      <c r="W37" s="618"/>
      <c r="X37" s="619"/>
      <c r="Y37" s="618"/>
      <c r="Z37" s="618"/>
      <c r="AA37" s="618"/>
      <c r="AB37" s="620"/>
      <c r="AC37" s="618"/>
      <c r="AD37" s="621"/>
      <c r="AE37" s="621"/>
      <c r="AF37" s="621"/>
      <c r="AG37" s="621"/>
      <c r="AH37" s="621"/>
      <c r="AI37" s="617"/>
      <c r="AJ37" s="618"/>
      <c r="AK37" s="618"/>
      <c r="AL37" s="618"/>
      <c r="AM37" s="618"/>
      <c r="AN37" s="622"/>
      <c r="AO37" s="619"/>
      <c r="AP37" s="619"/>
      <c r="AQ37" s="618"/>
      <c r="AR37" s="618"/>
      <c r="AS37" s="618"/>
      <c r="AT37" s="547"/>
      <c r="AU37" s="545"/>
      <c r="AV37" s="548"/>
      <c r="AW37" s="548"/>
      <c r="AX37" s="548"/>
      <c r="AY37" s="542"/>
      <c r="AZ37" s="543"/>
      <c r="BA37" s="543"/>
      <c r="BB37" s="536"/>
      <c r="BC37" s="537"/>
      <c r="BD37" s="538"/>
      <c r="BE37" s="592"/>
      <c r="BF37" s="592"/>
      <c r="BG37" s="592"/>
      <c r="BH37" s="592"/>
      <c r="BI37" s="592"/>
      <c r="BJ37" s="592"/>
      <c r="BK37" s="592"/>
      <c r="BL37" s="592"/>
      <c r="BM37" s="592"/>
      <c r="BN37" s="592"/>
      <c r="BO37" s="592"/>
      <c r="BP37" s="592"/>
      <c r="BQ37" s="592"/>
      <c r="BR37" s="592"/>
      <c r="BS37" s="592"/>
      <c r="BT37" s="592"/>
    </row>
    <row r="38" spans="1:72" s="591" customFormat="1" ht="12.5" customHeight="1">
      <c r="A38" s="540"/>
      <c r="B38" s="566"/>
      <c r="C38" s="565"/>
      <c r="D38" s="567"/>
      <c r="E38" s="567"/>
      <c r="F38" s="567"/>
      <c r="G38" s="565"/>
      <c r="H38" s="617"/>
      <c r="I38" s="634" t="s">
        <v>371</v>
      </c>
      <c r="J38" s="617"/>
      <c r="K38" s="617"/>
      <c r="L38" s="617"/>
      <c r="M38" s="617"/>
      <c r="N38" s="617"/>
      <c r="O38" s="617"/>
      <c r="P38" s="617"/>
      <c r="Q38" s="617"/>
      <c r="R38" s="617"/>
      <c r="S38" s="635" t="s">
        <v>372</v>
      </c>
      <c r="T38" s="618"/>
      <c r="U38" s="618"/>
      <c r="V38" s="618"/>
      <c r="W38" s="618"/>
      <c r="X38" s="619"/>
      <c r="Y38" s="618"/>
      <c r="Z38" s="617"/>
      <c r="AA38" s="617"/>
      <c r="AB38" s="617"/>
      <c r="AC38" s="617"/>
      <c r="AD38" s="617"/>
      <c r="AE38" s="617"/>
      <c r="AF38" s="617"/>
      <c r="AG38" s="617"/>
      <c r="AH38" s="617"/>
      <c r="AI38" s="617"/>
      <c r="AJ38" s="617"/>
      <c r="AK38" s="617"/>
      <c r="AL38" s="617"/>
      <c r="AM38" s="617"/>
      <c r="AN38" s="617"/>
      <c r="AO38" s="617"/>
      <c r="AP38" s="617"/>
      <c r="AQ38" s="617"/>
      <c r="AR38" s="617"/>
      <c r="AS38" s="617"/>
      <c r="AT38" s="565"/>
      <c r="AU38" s="565"/>
      <c r="AV38" s="565"/>
      <c r="AW38" s="565"/>
      <c r="AX38" s="569"/>
      <c r="AY38" s="565"/>
      <c r="AZ38" s="570"/>
      <c r="BA38" s="570"/>
      <c r="BB38" s="536"/>
      <c r="BC38" s="537"/>
      <c r="BD38" s="538"/>
      <c r="BE38" s="592"/>
      <c r="BF38" s="592"/>
      <c r="BG38" s="592"/>
      <c r="BH38" s="592"/>
      <c r="BI38" s="592"/>
      <c r="BJ38" s="592"/>
      <c r="BK38" s="592"/>
      <c r="BL38" s="592"/>
      <c r="BM38" s="592"/>
      <c r="BN38" s="592"/>
      <c r="BO38" s="592"/>
      <c r="BP38" s="592"/>
      <c r="BQ38" s="592"/>
      <c r="BR38" s="592"/>
      <c r="BS38" s="592"/>
      <c r="BT38" s="592"/>
    </row>
    <row r="39" spans="1:72" s="591" customFormat="1" ht="12.5" customHeight="1">
      <c r="A39" s="540"/>
      <c r="B39" s="566"/>
      <c r="C39" s="565"/>
      <c r="D39" s="569"/>
      <c r="E39" s="569"/>
      <c r="F39" s="569"/>
      <c r="G39" s="569"/>
      <c r="H39" s="630"/>
      <c r="I39" s="678" t="s">
        <v>569</v>
      </c>
      <c r="J39" s="623"/>
      <c r="K39" s="625"/>
      <c r="L39" s="623"/>
      <c r="M39" s="623"/>
      <c r="N39" s="623"/>
      <c r="O39" s="623"/>
      <c r="P39" s="623"/>
      <c r="Q39" s="623"/>
      <c r="R39" s="623"/>
      <c r="S39" s="679" t="s">
        <v>570</v>
      </c>
      <c r="T39" s="623"/>
      <c r="U39" s="623"/>
      <c r="V39" s="623"/>
      <c r="W39" s="623"/>
      <c r="X39" s="625"/>
      <c r="Y39" s="617"/>
      <c r="Z39" s="628"/>
      <c r="AA39" s="628"/>
      <c r="AB39" s="628"/>
      <c r="AC39" s="628"/>
      <c r="AD39" s="628"/>
      <c r="AE39" s="628"/>
      <c r="AF39" s="628"/>
      <c r="AG39" s="628"/>
      <c r="AH39" s="628"/>
      <c r="AI39" s="628"/>
      <c r="AJ39" s="628"/>
      <c r="AK39" s="628"/>
      <c r="AL39" s="628"/>
      <c r="AM39" s="617"/>
      <c r="AN39" s="617"/>
      <c r="AO39" s="617"/>
      <c r="AP39" s="617"/>
      <c r="AQ39" s="617"/>
      <c r="AR39" s="617"/>
      <c r="AS39" s="617"/>
      <c r="AT39" s="565"/>
      <c r="AU39" s="565"/>
      <c r="AV39" s="565"/>
      <c r="AW39" s="565"/>
      <c r="AX39" s="569"/>
      <c r="AY39" s="565"/>
      <c r="AZ39" s="570"/>
      <c r="BA39" s="570"/>
      <c r="BB39" s="536"/>
      <c r="BC39" s="537"/>
      <c r="BD39" s="538"/>
      <c r="BE39" s="592"/>
      <c r="BF39" s="592"/>
      <c r="BG39" s="592"/>
      <c r="BH39" s="592"/>
      <c r="BI39" s="592"/>
      <c r="BJ39" s="592"/>
      <c r="BK39" s="592"/>
      <c r="BL39" s="592"/>
      <c r="BM39" s="592"/>
      <c r="BN39" s="592"/>
      <c r="BO39" s="592"/>
      <c r="BP39" s="592"/>
      <c r="BQ39" s="592"/>
      <c r="BR39" s="592"/>
      <c r="BS39" s="592"/>
      <c r="BT39" s="592"/>
    </row>
    <row r="40" spans="1:72" s="591" customFormat="1" ht="12.5" customHeight="1">
      <c r="A40" s="540"/>
      <c r="B40" s="566"/>
      <c r="C40" s="571"/>
      <c r="D40" s="567"/>
      <c r="E40" s="567"/>
      <c r="F40" s="567"/>
      <c r="G40" s="569"/>
      <c r="H40" s="617"/>
      <c r="I40" s="623"/>
      <c r="J40" s="624"/>
      <c r="K40" s="623"/>
      <c r="L40" s="623"/>
      <c r="M40" s="623"/>
      <c r="N40" s="623"/>
      <c r="O40" s="623"/>
      <c r="P40" s="623"/>
      <c r="Q40" s="623"/>
      <c r="R40" s="617"/>
      <c r="S40" s="635" t="s">
        <v>373</v>
      </c>
      <c r="T40" s="623"/>
      <c r="U40" s="623"/>
      <c r="V40" s="623"/>
      <c r="W40" s="623"/>
      <c r="X40" s="625"/>
      <c r="Y40" s="617"/>
      <c r="Z40" s="617"/>
      <c r="AA40" s="626"/>
      <c r="AB40" s="617"/>
      <c r="AC40" s="627"/>
      <c r="AD40" s="627"/>
      <c r="AE40" s="628"/>
      <c r="AF40" s="627"/>
      <c r="AG40" s="628"/>
      <c r="AH40" s="627"/>
      <c r="AI40" s="629"/>
      <c r="AJ40" s="627"/>
      <c r="AK40" s="628"/>
      <c r="AL40" s="628"/>
      <c r="AM40" s="628"/>
      <c r="AN40" s="628"/>
      <c r="AO40" s="628"/>
      <c r="AP40" s="628"/>
      <c r="AQ40" s="628"/>
      <c r="AR40" s="628"/>
      <c r="AS40" s="628"/>
      <c r="AT40" s="569"/>
      <c r="AU40" s="569"/>
      <c r="AV40" s="569"/>
      <c r="AW40" s="569"/>
      <c r="AX40" s="569"/>
      <c r="AY40" s="565"/>
      <c r="AZ40" s="570"/>
      <c r="BA40" s="570"/>
      <c r="BB40" s="536"/>
      <c r="BC40" s="537"/>
      <c r="BD40" s="538"/>
      <c r="BE40" s="592"/>
      <c r="BF40" s="592"/>
      <c r="BG40" s="592"/>
      <c r="BH40" s="592"/>
      <c r="BI40" s="592"/>
      <c r="BJ40" s="592"/>
      <c r="BK40" s="592"/>
      <c r="BL40" s="592"/>
      <c r="BM40" s="592"/>
      <c r="BN40" s="592"/>
      <c r="BO40" s="592"/>
      <c r="BP40" s="592"/>
      <c r="BQ40" s="592"/>
      <c r="BR40" s="592"/>
      <c r="BS40" s="592"/>
      <c r="BT40" s="592"/>
    </row>
    <row r="41" spans="1:72" s="591" customFormat="1" ht="12.5" customHeight="1">
      <c r="A41" s="540"/>
      <c r="B41" s="566"/>
      <c r="C41" s="565"/>
      <c r="D41" s="569"/>
      <c r="E41" s="569"/>
      <c r="F41" s="569"/>
      <c r="G41" s="569"/>
      <c r="H41" s="630"/>
      <c r="I41" s="678"/>
      <c r="J41" s="623"/>
      <c r="K41" s="625"/>
      <c r="L41" s="623"/>
      <c r="M41" s="623"/>
      <c r="N41" s="623"/>
      <c r="O41" s="623"/>
      <c r="P41" s="623"/>
      <c r="Q41" s="623"/>
      <c r="R41" s="623"/>
      <c r="S41" s="679" t="s">
        <v>571</v>
      </c>
      <c r="T41" s="623"/>
      <c r="U41" s="623"/>
      <c r="V41" s="623"/>
      <c r="W41" s="623"/>
      <c r="X41" s="625"/>
      <c r="Y41" s="617"/>
      <c r="Z41" s="628"/>
      <c r="AA41" s="628"/>
      <c r="AB41" s="628"/>
      <c r="AC41" s="628"/>
      <c r="AD41" s="628"/>
      <c r="AE41" s="628"/>
      <c r="AF41" s="628"/>
      <c r="AG41" s="628"/>
      <c r="AH41" s="628"/>
      <c r="AI41" s="628"/>
      <c r="AJ41" s="628"/>
      <c r="AK41" s="628"/>
      <c r="AL41" s="628"/>
      <c r="AM41" s="617"/>
      <c r="AN41" s="617"/>
      <c r="AO41" s="617"/>
      <c r="AP41" s="617"/>
      <c r="AQ41" s="617"/>
      <c r="AR41" s="617"/>
      <c r="AS41" s="617"/>
      <c r="AT41" s="565"/>
      <c r="AU41" s="565"/>
      <c r="AV41" s="565"/>
      <c r="AW41" s="565"/>
      <c r="AX41" s="569"/>
      <c r="AY41" s="565"/>
      <c r="AZ41" s="570"/>
      <c r="BA41" s="570"/>
      <c r="BB41" s="536"/>
      <c r="BC41" s="537"/>
      <c r="BD41" s="538"/>
      <c r="BE41" s="592"/>
      <c r="BF41" s="592"/>
      <c r="BG41" s="592"/>
      <c r="BH41" s="592"/>
      <c r="BI41" s="592"/>
      <c r="BJ41" s="592"/>
      <c r="BK41" s="592"/>
      <c r="BL41" s="592"/>
      <c r="BM41" s="592"/>
      <c r="BN41" s="592"/>
      <c r="BO41" s="592"/>
      <c r="BP41" s="592"/>
      <c r="BQ41" s="592"/>
      <c r="BR41" s="592"/>
      <c r="BS41" s="592"/>
      <c r="BT41" s="592"/>
    </row>
    <row r="42" spans="1:72" s="591" customFormat="1" ht="12.5" customHeight="1">
      <c r="A42" s="540"/>
      <c r="B42" s="566"/>
      <c r="C42" s="573"/>
      <c r="D42" s="569"/>
      <c r="E42" s="569"/>
      <c r="F42" s="569"/>
      <c r="G42" s="569"/>
      <c r="H42" s="630"/>
      <c r="I42" s="625"/>
      <c r="J42" s="623"/>
      <c r="K42" s="625"/>
      <c r="L42" s="623"/>
      <c r="M42" s="623"/>
      <c r="N42" s="623"/>
      <c r="O42" s="623"/>
      <c r="P42" s="623"/>
      <c r="Q42" s="623"/>
      <c r="R42" s="617"/>
      <c r="S42" s="635" t="s">
        <v>374</v>
      </c>
      <c r="T42" s="623"/>
      <c r="U42" s="623"/>
      <c r="V42" s="35"/>
      <c r="W42" s="623"/>
      <c r="X42" s="625"/>
      <c r="Y42" s="617"/>
      <c r="Z42" s="626"/>
      <c r="AA42" s="617"/>
      <c r="AB42" s="626"/>
      <c r="AC42" s="617"/>
      <c r="AD42" s="627"/>
      <c r="AE42" s="627"/>
      <c r="AF42" s="628"/>
      <c r="AG42" s="627"/>
      <c r="AH42" s="627"/>
      <c r="AI42" s="629"/>
      <c r="AJ42" s="627"/>
      <c r="AK42" s="628"/>
      <c r="AL42" s="628"/>
      <c r="AM42" s="628"/>
      <c r="AN42" s="628"/>
      <c r="AO42" s="628"/>
      <c r="AP42" s="628"/>
      <c r="AQ42" s="628"/>
      <c r="AR42" s="628"/>
      <c r="AS42" s="617"/>
      <c r="AT42" s="572"/>
      <c r="AU42" s="565"/>
      <c r="AV42" s="569"/>
      <c r="AW42" s="569"/>
      <c r="AX42" s="569"/>
      <c r="AY42" s="565"/>
      <c r="AZ42" s="570"/>
      <c r="BA42" s="570"/>
      <c r="BB42" s="536"/>
      <c r="BC42" s="537"/>
      <c r="BD42" s="538"/>
      <c r="BE42" s="592"/>
      <c r="BF42" s="592"/>
      <c r="BG42" s="592"/>
      <c r="BH42" s="592"/>
      <c r="BI42" s="592"/>
      <c r="BJ42" s="592"/>
      <c r="BK42" s="592"/>
      <c r="BL42" s="592"/>
      <c r="BM42" s="592"/>
      <c r="BN42" s="592"/>
      <c r="BO42" s="592"/>
      <c r="BP42" s="592"/>
      <c r="BQ42" s="592"/>
      <c r="BR42" s="592"/>
      <c r="BS42" s="592"/>
      <c r="BT42" s="592"/>
    </row>
    <row r="43" spans="1:72" s="591" customFormat="1" ht="12.5" customHeight="1">
      <c r="A43" s="540"/>
      <c r="B43" s="566"/>
      <c r="C43" s="565"/>
      <c r="D43" s="569"/>
      <c r="E43" s="569"/>
      <c r="F43" s="569"/>
      <c r="G43" s="569"/>
      <c r="H43" s="630"/>
      <c r="I43" s="678"/>
      <c r="J43" s="623"/>
      <c r="K43" s="625"/>
      <c r="L43" s="623"/>
      <c r="M43" s="623"/>
      <c r="N43" s="623"/>
      <c r="O43" s="623"/>
      <c r="P43" s="623"/>
      <c r="Q43" s="623"/>
      <c r="R43" s="623"/>
      <c r="S43" s="679" t="s">
        <v>572</v>
      </c>
      <c r="T43" s="623"/>
      <c r="U43" s="623"/>
      <c r="V43" s="623"/>
      <c r="W43" s="623"/>
      <c r="X43" s="625"/>
      <c r="Y43" s="617"/>
      <c r="Z43" s="628"/>
      <c r="AA43" s="628"/>
      <c r="AB43" s="628"/>
      <c r="AC43" s="628"/>
      <c r="AD43" s="628"/>
      <c r="AE43" s="628"/>
      <c r="AF43" s="628"/>
      <c r="AG43" s="628"/>
      <c r="AH43" s="628"/>
      <c r="AI43" s="628"/>
      <c r="AJ43" s="628"/>
      <c r="AK43" s="628"/>
      <c r="AL43" s="628"/>
      <c r="AM43" s="617"/>
      <c r="AN43" s="617"/>
      <c r="AO43" s="617"/>
      <c r="AP43" s="617"/>
      <c r="AQ43" s="617"/>
      <c r="AR43" s="617"/>
      <c r="AS43" s="617"/>
      <c r="AT43" s="565"/>
      <c r="AU43" s="565"/>
      <c r="AV43" s="565"/>
      <c r="AW43" s="565"/>
      <c r="AX43" s="569"/>
      <c r="AY43" s="565"/>
      <c r="AZ43" s="570"/>
      <c r="BA43" s="570"/>
      <c r="BB43" s="536"/>
      <c r="BC43" s="537"/>
      <c r="BD43" s="538"/>
      <c r="BE43" s="592"/>
      <c r="BF43" s="575"/>
      <c r="BG43" s="592"/>
      <c r="BH43" s="592"/>
      <c r="BI43" s="592"/>
      <c r="BJ43" s="592"/>
      <c r="BK43" s="592"/>
      <c r="BL43" s="592"/>
      <c r="BM43" s="592"/>
      <c r="BN43" s="592"/>
      <c r="BO43" s="592"/>
      <c r="BP43" s="592"/>
      <c r="BQ43" s="592"/>
      <c r="BR43" s="592"/>
      <c r="BS43" s="592"/>
      <c r="BT43" s="592"/>
    </row>
    <row r="44" spans="1:72" s="591" customFormat="1" ht="12.5" customHeight="1">
      <c r="A44" s="540"/>
      <c r="B44" s="566"/>
      <c r="C44" s="565"/>
      <c r="D44" s="569"/>
      <c r="E44" s="569"/>
      <c r="F44" s="569"/>
      <c r="G44" s="569"/>
      <c r="H44" s="630"/>
      <c r="I44" s="625"/>
      <c r="J44" s="623"/>
      <c r="K44" s="625"/>
      <c r="L44" s="623"/>
      <c r="M44" s="623"/>
      <c r="N44" s="623"/>
      <c r="O44" s="623"/>
      <c r="P44" s="623"/>
      <c r="Q44" s="623"/>
      <c r="R44" s="617"/>
      <c r="S44" s="635" t="s">
        <v>375</v>
      </c>
      <c r="T44" s="623"/>
      <c r="U44" s="623"/>
      <c r="V44" s="623"/>
      <c r="W44" s="623"/>
      <c r="X44" s="625"/>
      <c r="Y44" s="617"/>
      <c r="Z44" s="628"/>
      <c r="AA44" s="628"/>
      <c r="AB44" s="628"/>
      <c r="AC44" s="628"/>
      <c r="AD44" s="628"/>
      <c r="AE44" s="628"/>
      <c r="AF44" s="628"/>
      <c r="AG44" s="628"/>
      <c r="AH44" s="628"/>
      <c r="AI44" s="628"/>
      <c r="AJ44" s="628"/>
      <c r="AK44" s="628"/>
      <c r="AL44" s="628"/>
      <c r="AM44" s="617"/>
      <c r="AN44" s="617"/>
      <c r="AO44" s="617"/>
      <c r="AP44" s="617"/>
      <c r="AQ44" s="617"/>
      <c r="AR44" s="617"/>
      <c r="AS44" s="617"/>
      <c r="AT44" s="565"/>
      <c r="AU44" s="565"/>
      <c r="AV44" s="565"/>
      <c r="AW44" s="565"/>
      <c r="AX44" s="569"/>
      <c r="AY44" s="565"/>
      <c r="AZ44" s="570"/>
      <c r="BA44" s="570"/>
      <c r="BB44" s="536"/>
      <c r="BC44" s="537"/>
      <c r="BD44" s="538"/>
      <c r="BE44" s="592"/>
      <c r="BF44" s="575"/>
      <c r="BG44" s="595"/>
      <c r="BH44" s="592"/>
      <c r="BI44" s="592"/>
      <c r="BJ44" s="592"/>
      <c r="BK44" s="592"/>
      <c r="BL44" s="592"/>
      <c r="BM44" s="592"/>
      <c r="BN44" s="592"/>
      <c r="BO44" s="592"/>
      <c r="BP44" s="592"/>
      <c r="BQ44" s="592"/>
      <c r="BR44" s="592"/>
      <c r="BS44" s="592"/>
      <c r="BT44" s="592"/>
    </row>
    <row r="45" spans="1:72" s="591" customFormat="1" ht="12.5" customHeight="1">
      <c r="A45" s="540"/>
      <c r="B45" s="566"/>
      <c r="C45" s="565"/>
      <c r="D45" s="569"/>
      <c r="E45" s="569"/>
      <c r="F45" s="569"/>
      <c r="G45" s="569"/>
      <c r="H45" s="630"/>
      <c r="I45" s="678"/>
      <c r="J45" s="623"/>
      <c r="K45" s="625"/>
      <c r="L45" s="623"/>
      <c r="M45" s="623"/>
      <c r="N45" s="623"/>
      <c r="O45" s="623"/>
      <c r="P45" s="623"/>
      <c r="Q45" s="623"/>
      <c r="R45" s="623"/>
      <c r="S45" s="679" t="s">
        <v>573</v>
      </c>
      <c r="T45" s="623"/>
      <c r="U45" s="623"/>
      <c r="V45" s="623"/>
      <c r="W45" s="623"/>
      <c r="X45" s="625"/>
      <c r="Y45" s="617"/>
      <c r="Z45" s="628"/>
      <c r="AA45" s="628"/>
      <c r="AB45" s="628"/>
      <c r="AC45" s="628"/>
      <c r="AD45" s="628"/>
      <c r="AE45" s="628"/>
      <c r="AF45" s="628"/>
      <c r="AG45" s="628"/>
      <c r="AH45" s="628"/>
      <c r="AI45" s="628"/>
      <c r="AJ45" s="628"/>
      <c r="AK45" s="628"/>
      <c r="AL45" s="628"/>
      <c r="AM45" s="617"/>
      <c r="AN45" s="617"/>
      <c r="AO45" s="617"/>
      <c r="AP45" s="617"/>
      <c r="AQ45" s="617"/>
      <c r="AR45" s="617"/>
      <c r="AS45" s="617"/>
      <c r="AT45" s="565"/>
      <c r="AU45" s="565"/>
      <c r="AV45" s="565"/>
      <c r="AW45" s="565"/>
      <c r="AX45" s="569"/>
      <c r="AY45" s="565"/>
      <c r="AZ45" s="570"/>
      <c r="BA45" s="570"/>
      <c r="BB45" s="536"/>
      <c r="BC45" s="537"/>
      <c r="BD45" s="538"/>
      <c r="BE45" s="595"/>
      <c r="BF45" s="592"/>
      <c r="BG45" s="592"/>
      <c r="BH45" s="592"/>
      <c r="BI45" s="592"/>
      <c r="BJ45" s="592"/>
      <c r="BK45" s="592"/>
      <c r="BL45" s="592"/>
      <c r="BM45" s="592"/>
      <c r="BN45" s="592"/>
      <c r="BO45" s="592"/>
      <c r="BP45" s="592"/>
      <c r="BQ45" s="592"/>
      <c r="BR45" s="592"/>
      <c r="BS45" s="592"/>
      <c r="BT45" s="592"/>
    </row>
    <row r="46" spans="1:72" s="591" customFormat="1" ht="12.5" customHeight="1">
      <c r="A46" s="540"/>
      <c r="B46" s="566"/>
      <c r="C46" s="565"/>
      <c r="D46" s="569"/>
      <c r="E46" s="569"/>
      <c r="F46" s="569"/>
      <c r="G46" s="569"/>
      <c r="H46" s="630"/>
      <c r="I46" s="625"/>
      <c r="J46" s="623"/>
      <c r="K46" s="625"/>
      <c r="L46" s="623"/>
      <c r="M46" s="623"/>
      <c r="N46" s="623"/>
      <c r="O46" s="623"/>
      <c r="P46" s="623"/>
      <c r="Q46" s="623"/>
      <c r="R46" s="617"/>
      <c r="S46" s="635" t="s">
        <v>376</v>
      </c>
      <c r="T46" s="623"/>
      <c r="U46" s="623"/>
      <c r="V46" s="623"/>
      <c r="W46" s="623"/>
      <c r="X46" s="625"/>
      <c r="Y46" s="617"/>
      <c r="Z46" s="628"/>
      <c r="AA46" s="628"/>
      <c r="AB46" s="628"/>
      <c r="AC46" s="628"/>
      <c r="AD46" s="628"/>
      <c r="AE46" s="628"/>
      <c r="AF46" s="628"/>
      <c r="AG46" s="628"/>
      <c r="AH46" s="628"/>
      <c r="AI46" s="628"/>
      <c r="AJ46" s="628"/>
      <c r="AK46" s="628"/>
      <c r="AL46" s="628"/>
      <c r="AM46" s="617"/>
      <c r="AN46" s="617"/>
      <c r="AO46" s="617"/>
      <c r="AP46" s="617"/>
      <c r="AQ46" s="617"/>
      <c r="AR46" s="617"/>
      <c r="AS46" s="617"/>
      <c r="AT46" s="565"/>
      <c r="AU46" s="565"/>
      <c r="AV46" s="565"/>
      <c r="AW46" s="565"/>
      <c r="AX46" s="569"/>
      <c r="AY46" s="565"/>
      <c r="AZ46" s="570"/>
      <c r="BA46" s="570"/>
      <c r="BB46" s="536"/>
      <c r="BC46" s="537"/>
      <c r="BD46" s="538"/>
      <c r="BE46" s="592"/>
      <c r="BF46" s="592"/>
      <c r="BG46" s="592"/>
      <c r="BH46" s="592"/>
      <c r="BI46" s="592"/>
      <c r="BJ46" s="592"/>
      <c r="BK46" s="592"/>
      <c r="BL46" s="592"/>
      <c r="BM46" s="592"/>
      <c r="BN46" s="592"/>
      <c r="BO46" s="592"/>
      <c r="BP46" s="592"/>
      <c r="BQ46" s="592"/>
      <c r="BR46" s="592"/>
      <c r="BS46" s="592"/>
      <c r="BT46" s="592"/>
    </row>
    <row r="47" spans="1:72" s="591" customFormat="1" ht="12.5" customHeight="1">
      <c r="A47" s="540"/>
      <c r="B47" s="566"/>
      <c r="C47" s="565"/>
      <c r="D47" s="569"/>
      <c r="E47" s="569"/>
      <c r="F47" s="569"/>
      <c r="G47" s="569"/>
      <c r="H47" s="630"/>
      <c r="I47" s="678"/>
      <c r="J47" s="623"/>
      <c r="K47" s="625"/>
      <c r="L47" s="623"/>
      <c r="M47" s="623"/>
      <c r="N47" s="623"/>
      <c r="O47" s="623"/>
      <c r="P47" s="623"/>
      <c r="Q47" s="623"/>
      <c r="R47" s="623"/>
      <c r="S47" s="679"/>
      <c r="T47" s="623"/>
      <c r="U47" s="623"/>
      <c r="V47" s="623"/>
      <c r="W47" s="623"/>
      <c r="X47" s="625"/>
      <c r="Y47" s="617"/>
      <c r="Z47" s="628"/>
      <c r="AA47" s="628"/>
      <c r="AB47" s="628"/>
      <c r="AC47" s="628"/>
      <c r="AD47" s="628"/>
      <c r="AE47" s="628"/>
      <c r="AF47" s="628"/>
      <c r="AG47" s="628"/>
      <c r="AH47" s="628"/>
      <c r="AI47" s="628"/>
      <c r="AJ47" s="628"/>
      <c r="AK47" s="628"/>
      <c r="AL47" s="628"/>
      <c r="AM47" s="617"/>
      <c r="AN47" s="617"/>
      <c r="AO47" s="617"/>
      <c r="AP47" s="617"/>
      <c r="AQ47" s="617"/>
      <c r="AR47" s="617"/>
      <c r="AS47" s="617"/>
      <c r="AT47" s="565"/>
      <c r="AU47" s="565"/>
      <c r="AV47" s="565"/>
      <c r="AW47" s="565"/>
      <c r="AX47" s="569"/>
      <c r="AY47" s="565"/>
      <c r="AZ47" s="570"/>
      <c r="BA47" s="570"/>
      <c r="BB47" s="536"/>
      <c r="BC47" s="537"/>
      <c r="BD47" s="538"/>
      <c r="BE47" s="592"/>
      <c r="BF47" s="592"/>
      <c r="BG47" s="592"/>
      <c r="BH47" s="592"/>
      <c r="BI47" s="592"/>
      <c r="BJ47" s="592"/>
      <c r="BK47" s="592"/>
      <c r="BL47" s="592"/>
      <c r="BM47" s="592"/>
      <c r="BN47" s="592"/>
      <c r="BO47" s="592"/>
      <c r="BP47" s="592"/>
      <c r="BQ47" s="592"/>
      <c r="BR47" s="592"/>
      <c r="BS47" s="592"/>
      <c r="BT47" s="592"/>
    </row>
    <row r="48" spans="1:72" s="591" customFormat="1" ht="12.5" customHeight="1">
      <c r="A48" s="540"/>
      <c r="B48" s="566"/>
      <c r="C48" s="565"/>
      <c r="D48" s="569"/>
      <c r="E48" s="569"/>
      <c r="F48" s="569"/>
      <c r="G48" s="569"/>
      <c r="H48" s="630"/>
      <c r="I48" s="625"/>
      <c r="J48" s="623"/>
      <c r="K48" s="625"/>
      <c r="L48" s="623"/>
      <c r="M48" s="623"/>
      <c r="N48" s="623"/>
      <c r="O48" s="623"/>
      <c r="P48" s="623"/>
      <c r="Q48" s="623"/>
      <c r="R48" s="617"/>
      <c r="S48" s="635" t="s">
        <v>377</v>
      </c>
      <c r="T48" s="623"/>
      <c r="U48" s="623"/>
      <c r="V48" s="623"/>
      <c r="W48" s="623"/>
      <c r="X48" s="625"/>
      <c r="Y48" s="617"/>
      <c r="Z48" s="628"/>
      <c r="AA48" s="628"/>
      <c r="AB48" s="628"/>
      <c r="AC48" s="628"/>
      <c r="AD48" s="628"/>
      <c r="AE48" s="628"/>
      <c r="AF48" s="628"/>
      <c r="AG48" s="628"/>
      <c r="AH48" s="628"/>
      <c r="AI48" s="628"/>
      <c r="AJ48" s="628"/>
      <c r="AK48" s="628"/>
      <c r="AL48" s="628"/>
      <c r="AM48" s="617"/>
      <c r="AN48" s="617"/>
      <c r="AO48" s="617"/>
      <c r="AP48" s="617"/>
      <c r="AQ48" s="617"/>
      <c r="AR48" s="617"/>
      <c r="AS48" s="617"/>
      <c r="AT48" s="565"/>
      <c r="AU48" s="565"/>
      <c r="AV48" s="565"/>
      <c r="AW48" s="565"/>
      <c r="AX48" s="569"/>
      <c r="AY48" s="565"/>
      <c r="AZ48" s="570"/>
      <c r="BA48" s="570"/>
      <c r="BB48" s="536"/>
      <c r="BC48" s="537"/>
      <c r="BD48" s="538"/>
      <c r="BE48" s="592"/>
      <c r="BF48" s="592"/>
      <c r="BG48" s="592"/>
      <c r="BH48" s="592"/>
      <c r="BI48" s="592"/>
      <c r="BJ48" s="592"/>
      <c r="BK48" s="592"/>
      <c r="BL48" s="592"/>
      <c r="BM48" s="592"/>
      <c r="BN48" s="592"/>
      <c r="BO48" s="592"/>
      <c r="BP48" s="592"/>
      <c r="BQ48" s="592"/>
      <c r="BR48" s="592"/>
      <c r="BS48" s="592"/>
      <c r="BT48" s="592"/>
    </row>
    <row r="49" spans="1:72" s="591" customFormat="1" ht="12.5" customHeight="1">
      <c r="A49" s="540"/>
      <c r="B49" s="566"/>
      <c r="C49" s="565"/>
      <c r="D49" s="569"/>
      <c r="E49" s="569"/>
      <c r="F49" s="569"/>
      <c r="G49" s="569"/>
      <c r="H49" s="630"/>
      <c r="I49" s="678"/>
      <c r="J49" s="623"/>
      <c r="K49" s="625"/>
      <c r="L49" s="623"/>
      <c r="M49" s="623"/>
      <c r="N49" s="623"/>
      <c r="O49" s="623"/>
      <c r="P49" s="623"/>
      <c r="Q49" s="623"/>
      <c r="R49" s="623"/>
      <c r="S49" s="679"/>
      <c r="T49" s="623"/>
      <c r="U49" s="623"/>
      <c r="V49" s="623"/>
      <c r="W49" s="623"/>
      <c r="X49" s="625"/>
      <c r="Y49" s="617"/>
      <c r="Z49" s="628"/>
      <c r="AA49" s="628"/>
      <c r="AB49" s="628"/>
      <c r="AC49" s="628"/>
      <c r="AD49" s="628"/>
      <c r="AE49" s="628"/>
      <c r="AF49" s="628"/>
      <c r="AG49" s="628"/>
      <c r="AH49" s="628"/>
      <c r="AI49" s="628"/>
      <c r="AJ49" s="628"/>
      <c r="AK49" s="628"/>
      <c r="AL49" s="628"/>
      <c r="AM49" s="617"/>
      <c r="AN49" s="617"/>
      <c r="AO49" s="617"/>
      <c r="AP49" s="617"/>
      <c r="AQ49" s="617"/>
      <c r="AR49" s="617"/>
      <c r="AS49" s="617"/>
      <c r="AT49" s="565"/>
      <c r="AU49" s="565"/>
      <c r="AV49" s="565"/>
      <c r="AW49" s="565"/>
      <c r="AX49" s="569"/>
      <c r="AY49" s="565"/>
      <c r="AZ49" s="570"/>
      <c r="BA49" s="570"/>
      <c r="BB49" s="536"/>
      <c r="BC49" s="537"/>
      <c r="BD49" s="538"/>
      <c r="BE49" s="592"/>
      <c r="BF49" s="592"/>
      <c r="BG49" s="592"/>
      <c r="BH49" s="592"/>
      <c r="BI49" s="592"/>
      <c r="BJ49" s="592"/>
      <c r="BK49" s="592"/>
      <c r="BL49" s="592"/>
      <c r="BM49" s="592"/>
      <c r="BN49" s="592"/>
      <c r="BO49" s="592"/>
      <c r="BP49" s="592"/>
      <c r="BQ49" s="592"/>
      <c r="BR49" s="592"/>
      <c r="BS49" s="592"/>
      <c r="BT49" s="592"/>
    </row>
    <row r="50" spans="1:72" s="591" customFormat="1" ht="12.5" customHeight="1">
      <c r="A50" s="540"/>
      <c r="B50" s="566"/>
      <c r="C50" s="565"/>
      <c r="D50" s="569"/>
      <c r="E50" s="569"/>
      <c r="F50" s="569"/>
      <c r="G50" s="569"/>
      <c r="H50" s="630"/>
      <c r="I50" s="625"/>
      <c r="J50" s="623"/>
      <c r="K50" s="625"/>
      <c r="L50" s="623"/>
      <c r="M50" s="623"/>
      <c r="N50" s="623"/>
      <c r="O50" s="623"/>
      <c r="P50" s="623"/>
      <c r="Q50" s="623"/>
      <c r="R50" s="617"/>
      <c r="S50" s="635" t="s">
        <v>378</v>
      </c>
      <c r="T50" s="623"/>
      <c r="U50" s="623"/>
      <c r="V50" s="623"/>
      <c r="W50" s="623"/>
      <c r="X50" s="625"/>
      <c r="Y50" s="617"/>
      <c r="Z50" s="628"/>
      <c r="AA50" s="628"/>
      <c r="AB50" s="628"/>
      <c r="AC50" s="628"/>
      <c r="AD50" s="628"/>
      <c r="AE50" s="628"/>
      <c r="AF50" s="628"/>
      <c r="AG50" s="628"/>
      <c r="AH50" s="628"/>
      <c r="AI50" s="628"/>
      <c r="AJ50" s="628"/>
      <c r="AK50" s="628"/>
      <c r="AL50" s="628"/>
      <c r="AM50" s="617"/>
      <c r="AN50" s="617"/>
      <c r="AO50" s="617"/>
      <c r="AP50" s="617"/>
      <c r="AQ50" s="617"/>
      <c r="AR50" s="617"/>
      <c r="AS50" s="617"/>
      <c r="AT50" s="565"/>
      <c r="AU50" s="565"/>
      <c r="AV50" s="565"/>
      <c r="AW50" s="565"/>
      <c r="AX50" s="569"/>
      <c r="AY50" s="565"/>
      <c r="AZ50" s="570"/>
      <c r="BA50" s="570"/>
      <c r="BB50" s="536"/>
      <c r="BC50" s="537"/>
      <c r="BD50" s="538"/>
      <c r="BE50" s="592"/>
      <c r="BF50" s="592"/>
      <c r="BG50" s="592"/>
      <c r="BI50" s="592"/>
      <c r="BJ50" s="592"/>
      <c r="BK50" s="592"/>
      <c r="BL50" s="592"/>
      <c r="BM50" s="592"/>
      <c r="BN50" s="592"/>
      <c r="BO50" s="592"/>
      <c r="BP50" s="592"/>
      <c r="BQ50" s="592"/>
      <c r="BR50" s="592"/>
      <c r="BS50" s="592"/>
      <c r="BT50" s="592"/>
    </row>
    <row r="51" spans="1:72" s="591" customFormat="1" ht="12.5" customHeight="1">
      <c r="A51" s="540"/>
      <c r="B51" s="566"/>
      <c r="C51" s="565"/>
      <c r="D51" s="569"/>
      <c r="E51" s="569"/>
      <c r="F51" s="569"/>
      <c r="G51" s="569"/>
      <c r="H51" s="630"/>
      <c r="I51" s="625"/>
      <c r="J51" s="623"/>
      <c r="K51" s="625"/>
      <c r="L51" s="623"/>
      <c r="M51" s="623"/>
      <c r="N51" s="623"/>
      <c r="O51" s="623"/>
      <c r="P51" s="623"/>
      <c r="Q51" s="623"/>
      <c r="R51" s="623"/>
      <c r="S51" s="680" t="s">
        <v>555</v>
      </c>
      <c r="T51" s="623"/>
      <c r="U51" s="623"/>
      <c r="V51" s="623"/>
      <c r="W51" s="623"/>
      <c r="X51" s="625"/>
      <c r="Y51" s="617"/>
      <c r="Z51" s="628"/>
      <c r="AA51" s="628"/>
      <c r="AB51" s="628"/>
      <c r="AC51" s="628"/>
      <c r="AD51" s="628"/>
      <c r="AE51" s="628"/>
      <c r="AF51" s="628"/>
      <c r="AG51" s="628"/>
      <c r="AH51" s="628"/>
      <c r="AI51" s="628"/>
      <c r="AJ51" s="628"/>
      <c r="AK51" s="628"/>
      <c r="AL51" s="628"/>
      <c r="AM51" s="617"/>
      <c r="AN51" s="617"/>
      <c r="AO51" s="617"/>
      <c r="AP51" s="617"/>
      <c r="AQ51" s="617"/>
      <c r="AR51" s="617"/>
      <c r="AS51" s="617"/>
      <c r="AT51" s="565"/>
      <c r="AU51" s="565"/>
      <c r="AV51" s="565"/>
      <c r="AW51" s="565"/>
      <c r="AX51" s="569"/>
      <c r="AY51" s="565"/>
      <c r="AZ51" s="570"/>
      <c r="BA51" s="570"/>
      <c r="BB51" s="536"/>
      <c r="BC51" s="537"/>
      <c r="BD51" s="538"/>
      <c r="BE51" s="592"/>
      <c r="BF51" s="592"/>
    </row>
    <row r="52" spans="1:72" s="591" customFormat="1" ht="12.5" customHeight="1">
      <c r="A52" s="540"/>
      <c r="B52" s="566"/>
      <c r="C52" s="565"/>
      <c r="D52" s="569"/>
      <c r="E52" s="569"/>
      <c r="F52" s="569"/>
      <c r="G52" s="569"/>
      <c r="H52" s="630"/>
      <c r="I52" s="625"/>
      <c r="J52" s="623"/>
      <c r="K52" s="625"/>
      <c r="L52" s="623"/>
      <c r="M52" s="623"/>
      <c r="N52" s="623"/>
      <c r="O52" s="623"/>
      <c r="P52" s="623"/>
      <c r="Q52" s="623"/>
      <c r="R52" s="633"/>
      <c r="S52" s="623"/>
      <c r="T52" s="623"/>
      <c r="U52" s="623"/>
      <c r="V52" s="623"/>
      <c r="W52" s="623"/>
      <c r="X52" s="625"/>
      <c r="Y52" s="617"/>
      <c r="Z52" s="628"/>
      <c r="AA52" s="628"/>
      <c r="AB52" s="628"/>
      <c r="AC52" s="628"/>
      <c r="AD52" s="628"/>
      <c r="AE52" s="628"/>
      <c r="AF52" s="628"/>
      <c r="AG52" s="628"/>
      <c r="AH52" s="628"/>
      <c r="AI52" s="628"/>
      <c r="AJ52" s="628"/>
      <c r="AK52" s="628"/>
      <c r="AL52" s="628"/>
      <c r="AM52" s="617"/>
      <c r="AN52" s="617"/>
      <c r="AO52" s="617"/>
      <c r="AP52" s="617"/>
      <c r="AQ52" s="617"/>
      <c r="AR52" s="617"/>
      <c r="AS52" s="617"/>
      <c r="AT52" s="565"/>
      <c r="AU52" s="565"/>
      <c r="AV52" s="565"/>
      <c r="AW52" s="565"/>
      <c r="AX52" s="569"/>
      <c r="AY52" s="565"/>
      <c r="AZ52" s="570"/>
      <c r="BA52" s="570"/>
      <c r="BB52" s="536"/>
      <c r="BC52" s="537"/>
      <c r="BD52" s="538"/>
      <c r="BE52" s="592"/>
      <c r="BF52" s="592"/>
      <c r="BG52" s="592"/>
      <c r="BH52" s="592"/>
      <c r="BI52" s="592"/>
      <c r="BJ52" s="592"/>
      <c r="BK52" s="592"/>
      <c r="BL52" s="592"/>
      <c r="BM52" s="592"/>
      <c r="BN52" s="592"/>
      <c r="BO52" s="592"/>
      <c r="BP52" s="592"/>
      <c r="BQ52" s="592"/>
      <c r="BR52" s="592"/>
      <c r="BS52" s="592"/>
      <c r="BT52" s="592"/>
    </row>
    <row r="53" spans="1:72" s="591" customFormat="1" ht="12.5" customHeight="1">
      <c r="A53" s="540"/>
      <c r="B53" s="566"/>
      <c r="C53" s="565"/>
      <c r="D53" s="569"/>
      <c r="E53" s="569"/>
      <c r="F53" s="569"/>
      <c r="G53" s="569"/>
      <c r="H53" s="630"/>
      <c r="I53" s="625"/>
      <c r="J53" s="623"/>
      <c r="K53" s="625"/>
      <c r="L53" s="623"/>
      <c r="M53" s="623"/>
      <c r="N53" s="623"/>
      <c r="O53" s="623"/>
      <c r="P53" s="623"/>
      <c r="Q53" s="623"/>
      <c r="R53" s="633"/>
      <c r="S53" s="623"/>
      <c r="T53" s="623"/>
      <c r="U53" s="623"/>
      <c r="V53" s="623"/>
      <c r="W53" s="623"/>
      <c r="X53" s="625"/>
      <c r="Y53" s="617"/>
      <c r="Z53" s="628"/>
      <c r="AA53" s="628"/>
      <c r="AB53" s="628"/>
      <c r="AC53" s="628"/>
      <c r="AD53" s="628"/>
      <c r="AE53" s="628"/>
      <c r="AF53" s="628"/>
      <c r="AG53" s="628"/>
      <c r="AH53" s="628"/>
      <c r="AI53" s="628"/>
      <c r="AJ53" s="628"/>
      <c r="AK53" s="628"/>
      <c r="AL53" s="628"/>
      <c r="AM53" s="617"/>
      <c r="AN53" s="617"/>
      <c r="AO53" s="617"/>
      <c r="AP53" s="617"/>
      <c r="AQ53" s="617"/>
      <c r="AR53" s="617"/>
      <c r="AS53" s="617"/>
      <c r="AT53" s="565"/>
      <c r="AU53" s="565"/>
      <c r="AV53" s="565"/>
      <c r="AW53" s="565"/>
      <c r="AX53" s="569"/>
      <c r="AY53" s="565"/>
      <c r="AZ53" s="570"/>
      <c r="BA53" s="570"/>
      <c r="BB53" s="536"/>
      <c r="BC53" s="537"/>
      <c r="BD53" s="538"/>
      <c r="BE53" s="592"/>
      <c r="BF53" s="592"/>
      <c r="BG53" s="592"/>
      <c r="BH53" s="592"/>
      <c r="BI53" s="592"/>
      <c r="BJ53" s="592"/>
      <c r="BK53" s="592"/>
      <c r="BL53" s="592"/>
      <c r="BM53" s="592"/>
      <c r="BN53" s="592"/>
      <c r="BO53" s="592"/>
      <c r="BP53" s="592"/>
      <c r="BQ53" s="592"/>
      <c r="BR53" s="592"/>
      <c r="BS53" s="592"/>
      <c r="BT53" s="592"/>
    </row>
    <row r="54" spans="1:72" s="591" customFormat="1" ht="12.5" customHeight="1">
      <c r="A54" s="540"/>
      <c r="B54" s="541"/>
      <c r="C54" s="565"/>
      <c r="D54" s="565"/>
      <c r="E54" s="565"/>
      <c r="F54" s="565"/>
      <c r="G54" s="565"/>
      <c r="H54" s="601"/>
      <c r="I54" s="601"/>
      <c r="J54" s="601"/>
      <c r="K54" s="601"/>
      <c r="L54" s="601"/>
      <c r="M54" s="601"/>
      <c r="N54" s="601"/>
      <c r="O54" s="601"/>
      <c r="P54" s="601"/>
      <c r="Q54" s="601"/>
      <c r="R54" s="601"/>
      <c r="S54" s="601"/>
      <c r="T54" s="602"/>
      <c r="U54" s="602"/>
      <c r="V54" s="602"/>
      <c r="W54" s="602"/>
      <c r="X54" s="603"/>
      <c r="Y54" s="602"/>
      <c r="Z54" s="602"/>
      <c r="AA54" s="602"/>
      <c r="AB54" s="604"/>
      <c r="AC54" s="602"/>
      <c r="AD54" s="605"/>
      <c r="AE54" s="605"/>
      <c r="AF54" s="605"/>
      <c r="AG54" s="605"/>
      <c r="AH54" s="605"/>
      <c r="AI54" s="601"/>
      <c r="AJ54" s="602"/>
      <c r="AK54" s="602"/>
      <c r="AL54" s="602"/>
      <c r="AM54" s="602"/>
      <c r="AN54" s="606"/>
      <c r="AO54" s="603"/>
      <c r="AP54" s="603"/>
      <c r="AQ54" s="602"/>
      <c r="AR54" s="602"/>
      <c r="AS54" s="602"/>
      <c r="AT54" s="565"/>
      <c r="AU54" s="565"/>
      <c r="AV54" s="565"/>
      <c r="AW54" s="565"/>
      <c r="AX54" s="565"/>
      <c r="AY54" s="565"/>
      <c r="AZ54" s="543"/>
      <c r="BA54" s="543"/>
      <c r="BB54" s="536"/>
      <c r="BC54" s="537"/>
      <c r="BD54" s="538"/>
      <c r="BE54" s="592"/>
      <c r="BF54" s="592"/>
      <c r="BG54" s="592"/>
      <c r="BH54" s="592"/>
      <c r="BI54" s="592"/>
      <c r="BJ54" s="592"/>
      <c r="BK54" s="592"/>
      <c r="BL54" s="592"/>
      <c r="BM54" s="592"/>
      <c r="BN54" s="592"/>
      <c r="BO54" s="592"/>
      <c r="BP54" s="592"/>
      <c r="BQ54" s="592"/>
      <c r="BR54" s="592"/>
      <c r="BS54" s="592"/>
      <c r="BT54" s="592"/>
    </row>
    <row r="55" spans="1:72" s="591" customFormat="1" ht="12.5" customHeight="1">
      <c r="A55" s="540"/>
      <c r="B55" s="566"/>
      <c r="C55" s="565"/>
      <c r="D55" s="565"/>
      <c r="E55" s="565"/>
      <c r="F55" s="565"/>
      <c r="G55" s="565"/>
      <c r="H55" s="601"/>
      <c r="I55" s="636" t="s">
        <v>574</v>
      </c>
      <c r="J55" s="601"/>
      <c r="K55" s="601"/>
      <c r="L55" s="601"/>
      <c r="M55" s="601"/>
      <c r="N55" s="601"/>
      <c r="O55" s="601"/>
      <c r="P55" s="601"/>
      <c r="Q55" s="601"/>
      <c r="R55" s="601"/>
      <c r="S55" s="601"/>
      <c r="T55" s="602"/>
      <c r="U55" s="602"/>
      <c r="V55" s="602"/>
      <c r="W55" s="602"/>
      <c r="X55" s="603"/>
      <c r="Y55" s="602"/>
      <c r="Z55" s="601"/>
      <c r="AA55" s="601"/>
      <c r="AB55" s="601"/>
      <c r="AC55" s="601"/>
      <c r="AD55" s="601"/>
      <c r="AE55" s="601"/>
      <c r="AF55" s="601"/>
      <c r="AG55" s="601"/>
      <c r="AH55" s="601"/>
      <c r="AI55" s="601"/>
      <c r="AJ55" s="601"/>
      <c r="AK55" s="601"/>
      <c r="AL55" s="601"/>
      <c r="AM55" s="601"/>
      <c r="AN55" s="601"/>
      <c r="AO55" s="601"/>
      <c r="AP55" s="601"/>
      <c r="AQ55" s="601"/>
      <c r="AR55" s="601"/>
      <c r="AS55" s="601"/>
      <c r="AT55" s="565"/>
      <c r="AU55" s="565"/>
      <c r="AV55" s="565"/>
      <c r="AW55" s="565"/>
      <c r="AX55" s="565"/>
      <c r="AY55" s="565"/>
      <c r="AZ55" s="570"/>
      <c r="BA55" s="570"/>
      <c r="BB55" s="536"/>
      <c r="BC55" s="537"/>
      <c r="BD55" s="538"/>
      <c r="BE55" s="592"/>
      <c r="BF55" s="592"/>
      <c r="BG55" s="592"/>
      <c r="BH55" s="592"/>
      <c r="BI55" s="592"/>
      <c r="BJ55" s="592"/>
      <c r="BK55" s="592"/>
      <c r="BL55" s="592"/>
      <c r="BM55" s="592"/>
      <c r="BN55" s="592"/>
      <c r="BO55" s="592"/>
      <c r="BP55" s="592"/>
      <c r="BQ55" s="592"/>
      <c r="BR55" s="592"/>
      <c r="BS55" s="592"/>
      <c r="BT55" s="592"/>
    </row>
    <row r="56" spans="1:72" s="591" customFormat="1" ht="12.5" customHeight="1">
      <c r="A56" s="540"/>
      <c r="B56" s="566"/>
      <c r="C56" s="565"/>
      <c r="D56" s="565"/>
      <c r="E56" s="565"/>
      <c r="F56" s="565"/>
      <c r="G56" s="565"/>
      <c r="H56" s="601"/>
      <c r="I56" s="636" t="s">
        <v>575</v>
      </c>
      <c r="J56" s="608"/>
      <c r="K56" s="607"/>
      <c r="L56" s="607"/>
      <c r="M56" s="607"/>
      <c r="N56" s="607"/>
      <c r="O56" s="607"/>
      <c r="P56" s="607"/>
      <c r="Q56" s="607"/>
      <c r="R56" s="607"/>
      <c r="S56" s="607"/>
      <c r="T56" s="607"/>
      <c r="U56" s="607"/>
      <c r="V56" s="607"/>
      <c r="W56" s="607"/>
      <c r="X56" s="609"/>
      <c r="Y56" s="601"/>
      <c r="Z56" s="601"/>
      <c r="AA56" s="610"/>
      <c r="AB56" s="601"/>
      <c r="AC56" s="611"/>
      <c r="AD56" s="611"/>
      <c r="AE56" s="612"/>
      <c r="AF56" s="611"/>
      <c r="AG56" s="612"/>
      <c r="AH56" s="611"/>
      <c r="AI56" s="613"/>
      <c r="AJ56" s="611"/>
      <c r="AK56" s="612"/>
      <c r="AL56" s="612"/>
      <c r="AM56" s="612"/>
      <c r="AN56" s="612"/>
      <c r="AO56" s="612"/>
      <c r="AP56" s="612"/>
      <c r="AQ56" s="612"/>
      <c r="AR56" s="612"/>
      <c r="AS56" s="612"/>
      <c r="AT56" s="565"/>
      <c r="AU56" s="565"/>
      <c r="AV56" s="565"/>
      <c r="AW56" s="565"/>
      <c r="AX56" s="565"/>
      <c r="AY56" s="565"/>
      <c r="AZ56" s="570"/>
      <c r="BA56" s="570"/>
      <c r="BB56" s="536"/>
      <c r="BC56" s="537"/>
      <c r="BD56" s="538"/>
      <c r="BE56" s="592"/>
      <c r="BF56" s="592"/>
      <c r="BG56" s="592"/>
      <c r="BH56" s="592"/>
      <c r="BI56" s="592"/>
      <c r="BJ56" s="592"/>
      <c r="BK56" s="592"/>
      <c r="BL56" s="592"/>
      <c r="BM56" s="592"/>
      <c r="BN56" s="592"/>
      <c r="BO56" s="592"/>
      <c r="BP56" s="592"/>
      <c r="BQ56" s="592"/>
      <c r="BR56" s="592"/>
      <c r="BS56" s="592"/>
      <c r="BT56" s="592"/>
    </row>
    <row r="57" spans="1:72" s="591" customFormat="1" ht="12.5" customHeight="1">
      <c r="A57" s="540"/>
      <c r="B57" s="566"/>
      <c r="C57" s="565"/>
      <c r="D57" s="565"/>
      <c r="E57" s="565"/>
      <c r="F57" s="565"/>
      <c r="G57" s="565"/>
      <c r="H57" s="614"/>
      <c r="I57" s="637" t="s">
        <v>379</v>
      </c>
      <c r="J57" s="607"/>
      <c r="K57" s="609"/>
      <c r="L57" s="607"/>
      <c r="M57" s="607"/>
      <c r="N57" s="607"/>
      <c r="O57" s="607"/>
      <c r="P57" s="607"/>
      <c r="Q57" s="607"/>
      <c r="R57" s="607"/>
      <c r="S57" s="607"/>
      <c r="T57" s="607"/>
      <c r="U57" s="607"/>
      <c r="V57" s="607"/>
      <c r="W57" s="607"/>
      <c r="X57" s="609"/>
      <c r="Y57" s="601"/>
      <c r="Z57" s="610"/>
      <c r="AA57" s="601"/>
      <c r="AB57" s="610"/>
      <c r="AC57" s="601"/>
      <c r="AD57" s="611"/>
      <c r="AE57" s="611"/>
      <c r="AF57" s="612"/>
      <c r="AG57" s="611"/>
      <c r="AH57" s="611"/>
      <c r="AI57" s="613"/>
      <c r="AJ57" s="611"/>
      <c r="AK57" s="612"/>
      <c r="AL57" s="612"/>
      <c r="AM57" s="612"/>
      <c r="AN57" s="612"/>
      <c r="AO57" s="612"/>
      <c r="AP57" s="612"/>
      <c r="AQ57" s="612"/>
      <c r="AR57" s="612"/>
      <c r="AS57" s="601"/>
      <c r="AT57" s="565"/>
      <c r="AU57" s="565"/>
      <c r="AV57" s="565"/>
      <c r="AW57" s="565"/>
      <c r="AX57" s="565"/>
      <c r="AY57" s="565"/>
      <c r="AZ57" s="570"/>
      <c r="BA57" s="570"/>
      <c r="BB57" s="536"/>
      <c r="BC57" s="537"/>
      <c r="BD57" s="538"/>
      <c r="BE57" s="592"/>
      <c r="BF57" s="592"/>
      <c r="BG57" s="592"/>
      <c r="BH57" s="592"/>
      <c r="BI57" s="592"/>
      <c r="BJ57" s="592"/>
      <c r="BK57" s="592"/>
      <c r="BL57" s="592"/>
      <c r="BM57" s="592"/>
      <c r="BN57" s="592"/>
      <c r="BO57" s="592"/>
      <c r="BP57" s="592"/>
      <c r="BQ57" s="592"/>
      <c r="BR57" s="592"/>
      <c r="BS57" s="592"/>
      <c r="BT57" s="592"/>
    </row>
    <row r="58" spans="1:72" s="591" customFormat="1" ht="12.5" customHeight="1">
      <c r="A58" s="540"/>
      <c r="B58" s="566"/>
      <c r="C58" s="565"/>
      <c r="D58" s="565"/>
      <c r="E58" s="565"/>
      <c r="F58" s="565"/>
      <c r="G58" s="565"/>
      <c r="H58" s="614"/>
      <c r="I58" s="637" t="s">
        <v>576</v>
      </c>
      <c r="J58" s="607"/>
      <c r="K58" s="609"/>
      <c r="L58" s="607"/>
      <c r="M58" s="607"/>
      <c r="N58" s="607"/>
      <c r="O58" s="607"/>
      <c r="P58" s="607"/>
      <c r="Q58" s="607"/>
      <c r="R58" s="607"/>
      <c r="S58" s="607"/>
      <c r="T58" s="607"/>
      <c r="U58" s="607"/>
      <c r="V58" s="607"/>
      <c r="W58" s="607"/>
      <c r="X58" s="609"/>
      <c r="Y58" s="601"/>
      <c r="Z58" s="612"/>
      <c r="AA58" s="612"/>
      <c r="AB58" s="612"/>
      <c r="AC58" s="612"/>
      <c r="AD58" s="612"/>
      <c r="AE58" s="612"/>
      <c r="AF58" s="612"/>
      <c r="AG58" s="612"/>
      <c r="AH58" s="612"/>
      <c r="AI58" s="612"/>
      <c r="AJ58" s="612"/>
      <c r="AK58" s="612"/>
      <c r="AL58" s="612"/>
      <c r="AM58" s="601"/>
      <c r="AN58" s="601"/>
      <c r="AO58" s="601"/>
      <c r="AP58" s="601"/>
      <c r="AQ58" s="601"/>
      <c r="AR58" s="601"/>
      <c r="AS58" s="601"/>
      <c r="AT58" s="565"/>
      <c r="AU58" s="565"/>
      <c r="AV58" s="565"/>
      <c r="AW58" s="565"/>
      <c r="AX58" s="565"/>
      <c r="AY58" s="565"/>
      <c r="AZ58" s="570"/>
      <c r="BA58" s="570"/>
      <c r="BB58" s="536"/>
      <c r="BC58" s="537"/>
      <c r="BD58" s="538"/>
      <c r="BE58" s="592"/>
      <c r="BF58" s="592"/>
      <c r="BG58" s="592"/>
      <c r="BH58" s="592"/>
      <c r="BI58" s="592"/>
      <c r="BJ58" s="592"/>
      <c r="BK58" s="592"/>
      <c r="BL58" s="592"/>
      <c r="BM58" s="592"/>
      <c r="BN58" s="592"/>
      <c r="BO58" s="592"/>
      <c r="BP58" s="592"/>
      <c r="BQ58" s="592"/>
      <c r="BR58" s="592"/>
      <c r="BS58" s="592"/>
      <c r="BT58" s="592"/>
    </row>
    <row r="59" spans="1:72" s="591" customFormat="1" ht="12.5" customHeight="1">
      <c r="A59" s="540"/>
      <c r="B59" s="566"/>
      <c r="C59" s="565"/>
      <c r="D59" s="565"/>
      <c r="E59" s="565"/>
      <c r="F59" s="565"/>
      <c r="G59" s="565"/>
      <c r="H59" s="614"/>
      <c r="I59" s="609"/>
      <c r="J59" s="607"/>
      <c r="K59" s="609"/>
      <c r="L59" s="607"/>
      <c r="M59" s="607"/>
      <c r="N59" s="607"/>
      <c r="O59" s="607"/>
      <c r="P59" s="607"/>
      <c r="Q59" s="607"/>
      <c r="R59" s="607"/>
      <c r="S59" s="607"/>
      <c r="T59" s="607"/>
      <c r="U59" s="607"/>
      <c r="V59" s="607"/>
      <c r="W59" s="607"/>
      <c r="X59" s="609"/>
      <c r="Y59" s="601"/>
      <c r="Z59" s="610"/>
      <c r="AA59" s="601"/>
      <c r="AB59" s="610"/>
      <c r="AC59" s="601"/>
      <c r="AD59" s="611"/>
      <c r="AE59" s="611"/>
      <c r="AF59" s="612"/>
      <c r="AG59" s="611"/>
      <c r="AH59" s="611"/>
      <c r="AI59" s="613"/>
      <c r="AJ59" s="611"/>
      <c r="AK59" s="612"/>
      <c r="AL59" s="612"/>
      <c r="AM59" s="612"/>
      <c r="AN59" s="612"/>
      <c r="AO59" s="612"/>
      <c r="AP59" s="612"/>
      <c r="AQ59" s="612"/>
      <c r="AR59" s="612"/>
      <c r="AS59" s="601"/>
      <c r="AT59" s="565"/>
      <c r="AU59" s="565"/>
      <c r="AV59" s="565"/>
      <c r="AW59" s="565"/>
      <c r="AX59" s="565"/>
      <c r="AY59" s="565"/>
      <c r="AZ59" s="570"/>
      <c r="BA59" s="570"/>
      <c r="BB59" s="536"/>
      <c r="BC59" s="537"/>
      <c r="BD59" s="538"/>
      <c r="BE59" s="592"/>
      <c r="BF59" s="592"/>
      <c r="BT59" s="592"/>
    </row>
    <row r="60" spans="1:72" s="591" customFormat="1" ht="12.5" customHeight="1">
      <c r="A60" s="540"/>
      <c r="B60" s="566"/>
      <c r="C60" s="565"/>
      <c r="D60" s="565"/>
      <c r="E60" s="565"/>
      <c r="F60" s="565"/>
      <c r="G60" s="565"/>
      <c r="H60" s="614"/>
      <c r="I60" s="609"/>
      <c r="J60" s="607"/>
      <c r="K60" s="609"/>
      <c r="L60" s="607"/>
      <c r="M60" s="607"/>
      <c r="N60" s="607"/>
      <c r="O60" s="607"/>
      <c r="P60" s="607"/>
      <c r="Q60" s="607"/>
      <c r="R60" s="607"/>
      <c r="S60" s="607"/>
      <c r="T60" s="607"/>
      <c r="U60" s="607"/>
      <c r="V60" s="607"/>
      <c r="W60" s="607"/>
      <c r="X60" s="609"/>
      <c r="Y60" s="601"/>
      <c r="Z60" s="612"/>
      <c r="AA60" s="612"/>
      <c r="AB60" s="612"/>
      <c r="AC60" s="612"/>
      <c r="AD60" s="612"/>
      <c r="AE60" s="612"/>
      <c r="AF60" s="612"/>
      <c r="AG60" s="612"/>
      <c r="AH60" s="612"/>
      <c r="AI60" s="612"/>
      <c r="AJ60" s="612"/>
      <c r="AK60" s="612"/>
      <c r="AL60" s="612"/>
      <c r="AM60" s="601"/>
      <c r="AN60" s="601"/>
      <c r="AO60" s="601"/>
      <c r="AP60" s="601"/>
      <c r="AQ60" s="601"/>
      <c r="AR60" s="601"/>
      <c r="AS60" s="601"/>
      <c r="AT60" s="565"/>
      <c r="AU60" s="565"/>
      <c r="AV60" s="565"/>
      <c r="AW60" s="565"/>
      <c r="AX60" s="565"/>
      <c r="AY60" s="565"/>
      <c r="AZ60" s="570"/>
      <c r="BA60" s="570"/>
      <c r="BB60" s="536"/>
      <c r="BC60" s="537"/>
      <c r="BD60" s="538"/>
      <c r="BE60" s="592"/>
      <c r="BF60" s="592"/>
      <c r="BG60" s="575"/>
      <c r="BH60" s="575"/>
      <c r="BI60" s="594"/>
      <c r="BJ60" s="593"/>
      <c r="BK60" s="593"/>
      <c r="BL60" s="593"/>
      <c r="BM60" s="593"/>
      <c r="BN60" s="593"/>
      <c r="BO60" s="593"/>
      <c r="BP60" s="593"/>
      <c r="BQ60" s="593"/>
      <c r="BR60" s="592"/>
      <c r="BS60" s="592"/>
      <c r="BT60" s="592"/>
    </row>
    <row r="61" spans="1:72" s="591" customFormat="1" ht="12.5" customHeight="1">
      <c r="A61" s="540"/>
      <c r="B61" s="566"/>
      <c r="C61" s="565"/>
      <c r="D61" s="565"/>
      <c r="E61" s="565"/>
      <c r="F61" s="565"/>
      <c r="G61" s="565"/>
      <c r="H61" s="578"/>
      <c r="I61" s="578"/>
      <c r="J61" s="578"/>
      <c r="K61" s="578"/>
      <c r="L61" s="578"/>
      <c r="M61" s="578"/>
      <c r="N61" s="578"/>
      <c r="O61" s="578"/>
      <c r="P61" s="578"/>
      <c r="Q61" s="578"/>
      <c r="R61" s="578"/>
      <c r="S61" s="578"/>
      <c r="T61" s="578"/>
      <c r="U61" s="578"/>
      <c r="V61" s="578"/>
      <c r="W61" s="578"/>
      <c r="X61" s="578"/>
      <c r="Y61" s="578"/>
      <c r="Z61" s="578"/>
      <c r="AA61" s="578"/>
      <c r="AB61" s="578"/>
      <c r="AC61" s="578"/>
      <c r="AD61" s="578"/>
      <c r="AE61" s="578"/>
      <c r="AF61" s="578"/>
      <c r="AG61" s="578"/>
      <c r="AH61" s="578"/>
      <c r="AI61" s="578"/>
      <c r="AJ61" s="578"/>
      <c r="AK61" s="578"/>
      <c r="AL61" s="578"/>
      <c r="AM61" s="578"/>
      <c r="AN61" s="578"/>
      <c r="AO61" s="578"/>
      <c r="AP61" s="578"/>
      <c r="AQ61" s="578"/>
      <c r="AR61" s="578"/>
      <c r="AS61" s="579"/>
      <c r="AT61" s="572"/>
      <c r="AU61" s="565"/>
      <c r="AV61" s="569"/>
      <c r="AW61" s="569"/>
      <c r="AX61" s="569"/>
      <c r="AY61" s="565"/>
      <c r="AZ61" s="570"/>
      <c r="BA61" s="570"/>
      <c r="BB61" s="553"/>
      <c r="BC61" s="554"/>
      <c r="BD61" s="539"/>
      <c r="BE61" s="592"/>
      <c r="BF61" s="592"/>
      <c r="BG61" s="575"/>
      <c r="BH61" s="575"/>
      <c r="BI61" s="594"/>
      <c r="BJ61" s="575"/>
      <c r="BK61" s="593"/>
      <c r="BL61" s="593"/>
      <c r="BM61" s="593"/>
      <c r="BN61" s="593"/>
      <c r="BO61" s="593"/>
      <c r="BP61" s="593"/>
      <c r="BQ61" s="593"/>
      <c r="BR61" s="592"/>
      <c r="BS61" s="592"/>
      <c r="BT61" s="592"/>
    </row>
    <row r="62" spans="1:72" s="591" customFormat="1" ht="12.5" customHeight="1">
      <c r="A62" s="540"/>
      <c r="B62" s="566"/>
      <c r="C62" s="565"/>
      <c r="D62" s="565"/>
      <c r="E62" s="565"/>
      <c r="F62" s="565"/>
      <c r="G62" s="565"/>
      <c r="H62" s="578"/>
      <c r="I62" s="578"/>
      <c r="J62" s="578"/>
      <c r="K62" s="578"/>
      <c r="L62" s="578"/>
      <c r="M62" s="578"/>
      <c r="N62" s="578"/>
      <c r="O62" s="578"/>
      <c r="P62" s="578"/>
      <c r="Q62" s="578"/>
      <c r="R62" s="578"/>
      <c r="S62" s="578"/>
      <c r="T62" s="578"/>
      <c r="U62" s="578"/>
      <c r="V62" s="578"/>
      <c r="W62" s="578"/>
      <c r="X62" s="578"/>
      <c r="Y62" s="578"/>
      <c r="Z62" s="578"/>
      <c r="AA62" s="578"/>
      <c r="AB62" s="578"/>
      <c r="AC62" s="578"/>
      <c r="AD62" s="578"/>
      <c r="AE62" s="578"/>
      <c r="AF62" s="578"/>
      <c r="AG62" s="578"/>
      <c r="AH62" s="578"/>
      <c r="AI62" s="578"/>
      <c r="AJ62" s="578"/>
      <c r="AK62" s="578"/>
      <c r="AL62" s="578"/>
      <c r="AM62" s="578"/>
      <c r="AN62" s="578"/>
      <c r="AO62" s="578"/>
      <c r="AP62" s="578"/>
      <c r="AQ62" s="578"/>
      <c r="AR62" s="578"/>
      <c r="AS62" s="579"/>
      <c r="AT62" s="572"/>
      <c r="AU62" s="565"/>
      <c r="AV62" s="569"/>
      <c r="AW62" s="569"/>
      <c r="AX62" s="569"/>
      <c r="AY62" s="565"/>
      <c r="AZ62" s="570"/>
      <c r="BA62" s="570"/>
      <c r="BB62" s="553"/>
      <c r="BC62" s="554"/>
      <c r="BD62" s="539"/>
      <c r="BE62" s="592"/>
      <c r="BF62" s="592"/>
      <c r="BG62" s="592"/>
      <c r="BH62" s="595"/>
      <c r="BI62" s="592"/>
      <c r="BJ62" s="592"/>
      <c r="BK62" s="592"/>
      <c r="BL62" s="592"/>
      <c r="BM62" s="592"/>
      <c r="BN62" s="592"/>
      <c r="BO62" s="592"/>
      <c r="BP62" s="592"/>
      <c r="BQ62" s="592"/>
      <c r="BR62" s="592"/>
      <c r="BS62" s="592"/>
      <c r="BT62" s="592"/>
    </row>
    <row r="63" spans="1:72" s="591" customFormat="1" ht="12.5" customHeight="1">
      <c r="A63" s="540"/>
      <c r="B63" s="566"/>
      <c r="C63" s="565"/>
      <c r="D63" s="569"/>
      <c r="E63" s="569"/>
      <c r="F63" s="569"/>
      <c r="G63" s="569"/>
      <c r="H63" s="630"/>
      <c r="I63" s="625"/>
      <c r="J63" s="623"/>
      <c r="K63" s="625"/>
      <c r="L63" s="623"/>
      <c r="M63" s="623"/>
      <c r="N63" s="623"/>
      <c r="O63" s="623"/>
      <c r="P63" s="623"/>
      <c r="Q63" s="623"/>
      <c r="R63" s="623"/>
      <c r="S63" s="623"/>
      <c r="T63" s="623"/>
      <c r="U63" s="623"/>
      <c r="V63" s="623"/>
      <c r="W63" s="623"/>
      <c r="X63" s="625"/>
      <c r="Y63" s="617"/>
      <c r="Z63" s="628"/>
      <c r="AA63" s="628"/>
      <c r="AB63" s="628"/>
      <c r="AC63" s="628"/>
      <c r="AD63" s="628"/>
      <c r="AE63" s="628"/>
      <c r="AF63" s="628"/>
      <c r="AG63" s="628"/>
      <c r="AH63" s="628"/>
      <c r="AI63" s="628"/>
      <c r="AJ63" s="628"/>
      <c r="AK63" s="628"/>
      <c r="AL63" s="628"/>
      <c r="AM63" s="617"/>
      <c r="AN63" s="617"/>
      <c r="AO63" s="617"/>
      <c r="AP63" s="617"/>
      <c r="AQ63" s="617"/>
      <c r="AR63" s="617"/>
      <c r="AS63" s="617"/>
      <c r="AT63" s="565"/>
      <c r="AU63" s="565"/>
      <c r="AV63" s="565"/>
      <c r="AW63" s="565"/>
      <c r="AX63" s="569"/>
      <c r="AY63" s="565"/>
      <c r="AZ63" s="570"/>
      <c r="BA63" s="570"/>
      <c r="BB63" s="536"/>
      <c r="BC63" s="537"/>
      <c r="BD63" s="538"/>
      <c r="BE63" s="592"/>
      <c r="BF63" s="592"/>
      <c r="BG63" s="592"/>
      <c r="BH63" s="592"/>
      <c r="BI63" s="592"/>
      <c r="BJ63" s="592"/>
      <c r="BK63" s="592"/>
      <c r="BL63" s="592"/>
      <c r="BM63" s="592"/>
      <c r="BN63" s="592"/>
      <c r="BO63" s="592"/>
      <c r="BP63" s="592"/>
      <c r="BQ63" s="592"/>
      <c r="BR63" s="592"/>
      <c r="BS63" s="592"/>
      <c r="BT63" s="592"/>
    </row>
    <row r="64" spans="1:72" s="591" customFormat="1" ht="12.5" customHeight="1">
      <c r="A64" s="540"/>
      <c r="B64" s="566"/>
      <c r="C64" s="565"/>
      <c r="D64" s="569"/>
      <c r="E64" s="569"/>
      <c r="F64" s="569"/>
      <c r="G64" s="569"/>
      <c r="H64" s="630"/>
      <c r="I64" s="625"/>
      <c r="J64" s="623"/>
      <c r="K64" s="625"/>
      <c r="L64" s="623"/>
      <c r="M64" s="623"/>
      <c r="N64" s="623"/>
      <c r="O64" s="623"/>
      <c r="P64" s="623"/>
      <c r="Q64" s="623"/>
      <c r="R64" s="623"/>
      <c r="S64" s="623"/>
      <c r="T64" s="623"/>
      <c r="U64" s="623"/>
      <c r="V64" s="623"/>
      <c r="W64" s="623"/>
      <c r="X64" s="625"/>
      <c r="Y64" s="617"/>
      <c r="Z64" s="628"/>
      <c r="AA64" s="628"/>
      <c r="AB64" s="628"/>
      <c r="AC64" s="628"/>
      <c r="AD64" s="628"/>
      <c r="AE64" s="628"/>
      <c r="AF64" s="628"/>
      <c r="AG64" s="628"/>
      <c r="AH64" s="628"/>
      <c r="AI64" s="628"/>
      <c r="AJ64" s="628"/>
      <c r="AK64" s="628"/>
      <c r="AL64" s="628"/>
      <c r="AM64" s="617"/>
      <c r="AN64" s="617"/>
      <c r="AO64" s="617"/>
      <c r="AP64" s="617"/>
      <c r="AQ64" s="617"/>
      <c r="AR64" s="617"/>
      <c r="AS64" s="617"/>
      <c r="AT64" s="565"/>
      <c r="AU64" s="565"/>
      <c r="AV64" s="565"/>
      <c r="AW64" s="565"/>
      <c r="AX64" s="569"/>
      <c r="AY64" s="565"/>
      <c r="AZ64" s="570"/>
      <c r="BA64" s="570"/>
      <c r="BB64" s="536"/>
      <c r="BC64" s="537"/>
      <c r="BD64" s="538"/>
      <c r="BE64" s="592"/>
      <c r="BF64" s="592"/>
      <c r="BG64" s="592"/>
      <c r="BH64" s="595"/>
      <c r="BI64" s="592"/>
      <c r="BJ64" s="592"/>
      <c r="BK64" s="592"/>
      <c r="BL64" s="592"/>
      <c r="BM64" s="592"/>
      <c r="BN64" s="592"/>
      <c r="BO64" s="592"/>
      <c r="BP64" s="592"/>
      <c r="BQ64" s="592"/>
      <c r="BR64" s="592"/>
      <c r="BS64" s="592"/>
      <c r="BT64" s="592"/>
    </row>
    <row r="65" spans="1:72" s="591" customFormat="1" ht="12.5" customHeight="1">
      <c r="A65" s="540"/>
      <c r="B65" s="566"/>
      <c r="C65" s="565"/>
      <c r="D65" s="569"/>
      <c r="E65" s="569"/>
      <c r="F65" s="569"/>
      <c r="G65" s="569"/>
      <c r="H65" s="630"/>
      <c r="I65" s="625"/>
      <c r="J65" s="623"/>
      <c r="K65" s="625"/>
      <c r="L65" s="623"/>
      <c r="M65" s="623"/>
      <c r="N65" s="623"/>
      <c r="O65" s="623"/>
      <c r="P65" s="623"/>
      <c r="Q65" s="623"/>
      <c r="R65" s="633"/>
      <c r="S65" s="623"/>
      <c r="T65" s="623"/>
      <c r="U65" s="623"/>
      <c r="V65" s="623"/>
      <c r="W65" s="623"/>
      <c r="X65" s="625"/>
      <c r="Y65" s="617"/>
      <c r="Z65" s="628"/>
      <c r="AA65" s="628"/>
      <c r="AB65" s="628"/>
      <c r="AC65" s="628"/>
      <c r="AD65" s="628"/>
      <c r="AE65" s="628"/>
      <c r="AF65" s="628"/>
      <c r="AG65" s="628"/>
      <c r="AH65" s="628"/>
      <c r="AI65" s="628"/>
      <c r="AJ65" s="628"/>
      <c r="AK65" s="628"/>
      <c r="AL65" s="628"/>
      <c r="AM65" s="617"/>
      <c r="AN65" s="617"/>
      <c r="AO65" s="617"/>
      <c r="AP65" s="617"/>
      <c r="AQ65" s="617"/>
      <c r="AR65" s="617"/>
      <c r="AS65" s="617"/>
      <c r="AT65" s="565"/>
      <c r="AU65" s="565"/>
      <c r="AV65" s="565"/>
      <c r="AW65" s="565"/>
      <c r="AX65" s="569"/>
      <c r="AY65" s="565"/>
      <c r="AZ65" s="570"/>
      <c r="BA65" s="570"/>
      <c r="BB65" s="536"/>
      <c r="BC65" s="537"/>
      <c r="BD65" s="538"/>
      <c r="BE65" s="592"/>
      <c r="BF65" s="592"/>
      <c r="BG65" s="575"/>
      <c r="BH65" s="575"/>
      <c r="BI65" s="592"/>
      <c r="BJ65" s="592"/>
      <c r="BK65" s="592"/>
      <c r="BL65" s="592"/>
      <c r="BM65" s="592"/>
      <c r="BN65" s="592"/>
      <c r="BO65" s="592"/>
      <c r="BP65" s="592"/>
      <c r="BQ65" s="592"/>
      <c r="BR65" s="592"/>
      <c r="BS65" s="592"/>
      <c r="BT65" s="592"/>
    </row>
    <row r="66" spans="1:72" s="591" customFormat="1" ht="12.5" customHeight="1">
      <c r="A66" s="540"/>
      <c r="B66" s="566"/>
      <c r="C66" s="565"/>
      <c r="D66" s="569"/>
      <c r="E66" s="569"/>
      <c r="F66" s="569"/>
      <c r="G66" s="569"/>
      <c r="H66" s="630"/>
      <c r="I66" s="625"/>
      <c r="J66" s="623"/>
      <c r="K66" s="625"/>
      <c r="L66" s="623"/>
      <c r="M66" s="623"/>
      <c r="N66" s="623"/>
      <c r="O66" s="623"/>
      <c r="P66" s="623"/>
      <c r="Q66" s="623"/>
      <c r="R66" s="633"/>
      <c r="S66" s="623"/>
      <c r="T66" s="623"/>
      <c r="U66" s="623"/>
      <c r="V66" s="623"/>
      <c r="W66" s="623"/>
      <c r="X66" s="625"/>
      <c r="Y66" s="617"/>
      <c r="Z66" s="628"/>
      <c r="AA66" s="628"/>
      <c r="AB66" s="628"/>
      <c r="AC66" s="628"/>
      <c r="AD66" s="628"/>
      <c r="AE66" s="628"/>
      <c r="AF66" s="628"/>
      <c r="AG66" s="628"/>
      <c r="AH66" s="628"/>
      <c r="AI66" s="628"/>
      <c r="AJ66" s="628"/>
      <c r="AK66" s="628"/>
      <c r="AL66" s="628"/>
      <c r="AM66" s="617"/>
      <c r="AN66" s="617"/>
      <c r="AO66" s="617"/>
      <c r="AP66" s="617"/>
      <c r="AQ66" s="617"/>
      <c r="AR66" s="617"/>
      <c r="AS66" s="617"/>
      <c r="AT66" s="565"/>
      <c r="AU66" s="565"/>
      <c r="AV66" s="565"/>
      <c r="AW66" s="565"/>
      <c r="AX66" s="569"/>
      <c r="AY66" s="565"/>
      <c r="AZ66" s="570"/>
      <c r="BA66" s="570"/>
      <c r="BB66" s="536"/>
      <c r="BC66" s="537"/>
      <c r="BD66" s="538"/>
      <c r="BE66" s="592"/>
      <c r="BF66" s="592"/>
      <c r="BG66" s="575"/>
      <c r="BH66" s="575"/>
      <c r="BI66" s="592"/>
      <c r="BJ66" s="592"/>
      <c r="BK66" s="592"/>
      <c r="BL66" s="592"/>
      <c r="BM66" s="592"/>
      <c r="BN66" s="592"/>
      <c r="BO66" s="592"/>
      <c r="BP66" s="592"/>
      <c r="BQ66" s="592"/>
      <c r="BR66" s="592"/>
      <c r="BS66" s="592"/>
      <c r="BT66" s="592"/>
    </row>
    <row r="67" spans="1:72" s="591" customFormat="1" ht="12.5" customHeight="1">
      <c r="A67" s="540"/>
      <c r="B67" s="566"/>
      <c r="C67" s="565"/>
      <c r="D67" s="569"/>
      <c r="E67" s="569"/>
      <c r="F67" s="569"/>
      <c r="G67" s="569"/>
      <c r="H67" s="630"/>
      <c r="I67" s="625"/>
      <c r="J67" s="623"/>
      <c r="K67" s="625"/>
      <c r="L67" s="623"/>
      <c r="M67" s="623"/>
      <c r="N67" s="623"/>
      <c r="O67" s="623"/>
      <c r="P67" s="623"/>
      <c r="Q67" s="623"/>
      <c r="R67" s="623"/>
      <c r="S67" s="623"/>
      <c r="T67" s="623"/>
      <c r="U67" s="623"/>
      <c r="V67" s="623"/>
      <c r="W67" s="623"/>
      <c r="X67" s="625"/>
      <c r="Y67" s="617"/>
      <c r="Z67" s="628"/>
      <c r="AA67" s="628"/>
      <c r="AB67" s="628"/>
      <c r="AC67" s="628"/>
      <c r="AD67" s="628"/>
      <c r="AE67" s="628"/>
      <c r="AF67" s="628"/>
      <c r="AG67" s="628"/>
      <c r="AH67" s="628"/>
      <c r="AI67" s="628"/>
      <c r="AJ67" s="628"/>
      <c r="AK67" s="628"/>
      <c r="AL67" s="628"/>
      <c r="AM67" s="617"/>
      <c r="AN67" s="617"/>
      <c r="AO67" s="617"/>
      <c r="AP67" s="617"/>
      <c r="AQ67" s="617"/>
      <c r="AR67" s="617"/>
      <c r="AS67" s="617"/>
      <c r="AT67" s="565"/>
      <c r="AU67" s="565"/>
      <c r="AV67" s="565"/>
      <c r="AW67" s="565"/>
      <c r="AX67" s="569"/>
      <c r="AY67" s="565"/>
      <c r="AZ67" s="570"/>
      <c r="BA67" s="570"/>
      <c r="BB67" s="536"/>
      <c r="BC67" s="537"/>
      <c r="BD67" s="538"/>
      <c r="BE67" s="592"/>
      <c r="BF67" s="592"/>
      <c r="BG67" s="575"/>
      <c r="BH67" s="575"/>
      <c r="BI67" s="592"/>
      <c r="BJ67" s="592"/>
      <c r="BK67" s="592"/>
      <c r="BL67" s="592"/>
      <c r="BM67" s="592"/>
      <c r="BN67" s="592"/>
      <c r="BO67" s="592"/>
      <c r="BP67" s="592"/>
      <c r="BQ67" s="592"/>
      <c r="BR67" s="592"/>
      <c r="BS67" s="592"/>
      <c r="BT67" s="592"/>
    </row>
    <row r="68" spans="1:72" s="591" customFormat="1" ht="12.5" customHeight="1">
      <c r="A68" s="540"/>
      <c r="B68" s="566"/>
      <c r="C68" s="565"/>
      <c r="D68" s="565"/>
      <c r="E68" s="565"/>
      <c r="F68" s="565"/>
      <c r="G68" s="565"/>
      <c r="H68" s="578"/>
      <c r="I68" s="578"/>
      <c r="J68" s="578"/>
      <c r="K68" s="578"/>
      <c r="L68" s="578"/>
      <c r="M68" s="578"/>
      <c r="N68" s="578"/>
      <c r="O68" s="578"/>
      <c r="P68" s="578"/>
      <c r="Q68" s="578"/>
      <c r="R68" s="578"/>
      <c r="S68" s="578"/>
      <c r="T68" s="578"/>
      <c r="U68" s="578"/>
      <c r="V68" s="578"/>
      <c r="W68" s="578"/>
      <c r="X68" s="578"/>
      <c r="Y68" s="578"/>
      <c r="Z68" s="578"/>
      <c r="AA68" s="578"/>
      <c r="AB68" s="578"/>
      <c r="AC68" s="578"/>
      <c r="AD68" s="578"/>
      <c r="AE68" s="578"/>
      <c r="AF68" s="578"/>
      <c r="AG68" s="578"/>
      <c r="AH68" s="578"/>
      <c r="AI68" s="578"/>
      <c r="AJ68" s="578"/>
      <c r="AK68" s="578"/>
      <c r="AL68" s="578"/>
      <c r="AM68" s="578"/>
      <c r="AN68" s="578"/>
      <c r="AO68" s="578"/>
      <c r="AP68" s="578"/>
      <c r="AQ68" s="578"/>
      <c r="AR68" s="578"/>
      <c r="AS68" s="579"/>
      <c r="AT68" s="572"/>
      <c r="AU68" s="565"/>
      <c r="AV68" s="569"/>
      <c r="AW68" s="569"/>
      <c r="AX68" s="569"/>
      <c r="AY68" s="565"/>
      <c r="AZ68" s="570"/>
      <c r="BA68" s="570"/>
      <c r="BB68" s="553"/>
      <c r="BC68" s="554"/>
      <c r="BD68" s="539"/>
      <c r="BE68" s="592"/>
      <c r="BF68" s="592"/>
      <c r="BG68" s="592"/>
      <c r="BH68" s="592"/>
      <c r="BI68" s="592"/>
      <c r="BJ68" s="592"/>
      <c r="BK68" s="592"/>
      <c r="BL68" s="592"/>
      <c r="BM68" s="592"/>
      <c r="BN68" s="592"/>
      <c r="BO68" s="592"/>
      <c r="BP68" s="592"/>
      <c r="BQ68" s="592"/>
      <c r="BR68" s="592"/>
      <c r="BS68" s="592"/>
      <c r="BT68" s="592"/>
    </row>
    <row r="69" spans="1:72" s="591" customFormat="1" ht="15">
      <c r="A69" s="556"/>
      <c r="B69" s="674"/>
      <c r="C69" s="597"/>
      <c r="D69" s="597"/>
      <c r="E69" s="597"/>
      <c r="F69" s="597"/>
      <c r="G69" s="597"/>
      <c r="H69" s="597"/>
      <c r="I69" s="597"/>
      <c r="J69" s="597"/>
      <c r="K69" s="597"/>
      <c r="L69" s="597"/>
      <c r="M69" s="597"/>
      <c r="N69" s="597"/>
      <c r="O69" s="597"/>
      <c r="P69" s="597"/>
      <c r="Q69" s="597"/>
      <c r="R69" s="597"/>
      <c r="S69" s="598"/>
      <c r="T69" s="598"/>
      <c r="U69" s="598"/>
      <c r="V69" s="598"/>
      <c r="W69" s="597"/>
      <c r="X69" s="597"/>
      <c r="Y69" s="598"/>
      <c r="Z69" s="598"/>
      <c r="AA69" s="597"/>
      <c r="AB69" s="597"/>
      <c r="AC69" s="597"/>
      <c r="AD69" s="598"/>
      <c r="AE69" s="598"/>
      <c r="AF69" s="598"/>
      <c r="AG69" s="598"/>
      <c r="AH69" s="598"/>
      <c r="AI69" s="598"/>
      <c r="AJ69" s="598"/>
      <c r="AK69" s="598"/>
      <c r="AL69" s="598"/>
      <c r="AM69" s="598"/>
      <c r="AN69" s="598"/>
      <c r="AO69" s="598"/>
      <c r="AP69" s="598"/>
      <c r="AQ69" s="598"/>
      <c r="AR69" s="598"/>
      <c r="AS69" s="598"/>
      <c r="AT69" s="598"/>
      <c r="AU69" s="598"/>
      <c r="AV69" s="598"/>
      <c r="AW69" s="598"/>
      <c r="AX69" s="598"/>
      <c r="AY69" s="596"/>
      <c r="AZ69" s="577"/>
      <c r="BA69" s="577"/>
      <c r="BB69" s="599"/>
      <c r="BC69" s="554"/>
      <c r="BD69" s="555"/>
      <c r="BE69" s="592"/>
      <c r="BF69" s="592"/>
      <c r="BG69" s="592"/>
      <c r="BH69" s="592"/>
      <c r="BI69" s="592"/>
      <c r="BJ69" s="592"/>
      <c r="BK69" s="592"/>
      <c r="BL69" s="592"/>
      <c r="BM69" s="592"/>
      <c r="BN69" s="592"/>
      <c r="BO69" s="592"/>
      <c r="BP69" s="592"/>
      <c r="BQ69" s="592"/>
      <c r="BR69" s="592"/>
      <c r="BS69" s="592"/>
      <c r="BT69" s="592"/>
    </row>
    <row r="70" spans="1:72" s="591" customFormat="1" ht="15">
      <c r="A70" s="539"/>
      <c r="B70" s="539"/>
      <c r="C70" s="539"/>
      <c r="D70" s="539"/>
      <c r="E70" s="539"/>
      <c r="F70" s="539"/>
      <c r="G70" s="539"/>
      <c r="H70" s="539"/>
      <c r="I70" s="539"/>
      <c r="J70" s="539"/>
      <c r="K70" s="539"/>
      <c r="L70" s="539"/>
      <c r="M70" s="539"/>
      <c r="N70" s="539"/>
      <c r="O70" s="539"/>
      <c r="P70" s="539"/>
      <c r="Q70" s="539"/>
      <c r="R70" s="539"/>
      <c r="S70" s="557"/>
      <c r="T70" s="557"/>
      <c r="U70" s="557"/>
      <c r="V70" s="557"/>
      <c r="W70" s="539"/>
      <c r="X70" s="539"/>
      <c r="Y70" s="557"/>
      <c r="Z70" s="557"/>
      <c r="AA70" s="539"/>
      <c r="AB70" s="539"/>
      <c r="AC70" s="539"/>
      <c r="AD70" s="557"/>
      <c r="AE70" s="557"/>
      <c r="AF70" s="557"/>
      <c r="AG70" s="557"/>
      <c r="AH70" s="557"/>
      <c r="AI70" s="557"/>
      <c r="AJ70" s="557"/>
      <c r="AK70" s="557"/>
      <c r="AL70" s="557"/>
      <c r="AM70" s="557"/>
      <c r="AN70" s="557"/>
      <c r="AO70" s="557"/>
      <c r="AP70" s="557"/>
      <c r="AQ70" s="557"/>
      <c r="AR70" s="557"/>
      <c r="AS70" s="557"/>
      <c r="AT70" s="557"/>
      <c r="AU70" s="557"/>
      <c r="AV70" s="557"/>
      <c r="AW70" s="557"/>
      <c r="AX70" s="557"/>
      <c r="AY70" s="557"/>
      <c r="AZ70" s="557"/>
      <c r="BA70" s="557"/>
      <c r="BB70" s="557"/>
      <c r="BC70" s="557"/>
      <c r="BD70" s="555"/>
      <c r="BE70" s="592"/>
      <c r="BF70" s="592"/>
      <c r="BG70" s="592"/>
      <c r="BH70" s="638"/>
      <c r="BI70" s="592"/>
      <c r="BJ70" s="592"/>
      <c r="BK70" s="592"/>
      <c r="BL70" s="592"/>
      <c r="BM70" s="592"/>
      <c r="BN70" s="592"/>
      <c r="BO70" s="592"/>
      <c r="BP70" s="592"/>
      <c r="BQ70" s="592"/>
      <c r="BR70" s="592"/>
      <c r="BS70" s="592"/>
      <c r="BT70" s="592"/>
    </row>
    <row r="71" spans="1:72" s="591" customFormat="1" ht="15">
      <c r="A71" s="539"/>
      <c r="B71" s="539"/>
      <c r="C71" s="539"/>
      <c r="D71" s="539"/>
      <c r="E71" s="539"/>
      <c r="F71" s="539"/>
      <c r="G71" s="539"/>
      <c r="H71" s="539"/>
      <c r="I71" s="539"/>
      <c r="J71" s="539"/>
      <c r="K71" s="539"/>
      <c r="L71" s="539"/>
      <c r="M71" s="539"/>
      <c r="N71" s="539"/>
      <c r="O71" s="539"/>
      <c r="P71" s="539"/>
      <c r="Q71" s="539"/>
      <c r="R71" s="539"/>
      <c r="S71" s="557"/>
      <c r="T71" s="557"/>
      <c r="U71" s="557"/>
      <c r="V71" s="557"/>
      <c r="W71" s="539"/>
      <c r="X71" s="539"/>
      <c r="Y71" s="557"/>
      <c r="Z71" s="557"/>
      <c r="AA71" s="539"/>
      <c r="AB71" s="539"/>
      <c r="AC71" s="539"/>
      <c r="AD71" s="557"/>
      <c r="AE71" s="557"/>
      <c r="AF71" s="557"/>
      <c r="AG71" s="557"/>
      <c r="AH71" s="557"/>
      <c r="AI71" s="557"/>
      <c r="AJ71" s="557"/>
      <c r="AK71" s="557"/>
      <c r="AL71" s="557"/>
      <c r="AM71" s="557"/>
      <c r="AN71" s="557"/>
      <c r="AO71" s="557"/>
      <c r="AP71" s="557"/>
      <c r="AQ71" s="557"/>
      <c r="AR71" s="557"/>
      <c r="AS71" s="557"/>
      <c r="AT71" s="557"/>
      <c r="AU71" s="557"/>
      <c r="AV71" s="557"/>
      <c r="AW71" s="557"/>
      <c r="AX71" s="557"/>
      <c r="AY71" s="557"/>
      <c r="AZ71" s="557"/>
      <c r="BA71" s="557"/>
      <c r="BB71" s="557"/>
      <c r="BC71" s="557"/>
      <c r="BD71" s="555"/>
      <c r="BE71" s="592"/>
      <c r="BF71" s="575"/>
      <c r="BG71" s="575"/>
      <c r="BH71" s="575"/>
      <c r="BI71" s="594"/>
      <c r="BJ71" s="575"/>
      <c r="BK71" s="593"/>
      <c r="BL71" s="593"/>
      <c r="BM71" s="593"/>
      <c r="BN71" s="593"/>
      <c r="BO71" s="593"/>
      <c r="BP71" s="593"/>
      <c r="BQ71" s="593"/>
      <c r="BR71" s="592"/>
      <c r="BS71" s="592"/>
      <c r="BT71" s="592"/>
    </row>
    <row r="72" spans="1:72" s="591" customFormat="1" ht="15">
      <c r="A72" s="539"/>
      <c r="B72" s="539"/>
      <c r="C72" s="539"/>
      <c r="D72" s="539"/>
      <c r="E72" s="539"/>
      <c r="F72" s="539"/>
      <c r="G72" s="539"/>
      <c r="H72" s="539"/>
      <c r="I72" s="539"/>
      <c r="J72" s="539"/>
      <c r="K72" s="539"/>
      <c r="L72" s="539"/>
      <c r="M72" s="539"/>
      <c r="N72" s="539"/>
      <c r="O72" s="539"/>
      <c r="P72" s="539"/>
      <c r="Q72" s="539"/>
      <c r="R72" s="539"/>
      <c r="S72" s="557"/>
      <c r="T72" s="557"/>
      <c r="U72" s="557"/>
      <c r="V72" s="557"/>
      <c r="W72" s="539"/>
      <c r="X72" s="539"/>
      <c r="Y72" s="557"/>
      <c r="Z72" s="557"/>
      <c r="AA72" s="539"/>
      <c r="AB72" s="539"/>
      <c r="AC72" s="539"/>
      <c r="AD72" s="557"/>
      <c r="AE72" s="557"/>
      <c r="AF72" s="557"/>
      <c r="AG72" s="557"/>
      <c r="AH72" s="557"/>
      <c r="AI72" s="557"/>
      <c r="AJ72" s="557"/>
      <c r="AK72" s="557"/>
      <c r="AL72" s="557"/>
      <c r="AM72" s="557"/>
      <c r="AN72" s="557"/>
      <c r="AO72" s="557"/>
      <c r="AP72" s="557"/>
      <c r="AQ72" s="557"/>
      <c r="AR72" s="557"/>
      <c r="AS72" s="557"/>
      <c r="AT72" s="557"/>
      <c r="AU72" s="557"/>
      <c r="AV72" s="557"/>
      <c r="AW72" s="557"/>
      <c r="AX72" s="557"/>
      <c r="AY72" s="557"/>
      <c r="AZ72" s="557"/>
      <c r="BA72" s="557"/>
      <c r="BB72" s="557"/>
      <c r="BC72" s="557"/>
      <c r="BD72" s="555"/>
      <c r="BE72" s="592"/>
      <c r="BF72" s="592"/>
      <c r="BG72" s="592"/>
      <c r="BH72" s="595"/>
      <c r="BI72" s="592"/>
      <c r="BJ72" s="592"/>
      <c r="BK72" s="592"/>
      <c r="BL72" s="592"/>
      <c r="BM72" s="592"/>
      <c r="BN72" s="592"/>
      <c r="BO72" s="592"/>
      <c r="BP72" s="592"/>
      <c r="BQ72" s="592"/>
      <c r="BR72" s="592"/>
      <c r="BS72" s="592"/>
      <c r="BT72" s="592"/>
    </row>
    <row r="73" spans="1:72" s="591" customFormat="1" ht="15">
      <c r="A73" s="539"/>
      <c r="B73" s="539"/>
      <c r="C73" s="539"/>
      <c r="D73" s="539"/>
      <c r="E73" s="539"/>
      <c r="F73" s="539"/>
      <c r="G73" s="539"/>
      <c r="H73" s="539"/>
      <c r="I73" s="539"/>
      <c r="J73" s="539"/>
      <c r="K73" s="539"/>
      <c r="L73" s="539"/>
      <c r="M73" s="539"/>
      <c r="N73" s="539"/>
      <c r="O73" s="539"/>
      <c r="P73" s="539"/>
      <c r="Q73" s="539"/>
      <c r="R73" s="539"/>
      <c r="S73" s="557"/>
      <c r="T73" s="557"/>
      <c r="U73" s="557"/>
      <c r="V73" s="557"/>
      <c r="W73" s="539"/>
      <c r="X73" s="539"/>
      <c r="Y73" s="557"/>
      <c r="Z73" s="557"/>
      <c r="AA73" s="539"/>
      <c r="AB73" s="539"/>
      <c r="AC73" s="539"/>
      <c r="AD73" s="557"/>
      <c r="AE73" s="557"/>
      <c r="AF73" s="557"/>
      <c r="AG73" s="557"/>
      <c r="AH73" s="557"/>
      <c r="AI73" s="557"/>
      <c r="AJ73" s="557"/>
      <c r="AK73" s="557"/>
      <c r="AL73" s="557"/>
      <c r="AM73" s="557"/>
      <c r="AN73" s="557"/>
      <c r="AO73" s="557"/>
      <c r="AP73" s="557"/>
      <c r="AQ73" s="557"/>
      <c r="AR73" s="557"/>
      <c r="AS73" s="557"/>
      <c r="AT73" s="557"/>
      <c r="AU73" s="557"/>
      <c r="AV73" s="557"/>
      <c r="AW73" s="557"/>
      <c r="AX73" s="557"/>
      <c r="AY73" s="557"/>
      <c r="AZ73" s="557"/>
      <c r="BA73" s="557"/>
      <c r="BB73" s="557"/>
      <c r="BC73" s="557"/>
      <c r="BD73" s="555"/>
      <c r="BE73" s="592"/>
      <c r="BF73" s="575"/>
      <c r="BG73" s="592"/>
      <c r="BH73" s="592"/>
      <c r="BI73" s="592"/>
      <c r="BJ73" s="592"/>
      <c r="BK73" s="592"/>
      <c r="BL73" s="592"/>
      <c r="BM73" s="592"/>
      <c r="BN73" s="592"/>
      <c r="BO73" s="592"/>
      <c r="BP73" s="592"/>
      <c r="BQ73" s="592"/>
      <c r="BR73" s="592"/>
      <c r="BS73" s="592"/>
      <c r="BT73" s="592"/>
    </row>
    <row r="74" spans="1:72" s="591" customFormat="1" ht="15">
      <c r="A74" s="539"/>
      <c r="B74" s="539"/>
      <c r="C74" s="539"/>
      <c r="D74" s="539"/>
      <c r="E74" s="539"/>
      <c r="F74" s="539"/>
      <c r="G74" s="539"/>
      <c r="H74" s="539"/>
      <c r="I74" s="539"/>
      <c r="J74" s="539"/>
      <c r="K74" s="539"/>
      <c r="L74" s="539"/>
      <c r="M74" s="539"/>
      <c r="N74" s="539"/>
      <c r="O74" s="539"/>
      <c r="P74" s="539"/>
      <c r="Q74" s="539"/>
      <c r="R74" s="539"/>
      <c r="S74" s="557"/>
      <c r="T74" s="557"/>
      <c r="U74" s="557"/>
      <c r="V74" s="557"/>
      <c r="W74" s="539"/>
      <c r="X74" s="539"/>
      <c r="Y74" s="557"/>
      <c r="Z74" s="557"/>
      <c r="AA74" s="539"/>
      <c r="AB74" s="539"/>
      <c r="AC74" s="539"/>
      <c r="AD74" s="557"/>
      <c r="AE74" s="557"/>
      <c r="AF74" s="557"/>
      <c r="AG74" s="557"/>
      <c r="AH74" s="557"/>
      <c r="AI74" s="557"/>
      <c r="AJ74" s="557"/>
      <c r="AK74" s="557"/>
      <c r="AL74" s="557"/>
      <c r="AM74" s="557"/>
      <c r="AN74" s="557"/>
      <c r="AO74" s="557"/>
      <c r="AP74" s="557"/>
      <c r="AQ74" s="557"/>
      <c r="AR74" s="557"/>
      <c r="AS74" s="557"/>
      <c r="AT74" s="557"/>
      <c r="AU74" s="557"/>
      <c r="AV74" s="557"/>
      <c r="AW74" s="557"/>
      <c r="AX74" s="557"/>
      <c r="AY74" s="557"/>
      <c r="AZ74" s="557"/>
      <c r="BA74" s="557"/>
      <c r="BB74" s="557"/>
      <c r="BC74" s="557"/>
      <c r="BD74" s="555"/>
      <c r="BE74" s="592"/>
      <c r="BF74" s="592"/>
      <c r="BG74" s="592"/>
      <c r="BH74" s="595"/>
      <c r="BI74" s="592"/>
      <c r="BJ74" s="592"/>
      <c r="BK74" s="592"/>
      <c r="BL74" s="592"/>
      <c r="BM74" s="592"/>
      <c r="BN74" s="592"/>
      <c r="BO74" s="592"/>
      <c r="BP74" s="592"/>
      <c r="BQ74" s="592"/>
      <c r="BR74" s="592"/>
      <c r="BS74" s="592"/>
      <c r="BT74" s="592"/>
    </row>
    <row r="75" spans="1:72" s="591" customFormat="1" ht="15">
      <c r="A75" s="539"/>
      <c r="B75" s="539"/>
      <c r="C75" s="539"/>
      <c r="D75" s="539"/>
      <c r="E75" s="539"/>
      <c r="F75" s="539"/>
      <c r="G75" s="539"/>
      <c r="H75" s="539"/>
      <c r="I75" s="539"/>
      <c r="J75" s="539"/>
      <c r="K75" s="539"/>
      <c r="L75" s="539"/>
      <c r="M75" s="539"/>
      <c r="N75" s="539"/>
      <c r="O75" s="539"/>
      <c r="P75" s="539"/>
      <c r="Q75" s="539"/>
      <c r="R75" s="539"/>
      <c r="S75" s="557"/>
      <c r="T75" s="557"/>
      <c r="U75" s="557"/>
      <c r="V75" s="557"/>
      <c r="W75" s="539"/>
      <c r="X75" s="539"/>
      <c r="Y75" s="557"/>
      <c r="Z75" s="557"/>
      <c r="AA75" s="539"/>
      <c r="AB75" s="539"/>
      <c r="AC75" s="539"/>
      <c r="AD75" s="557"/>
      <c r="AE75" s="557"/>
      <c r="AF75" s="557"/>
      <c r="AG75" s="557"/>
      <c r="AH75" s="557"/>
      <c r="AI75" s="557"/>
      <c r="AJ75" s="557"/>
      <c r="AK75" s="557"/>
      <c r="AL75" s="557"/>
      <c r="AM75" s="557"/>
      <c r="AN75" s="557"/>
      <c r="AO75" s="557"/>
      <c r="AP75" s="557"/>
      <c r="AQ75" s="557"/>
      <c r="AR75" s="557"/>
      <c r="AS75" s="557"/>
      <c r="AT75" s="557"/>
      <c r="AU75" s="557"/>
      <c r="AV75" s="557"/>
      <c r="AW75" s="557"/>
      <c r="AX75" s="557"/>
      <c r="AY75" s="557"/>
      <c r="AZ75" s="557"/>
      <c r="BA75" s="557"/>
      <c r="BB75" s="557"/>
      <c r="BC75" s="557"/>
      <c r="BD75" s="555"/>
      <c r="BE75" s="592"/>
      <c r="BF75" s="592"/>
      <c r="BG75" s="575"/>
      <c r="BH75" s="575"/>
      <c r="BI75" s="592"/>
      <c r="BJ75" s="592"/>
      <c r="BK75" s="592"/>
      <c r="BL75" s="592"/>
      <c r="BM75" s="592"/>
      <c r="BN75" s="592"/>
      <c r="BO75" s="592"/>
      <c r="BP75" s="592"/>
      <c r="BQ75" s="592"/>
      <c r="BR75" s="592"/>
      <c r="BS75" s="592"/>
      <c r="BT75" s="592"/>
    </row>
    <row r="76" spans="1:72" s="591" customFormat="1" ht="15">
      <c r="A76" s="539"/>
      <c r="B76" s="539"/>
      <c r="C76" s="539"/>
      <c r="D76" s="539"/>
      <c r="E76" s="539"/>
      <c r="F76" s="539"/>
      <c r="G76" s="539"/>
      <c r="H76" s="539"/>
      <c r="I76" s="539"/>
      <c r="J76" s="539"/>
      <c r="K76" s="539"/>
      <c r="L76" s="539"/>
      <c r="M76" s="539"/>
      <c r="N76" s="539"/>
      <c r="O76" s="539"/>
      <c r="P76" s="539"/>
      <c r="Q76" s="539"/>
      <c r="R76" s="539"/>
      <c r="S76" s="557"/>
      <c r="T76" s="557"/>
      <c r="U76" s="557"/>
      <c r="V76" s="557"/>
      <c r="W76" s="539"/>
      <c r="X76" s="539"/>
      <c r="Y76" s="557"/>
      <c r="Z76" s="557"/>
      <c r="AA76" s="539"/>
      <c r="AB76" s="539"/>
      <c r="AC76" s="539"/>
      <c r="AD76" s="557"/>
      <c r="AE76" s="557"/>
      <c r="AF76" s="557"/>
      <c r="AG76" s="557"/>
      <c r="AH76" s="557"/>
      <c r="AI76" s="557"/>
      <c r="AJ76" s="557"/>
      <c r="AK76" s="557"/>
      <c r="AL76" s="557"/>
      <c r="AM76" s="557"/>
      <c r="AN76" s="557"/>
      <c r="AO76" s="557"/>
      <c r="AP76" s="557"/>
      <c r="AQ76" s="557"/>
      <c r="AR76" s="557"/>
      <c r="AS76" s="557"/>
      <c r="AT76" s="557"/>
      <c r="AU76" s="557"/>
      <c r="AV76" s="557"/>
      <c r="AW76" s="557"/>
      <c r="AX76" s="557"/>
      <c r="AY76" s="557"/>
      <c r="AZ76" s="557"/>
      <c r="BA76" s="557"/>
      <c r="BB76" s="557"/>
      <c r="BC76" s="557"/>
      <c r="BD76" s="555"/>
      <c r="BE76" s="592"/>
      <c r="BF76" s="592"/>
      <c r="BG76" s="575"/>
      <c r="BH76" s="575"/>
      <c r="BI76" s="592"/>
      <c r="BJ76" s="592"/>
      <c r="BK76" s="592"/>
      <c r="BL76" s="592"/>
      <c r="BM76" s="592"/>
      <c r="BN76" s="592"/>
      <c r="BO76" s="592"/>
      <c r="BP76" s="592"/>
      <c r="BQ76" s="592"/>
      <c r="BR76" s="592"/>
      <c r="BS76" s="592"/>
      <c r="BT76" s="592"/>
    </row>
    <row r="77" spans="1:72" s="591" customFormat="1" ht="15">
      <c r="A77" s="539"/>
      <c r="B77" s="539"/>
      <c r="C77" s="539"/>
      <c r="D77" s="539"/>
      <c r="E77" s="539"/>
      <c r="F77" s="539"/>
      <c r="G77" s="539"/>
      <c r="H77" s="539"/>
      <c r="I77" s="539"/>
      <c r="J77" s="539"/>
      <c r="K77" s="539"/>
      <c r="L77" s="539"/>
      <c r="M77" s="539"/>
      <c r="N77" s="539"/>
      <c r="O77" s="539"/>
      <c r="P77" s="539"/>
      <c r="Q77" s="539"/>
      <c r="R77" s="539"/>
      <c r="S77" s="557"/>
      <c r="T77" s="557"/>
      <c r="U77" s="557"/>
      <c r="V77" s="557"/>
      <c r="W77" s="539"/>
      <c r="X77" s="539"/>
      <c r="Y77" s="557"/>
      <c r="Z77" s="557"/>
      <c r="AA77" s="539"/>
      <c r="AB77" s="539"/>
      <c r="AC77" s="539"/>
      <c r="AD77" s="557"/>
      <c r="AE77" s="557"/>
      <c r="AF77" s="557"/>
      <c r="AG77" s="557"/>
      <c r="AH77" s="557"/>
      <c r="AI77" s="557"/>
      <c r="AJ77" s="557"/>
      <c r="AK77" s="557"/>
      <c r="AL77" s="557"/>
      <c r="AM77" s="557"/>
      <c r="AN77" s="557"/>
      <c r="AO77" s="557"/>
      <c r="AP77" s="557"/>
      <c r="AQ77" s="557"/>
      <c r="AR77" s="557"/>
      <c r="AS77" s="557"/>
      <c r="AT77" s="557"/>
      <c r="AU77" s="557"/>
      <c r="AV77" s="557"/>
      <c r="AW77" s="557"/>
      <c r="AX77" s="557"/>
      <c r="AY77" s="557"/>
      <c r="AZ77" s="557"/>
      <c r="BA77" s="557"/>
      <c r="BB77" s="557"/>
      <c r="BC77" s="557"/>
      <c r="BD77" s="555"/>
      <c r="BE77" s="592"/>
      <c r="BF77" s="595"/>
      <c r="BG77" s="575"/>
      <c r="BH77" s="575"/>
      <c r="BI77" s="592"/>
      <c r="BJ77" s="592"/>
      <c r="BK77" s="592"/>
      <c r="BL77" s="592"/>
      <c r="BM77" s="592"/>
      <c r="BN77" s="592"/>
      <c r="BO77" s="592"/>
      <c r="BP77" s="592"/>
      <c r="BQ77" s="592"/>
      <c r="BR77" s="592"/>
      <c r="BS77" s="592"/>
      <c r="BT77" s="592"/>
    </row>
    <row r="78" spans="1:72" s="591" customFormat="1" ht="15">
      <c r="A78" s="539"/>
      <c r="B78" s="539"/>
      <c r="C78" s="539"/>
      <c r="D78" s="539"/>
      <c r="E78" s="539"/>
      <c r="F78" s="539"/>
      <c r="G78" s="539"/>
      <c r="H78" s="539"/>
      <c r="I78" s="539"/>
      <c r="J78" s="539"/>
      <c r="K78" s="539"/>
      <c r="L78" s="539"/>
      <c r="M78" s="539"/>
      <c r="N78" s="539"/>
      <c r="O78" s="539"/>
      <c r="P78" s="539"/>
      <c r="Q78" s="539"/>
      <c r="R78" s="539"/>
      <c r="S78" s="557"/>
      <c r="T78" s="557"/>
      <c r="U78" s="557"/>
      <c r="V78" s="557"/>
      <c r="W78" s="539"/>
      <c r="X78" s="539"/>
      <c r="Y78" s="557"/>
      <c r="Z78" s="557"/>
      <c r="AA78" s="539"/>
      <c r="AB78" s="539"/>
      <c r="AC78" s="539"/>
      <c r="AD78" s="557"/>
      <c r="AE78" s="557"/>
      <c r="AF78" s="557"/>
      <c r="AG78" s="557"/>
      <c r="AH78" s="557"/>
      <c r="AI78" s="557"/>
      <c r="AJ78" s="557"/>
      <c r="AK78" s="557"/>
      <c r="AL78" s="557"/>
      <c r="AM78" s="557"/>
      <c r="AN78" s="557"/>
      <c r="AO78" s="557"/>
      <c r="AP78" s="557"/>
      <c r="AQ78" s="557"/>
      <c r="AR78" s="557"/>
      <c r="AS78" s="557"/>
      <c r="AT78" s="557"/>
      <c r="AU78" s="557"/>
      <c r="AV78" s="557"/>
      <c r="AW78" s="557"/>
      <c r="AX78" s="557"/>
      <c r="AY78" s="557"/>
      <c r="AZ78" s="557"/>
      <c r="BA78" s="557"/>
      <c r="BB78" s="557"/>
      <c r="BC78" s="557"/>
      <c r="BD78" s="555"/>
      <c r="BE78" s="592"/>
      <c r="BF78" s="592"/>
      <c r="BG78" s="592"/>
      <c r="BH78" s="592"/>
      <c r="BI78" s="592"/>
      <c r="BJ78" s="592"/>
      <c r="BK78" s="592"/>
      <c r="BL78" s="592"/>
      <c r="BM78" s="592"/>
      <c r="BN78" s="592"/>
      <c r="BO78" s="592"/>
      <c r="BP78" s="592"/>
      <c r="BQ78" s="592"/>
      <c r="BR78" s="592"/>
      <c r="BS78" s="592"/>
      <c r="BT78" s="592"/>
    </row>
    <row r="79" spans="1:72" s="591" customFormat="1" ht="15">
      <c r="A79" s="539"/>
      <c r="B79" s="539"/>
      <c r="C79" s="539"/>
      <c r="D79" s="539"/>
      <c r="E79" s="539"/>
      <c r="F79" s="539"/>
      <c r="G79" s="539"/>
      <c r="H79" s="539"/>
      <c r="I79" s="539"/>
      <c r="J79" s="539"/>
      <c r="K79" s="539"/>
      <c r="L79" s="539"/>
      <c r="M79" s="539"/>
      <c r="N79" s="539"/>
      <c r="O79" s="539"/>
      <c r="P79" s="539"/>
      <c r="Q79" s="539"/>
      <c r="R79" s="539"/>
      <c r="S79" s="557"/>
      <c r="T79" s="557"/>
      <c r="U79" s="557"/>
      <c r="V79" s="557"/>
      <c r="W79" s="539"/>
      <c r="X79" s="539"/>
      <c r="Y79" s="557"/>
      <c r="Z79" s="557"/>
      <c r="AA79" s="539"/>
      <c r="AB79" s="539"/>
      <c r="AC79" s="539"/>
      <c r="AD79" s="557"/>
      <c r="AE79" s="557"/>
      <c r="AF79" s="557"/>
      <c r="AG79" s="557"/>
      <c r="AH79" s="557"/>
      <c r="AI79" s="557"/>
      <c r="AJ79" s="557"/>
      <c r="AK79" s="557"/>
      <c r="AL79" s="557"/>
      <c r="AM79" s="557"/>
      <c r="AN79" s="557"/>
      <c r="AO79" s="557"/>
      <c r="AP79" s="557"/>
      <c r="AQ79" s="557"/>
      <c r="AR79" s="557"/>
      <c r="AS79" s="557"/>
      <c r="AT79" s="557"/>
      <c r="AU79" s="557"/>
      <c r="AV79" s="557"/>
      <c r="AW79" s="557"/>
      <c r="AX79" s="557"/>
      <c r="AY79" s="557"/>
      <c r="AZ79" s="557"/>
      <c r="BA79" s="557"/>
      <c r="BB79" s="557"/>
      <c r="BC79" s="557"/>
      <c r="BD79" s="555"/>
      <c r="BE79" s="592"/>
      <c r="BF79" s="592"/>
      <c r="BG79" s="592"/>
      <c r="BH79" s="592"/>
      <c r="BI79" s="592"/>
      <c r="BJ79" s="592"/>
      <c r="BK79" s="592"/>
      <c r="BL79" s="592"/>
      <c r="BM79" s="592"/>
      <c r="BN79" s="592"/>
      <c r="BO79" s="592"/>
      <c r="BP79" s="592"/>
      <c r="BQ79" s="592"/>
      <c r="BR79" s="592"/>
      <c r="BS79" s="592"/>
      <c r="BT79" s="592"/>
    </row>
    <row r="80" spans="1:72" s="591" customFormat="1" ht="15">
      <c r="A80" s="539"/>
      <c r="B80" s="539"/>
      <c r="C80" s="539"/>
      <c r="D80" s="539"/>
      <c r="E80" s="539"/>
      <c r="F80" s="539"/>
      <c r="G80" s="539"/>
      <c r="H80" s="539"/>
      <c r="I80" s="539"/>
      <c r="J80" s="539"/>
      <c r="K80" s="539"/>
      <c r="L80" s="539"/>
      <c r="M80" s="539"/>
      <c r="N80" s="539"/>
      <c r="O80" s="539"/>
      <c r="P80" s="539"/>
      <c r="Q80" s="539"/>
      <c r="R80" s="539"/>
      <c r="S80" s="557"/>
      <c r="T80" s="557"/>
      <c r="U80" s="557"/>
      <c r="V80" s="557"/>
      <c r="W80" s="539"/>
      <c r="X80" s="539"/>
      <c r="Y80" s="557"/>
      <c r="Z80" s="557"/>
      <c r="AA80" s="539"/>
      <c r="AB80" s="539"/>
      <c r="AC80" s="539"/>
      <c r="AD80" s="557"/>
      <c r="AE80" s="557"/>
      <c r="AF80" s="557"/>
      <c r="AG80" s="557"/>
      <c r="AH80" s="557"/>
      <c r="AI80" s="557"/>
      <c r="AJ80" s="557"/>
      <c r="AK80" s="557"/>
      <c r="AL80" s="557"/>
      <c r="AM80" s="557"/>
      <c r="AN80" s="557"/>
      <c r="AO80" s="557"/>
      <c r="AP80" s="557"/>
      <c r="AQ80" s="557"/>
      <c r="AR80" s="557"/>
      <c r="AS80" s="557"/>
      <c r="AT80" s="557"/>
      <c r="AU80" s="557"/>
      <c r="AV80" s="557"/>
      <c r="AW80" s="557"/>
      <c r="AX80" s="557"/>
      <c r="AY80" s="557"/>
      <c r="AZ80" s="557"/>
      <c r="BA80" s="557"/>
      <c r="BB80" s="557"/>
      <c r="BC80" s="557"/>
      <c r="BD80" s="555"/>
      <c r="BE80" s="592"/>
      <c r="BF80" s="592"/>
      <c r="BG80" s="592"/>
      <c r="BH80" s="638"/>
      <c r="BI80" s="592"/>
      <c r="BJ80" s="592"/>
      <c r="BK80" s="592"/>
      <c r="BL80" s="592"/>
      <c r="BM80" s="592"/>
      <c r="BN80" s="592"/>
      <c r="BO80" s="592"/>
      <c r="BP80" s="592"/>
      <c r="BQ80" s="592"/>
      <c r="BR80" s="592"/>
      <c r="BS80" s="592"/>
      <c r="BT80" s="592"/>
    </row>
    <row r="81" spans="1:72" s="591" customFormat="1" ht="15">
      <c r="A81" s="539"/>
      <c r="B81" s="539"/>
      <c r="C81" s="539"/>
      <c r="D81" s="539"/>
      <c r="E81" s="539"/>
      <c r="F81" s="539"/>
      <c r="G81" s="539"/>
      <c r="H81" s="539"/>
      <c r="I81" s="539"/>
      <c r="J81" s="539"/>
      <c r="K81" s="539"/>
      <c r="L81" s="539"/>
      <c r="M81" s="539"/>
      <c r="N81" s="539"/>
      <c r="O81" s="539"/>
      <c r="P81" s="539"/>
      <c r="Q81" s="539"/>
      <c r="R81" s="539"/>
      <c r="S81" s="557"/>
      <c r="T81" s="557"/>
      <c r="U81" s="557"/>
      <c r="V81" s="557"/>
      <c r="W81" s="539"/>
      <c r="X81" s="539"/>
      <c r="Y81" s="557"/>
      <c r="Z81" s="557"/>
      <c r="AA81" s="539"/>
      <c r="AB81" s="539"/>
      <c r="AC81" s="539"/>
      <c r="AD81" s="557"/>
      <c r="AE81" s="557"/>
      <c r="AF81" s="557"/>
      <c r="AG81" s="557"/>
      <c r="AH81" s="557"/>
      <c r="AI81" s="557"/>
      <c r="AJ81" s="557"/>
      <c r="AK81" s="557"/>
      <c r="AL81" s="557"/>
      <c r="AM81" s="557"/>
      <c r="AN81" s="557"/>
      <c r="AO81" s="557"/>
      <c r="AP81" s="557"/>
      <c r="AQ81" s="557"/>
      <c r="AR81" s="557"/>
      <c r="AS81" s="557"/>
      <c r="AT81" s="557"/>
      <c r="AU81" s="557"/>
      <c r="AV81" s="557"/>
      <c r="AW81" s="557"/>
      <c r="AX81" s="557"/>
      <c r="AY81" s="557"/>
      <c r="AZ81" s="557"/>
      <c r="BA81" s="557"/>
      <c r="BB81" s="557"/>
      <c r="BC81" s="557"/>
      <c r="BD81" s="555"/>
      <c r="BE81" s="592"/>
      <c r="BF81" s="592"/>
      <c r="BG81" s="575"/>
      <c r="BH81" s="575"/>
      <c r="BI81" s="592"/>
      <c r="BJ81" s="592"/>
      <c r="BK81" s="592"/>
      <c r="BL81" s="592"/>
      <c r="BM81" s="592"/>
      <c r="BN81" s="592"/>
      <c r="BO81" s="592"/>
      <c r="BP81" s="592"/>
      <c r="BQ81" s="592"/>
      <c r="BR81" s="592"/>
      <c r="BS81" s="592"/>
      <c r="BT81" s="592"/>
    </row>
    <row r="82" spans="1:72" s="591" customFormat="1" ht="15">
      <c r="A82" s="539"/>
      <c r="B82" s="539"/>
      <c r="C82" s="539"/>
      <c r="D82" s="539"/>
      <c r="E82" s="539"/>
      <c r="F82" s="539"/>
      <c r="G82" s="539"/>
      <c r="H82" s="539"/>
      <c r="I82" s="539"/>
      <c r="J82" s="539"/>
      <c r="K82" s="539"/>
      <c r="L82" s="539"/>
      <c r="M82" s="539"/>
      <c r="N82" s="539"/>
      <c r="O82" s="539"/>
      <c r="P82" s="539"/>
      <c r="Q82" s="539"/>
      <c r="R82" s="539"/>
      <c r="S82" s="557"/>
      <c r="T82" s="557"/>
      <c r="U82" s="557"/>
      <c r="V82" s="557"/>
      <c r="W82" s="539"/>
      <c r="X82" s="539"/>
      <c r="Y82" s="557"/>
      <c r="Z82" s="557"/>
      <c r="AA82" s="539"/>
      <c r="AB82" s="539"/>
      <c r="AC82" s="539"/>
      <c r="AD82" s="557"/>
      <c r="AE82" s="557"/>
      <c r="AF82" s="557"/>
      <c r="AG82" s="557"/>
      <c r="AH82" s="557"/>
      <c r="AI82" s="557"/>
      <c r="AJ82" s="557"/>
      <c r="AK82" s="557"/>
      <c r="AL82" s="557"/>
      <c r="AM82" s="557"/>
      <c r="AN82" s="557"/>
      <c r="AO82" s="557"/>
      <c r="AP82" s="557"/>
      <c r="AQ82" s="557"/>
      <c r="AR82" s="557"/>
      <c r="AS82" s="557"/>
      <c r="AT82" s="557"/>
      <c r="AU82" s="557"/>
      <c r="AV82" s="557"/>
      <c r="AW82" s="557"/>
      <c r="AX82" s="557"/>
      <c r="AY82" s="557"/>
      <c r="AZ82" s="557"/>
      <c r="BA82" s="557"/>
      <c r="BB82" s="557"/>
      <c r="BC82" s="557"/>
      <c r="BD82" s="555"/>
      <c r="BE82" s="592"/>
      <c r="BF82" s="595"/>
      <c r="BG82" s="575"/>
      <c r="BH82" s="575"/>
      <c r="BI82" s="592"/>
      <c r="BJ82" s="592"/>
      <c r="BK82" s="592"/>
      <c r="BL82" s="592"/>
      <c r="BM82" s="592"/>
      <c r="BN82" s="592"/>
      <c r="BO82" s="592"/>
      <c r="BP82" s="592"/>
      <c r="BQ82" s="592"/>
      <c r="BR82" s="592"/>
      <c r="BS82" s="592"/>
      <c r="BT82" s="592"/>
    </row>
    <row r="83" spans="1:72" s="591" customFormat="1" ht="15">
      <c r="A83" s="539"/>
      <c r="B83" s="539"/>
      <c r="C83" s="539"/>
      <c r="D83" s="539"/>
      <c r="E83" s="539"/>
      <c r="F83" s="539"/>
      <c r="G83" s="539"/>
      <c r="H83" s="539"/>
      <c r="I83" s="539"/>
      <c r="J83" s="539"/>
      <c r="K83" s="539"/>
      <c r="L83" s="539"/>
      <c r="M83" s="539"/>
      <c r="N83" s="539"/>
      <c r="O83" s="539"/>
      <c r="P83" s="539"/>
      <c r="Q83" s="539"/>
      <c r="R83" s="539"/>
      <c r="S83" s="557"/>
      <c r="T83" s="557"/>
      <c r="U83" s="557"/>
      <c r="V83" s="557"/>
      <c r="W83" s="539"/>
      <c r="X83" s="539"/>
      <c r="Y83" s="557"/>
      <c r="Z83" s="557"/>
      <c r="AA83" s="539"/>
      <c r="AB83" s="539"/>
      <c r="AC83" s="539"/>
      <c r="AD83" s="557"/>
      <c r="AE83" s="557"/>
      <c r="AF83" s="557"/>
      <c r="AG83" s="557"/>
      <c r="AH83" s="557"/>
      <c r="AI83" s="557"/>
      <c r="AJ83" s="557"/>
      <c r="AK83" s="557"/>
      <c r="AL83" s="557"/>
      <c r="AM83" s="557"/>
      <c r="AN83" s="557"/>
      <c r="AO83" s="557"/>
      <c r="AP83" s="557"/>
      <c r="AQ83" s="557"/>
      <c r="AR83" s="557"/>
      <c r="AS83" s="557"/>
      <c r="AT83" s="557"/>
      <c r="AU83" s="557"/>
      <c r="AV83" s="557"/>
      <c r="AW83" s="557"/>
      <c r="AX83" s="557"/>
      <c r="AY83" s="557"/>
      <c r="AZ83" s="557"/>
      <c r="BA83" s="557"/>
      <c r="BB83" s="557"/>
      <c r="BC83" s="557"/>
      <c r="BD83" s="555"/>
      <c r="BE83" s="592"/>
      <c r="BF83" s="592"/>
      <c r="BG83" s="592"/>
      <c r="BH83" s="592"/>
      <c r="BI83" s="592"/>
      <c r="BJ83" s="592"/>
      <c r="BK83" s="592"/>
      <c r="BL83" s="592"/>
      <c r="BM83" s="592"/>
      <c r="BN83" s="592"/>
      <c r="BO83" s="592"/>
      <c r="BP83" s="592"/>
      <c r="BQ83" s="592"/>
      <c r="BR83" s="592"/>
      <c r="BS83" s="592"/>
      <c r="BT83" s="592"/>
    </row>
    <row r="84" spans="1:72" s="591" customFormat="1" ht="15">
      <c r="A84" s="539"/>
      <c r="B84" s="539"/>
      <c r="C84" s="539"/>
      <c r="D84" s="539"/>
      <c r="E84" s="539"/>
      <c r="F84" s="539"/>
      <c r="G84" s="539"/>
      <c r="H84" s="539"/>
      <c r="I84" s="539"/>
      <c r="J84" s="539"/>
      <c r="K84" s="539"/>
      <c r="L84" s="539"/>
      <c r="M84" s="539"/>
      <c r="N84" s="539"/>
      <c r="O84" s="539"/>
      <c r="P84" s="539"/>
      <c r="Q84" s="539"/>
      <c r="R84" s="539"/>
      <c r="S84" s="557"/>
      <c r="T84" s="557"/>
      <c r="U84" s="557"/>
      <c r="V84" s="557"/>
      <c r="W84" s="539"/>
      <c r="X84" s="539"/>
      <c r="Y84" s="557"/>
      <c r="Z84" s="557"/>
      <c r="AA84" s="539"/>
      <c r="AB84" s="539"/>
      <c r="AC84" s="539"/>
      <c r="AD84" s="557"/>
      <c r="AE84" s="557"/>
      <c r="AF84" s="557"/>
      <c r="AG84" s="557"/>
      <c r="AH84" s="557"/>
      <c r="AI84" s="557"/>
      <c r="AJ84" s="557"/>
      <c r="AK84" s="557"/>
      <c r="AL84" s="557"/>
      <c r="AM84" s="557"/>
      <c r="AN84" s="557"/>
      <c r="AO84" s="557"/>
      <c r="AP84" s="557"/>
      <c r="AQ84" s="557"/>
      <c r="AR84" s="557"/>
      <c r="AS84" s="557"/>
      <c r="AT84" s="557"/>
      <c r="AU84" s="557"/>
      <c r="AV84" s="557"/>
      <c r="AW84" s="557"/>
      <c r="AX84" s="557"/>
      <c r="AY84" s="557"/>
      <c r="AZ84" s="557"/>
      <c r="BA84" s="557"/>
      <c r="BB84" s="557"/>
      <c r="BC84" s="557"/>
      <c r="BD84" s="555"/>
      <c r="BE84" s="592"/>
      <c r="BF84" s="592"/>
      <c r="BG84" s="592"/>
      <c r="BH84" s="592"/>
      <c r="BI84" s="592"/>
      <c r="BJ84" s="592"/>
      <c r="BK84" s="592"/>
      <c r="BL84" s="592"/>
      <c r="BM84" s="592"/>
      <c r="BN84" s="592"/>
      <c r="BO84" s="592"/>
      <c r="BP84" s="592"/>
      <c r="BQ84" s="592"/>
      <c r="BR84" s="592"/>
      <c r="BS84" s="592"/>
      <c r="BT84" s="592"/>
    </row>
    <row r="85" spans="1:72" s="591" customFormat="1" ht="15">
      <c r="A85" s="539"/>
      <c r="B85" s="539"/>
      <c r="C85" s="539"/>
      <c r="D85" s="539"/>
      <c r="E85" s="539"/>
      <c r="F85" s="539"/>
      <c r="G85" s="539"/>
      <c r="H85" s="539"/>
      <c r="I85" s="539"/>
      <c r="J85" s="539"/>
      <c r="K85" s="539"/>
      <c r="L85" s="539"/>
      <c r="M85" s="539"/>
      <c r="N85" s="539"/>
      <c r="O85" s="539"/>
      <c r="P85" s="539"/>
      <c r="Q85" s="539"/>
      <c r="R85" s="539"/>
      <c r="S85" s="557"/>
      <c r="T85" s="557"/>
      <c r="U85" s="557"/>
      <c r="V85" s="557"/>
      <c r="W85" s="539"/>
      <c r="X85" s="539"/>
      <c r="Y85" s="557"/>
      <c r="Z85" s="557"/>
      <c r="AA85" s="539"/>
      <c r="AB85" s="539"/>
      <c r="AC85" s="539"/>
      <c r="AD85" s="557"/>
      <c r="AE85" s="557"/>
      <c r="AF85" s="557"/>
      <c r="AG85" s="557"/>
      <c r="AH85" s="557"/>
      <c r="AI85" s="557"/>
      <c r="AJ85" s="557"/>
      <c r="AK85" s="557"/>
      <c r="AL85" s="557"/>
      <c r="AM85" s="557"/>
      <c r="AN85" s="557"/>
      <c r="AO85" s="557"/>
      <c r="AP85" s="557"/>
      <c r="AQ85" s="557"/>
      <c r="AR85" s="557"/>
      <c r="AS85" s="557"/>
      <c r="AT85" s="557"/>
      <c r="AU85" s="557"/>
      <c r="AV85" s="557"/>
      <c r="AW85" s="557"/>
      <c r="AX85" s="557"/>
      <c r="AY85" s="557"/>
      <c r="AZ85" s="557"/>
      <c r="BA85" s="557"/>
      <c r="BB85" s="557"/>
      <c r="BC85" s="557"/>
      <c r="BD85" s="555"/>
      <c r="BE85" s="592"/>
      <c r="BF85" s="592"/>
      <c r="BG85" s="575"/>
      <c r="BH85" s="575"/>
      <c r="BI85" s="592"/>
      <c r="BJ85" s="592"/>
      <c r="BK85" s="592"/>
      <c r="BL85" s="592"/>
      <c r="BM85" s="592"/>
      <c r="BN85" s="592"/>
      <c r="BO85" s="592"/>
      <c r="BP85" s="592"/>
      <c r="BQ85" s="592"/>
      <c r="BR85" s="592"/>
      <c r="BS85" s="592"/>
      <c r="BT85" s="592"/>
    </row>
    <row r="86" spans="1:72" s="591" customFormat="1" ht="15">
      <c r="A86" s="539"/>
      <c r="B86" s="539"/>
      <c r="C86" s="539"/>
      <c r="D86" s="539"/>
      <c r="E86" s="539"/>
      <c r="F86" s="539"/>
      <c r="G86" s="539"/>
      <c r="H86" s="539"/>
      <c r="I86" s="539"/>
      <c r="J86" s="539"/>
      <c r="K86" s="539"/>
      <c r="L86" s="539"/>
      <c r="M86" s="539"/>
      <c r="N86" s="539"/>
      <c r="O86" s="539"/>
      <c r="P86" s="539"/>
      <c r="Q86" s="539"/>
      <c r="R86" s="539"/>
      <c r="S86" s="557"/>
      <c r="T86" s="557"/>
      <c r="U86" s="557"/>
      <c r="V86" s="557"/>
      <c r="W86" s="539"/>
      <c r="X86" s="539"/>
      <c r="Y86" s="557"/>
      <c r="Z86" s="557"/>
      <c r="AA86" s="539"/>
      <c r="AB86" s="539"/>
      <c r="AC86" s="539"/>
      <c r="AD86" s="557"/>
      <c r="AE86" s="557"/>
      <c r="AF86" s="557"/>
      <c r="AG86" s="557"/>
      <c r="AH86" s="557"/>
      <c r="AI86" s="557"/>
      <c r="AJ86" s="557"/>
      <c r="AK86" s="557"/>
      <c r="AL86" s="557"/>
      <c r="AM86" s="557"/>
      <c r="AN86" s="557"/>
      <c r="AO86" s="557"/>
      <c r="AP86" s="557"/>
      <c r="AQ86" s="557"/>
      <c r="AR86" s="557"/>
      <c r="AS86" s="557"/>
      <c r="AT86" s="557"/>
      <c r="AU86" s="557"/>
      <c r="AV86" s="557"/>
      <c r="AW86" s="557"/>
      <c r="AX86" s="557"/>
      <c r="AY86" s="557"/>
      <c r="AZ86" s="557"/>
      <c r="BA86" s="557"/>
      <c r="BB86" s="557"/>
      <c r="BC86" s="557"/>
      <c r="BD86" s="555"/>
      <c r="BE86" s="592"/>
      <c r="BF86" s="595"/>
      <c r="BG86" s="575"/>
      <c r="BH86" s="575"/>
      <c r="BI86" s="592"/>
      <c r="BJ86" s="592"/>
      <c r="BK86" s="592"/>
      <c r="BL86" s="592"/>
      <c r="BM86" s="592"/>
      <c r="BN86" s="592"/>
      <c r="BO86" s="592"/>
      <c r="BP86" s="592"/>
      <c r="BQ86" s="592"/>
      <c r="BR86" s="592"/>
      <c r="BS86" s="592"/>
      <c r="BT86" s="592"/>
    </row>
    <row r="87" spans="1:72" s="591" customFormat="1" ht="15">
      <c r="A87" s="539"/>
      <c r="B87" s="539"/>
      <c r="C87" s="539"/>
      <c r="D87" s="539"/>
      <c r="E87" s="539"/>
      <c r="F87" s="539"/>
      <c r="G87" s="539"/>
      <c r="H87" s="539"/>
      <c r="I87" s="539"/>
      <c r="J87" s="539"/>
      <c r="K87" s="539"/>
      <c r="L87" s="539"/>
      <c r="M87" s="539"/>
      <c r="N87" s="539"/>
      <c r="O87" s="539"/>
      <c r="P87" s="539"/>
      <c r="Q87" s="539"/>
      <c r="R87" s="539"/>
      <c r="S87" s="557"/>
      <c r="T87" s="557"/>
      <c r="U87" s="557"/>
      <c r="V87" s="557"/>
      <c r="W87" s="539"/>
      <c r="X87" s="539"/>
      <c r="Y87" s="557"/>
      <c r="Z87" s="557"/>
      <c r="AA87" s="539"/>
      <c r="AB87" s="539"/>
      <c r="AC87" s="539"/>
      <c r="AD87" s="557"/>
      <c r="AE87" s="557"/>
      <c r="AF87" s="557"/>
      <c r="AG87" s="557"/>
      <c r="AH87" s="557"/>
      <c r="AI87" s="557"/>
      <c r="AJ87" s="557"/>
      <c r="AK87" s="557"/>
      <c r="AL87" s="557"/>
      <c r="AM87" s="557"/>
      <c r="AN87" s="557"/>
      <c r="AO87" s="557"/>
      <c r="AP87" s="557"/>
      <c r="AQ87" s="557"/>
      <c r="AR87" s="557"/>
      <c r="AS87" s="557"/>
      <c r="AT87" s="557"/>
      <c r="AU87" s="557"/>
      <c r="AV87" s="557"/>
      <c r="AW87" s="557"/>
      <c r="AX87" s="557"/>
      <c r="AY87" s="557"/>
      <c r="AZ87" s="557"/>
      <c r="BA87" s="557"/>
      <c r="BB87" s="557"/>
      <c r="BC87" s="557"/>
      <c r="BD87" s="555"/>
      <c r="BE87" s="592"/>
      <c r="BF87" s="592"/>
      <c r="BG87" s="592"/>
      <c r="BH87" s="592"/>
      <c r="BI87" s="592"/>
      <c r="BJ87" s="592"/>
      <c r="BK87" s="592"/>
      <c r="BL87" s="592"/>
      <c r="BM87" s="592"/>
      <c r="BN87" s="592"/>
      <c r="BO87" s="592"/>
      <c r="BP87" s="592"/>
      <c r="BQ87" s="592"/>
      <c r="BR87" s="592"/>
      <c r="BS87" s="592"/>
      <c r="BT87" s="592"/>
    </row>
    <row r="88" spans="1:72" s="591" customFormat="1" ht="15">
      <c r="A88" s="539"/>
      <c r="B88" s="539"/>
      <c r="C88" s="539"/>
      <c r="D88" s="539"/>
      <c r="E88" s="539"/>
      <c r="F88" s="539"/>
      <c r="G88" s="539"/>
      <c r="H88" s="539"/>
      <c r="I88" s="539"/>
      <c r="J88" s="539"/>
      <c r="K88" s="539"/>
      <c r="L88" s="539"/>
      <c r="M88" s="539"/>
      <c r="N88" s="539"/>
      <c r="O88" s="539"/>
      <c r="P88" s="539"/>
      <c r="Q88" s="539"/>
      <c r="R88" s="539"/>
      <c r="S88" s="557"/>
      <c r="T88" s="557"/>
      <c r="U88" s="557"/>
      <c r="V88" s="557"/>
      <c r="W88" s="539"/>
      <c r="X88" s="539"/>
      <c r="Y88" s="557"/>
      <c r="Z88" s="557"/>
      <c r="AA88" s="539"/>
      <c r="AB88" s="539"/>
      <c r="AC88" s="539"/>
      <c r="AD88" s="557"/>
      <c r="AE88" s="557"/>
      <c r="AF88" s="557"/>
      <c r="AG88" s="557"/>
      <c r="AH88" s="557"/>
      <c r="AI88" s="557"/>
      <c r="AJ88" s="557"/>
      <c r="AK88" s="557"/>
      <c r="AL88" s="557"/>
      <c r="AM88" s="557"/>
      <c r="AN88" s="557"/>
      <c r="AO88" s="557"/>
      <c r="AP88" s="557"/>
      <c r="AQ88" s="557"/>
      <c r="AR88" s="557"/>
      <c r="AS88" s="557"/>
      <c r="AT88" s="557"/>
      <c r="AU88" s="557"/>
      <c r="AV88" s="557"/>
      <c r="AW88" s="557"/>
      <c r="AX88" s="557"/>
      <c r="AY88" s="557"/>
      <c r="AZ88" s="557"/>
      <c r="BA88" s="557"/>
      <c r="BB88" s="557"/>
      <c r="BC88" s="557"/>
      <c r="BD88" s="555"/>
      <c r="BE88" s="592"/>
      <c r="BF88" s="592"/>
      <c r="BG88" s="592"/>
      <c r="BH88" s="592"/>
      <c r="BI88" s="592"/>
      <c r="BJ88" s="592"/>
      <c r="BK88" s="592"/>
      <c r="BL88" s="592"/>
      <c r="BM88" s="592"/>
      <c r="BN88" s="592"/>
      <c r="BO88" s="592"/>
      <c r="BP88" s="592"/>
      <c r="BQ88" s="592"/>
      <c r="BR88" s="592"/>
      <c r="BS88" s="592"/>
      <c r="BT88" s="592"/>
    </row>
    <row r="89" spans="1:72" s="591" customFormat="1" ht="15">
      <c r="A89" s="539"/>
      <c r="B89" s="539"/>
      <c r="C89" s="539"/>
      <c r="D89" s="539"/>
      <c r="E89" s="539"/>
      <c r="F89" s="539"/>
      <c r="G89" s="539"/>
      <c r="H89" s="539"/>
      <c r="I89" s="539"/>
      <c r="J89" s="539"/>
      <c r="K89" s="539"/>
      <c r="L89" s="539"/>
      <c r="M89" s="539"/>
      <c r="N89" s="539"/>
      <c r="O89" s="539"/>
      <c r="P89" s="539"/>
      <c r="Q89" s="539"/>
      <c r="R89" s="539"/>
      <c r="S89" s="557"/>
      <c r="T89" s="557"/>
      <c r="U89" s="557"/>
      <c r="V89" s="557"/>
      <c r="W89" s="539"/>
      <c r="X89" s="539"/>
      <c r="Y89" s="557"/>
      <c r="Z89" s="557"/>
      <c r="AA89" s="539"/>
      <c r="AB89" s="539"/>
      <c r="AC89" s="539"/>
      <c r="AD89" s="557"/>
      <c r="AE89" s="557"/>
      <c r="AF89" s="557"/>
      <c r="AG89" s="557"/>
      <c r="AH89" s="557"/>
      <c r="AI89" s="557"/>
      <c r="AJ89" s="557"/>
      <c r="AK89" s="557"/>
      <c r="AL89" s="557"/>
      <c r="AM89" s="557"/>
      <c r="AN89" s="557"/>
      <c r="AO89" s="557"/>
      <c r="AP89" s="557"/>
      <c r="AQ89" s="557"/>
      <c r="AR89" s="557"/>
      <c r="AS89" s="557"/>
      <c r="AT89" s="557"/>
      <c r="AU89" s="557"/>
      <c r="AV89" s="557"/>
      <c r="AW89" s="557"/>
      <c r="AX89" s="557"/>
      <c r="AY89" s="557"/>
      <c r="AZ89" s="557"/>
      <c r="BA89" s="557"/>
      <c r="BB89" s="557"/>
      <c r="BC89" s="557"/>
      <c r="BD89" s="555"/>
      <c r="BE89" s="592"/>
      <c r="BF89" s="592"/>
      <c r="BG89" s="592"/>
      <c r="BH89" s="592"/>
      <c r="BI89" s="592"/>
      <c r="BJ89" s="592"/>
      <c r="BK89" s="592"/>
      <c r="BL89" s="592"/>
      <c r="BM89" s="592"/>
      <c r="BN89" s="592"/>
      <c r="BO89" s="592"/>
      <c r="BP89" s="592"/>
      <c r="BQ89" s="592"/>
      <c r="BR89" s="592"/>
      <c r="BS89" s="592"/>
      <c r="BT89" s="592"/>
    </row>
    <row r="90" spans="1:72" s="591" customFormat="1" ht="15">
      <c r="A90" s="539"/>
      <c r="B90" s="539"/>
      <c r="C90" s="539"/>
      <c r="D90" s="539"/>
      <c r="E90" s="539"/>
      <c r="F90" s="539"/>
      <c r="G90" s="539"/>
      <c r="H90" s="539"/>
      <c r="I90" s="539"/>
      <c r="J90" s="539"/>
      <c r="K90" s="539"/>
      <c r="L90" s="539"/>
      <c r="M90" s="539"/>
      <c r="N90" s="539"/>
      <c r="O90" s="539"/>
      <c r="P90" s="539"/>
      <c r="Q90" s="539"/>
      <c r="R90" s="539"/>
      <c r="S90" s="557"/>
      <c r="T90" s="557"/>
      <c r="U90" s="557"/>
      <c r="V90" s="557"/>
      <c r="W90" s="539"/>
      <c r="X90" s="539"/>
      <c r="Y90" s="557"/>
      <c r="Z90" s="557"/>
      <c r="AA90" s="539"/>
      <c r="AB90" s="539"/>
      <c r="AC90" s="539"/>
      <c r="AD90" s="557"/>
      <c r="AE90" s="557"/>
      <c r="AF90" s="557"/>
      <c r="AG90" s="557"/>
      <c r="AH90" s="557"/>
      <c r="AI90" s="557"/>
      <c r="AJ90" s="557"/>
      <c r="AK90" s="557"/>
      <c r="AL90" s="557"/>
      <c r="AM90" s="557"/>
      <c r="AN90" s="557"/>
      <c r="AO90" s="557"/>
      <c r="AP90" s="557"/>
      <c r="AQ90" s="557"/>
      <c r="AR90" s="557"/>
      <c r="AS90" s="557"/>
      <c r="AT90" s="557"/>
      <c r="AU90" s="557"/>
      <c r="AV90" s="557"/>
      <c r="AW90" s="557"/>
      <c r="AX90" s="557"/>
      <c r="AY90" s="557"/>
      <c r="AZ90" s="557"/>
      <c r="BA90" s="557"/>
      <c r="BB90" s="557"/>
      <c r="BC90" s="557"/>
      <c r="BD90" s="555"/>
      <c r="BE90" s="592"/>
      <c r="BF90" s="592"/>
      <c r="BG90" s="592"/>
      <c r="BH90" s="592"/>
      <c r="BI90" s="592"/>
      <c r="BJ90" s="592"/>
      <c r="BK90" s="592"/>
      <c r="BL90" s="592"/>
      <c r="BM90" s="592"/>
      <c r="BN90" s="592"/>
      <c r="BO90" s="592"/>
      <c r="BP90" s="592"/>
      <c r="BQ90" s="592"/>
      <c r="BR90" s="592"/>
      <c r="BS90" s="592"/>
      <c r="BT90" s="592"/>
    </row>
    <row r="91" spans="1:72" s="591" customFormat="1" ht="15">
      <c r="A91" s="539"/>
      <c r="B91" s="539"/>
      <c r="C91" s="539"/>
      <c r="D91" s="539"/>
      <c r="E91" s="539"/>
      <c r="F91" s="539"/>
      <c r="G91" s="539"/>
      <c r="H91" s="539"/>
      <c r="I91" s="539"/>
      <c r="J91" s="539"/>
      <c r="K91" s="539"/>
      <c r="L91" s="539"/>
      <c r="M91" s="539"/>
      <c r="N91" s="539"/>
      <c r="O91" s="539"/>
      <c r="P91" s="539"/>
      <c r="Q91" s="539"/>
      <c r="R91" s="539"/>
      <c r="S91" s="557"/>
      <c r="T91" s="557"/>
      <c r="U91" s="557"/>
      <c r="V91" s="557"/>
      <c r="W91" s="539"/>
      <c r="X91" s="539"/>
      <c r="Y91" s="557"/>
      <c r="Z91" s="557"/>
      <c r="AA91" s="539"/>
      <c r="AB91" s="539"/>
      <c r="AC91" s="539"/>
      <c r="AD91" s="557"/>
      <c r="AE91" s="557"/>
      <c r="AF91" s="557"/>
      <c r="AG91" s="557"/>
      <c r="AH91" s="557"/>
      <c r="AI91" s="557"/>
      <c r="AJ91" s="557"/>
      <c r="AK91" s="557"/>
      <c r="AL91" s="557"/>
      <c r="AM91" s="557"/>
      <c r="AN91" s="557"/>
      <c r="AO91" s="557"/>
      <c r="AP91" s="557"/>
      <c r="AQ91" s="557"/>
      <c r="AR91" s="557"/>
      <c r="AS91" s="557"/>
      <c r="AT91" s="557"/>
      <c r="AU91" s="557"/>
      <c r="AV91" s="557"/>
      <c r="AW91" s="557"/>
      <c r="AX91" s="557"/>
      <c r="AY91" s="557"/>
      <c r="AZ91" s="557"/>
      <c r="BA91" s="557"/>
      <c r="BB91" s="557"/>
      <c r="BC91" s="557"/>
      <c r="BD91" s="555"/>
      <c r="BE91" s="592"/>
      <c r="BF91" s="592"/>
      <c r="BG91" s="592"/>
      <c r="BH91" s="592"/>
      <c r="BI91" s="592"/>
      <c r="BJ91" s="592"/>
      <c r="BK91" s="592"/>
      <c r="BL91" s="592"/>
      <c r="BM91" s="592"/>
      <c r="BN91" s="592"/>
      <c r="BO91" s="592"/>
      <c r="BP91" s="592"/>
      <c r="BQ91" s="592"/>
      <c r="BR91" s="592"/>
      <c r="BS91" s="592"/>
      <c r="BT91" s="592"/>
    </row>
    <row r="92" spans="1:72" s="591" customFormat="1" ht="15">
      <c r="A92" s="539"/>
      <c r="B92" s="539"/>
      <c r="C92" s="539"/>
      <c r="D92" s="539"/>
      <c r="E92" s="539"/>
      <c r="F92" s="539"/>
      <c r="G92" s="539"/>
      <c r="H92" s="539"/>
      <c r="I92" s="539"/>
      <c r="J92" s="539"/>
      <c r="K92" s="539"/>
      <c r="L92" s="539"/>
      <c r="M92" s="539"/>
      <c r="N92" s="539"/>
      <c r="O92" s="539"/>
      <c r="P92" s="539"/>
      <c r="Q92" s="539"/>
      <c r="R92" s="539"/>
      <c r="S92" s="557"/>
      <c r="T92" s="557"/>
      <c r="U92" s="557"/>
      <c r="V92" s="557"/>
      <c r="W92" s="539"/>
      <c r="X92" s="539"/>
      <c r="Y92" s="557"/>
      <c r="Z92" s="557"/>
      <c r="AA92" s="539"/>
      <c r="AB92" s="539"/>
      <c r="AC92" s="539"/>
      <c r="AD92" s="557"/>
      <c r="AE92" s="557"/>
      <c r="AF92" s="557"/>
      <c r="AG92" s="557"/>
      <c r="AH92" s="557"/>
      <c r="AI92" s="557"/>
      <c r="AJ92" s="557"/>
      <c r="AK92" s="557"/>
      <c r="AL92" s="557"/>
      <c r="AM92" s="557"/>
      <c r="AN92" s="557"/>
      <c r="AO92" s="557"/>
      <c r="AP92" s="557"/>
      <c r="AQ92" s="557"/>
      <c r="AR92" s="557"/>
      <c r="AS92" s="557"/>
      <c r="AT92" s="557"/>
      <c r="AU92" s="557"/>
      <c r="AV92" s="557"/>
      <c r="AW92" s="557"/>
      <c r="AX92" s="557"/>
      <c r="AY92" s="557"/>
      <c r="AZ92" s="557"/>
      <c r="BA92" s="557"/>
      <c r="BB92" s="557"/>
      <c r="BC92" s="557"/>
      <c r="BD92" s="555"/>
      <c r="BE92" s="592"/>
      <c r="BF92" s="592"/>
      <c r="BG92" s="592"/>
      <c r="BH92" s="592"/>
      <c r="BI92" s="592"/>
      <c r="BJ92" s="592"/>
      <c r="BK92" s="592"/>
      <c r="BL92" s="592"/>
      <c r="BM92" s="592"/>
      <c r="BN92" s="592"/>
      <c r="BO92" s="592"/>
      <c r="BP92" s="592"/>
      <c r="BQ92" s="592"/>
      <c r="BR92" s="592"/>
      <c r="BS92" s="592"/>
      <c r="BT92" s="592"/>
    </row>
    <row r="93" spans="1:72" s="591" customFormat="1" ht="15">
      <c r="A93" s="539"/>
      <c r="B93" s="539"/>
      <c r="C93" s="539"/>
      <c r="D93" s="539"/>
      <c r="E93" s="539"/>
      <c r="F93" s="539"/>
      <c r="G93" s="539"/>
      <c r="H93" s="539"/>
      <c r="I93" s="539"/>
      <c r="J93" s="539"/>
      <c r="K93" s="539"/>
      <c r="L93" s="539"/>
      <c r="M93" s="539"/>
      <c r="N93" s="539"/>
      <c r="O93" s="539"/>
      <c r="P93" s="539"/>
      <c r="Q93" s="539"/>
      <c r="R93" s="539"/>
      <c r="S93" s="557"/>
      <c r="T93" s="557"/>
      <c r="U93" s="557"/>
      <c r="V93" s="557"/>
      <c r="W93" s="539"/>
      <c r="X93" s="539"/>
      <c r="Y93" s="557"/>
      <c r="Z93" s="557"/>
      <c r="AA93" s="539"/>
      <c r="AB93" s="539"/>
      <c r="AC93" s="539"/>
      <c r="AD93" s="557"/>
      <c r="AE93" s="557"/>
      <c r="AF93" s="557"/>
      <c r="AG93" s="557"/>
      <c r="AH93" s="557"/>
      <c r="AI93" s="557"/>
      <c r="AJ93" s="557"/>
      <c r="AK93" s="557"/>
      <c r="AL93" s="557"/>
      <c r="AM93" s="557"/>
      <c r="AN93" s="557"/>
      <c r="AO93" s="557"/>
      <c r="AP93" s="557"/>
      <c r="AQ93" s="557"/>
      <c r="AR93" s="557"/>
      <c r="AS93" s="557"/>
      <c r="AT93" s="557"/>
      <c r="AU93" s="557"/>
      <c r="AV93" s="557"/>
      <c r="AW93" s="557"/>
      <c r="AX93" s="557"/>
      <c r="AY93" s="557"/>
      <c r="AZ93" s="557"/>
      <c r="BA93" s="557"/>
      <c r="BB93" s="557"/>
      <c r="BC93" s="557"/>
      <c r="BD93" s="555"/>
      <c r="BE93" s="592"/>
      <c r="BF93" s="592"/>
      <c r="BG93" s="592"/>
      <c r="BH93" s="592"/>
      <c r="BI93" s="592"/>
      <c r="BJ93" s="592"/>
      <c r="BK93" s="592"/>
      <c r="BL93" s="592"/>
      <c r="BM93" s="592"/>
      <c r="BN93" s="592"/>
      <c r="BO93" s="592"/>
      <c r="BP93" s="592"/>
      <c r="BQ93" s="592"/>
      <c r="BR93" s="592"/>
      <c r="BS93" s="592"/>
      <c r="BT93" s="592"/>
    </row>
    <row r="94" spans="1:72" s="591" customFormat="1" ht="15">
      <c r="A94" s="539"/>
      <c r="B94" s="539"/>
      <c r="C94" s="539"/>
      <c r="D94" s="539"/>
      <c r="E94" s="539"/>
      <c r="F94" s="539"/>
      <c r="G94" s="539"/>
      <c r="H94" s="539"/>
      <c r="I94" s="539"/>
      <c r="J94" s="539"/>
      <c r="K94" s="539"/>
      <c r="L94" s="539"/>
      <c r="M94" s="539"/>
      <c r="N94" s="539"/>
      <c r="O94" s="539"/>
      <c r="P94" s="539"/>
      <c r="Q94" s="539"/>
      <c r="R94" s="539"/>
      <c r="S94" s="557"/>
      <c r="T94" s="557"/>
      <c r="U94" s="557"/>
      <c r="V94" s="557"/>
      <c r="W94" s="539"/>
      <c r="X94" s="539"/>
      <c r="Y94" s="557"/>
      <c r="Z94" s="557"/>
      <c r="AA94" s="539"/>
      <c r="AB94" s="539"/>
      <c r="AC94" s="539"/>
      <c r="AD94" s="557"/>
      <c r="AE94" s="557"/>
      <c r="AF94" s="557"/>
      <c r="AG94" s="557"/>
      <c r="AH94" s="557"/>
      <c r="AI94" s="557"/>
      <c r="AJ94" s="557"/>
      <c r="AK94" s="557"/>
      <c r="AL94" s="557"/>
      <c r="AM94" s="557"/>
      <c r="AN94" s="557"/>
      <c r="AO94" s="557"/>
      <c r="AP94" s="557"/>
      <c r="AQ94" s="557"/>
      <c r="AR94" s="557"/>
      <c r="AS94" s="557"/>
      <c r="AT94" s="557"/>
      <c r="AU94" s="557"/>
      <c r="AV94" s="557"/>
      <c r="AW94" s="557"/>
      <c r="AX94" s="557"/>
      <c r="AY94" s="557"/>
      <c r="AZ94" s="557"/>
      <c r="BA94" s="557"/>
      <c r="BB94" s="557"/>
      <c r="BC94" s="557"/>
      <c r="BD94" s="555"/>
      <c r="BE94" s="592"/>
      <c r="BF94" s="592"/>
      <c r="BG94" s="592"/>
      <c r="BH94" s="592"/>
      <c r="BI94" s="592"/>
      <c r="BJ94" s="592"/>
      <c r="BK94" s="592"/>
      <c r="BL94" s="592"/>
      <c r="BM94" s="592"/>
      <c r="BN94" s="592"/>
      <c r="BO94" s="592"/>
      <c r="BP94" s="592"/>
      <c r="BQ94" s="592"/>
      <c r="BR94" s="592"/>
      <c r="BS94" s="592"/>
      <c r="BT94" s="592"/>
    </row>
    <row r="95" spans="1:72" s="591" customFormat="1" ht="15">
      <c r="A95" s="539"/>
      <c r="B95" s="539"/>
      <c r="C95" s="539"/>
      <c r="D95" s="539"/>
      <c r="E95" s="539"/>
      <c r="F95" s="539"/>
      <c r="G95" s="539"/>
      <c r="H95" s="539"/>
      <c r="I95" s="539"/>
      <c r="J95" s="539"/>
      <c r="K95" s="539"/>
      <c r="L95" s="539"/>
      <c r="M95" s="539"/>
      <c r="N95" s="539"/>
      <c r="O95" s="539"/>
      <c r="P95" s="539"/>
      <c r="Q95" s="539"/>
      <c r="R95" s="539"/>
      <c r="S95" s="557"/>
      <c r="T95" s="557"/>
      <c r="U95" s="557"/>
      <c r="V95" s="557"/>
      <c r="W95" s="539"/>
      <c r="X95" s="539"/>
      <c r="Y95" s="557"/>
      <c r="Z95" s="557"/>
      <c r="AA95" s="539"/>
      <c r="AB95" s="539"/>
      <c r="AC95" s="539"/>
      <c r="AD95" s="557"/>
      <c r="AE95" s="557"/>
      <c r="AF95" s="557"/>
      <c r="AG95" s="557"/>
      <c r="AH95" s="557"/>
      <c r="AI95" s="557"/>
      <c r="AJ95" s="557"/>
      <c r="AK95" s="557"/>
      <c r="AL95" s="557"/>
      <c r="AM95" s="557"/>
      <c r="AN95" s="557"/>
      <c r="AO95" s="557"/>
      <c r="AP95" s="557"/>
      <c r="AQ95" s="557"/>
      <c r="AR95" s="557"/>
      <c r="AS95" s="557"/>
      <c r="AT95" s="557"/>
      <c r="AU95" s="557"/>
      <c r="AV95" s="557"/>
      <c r="AW95" s="557"/>
      <c r="AX95" s="557"/>
      <c r="AY95" s="557"/>
      <c r="AZ95" s="557"/>
      <c r="BA95" s="557"/>
      <c r="BB95" s="557"/>
      <c r="BC95" s="557"/>
      <c r="BD95" s="555"/>
      <c r="BE95" s="592"/>
      <c r="BF95" s="592"/>
      <c r="BG95" s="592"/>
      <c r="BH95" s="592"/>
      <c r="BI95" s="592"/>
      <c r="BJ95" s="592"/>
      <c r="BK95" s="592"/>
      <c r="BL95" s="592"/>
      <c r="BM95" s="592"/>
      <c r="BN95" s="592"/>
      <c r="BO95" s="592"/>
      <c r="BP95" s="592"/>
      <c r="BQ95" s="592"/>
      <c r="BR95" s="592"/>
      <c r="BS95" s="592"/>
      <c r="BT95" s="592"/>
    </row>
    <row r="96" spans="1:72" s="591" customFormat="1" ht="15">
      <c r="A96" s="539"/>
      <c r="B96" s="539"/>
      <c r="C96" s="539"/>
      <c r="D96" s="539"/>
      <c r="E96" s="539"/>
      <c r="F96" s="539"/>
      <c r="G96" s="539"/>
      <c r="H96" s="539"/>
      <c r="I96" s="539"/>
      <c r="J96" s="539"/>
      <c r="K96" s="539"/>
      <c r="L96" s="539"/>
      <c r="M96" s="539"/>
      <c r="N96" s="539"/>
      <c r="O96" s="539"/>
      <c r="P96" s="539"/>
      <c r="Q96" s="539"/>
      <c r="R96" s="539"/>
      <c r="S96" s="557"/>
      <c r="T96" s="557"/>
      <c r="U96" s="557"/>
      <c r="V96" s="557"/>
      <c r="W96" s="539"/>
      <c r="X96" s="539"/>
      <c r="Y96" s="557"/>
      <c r="Z96" s="557"/>
      <c r="AA96" s="539"/>
      <c r="AB96" s="539"/>
      <c r="AC96" s="539"/>
      <c r="AD96" s="557"/>
      <c r="AE96" s="557"/>
      <c r="AF96" s="557"/>
      <c r="AG96" s="557"/>
      <c r="AH96" s="557"/>
      <c r="AI96" s="557"/>
      <c r="AJ96" s="557"/>
      <c r="AK96" s="557"/>
      <c r="AL96" s="557"/>
      <c r="AM96" s="557"/>
      <c r="AN96" s="557"/>
      <c r="AO96" s="557"/>
      <c r="AP96" s="557"/>
      <c r="AQ96" s="557"/>
      <c r="AR96" s="557"/>
      <c r="AS96" s="557"/>
      <c r="AT96" s="557"/>
      <c r="AU96" s="557"/>
      <c r="AV96" s="557"/>
      <c r="AW96" s="557"/>
      <c r="AX96" s="557"/>
      <c r="AY96" s="557"/>
      <c r="AZ96" s="557"/>
      <c r="BA96" s="557"/>
      <c r="BB96" s="557"/>
      <c r="BC96" s="557"/>
      <c r="BD96" s="555"/>
      <c r="BE96" s="592"/>
      <c r="BF96" s="592"/>
      <c r="BG96" s="592"/>
      <c r="BH96" s="592"/>
      <c r="BI96" s="592"/>
      <c r="BJ96" s="592"/>
      <c r="BK96" s="592"/>
      <c r="BL96" s="592"/>
      <c r="BM96" s="592"/>
      <c r="BN96" s="592"/>
      <c r="BO96" s="592"/>
      <c r="BP96" s="592"/>
      <c r="BQ96" s="592"/>
      <c r="BR96" s="592"/>
      <c r="BS96" s="592"/>
      <c r="BT96" s="592"/>
    </row>
    <row r="97" spans="1:72" s="591" customFormat="1" ht="15">
      <c r="A97" s="539"/>
      <c r="B97" s="539"/>
      <c r="C97" s="539"/>
      <c r="D97" s="539"/>
      <c r="E97" s="539"/>
      <c r="F97" s="539"/>
      <c r="G97" s="539"/>
      <c r="H97" s="539"/>
      <c r="I97" s="539"/>
      <c r="J97" s="539"/>
      <c r="K97" s="539"/>
      <c r="L97" s="539"/>
      <c r="M97" s="539"/>
      <c r="N97" s="539"/>
      <c r="O97" s="539"/>
      <c r="P97" s="539"/>
      <c r="Q97" s="539"/>
      <c r="R97" s="539"/>
      <c r="S97" s="557"/>
      <c r="T97" s="557"/>
      <c r="U97" s="557"/>
      <c r="V97" s="557"/>
      <c r="W97" s="539"/>
      <c r="X97" s="539"/>
      <c r="Y97" s="557"/>
      <c r="Z97" s="557"/>
      <c r="AA97" s="539"/>
      <c r="AB97" s="539"/>
      <c r="AC97" s="539"/>
      <c r="AD97" s="557"/>
      <c r="AE97" s="557"/>
      <c r="AF97" s="557"/>
      <c r="AG97" s="557"/>
      <c r="AH97" s="557"/>
      <c r="AI97" s="557"/>
      <c r="AJ97" s="557"/>
      <c r="AK97" s="557"/>
      <c r="AL97" s="557"/>
      <c r="AM97" s="557"/>
      <c r="AN97" s="557"/>
      <c r="AO97" s="557"/>
      <c r="AP97" s="557"/>
      <c r="AQ97" s="557"/>
      <c r="AR97" s="557"/>
      <c r="AS97" s="557"/>
      <c r="AT97" s="557"/>
      <c r="AU97" s="557"/>
      <c r="AV97" s="557"/>
      <c r="AW97" s="557"/>
      <c r="AX97" s="557"/>
      <c r="AY97" s="557"/>
      <c r="AZ97" s="557"/>
      <c r="BA97" s="557"/>
      <c r="BB97" s="557"/>
      <c r="BC97" s="557"/>
      <c r="BD97" s="555"/>
      <c r="BE97" s="592"/>
      <c r="BF97" s="592"/>
      <c r="BG97" s="575"/>
      <c r="BH97" s="575"/>
      <c r="BI97" s="592"/>
      <c r="BJ97" s="592"/>
      <c r="BK97" s="592"/>
      <c r="BL97" s="592"/>
      <c r="BM97" s="592"/>
      <c r="BN97" s="592"/>
      <c r="BO97" s="592"/>
      <c r="BP97" s="592"/>
      <c r="BQ97" s="592"/>
      <c r="BR97" s="592"/>
      <c r="BS97" s="592"/>
      <c r="BT97" s="592"/>
    </row>
    <row r="98" spans="1:72" s="591" customFormat="1" ht="15">
      <c r="A98" s="539"/>
      <c r="B98" s="539"/>
      <c r="C98" s="539"/>
      <c r="D98" s="539"/>
      <c r="E98" s="539"/>
      <c r="F98" s="539"/>
      <c r="G98" s="539"/>
      <c r="H98" s="539"/>
      <c r="I98" s="539"/>
      <c r="J98" s="539"/>
      <c r="K98" s="539"/>
      <c r="L98" s="539"/>
      <c r="M98" s="539"/>
      <c r="N98" s="539"/>
      <c r="O98" s="539"/>
      <c r="P98" s="539"/>
      <c r="Q98" s="539"/>
      <c r="R98" s="539"/>
      <c r="S98" s="557"/>
      <c r="T98" s="557"/>
      <c r="U98" s="557"/>
      <c r="V98" s="557"/>
      <c r="W98" s="539"/>
      <c r="X98" s="539"/>
      <c r="Y98" s="557"/>
      <c r="Z98" s="557"/>
      <c r="AA98" s="539"/>
      <c r="AB98" s="539"/>
      <c r="AC98" s="539"/>
      <c r="AD98" s="557"/>
      <c r="AE98" s="557"/>
      <c r="AF98" s="557"/>
      <c r="AG98" s="557"/>
      <c r="AH98" s="557"/>
      <c r="AI98" s="557"/>
      <c r="AJ98" s="557"/>
      <c r="AK98" s="557"/>
      <c r="AL98" s="557"/>
      <c r="AM98" s="557"/>
      <c r="AN98" s="557"/>
      <c r="AO98" s="557"/>
      <c r="AP98" s="557"/>
      <c r="AQ98" s="557"/>
      <c r="AR98" s="557"/>
      <c r="AS98" s="557"/>
      <c r="AT98" s="557"/>
      <c r="AU98" s="557"/>
      <c r="AV98" s="557"/>
      <c r="AW98" s="557"/>
      <c r="AX98" s="557"/>
      <c r="AY98" s="557"/>
      <c r="AZ98" s="557"/>
      <c r="BA98" s="557"/>
      <c r="BB98" s="557"/>
      <c r="BC98" s="557"/>
      <c r="BD98" s="555"/>
      <c r="BE98" s="592"/>
      <c r="BF98" s="595"/>
      <c r="BG98" s="575"/>
      <c r="BH98" s="592"/>
      <c r="BI98" s="592"/>
      <c r="BJ98" s="592"/>
      <c r="BK98" s="592"/>
      <c r="BL98" s="592"/>
      <c r="BM98" s="592"/>
      <c r="BN98" s="592"/>
      <c r="BO98" s="592"/>
      <c r="BP98" s="592"/>
      <c r="BQ98" s="592"/>
      <c r="BR98" s="592"/>
      <c r="BS98" s="592"/>
      <c r="BT98" s="592"/>
    </row>
    <row r="99" spans="1:72" s="591" customFormat="1" ht="15">
      <c r="A99" s="539"/>
      <c r="B99" s="539"/>
      <c r="C99" s="539"/>
      <c r="D99" s="539"/>
      <c r="E99" s="539"/>
      <c r="F99" s="539"/>
      <c r="G99" s="539"/>
      <c r="H99" s="539"/>
      <c r="I99" s="539"/>
      <c r="J99" s="539"/>
      <c r="K99" s="539"/>
      <c r="L99" s="539"/>
      <c r="M99" s="539"/>
      <c r="N99" s="539"/>
      <c r="O99" s="539"/>
      <c r="P99" s="539"/>
      <c r="Q99" s="539"/>
      <c r="R99" s="539"/>
      <c r="S99" s="557"/>
      <c r="T99" s="557"/>
      <c r="U99" s="557"/>
      <c r="V99" s="557"/>
      <c r="W99" s="539"/>
      <c r="X99" s="539"/>
      <c r="Y99" s="557"/>
      <c r="Z99" s="557"/>
      <c r="AA99" s="539"/>
      <c r="AB99" s="539"/>
      <c r="AC99" s="539"/>
      <c r="AD99" s="557"/>
      <c r="AE99" s="557"/>
      <c r="AF99" s="557"/>
      <c r="AG99" s="557"/>
      <c r="AH99" s="557"/>
      <c r="AI99" s="557"/>
      <c r="AJ99" s="557"/>
      <c r="AK99" s="557"/>
      <c r="AL99" s="557"/>
      <c r="AM99" s="557"/>
      <c r="AN99" s="557"/>
      <c r="AO99" s="557"/>
      <c r="AP99" s="557"/>
      <c r="AQ99" s="557"/>
      <c r="AR99" s="557"/>
      <c r="AS99" s="557"/>
      <c r="AT99" s="557"/>
      <c r="AU99" s="557"/>
      <c r="AV99" s="557"/>
      <c r="AW99" s="557"/>
      <c r="AX99" s="557"/>
      <c r="AY99" s="557"/>
      <c r="AZ99" s="557"/>
      <c r="BA99" s="557"/>
      <c r="BB99" s="557"/>
      <c r="BC99" s="557"/>
      <c r="BD99" s="555"/>
      <c r="BE99" s="592"/>
      <c r="BF99" s="592"/>
      <c r="BG99" s="592"/>
      <c r="BH99" s="592"/>
      <c r="BI99" s="592"/>
      <c r="BJ99" s="592"/>
      <c r="BK99" s="592"/>
      <c r="BL99" s="592"/>
      <c r="BM99" s="592"/>
      <c r="BN99" s="592"/>
      <c r="BO99" s="592"/>
      <c r="BP99" s="592"/>
      <c r="BQ99" s="592"/>
      <c r="BR99" s="592"/>
      <c r="BS99" s="592"/>
      <c r="BT99" s="592"/>
    </row>
    <row r="100" spans="1:72" s="591" customFormat="1" ht="15">
      <c r="A100" s="539"/>
      <c r="B100" s="539"/>
      <c r="C100" s="539"/>
      <c r="D100" s="539"/>
      <c r="E100" s="539"/>
      <c r="F100" s="539"/>
      <c r="G100" s="539"/>
      <c r="H100" s="539"/>
      <c r="I100" s="539"/>
      <c r="J100" s="539"/>
      <c r="K100" s="539"/>
      <c r="L100" s="539"/>
      <c r="M100" s="539"/>
      <c r="N100" s="539"/>
      <c r="O100" s="539"/>
      <c r="P100" s="539"/>
      <c r="Q100" s="539"/>
      <c r="R100" s="539"/>
      <c r="S100" s="557"/>
      <c r="T100" s="557"/>
      <c r="U100" s="557"/>
      <c r="V100" s="557"/>
      <c r="W100" s="539"/>
      <c r="X100" s="539"/>
      <c r="Y100" s="557"/>
      <c r="Z100" s="557"/>
      <c r="AA100" s="539"/>
      <c r="AB100" s="539"/>
      <c r="AC100" s="539"/>
      <c r="AD100" s="557"/>
      <c r="AE100" s="557"/>
      <c r="AF100" s="557"/>
      <c r="AG100" s="557"/>
      <c r="AH100" s="557"/>
      <c r="AI100" s="557"/>
      <c r="AJ100" s="557"/>
      <c r="AK100" s="557"/>
      <c r="AL100" s="557"/>
      <c r="AM100" s="557"/>
      <c r="AN100" s="557"/>
      <c r="AO100" s="557"/>
      <c r="AP100" s="557"/>
      <c r="AQ100" s="557"/>
      <c r="AR100" s="557"/>
      <c r="AS100" s="557"/>
      <c r="AT100" s="557"/>
      <c r="AU100" s="557"/>
      <c r="AV100" s="557"/>
      <c r="AW100" s="557"/>
      <c r="AX100" s="557"/>
      <c r="AY100" s="557"/>
      <c r="AZ100" s="557"/>
      <c r="BA100" s="557"/>
      <c r="BB100" s="557"/>
      <c r="BC100" s="557"/>
      <c r="BD100" s="555"/>
      <c r="BE100" s="592"/>
      <c r="BF100" s="592"/>
      <c r="BG100" s="592"/>
      <c r="BH100" s="592"/>
      <c r="BI100" s="592"/>
      <c r="BJ100" s="592"/>
      <c r="BK100" s="592"/>
      <c r="BL100" s="592"/>
      <c r="BM100" s="592"/>
      <c r="BN100" s="592"/>
      <c r="BO100" s="592"/>
      <c r="BP100" s="592"/>
      <c r="BQ100" s="592"/>
      <c r="BR100" s="592"/>
      <c r="BS100" s="592"/>
      <c r="BT100" s="592"/>
    </row>
    <row r="101" spans="1:72" s="591" customFormat="1" ht="15">
      <c r="A101" s="539"/>
      <c r="B101" s="539"/>
      <c r="C101" s="539"/>
      <c r="D101" s="539"/>
      <c r="E101" s="539"/>
      <c r="F101" s="539"/>
      <c r="G101" s="539"/>
      <c r="H101" s="539"/>
      <c r="I101" s="539"/>
      <c r="J101" s="539"/>
      <c r="K101" s="539"/>
      <c r="L101" s="539"/>
      <c r="M101" s="539"/>
      <c r="N101" s="539"/>
      <c r="O101" s="539"/>
      <c r="P101" s="539"/>
      <c r="Q101" s="539"/>
      <c r="R101" s="539"/>
      <c r="S101" s="557"/>
      <c r="T101" s="557"/>
      <c r="U101" s="557"/>
      <c r="V101" s="557"/>
      <c r="W101" s="539"/>
      <c r="X101" s="539"/>
      <c r="Y101" s="557"/>
      <c r="Z101" s="557"/>
      <c r="AA101" s="539"/>
      <c r="AB101" s="539"/>
      <c r="AC101" s="539"/>
      <c r="AD101" s="557"/>
      <c r="AE101" s="557"/>
      <c r="AF101" s="557"/>
      <c r="AG101" s="557"/>
      <c r="AH101" s="557"/>
      <c r="AI101" s="557"/>
      <c r="AJ101" s="557"/>
      <c r="AK101" s="557"/>
      <c r="AL101" s="557"/>
      <c r="AM101" s="557"/>
      <c r="AN101" s="557"/>
      <c r="AO101" s="557"/>
      <c r="AP101" s="557"/>
      <c r="AQ101" s="557"/>
      <c r="AR101" s="557"/>
      <c r="AS101" s="557"/>
      <c r="AT101" s="557"/>
      <c r="AU101" s="557"/>
      <c r="AV101" s="557"/>
      <c r="AW101" s="557"/>
      <c r="AX101" s="557"/>
      <c r="AY101" s="557"/>
      <c r="AZ101" s="557"/>
      <c r="BA101" s="557"/>
      <c r="BB101" s="557"/>
      <c r="BC101" s="557"/>
      <c r="BD101" s="555"/>
      <c r="BE101" s="592"/>
      <c r="BF101" s="592"/>
      <c r="BG101" s="592"/>
      <c r="BH101" s="592"/>
      <c r="BI101" s="592"/>
      <c r="BJ101" s="592"/>
      <c r="BK101" s="592"/>
      <c r="BL101" s="592"/>
      <c r="BM101" s="592"/>
      <c r="BN101" s="592"/>
      <c r="BO101" s="592"/>
      <c r="BP101" s="592"/>
      <c r="BQ101" s="592"/>
      <c r="BR101" s="592"/>
      <c r="BS101" s="592"/>
      <c r="BT101" s="592"/>
    </row>
    <row r="102" spans="1:72" s="591" customFormat="1" ht="15">
      <c r="A102" s="539"/>
      <c r="B102" s="539"/>
      <c r="C102" s="539"/>
      <c r="D102" s="539"/>
      <c r="E102" s="539"/>
      <c r="F102" s="539"/>
      <c r="G102" s="539"/>
      <c r="H102" s="539"/>
      <c r="I102" s="539"/>
      <c r="J102" s="539"/>
      <c r="K102" s="539"/>
      <c r="L102" s="539"/>
      <c r="M102" s="539"/>
      <c r="N102" s="539"/>
      <c r="O102" s="539"/>
      <c r="P102" s="539"/>
      <c r="Q102" s="539"/>
      <c r="R102" s="539"/>
      <c r="S102" s="557"/>
      <c r="T102" s="557"/>
      <c r="U102" s="557"/>
      <c r="V102" s="557"/>
      <c r="W102" s="539"/>
      <c r="X102" s="539"/>
      <c r="Y102" s="557"/>
      <c r="Z102" s="557"/>
      <c r="AA102" s="539"/>
      <c r="AB102" s="539"/>
      <c r="AC102" s="539"/>
      <c r="AD102" s="557"/>
      <c r="AE102" s="557"/>
      <c r="AF102" s="557"/>
      <c r="AG102" s="557"/>
      <c r="AH102" s="557"/>
      <c r="AI102" s="557"/>
      <c r="AJ102" s="557"/>
      <c r="AK102" s="557"/>
      <c r="AL102" s="557"/>
      <c r="AM102" s="557"/>
      <c r="AN102" s="557"/>
      <c r="AO102" s="557"/>
      <c r="AP102" s="557"/>
      <c r="AQ102" s="557"/>
      <c r="AR102" s="557"/>
      <c r="AS102" s="557"/>
      <c r="AT102" s="557"/>
      <c r="AU102" s="557"/>
      <c r="AV102" s="557"/>
      <c r="AW102" s="557"/>
      <c r="AX102" s="557"/>
      <c r="AY102" s="557"/>
      <c r="AZ102" s="557"/>
      <c r="BA102" s="557"/>
      <c r="BB102" s="557"/>
      <c r="BC102" s="557"/>
      <c r="BD102" s="555"/>
      <c r="BE102" s="592"/>
      <c r="BF102" s="592"/>
      <c r="BG102" s="592"/>
      <c r="BH102" s="592"/>
      <c r="BI102" s="592"/>
      <c r="BJ102" s="592"/>
      <c r="BK102" s="592"/>
      <c r="BL102" s="592"/>
      <c r="BM102" s="592"/>
      <c r="BN102" s="592"/>
      <c r="BO102" s="592"/>
      <c r="BP102" s="592"/>
      <c r="BQ102" s="592"/>
      <c r="BR102" s="592"/>
      <c r="BS102" s="592"/>
      <c r="BT102" s="592"/>
    </row>
    <row r="103" spans="1:72" s="591" customFormat="1" ht="15">
      <c r="A103" s="539"/>
      <c r="B103" s="539"/>
      <c r="C103" s="539"/>
      <c r="D103" s="539"/>
      <c r="E103" s="539"/>
      <c r="F103" s="539"/>
      <c r="G103" s="539"/>
      <c r="H103" s="539"/>
      <c r="I103" s="539"/>
      <c r="J103" s="539"/>
      <c r="K103" s="539"/>
      <c r="L103" s="539"/>
      <c r="M103" s="539"/>
      <c r="N103" s="539"/>
      <c r="O103" s="539"/>
      <c r="P103" s="539"/>
      <c r="Q103" s="539"/>
      <c r="R103" s="539"/>
      <c r="S103" s="557"/>
      <c r="T103" s="557"/>
      <c r="U103" s="557"/>
      <c r="V103" s="557"/>
      <c r="W103" s="539"/>
      <c r="X103" s="539"/>
      <c r="Y103" s="557"/>
      <c r="Z103" s="557"/>
      <c r="AA103" s="539"/>
      <c r="AB103" s="539"/>
      <c r="AC103" s="539"/>
      <c r="AD103" s="557"/>
      <c r="AE103" s="557"/>
      <c r="AF103" s="557"/>
      <c r="AG103" s="557"/>
      <c r="AH103" s="557"/>
      <c r="AI103" s="557"/>
      <c r="AJ103" s="557"/>
      <c r="AK103" s="557"/>
      <c r="AL103" s="557"/>
      <c r="AM103" s="557"/>
      <c r="AN103" s="557"/>
      <c r="AO103" s="557"/>
      <c r="AP103" s="557"/>
      <c r="AQ103" s="557"/>
      <c r="AR103" s="557"/>
      <c r="AS103" s="557"/>
      <c r="AT103" s="557"/>
      <c r="AU103" s="557"/>
      <c r="AV103" s="557"/>
      <c r="AW103" s="557"/>
      <c r="AX103" s="557"/>
      <c r="AY103" s="557"/>
      <c r="AZ103" s="557"/>
      <c r="BA103" s="557"/>
      <c r="BB103" s="557"/>
      <c r="BC103" s="557"/>
      <c r="BD103" s="555"/>
      <c r="BE103" s="592"/>
      <c r="BF103" s="592"/>
      <c r="BG103" s="592"/>
      <c r="BH103" s="592"/>
      <c r="BI103" s="592"/>
      <c r="BJ103" s="592"/>
      <c r="BK103" s="592"/>
      <c r="BL103" s="592"/>
      <c r="BM103" s="592"/>
      <c r="BN103" s="592"/>
      <c r="BO103" s="592"/>
      <c r="BP103" s="592"/>
      <c r="BQ103" s="592"/>
      <c r="BR103" s="592"/>
      <c r="BS103" s="592"/>
      <c r="BT103" s="592"/>
    </row>
    <row r="104" spans="1:72" s="591" customFormat="1" ht="15">
      <c r="A104" s="539"/>
      <c r="B104" s="539"/>
      <c r="C104" s="539"/>
      <c r="D104" s="539"/>
      <c r="E104" s="539"/>
      <c r="F104" s="539"/>
      <c r="G104" s="539"/>
      <c r="H104" s="539"/>
      <c r="I104" s="539"/>
      <c r="J104" s="539"/>
      <c r="K104" s="539"/>
      <c r="L104" s="539"/>
      <c r="M104" s="539"/>
      <c r="N104" s="539"/>
      <c r="O104" s="539"/>
      <c r="P104" s="539"/>
      <c r="Q104" s="539"/>
      <c r="R104" s="539"/>
      <c r="S104" s="557"/>
      <c r="T104" s="557"/>
      <c r="U104" s="557"/>
      <c r="V104" s="557"/>
      <c r="W104" s="539"/>
      <c r="X104" s="539"/>
      <c r="Y104" s="557"/>
      <c r="Z104" s="557"/>
      <c r="AA104" s="539"/>
      <c r="AB104" s="539"/>
      <c r="AC104" s="539"/>
      <c r="AD104" s="557"/>
      <c r="AE104" s="557"/>
      <c r="AF104" s="557"/>
      <c r="AG104" s="557"/>
      <c r="AH104" s="557"/>
      <c r="AI104" s="557"/>
      <c r="AJ104" s="557"/>
      <c r="AK104" s="557"/>
      <c r="AL104" s="557"/>
      <c r="AM104" s="557"/>
      <c r="AN104" s="557"/>
      <c r="AO104" s="557"/>
      <c r="AP104" s="557"/>
      <c r="AQ104" s="557"/>
      <c r="AR104" s="557"/>
      <c r="AS104" s="557"/>
      <c r="AT104" s="557"/>
      <c r="AU104" s="557"/>
      <c r="AV104" s="557"/>
      <c r="AW104" s="557"/>
      <c r="AX104" s="557"/>
      <c r="AY104" s="557"/>
      <c r="AZ104" s="557"/>
      <c r="BA104" s="557"/>
      <c r="BB104" s="557"/>
      <c r="BC104" s="557"/>
      <c r="BD104" s="555"/>
      <c r="BE104" s="592"/>
      <c r="BF104" s="592"/>
      <c r="BG104" s="592"/>
      <c r="BH104" s="592"/>
      <c r="BI104" s="592"/>
      <c r="BJ104" s="592"/>
      <c r="BK104" s="592"/>
      <c r="BL104" s="592"/>
      <c r="BM104" s="592"/>
      <c r="BN104" s="592"/>
      <c r="BO104" s="592"/>
      <c r="BP104" s="592"/>
      <c r="BQ104" s="592"/>
      <c r="BR104" s="592"/>
      <c r="BS104" s="592"/>
      <c r="BT104" s="592"/>
    </row>
    <row r="105" spans="1:72" s="591" customFormat="1" ht="15">
      <c r="A105" s="539"/>
      <c r="B105" s="539"/>
      <c r="C105" s="539"/>
      <c r="D105" s="539"/>
      <c r="E105" s="539"/>
      <c r="F105" s="539"/>
      <c r="G105" s="539"/>
      <c r="H105" s="539"/>
      <c r="I105" s="539"/>
      <c r="J105" s="539"/>
      <c r="K105" s="539"/>
      <c r="L105" s="539"/>
      <c r="M105" s="539"/>
      <c r="N105" s="539"/>
      <c r="O105" s="539"/>
      <c r="P105" s="539"/>
      <c r="Q105" s="539"/>
      <c r="R105" s="539"/>
      <c r="S105" s="557"/>
      <c r="T105" s="557"/>
      <c r="U105" s="557"/>
      <c r="V105" s="557"/>
      <c r="W105" s="539"/>
      <c r="X105" s="539"/>
      <c r="Y105" s="557"/>
      <c r="Z105" s="557"/>
      <c r="AA105" s="539"/>
      <c r="AB105" s="539"/>
      <c r="AC105" s="539"/>
      <c r="AD105" s="557"/>
      <c r="AE105" s="557"/>
      <c r="AF105" s="557"/>
      <c r="AG105" s="557"/>
      <c r="AH105" s="557"/>
      <c r="AI105" s="557"/>
      <c r="AJ105" s="557"/>
      <c r="AK105" s="557"/>
      <c r="AL105" s="557"/>
      <c r="AM105" s="557"/>
      <c r="AN105" s="557"/>
      <c r="AO105" s="557"/>
      <c r="AP105" s="557"/>
      <c r="AQ105" s="557"/>
      <c r="AR105" s="557"/>
      <c r="AS105" s="557"/>
      <c r="AT105" s="557"/>
      <c r="AU105" s="557"/>
      <c r="AV105" s="557"/>
      <c r="AW105" s="557"/>
      <c r="AX105" s="557"/>
      <c r="AY105" s="557"/>
      <c r="AZ105" s="557"/>
      <c r="BA105" s="557"/>
      <c r="BB105" s="557"/>
      <c r="BC105" s="557"/>
      <c r="BD105" s="555"/>
      <c r="BE105" s="592"/>
      <c r="BF105" s="592"/>
      <c r="BG105" s="592"/>
      <c r="BH105" s="592"/>
      <c r="BI105" s="592"/>
      <c r="BJ105" s="592"/>
      <c r="BK105" s="592"/>
      <c r="BL105" s="592"/>
      <c r="BM105" s="592"/>
      <c r="BN105" s="592"/>
      <c r="BO105" s="592"/>
      <c r="BP105" s="592"/>
      <c r="BQ105" s="592"/>
      <c r="BR105" s="592"/>
      <c r="BS105" s="592"/>
      <c r="BT105" s="592"/>
    </row>
    <row r="106" spans="1:72" s="591" customFormat="1" ht="15">
      <c r="A106" s="539"/>
      <c r="B106" s="539"/>
      <c r="C106" s="539"/>
      <c r="D106" s="539"/>
      <c r="E106" s="539"/>
      <c r="F106" s="539"/>
      <c r="G106" s="539"/>
      <c r="H106" s="539"/>
      <c r="I106" s="539"/>
      <c r="J106" s="539"/>
      <c r="K106" s="539"/>
      <c r="L106" s="539"/>
      <c r="M106" s="539"/>
      <c r="N106" s="539"/>
      <c r="O106" s="539"/>
      <c r="P106" s="539"/>
      <c r="Q106" s="539"/>
      <c r="R106" s="539"/>
      <c r="S106" s="557"/>
      <c r="T106" s="557"/>
      <c r="U106" s="557"/>
      <c r="V106" s="557"/>
      <c r="W106" s="539"/>
      <c r="X106" s="539"/>
      <c r="Y106" s="557"/>
      <c r="Z106" s="557"/>
      <c r="AA106" s="539"/>
      <c r="AB106" s="539"/>
      <c r="AC106" s="539"/>
      <c r="AD106" s="557"/>
      <c r="AE106" s="557"/>
      <c r="AF106" s="557"/>
      <c r="AG106" s="557"/>
      <c r="AH106" s="557"/>
      <c r="AI106" s="557"/>
      <c r="AJ106" s="557"/>
      <c r="AK106" s="557"/>
      <c r="AL106" s="557"/>
      <c r="AM106" s="557"/>
      <c r="AN106" s="557"/>
      <c r="AO106" s="557"/>
      <c r="AP106" s="557"/>
      <c r="AQ106" s="557"/>
      <c r="AR106" s="557"/>
      <c r="AS106" s="557"/>
      <c r="AT106" s="557"/>
      <c r="AU106" s="557"/>
      <c r="AV106" s="557"/>
      <c r="AW106" s="557"/>
      <c r="AX106" s="557"/>
      <c r="AY106" s="557"/>
      <c r="AZ106" s="557"/>
      <c r="BA106" s="557"/>
      <c r="BB106" s="557"/>
      <c r="BC106" s="557"/>
      <c r="BD106" s="555"/>
      <c r="BE106" s="592"/>
      <c r="BF106" s="592"/>
      <c r="BG106" s="592"/>
      <c r="BH106" s="575"/>
      <c r="BI106" s="592"/>
      <c r="BJ106" s="592"/>
      <c r="BK106" s="592"/>
      <c r="BL106" s="592"/>
      <c r="BM106" s="592"/>
      <c r="BN106" s="592"/>
      <c r="BO106" s="592"/>
      <c r="BP106" s="592"/>
      <c r="BQ106" s="592"/>
      <c r="BR106" s="592"/>
      <c r="BS106" s="592"/>
      <c r="BT106" s="592"/>
    </row>
    <row r="107" spans="1:72" s="591" customFormat="1" ht="15">
      <c r="A107" s="539"/>
      <c r="B107" s="539"/>
      <c r="C107" s="539"/>
      <c r="D107" s="539"/>
      <c r="E107" s="539"/>
      <c r="F107" s="539"/>
      <c r="G107" s="539"/>
      <c r="H107" s="539"/>
      <c r="I107" s="539"/>
      <c r="J107" s="539"/>
      <c r="K107" s="539"/>
      <c r="L107" s="539"/>
      <c r="M107" s="539"/>
      <c r="N107" s="539"/>
      <c r="O107" s="539"/>
      <c r="P107" s="539"/>
      <c r="Q107" s="539"/>
      <c r="R107" s="539"/>
      <c r="S107" s="557"/>
      <c r="T107" s="557"/>
      <c r="U107" s="557"/>
      <c r="V107" s="557"/>
      <c r="W107" s="539"/>
      <c r="X107" s="539"/>
      <c r="Y107" s="557"/>
      <c r="Z107" s="557"/>
      <c r="AA107" s="539"/>
      <c r="AB107" s="539"/>
      <c r="AC107" s="539"/>
      <c r="AD107" s="557"/>
      <c r="AE107" s="557"/>
      <c r="AF107" s="557"/>
      <c r="AG107" s="557"/>
      <c r="AH107" s="557"/>
      <c r="AI107" s="557"/>
      <c r="AJ107" s="557"/>
      <c r="AK107" s="557"/>
      <c r="AL107" s="557"/>
      <c r="AM107" s="557"/>
      <c r="AN107" s="557"/>
      <c r="AO107" s="557"/>
      <c r="AP107" s="557"/>
      <c r="AQ107" s="557"/>
      <c r="AR107" s="557"/>
      <c r="AS107" s="557"/>
      <c r="AT107" s="557"/>
      <c r="AU107" s="557"/>
      <c r="AV107" s="557"/>
      <c r="AW107" s="557"/>
      <c r="AX107" s="557"/>
      <c r="AY107" s="557"/>
      <c r="AZ107" s="557"/>
      <c r="BA107" s="557"/>
      <c r="BB107" s="557"/>
      <c r="BC107" s="557"/>
      <c r="BD107" s="555"/>
      <c r="BE107" s="592"/>
      <c r="BF107" s="592"/>
      <c r="BG107" s="575"/>
      <c r="BH107" s="575"/>
      <c r="BI107" s="592"/>
      <c r="BJ107" s="592"/>
      <c r="BK107" s="592"/>
      <c r="BL107" s="592"/>
      <c r="BM107" s="592"/>
      <c r="BN107" s="592"/>
      <c r="BO107" s="592"/>
      <c r="BP107" s="592"/>
      <c r="BQ107" s="592"/>
      <c r="BR107" s="592"/>
      <c r="BS107" s="592"/>
      <c r="BT107" s="592"/>
    </row>
    <row r="108" spans="1:72" s="591" customFormat="1" ht="15">
      <c r="A108" s="539"/>
      <c r="B108" s="539"/>
      <c r="C108" s="539"/>
      <c r="D108" s="539"/>
      <c r="E108" s="539"/>
      <c r="F108" s="539"/>
      <c r="G108" s="539"/>
      <c r="H108" s="539"/>
      <c r="I108" s="539"/>
      <c r="J108" s="539"/>
      <c r="K108" s="539"/>
      <c r="L108" s="539"/>
      <c r="M108" s="539"/>
      <c r="N108" s="539"/>
      <c r="O108" s="539"/>
      <c r="P108" s="539"/>
      <c r="Q108" s="539"/>
      <c r="R108" s="539"/>
      <c r="S108" s="557"/>
      <c r="T108" s="557"/>
      <c r="U108" s="557"/>
      <c r="V108" s="557"/>
      <c r="W108" s="539"/>
      <c r="X108" s="539"/>
      <c r="Y108" s="557"/>
      <c r="Z108" s="557"/>
      <c r="AA108" s="539"/>
      <c r="AB108" s="539"/>
      <c r="AC108" s="539"/>
      <c r="AD108" s="557"/>
      <c r="AE108" s="557"/>
      <c r="AF108" s="557"/>
      <c r="AG108" s="557"/>
      <c r="AH108" s="557"/>
      <c r="AI108" s="557"/>
      <c r="AJ108" s="557"/>
      <c r="AK108" s="557"/>
      <c r="AL108" s="557"/>
      <c r="AM108" s="557"/>
      <c r="AN108" s="557"/>
      <c r="AO108" s="557"/>
      <c r="AP108" s="557"/>
      <c r="AQ108" s="557"/>
      <c r="AR108" s="557"/>
      <c r="AS108" s="557"/>
      <c r="AT108" s="557"/>
      <c r="AU108" s="557"/>
      <c r="AV108" s="557"/>
      <c r="AW108" s="557"/>
      <c r="AX108" s="557"/>
      <c r="AY108" s="557"/>
      <c r="AZ108" s="557"/>
      <c r="BA108" s="557"/>
      <c r="BB108" s="557"/>
      <c r="BC108" s="557"/>
      <c r="BD108" s="555"/>
      <c r="BE108" s="592"/>
      <c r="BF108" s="595"/>
      <c r="BG108" s="575"/>
      <c r="BH108" s="592"/>
      <c r="BI108" s="592"/>
      <c r="BJ108" s="592"/>
      <c r="BK108" s="592"/>
      <c r="BL108" s="592"/>
      <c r="BM108" s="592"/>
      <c r="BN108" s="592"/>
      <c r="BO108" s="592"/>
      <c r="BP108" s="592"/>
      <c r="BQ108" s="592"/>
      <c r="BR108" s="592"/>
      <c r="BS108" s="592"/>
      <c r="BT108" s="592"/>
    </row>
    <row r="109" spans="1:72" s="591" customFormat="1" ht="15">
      <c r="A109" s="539"/>
      <c r="B109" s="539"/>
      <c r="C109" s="539"/>
      <c r="D109" s="539"/>
      <c r="E109" s="539"/>
      <c r="F109" s="539"/>
      <c r="G109" s="539"/>
      <c r="H109" s="539"/>
      <c r="I109" s="539"/>
      <c r="J109" s="539"/>
      <c r="K109" s="539"/>
      <c r="L109" s="539"/>
      <c r="M109" s="539"/>
      <c r="N109" s="539"/>
      <c r="O109" s="539"/>
      <c r="P109" s="539"/>
      <c r="Q109" s="539"/>
      <c r="R109" s="539"/>
      <c r="S109" s="557"/>
      <c r="T109" s="557"/>
      <c r="U109" s="557"/>
      <c r="V109" s="557"/>
      <c r="W109" s="539"/>
      <c r="X109" s="539"/>
      <c r="Y109" s="557"/>
      <c r="Z109" s="557"/>
      <c r="AA109" s="539"/>
      <c r="AB109" s="539"/>
      <c r="AC109" s="539"/>
      <c r="AD109" s="557"/>
      <c r="AE109" s="557"/>
      <c r="AF109" s="557"/>
      <c r="AG109" s="557"/>
      <c r="AH109" s="557"/>
      <c r="AI109" s="557"/>
      <c r="AJ109" s="557"/>
      <c r="AK109" s="557"/>
      <c r="AL109" s="557"/>
      <c r="AM109" s="557"/>
      <c r="AN109" s="557"/>
      <c r="AO109" s="557"/>
      <c r="AP109" s="557"/>
      <c r="AQ109" s="557"/>
      <c r="AR109" s="557"/>
      <c r="AS109" s="557"/>
      <c r="AT109" s="557"/>
      <c r="AU109" s="557"/>
      <c r="AV109" s="557"/>
      <c r="AW109" s="557"/>
      <c r="AX109" s="557"/>
      <c r="AY109" s="557"/>
      <c r="AZ109" s="557"/>
      <c r="BA109" s="557"/>
      <c r="BB109" s="557"/>
      <c r="BC109" s="557"/>
      <c r="BD109" s="555"/>
      <c r="BE109" s="592"/>
      <c r="BF109" s="592"/>
      <c r="BG109" s="592"/>
      <c r="BH109" s="592"/>
      <c r="BI109" s="592"/>
      <c r="BJ109" s="592"/>
      <c r="BK109" s="592"/>
      <c r="BL109" s="592"/>
      <c r="BM109" s="592"/>
      <c r="BN109" s="592"/>
      <c r="BO109" s="592"/>
      <c r="BP109" s="592"/>
      <c r="BQ109" s="592"/>
      <c r="BR109" s="592"/>
      <c r="BS109" s="592"/>
      <c r="BT109" s="592"/>
    </row>
    <row r="110" spans="1:72" s="591" customFormat="1" ht="15">
      <c r="A110" s="539"/>
      <c r="B110" s="539"/>
      <c r="C110" s="539"/>
      <c r="D110" s="539"/>
      <c r="E110" s="539"/>
      <c r="F110" s="539"/>
      <c r="G110" s="539"/>
      <c r="H110" s="539"/>
      <c r="I110" s="539"/>
      <c r="J110" s="539"/>
      <c r="K110" s="539"/>
      <c r="L110" s="539"/>
      <c r="M110" s="539"/>
      <c r="N110" s="539"/>
      <c r="O110" s="539"/>
      <c r="P110" s="539"/>
      <c r="Q110" s="539"/>
      <c r="R110" s="539"/>
      <c r="S110" s="557"/>
      <c r="T110" s="557"/>
      <c r="U110" s="557"/>
      <c r="V110" s="557"/>
      <c r="W110" s="539"/>
      <c r="X110" s="539"/>
      <c r="Y110" s="557"/>
      <c r="Z110" s="557"/>
      <c r="AA110" s="539"/>
      <c r="AB110" s="539"/>
      <c r="AC110" s="539"/>
      <c r="AD110" s="557"/>
      <c r="AE110" s="557"/>
      <c r="AF110" s="557"/>
      <c r="AG110" s="557"/>
      <c r="AH110" s="557"/>
      <c r="AI110" s="557"/>
      <c r="AJ110" s="557"/>
      <c r="AK110" s="557"/>
      <c r="AL110" s="557"/>
      <c r="AM110" s="557"/>
      <c r="AN110" s="557"/>
      <c r="AO110" s="557"/>
      <c r="AP110" s="557"/>
      <c r="AQ110" s="557"/>
      <c r="AR110" s="557"/>
      <c r="AS110" s="557"/>
      <c r="AT110" s="557"/>
      <c r="AU110" s="557"/>
      <c r="AV110" s="557"/>
      <c r="AW110" s="557"/>
      <c r="AX110" s="557"/>
      <c r="AY110" s="557"/>
      <c r="AZ110" s="557"/>
      <c r="BA110" s="557"/>
      <c r="BB110" s="557"/>
      <c r="BC110" s="557"/>
      <c r="BD110" s="555"/>
      <c r="BE110" s="592"/>
      <c r="BF110" s="592"/>
      <c r="BG110" s="592"/>
      <c r="BH110" s="592"/>
      <c r="BI110" s="592"/>
      <c r="BJ110" s="592"/>
      <c r="BK110" s="592"/>
      <c r="BL110" s="592"/>
      <c r="BM110" s="592"/>
      <c r="BN110" s="592"/>
      <c r="BO110" s="592"/>
      <c r="BP110" s="592"/>
      <c r="BQ110" s="592"/>
      <c r="BR110" s="592"/>
      <c r="BS110" s="592"/>
      <c r="BT110" s="592"/>
    </row>
    <row r="111" spans="1:72" s="591" customFormat="1" ht="15">
      <c r="A111" s="539"/>
      <c r="B111" s="539"/>
      <c r="C111" s="539"/>
      <c r="D111" s="539"/>
      <c r="E111" s="539"/>
      <c r="F111" s="539"/>
      <c r="G111" s="539"/>
      <c r="H111" s="539"/>
      <c r="I111" s="539"/>
      <c r="J111" s="539"/>
      <c r="K111" s="539"/>
      <c r="L111" s="539"/>
      <c r="M111" s="539"/>
      <c r="N111" s="539"/>
      <c r="O111" s="539"/>
      <c r="P111" s="539"/>
      <c r="Q111" s="539"/>
      <c r="R111" s="539"/>
      <c r="S111" s="557"/>
      <c r="T111" s="557"/>
      <c r="U111" s="557"/>
      <c r="V111" s="557"/>
      <c r="W111" s="539"/>
      <c r="X111" s="539"/>
      <c r="Y111" s="557"/>
      <c r="Z111" s="557"/>
      <c r="AA111" s="539"/>
      <c r="AB111" s="539"/>
      <c r="AC111" s="539"/>
      <c r="AD111" s="557"/>
      <c r="AE111" s="557"/>
      <c r="AF111" s="557"/>
      <c r="AG111" s="557"/>
      <c r="AH111" s="557"/>
      <c r="AI111" s="557"/>
      <c r="AJ111" s="557"/>
      <c r="AK111" s="557"/>
      <c r="AL111" s="557"/>
      <c r="AM111" s="557"/>
      <c r="AN111" s="557"/>
      <c r="AO111" s="557"/>
      <c r="AP111" s="557"/>
      <c r="AQ111" s="557"/>
      <c r="AR111" s="557"/>
      <c r="AS111" s="557"/>
      <c r="AT111" s="557"/>
      <c r="AU111" s="557"/>
      <c r="AV111" s="557"/>
      <c r="AW111" s="557"/>
      <c r="AX111" s="557"/>
      <c r="AY111" s="557"/>
      <c r="AZ111" s="557"/>
      <c r="BA111" s="557"/>
      <c r="BB111" s="557"/>
      <c r="BC111" s="557"/>
      <c r="BD111" s="555"/>
      <c r="BE111" s="592"/>
      <c r="BF111" s="592"/>
      <c r="BG111" s="592"/>
      <c r="BH111" s="592"/>
      <c r="BI111" s="592"/>
      <c r="BJ111" s="592"/>
      <c r="BK111" s="592"/>
      <c r="BL111" s="592"/>
      <c r="BM111" s="592"/>
      <c r="BN111" s="592"/>
      <c r="BO111" s="592"/>
      <c r="BP111" s="592"/>
      <c r="BQ111" s="592"/>
      <c r="BR111" s="592"/>
      <c r="BS111" s="592"/>
      <c r="BT111" s="592"/>
    </row>
    <row r="112" spans="1:72" s="591" customFormat="1" ht="15">
      <c r="A112" s="539"/>
      <c r="B112" s="539"/>
      <c r="C112" s="539"/>
      <c r="D112" s="539"/>
      <c r="E112" s="539"/>
      <c r="F112" s="539"/>
      <c r="G112" s="539"/>
      <c r="H112" s="539"/>
      <c r="I112" s="539"/>
      <c r="J112" s="539"/>
      <c r="K112" s="539"/>
      <c r="L112" s="539"/>
      <c r="M112" s="539"/>
      <c r="N112" s="539"/>
      <c r="O112" s="539"/>
      <c r="P112" s="539"/>
      <c r="Q112" s="539"/>
      <c r="R112" s="539"/>
      <c r="S112" s="557"/>
      <c r="T112" s="557"/>
      <c r="U112" s="557"/>
      <c r="V112" s="557"/>
      <c r="W112" s="539"/>
      <c r="X112" s="539"/>
      <c r="Y112" s="557"/>
      <c r="Z112" s="557"/>
      <c r="AA112" s="539"/>
      <c r="AB112" s="539"/>
      <c r="AC112" s="539"/>
      <c r="AD112" s="557"/>
      <c r="AE112" s="557"/>
      <c r="AF112" s="557"/>
      <c r="AG112" s="557"/>
      <c r="AH112" s="557"/>
      <c r="AI112" s="557"/>
      <c r="AJ112" s="557"/>
      <c r="AK112" s="557"/>
      <c r="AL112" s="557"/>
      <c r="AM112" s="557"/>
      <c r="AN112" s="557"/>
      <c r="AO112" s="557"/>
      <c r="AP112" s="557"/>
      <c r="AQ112" s="557"/>
      <c r="AR112" s="557"/>
      <c r="AS112" s="557"/>
      <c r="AT112" s="557"/>
      <c r="AU112" s="557"/>
      <c r="AV112" s="557"/>
      <c r="AW112" s="557"/>
      <c r="AX112" s="557"/>
      <c r="AY112" s="557"/>
      <c r="AZ112" s="557"/>
      <c r="BA112" s="557"/>
      <c r="BB112" s="557"/>
      <c r="BC112" s="557"/>
      <c r="BD112" s="555"/>
      <c r="BE112" s="592"/>
      <c r="BF112" s="592"/>
      <c r="BG112" s="592"/>
      <c r="BH112" s="592"/>
      <c r="BI112" s="592"/>
      <c r="BJ112" s="592"/>
      <c r="BK112" s="592"/>
      <c r="BL112" s="592"/>
      <c r="BM112" s="592"/>
      <c r="BN112" s="592"/>
      <c r="BO112" s="592"/>
      <c r="BP112" s="592"/>
      <c r="BQ112" s="592"/>
      <c r="BR112" s="592"/>
      <c r="BS112" s="592"/>
      <c r="BT112" s="592"/>
    </row>
    <row r="113" spans="1:72" s="591" customFormat="1" ht="15">
      <c r="A113" s="539"/>
      <c r="B113" s="539"/>
      <c r="C113" s="539"/>
      <c r="D113" s="539"/>
      <c r="E113" s="539"/>
      <c r="F113" s="539"/>
      <c r="G113" s="539"/>
      <c r="H113" s="539"/>
      <c r="I113" s="539"/>
      <c r="J113" s="539"/>
      <c r="K113" s="539"/>
      <c r="L113" s="539"/>
      <c r="M113" s="539"/>
      <c r="N113" s="539"/>
      <c r="O113" s="539"/>
      <c r="P113" s="539"/>
      <c r="Q113" s="539"/>
      <c r="R113" s="539"/>
      <c r="S113" s="557"/>
      <c r="T113" s="557"/>
      <c r="U113" s="557"/>
      <c r="V113" s="557"/>
      <c r="W113" s="539"/>
      <c r="X113" s="539"/>
      <c r="Y113" s="557"/>
      <c r="Z113" s="557"/>
      <c r="AA113" s="539"/>
      <c r="AB113" s="539"/>
      <c r="AC113" s="539"/>
      <c r="AD113" s="557"/>
      <c r="AE113" s="557"/>
      <c r="AF113" s="557"/>
      <c r="AG113" s="557"/>
      <c r="AH113" s="557"/>
      <c r="AI113" s="557"/>
      <c r="AJ113" s="557"/>
      <c r="AK113" s="557"/>
      <c r="AL113" s="557"/>
      <c r="AM113" s="557"/>
      <c r="AN113" s="557"/>
      <c r="AO113" s="557"/>
      <c r="AP113" s="557"/>
      <c r="AQ113" s="557"/>
      <c r="AR113" s="557"/>
      <c r="AS113" s="557"/>
      <c r="AT113" s="557"/>
      <c r="AU113" s="557"/>
      <c r="AV113" s="557"/>
      <c r="AW113" s="557"/>
      <c r="AX113" s="557"/>
      <c r="AY113" s="557"/>
      <c r="AZ113" s="557"/>
      <c r="BA113" s="557"/>
      <c r="BB113" s="557"/>
      <c r="BC113" s="557"/>
      <c r="BD113" s="555"/>
      <c r="BE113" s="592"/>
      <c r="BF113" s="592"/>
      <c r="BG113" s="592"/>
      <c r="BH113" s="592"/>
      <c r="BI113" s="592"/>
      <c r="BJ113" s="592"/>
      <c r="BK113" s="592"/>
      <c r="BL113" s="592"/>
      <c r="BM113" s="592"/>
      <c r="BN113" s="592"/>
      <c r="BO113" s="592"/>
      <c r="BP113" s="592"/>
      <c r="BQ113" s="592"/>
      <c r="BR113" s="592"/>
      <c r="BS113" s="592"/>
      <c r="BT113" s="592"/>
    </row>
    <row r="114" spans="1:72" s="591" customFormat="1" ht="15">
      <c r="A114" s="539"/>
      <c r="B114" s="539"/>
      <c r="C114" s="539"/>
      <c r="D114" s="539"/>
      <c r="E114" s="539"/>
      <c r="F114" s="539"/>
      <c r="G114" s="539"/>
      <c r="H114" s="539"/>
      <c r="I114" s="539"/>
      <c r="J114" s="539"/>
      <c r="K114" s="539"/>
      <c r="L114" s="539"/>
      <c r="M114" s="539"/>
      <c r="N114" s="539"/>
      <c r="O114" s="539"/>
      <c r="P114" s="539"/>
      <c r="Q114" s="539"/>
      <c r="R114" s="539"/>
      <c r="S114" s="557"/>
      <c r="T114" s="557"/>
      <c r="U114" s="557"/>
      <c r="V114" s="557"/>
      <c r="W114" s="539"/>
      <c r="X114" s="539"/>
      <c r="Y114" s="557"/>
      <c r="Z114" s="557"/>
      <c r="AA114" s="539"/>
      <c r="AB114" s="539"/>
      <c r="AC114" s="539"/>
      <c r="AD114" s="557"/>
      <c r="AE114" s="557"/>
      <c r="AF114" s="557"/>
      <c r="AG114" s="557"/>
      <c r="AH114" s="557"/>
      <c r="AI114" s="557"/>
      <c r="AJ114" s="557"/>
      <c r="AK114" s="557"/>
      <c r="AL114" s="557"/>
      <c r="AM114" s="557"/>
      <c r="AN114" s="557"/>
      <c r="AO114" s="557"/>
      <c r="AP114" s="557"/>
      <c r="AQ114" s="557"/>
      <c r="AR114" s="557"/>
      <c r="AS114" s="557"/>
      <c r="AT114" s="557"/>
      <c r="AU114" s="557"/>
      <c r="AV114" s="557"/>
      <c r="AW114" s="557"/>
      <c r="AX114" s="557"/>
      <c r="AY114" s="557"/>
      <c r="AZ114" s="557"/>
      <c r="BA114" s="557"/>
      <c r="BB114" s="557"/>
      <c r="BC114" s="557"/>
      <c r="BD114" s="555"/>
      <c r="BE114" s="592"/>
      <c r="BF114" s="592"/>
      <c r="BG114" s="592"/>
      <c r="BH114" s="592"/>
      <c r="BI114" s="592"/>
      <c r="BJ114" s="592"/>
      <c r="BK114" s="592"/>
      <c r="BL114" s="592"/>
      <c r="BM114" s="592"/>
      <c r="BN114" s="592"/>
      <c r="BO114" s="592"/>
      <c r="BP114" s="592"/>
      <c r="BQ114" s="592"/>
      <c r="BR114" s="592"/>
      <c r="BS114" s="592"/>
      <c r="BT114" s="592"/>
    </row>
    <row r="115" spans="1:72" s="591" customFormat="1" ht="15">
      <c r="A115" s="539"/>
      <c r="B115" s="539"/>
      <c r="C115" s="539"/>
      <c r="D115" s="539"/>
      <c r="E115" s="539"/>
      <c r="F115" s="539"/>
      <c r="G115" s="539"/>
      <c r="H115" s="539"/>
      <c r="I115" s="539"/>
      <c r="J115" s="539"/>
      <c r="K115" s="539"/>
      <c r="L115" s="539"/>
      <c r="M115" s="539"/>
      <c r="N115" s="539"/>
      <c r="O115" s="539"/>
      <c r="P115" s="539"/>
      <c r="Q115" s="539"/>
      <c r="R115" s="539"/>
      <c r="S115" s="557"/>
      <c r="T115" s="557"/>
      <c r="U115" s="557"/>
      <c r="V115" s="557"/>
      <c r="W115" s="539"/>
      <c r="X115" s="539"/>
      <c r="Y115" s="557"/>
      <c r="Z115" s="557"/>
      <c r="AA115" s="539"/>
      <c r="AB115" s="539"/>
      <c r="AC115" s="539"/>
      <c r="AD115" s="557"/>
      <c r="AE115" s="557"/>
      <c r="AF115" s="557"/>
      <c r="AG115" s="557"/>
      <c r="AH115" s="557"/>
      <c r="AI115" s="557"/>
      <c r="AJ115" s="557"/>
      <c r="AK115" s="557"/>
      <c r="AL115" s="557"/>
      <c r="AM115" s="557"/>
      <c r="AN115" s="557"/>
      <c r="AO115" s="557"/>
      <c r="AP115" s="557"/>
      <c r="AQ115" s="557"/>
      <c r="AR115" s="557"/>
      <c r="AS115" s="557"/>
      <c r="AT115" s="557"/>
      <c r="AU115" s="557"/>
      <c r="AV115" s="557"/>
      <c r="AW115" s="557"/>
      <c r="AX115" s="557"/>
      <c r="AY115" s="557"/>
      <c r="AZ115" s="557"/>
      <c r="BA115" s="557"/>
      <c r="BB115" s="557"/>
      <c r="BC115" s="557"/>
      <c r="BD115" s="555"/>
      <c r="BE115" s="592"/>
      <c r="BF115" s="592"/>
      <c r="BG115" s="592"/>
      <c r="BH115" s="592"/>
      <c r="BI115" s="592"/>
      <c r="BJ115" s="592"/>
      <c r="BK115" s="592"/>
      <c r="BL115" s="592"/>
      <c r="BM115" s="592"/>
      <c r="BN115" s="592"/>
      <c r="BO115" s="592"/>
      <c r="BP115" s="592"/>
      <c r="BQ115" s="592"/>
      <c r="BR115" s="592"/>
      <c r="BS115" s="592"/>
      <c r="BT115" s="592"/>
    </row>
    <row r="116" spans="1:72" s="591" customFormat="1" ht="15">
      <c r="A116" s="539"/>
      <c r="B116" s="539"/>
      <c r="C116" s="539"/>
      <c r="D116" s="539"/>
      <c r="E116" s="539"/>
      <c r="F116" s="539"/>
      <c r="G116" s="539"/>
      <c r="H116" s="539"/>
      <c r="I116" s="539"/>
      <c r="J116" s="539"/>
      <c r="K116" s="539"/>
      <c r="L116" s="539"/>
      <c r="M116" s="539"/>
      <c r="N116" s="539"/>
      <c r="O116" s="539"/>
      <c r="P116" s="539"/>
      <c r="Q116" s="539"/>
      <c r="R116" s="539"/>
      <c r="S116" s="557"/>
      <c r="T116" s="557"/>
      <c r="U116" s="557"/>
      <c r="V116" s="557"/>
      <c r="W116" s="539"/>
      <c r="X116" s="539"/>
      <c r="Y116" s="557"/>
      <c r="Z116" s="557"/>
      <c r="AA116" s="539"/>
      <c r="AB116" s="539"/>
      <c r="AC116" s="539"/>
      <c r="AD116" s="557"/>
      <c r="AE116" s="557"/>
      <c r="AF116" s="557"/>
      <c r="AG116" s="557"/>
      <c r="AH116" s="557"/>
      <c r="AI116" s="557"/>
      <c r="AJ116" s="557"/>
      <c r="AK116" s="557"/>
      <c r="AL116" s="557"/>
      <c r="AM116" s="557"/>
      <c r="AN116" s="557"/>
      <c r="AO116" s="557"/>
      <c r="AP116" s="557"/>
      <c r="AQ116" s="557"/>
      <c r="AR116" s="557"/>
      <c r="AS116" s="557"/>
      <c r="AT116" s="557"/>
      <c r="AU116" s="557"/>
      <c r="AV116" s="557"/>
      <c r="AW116" s="557"/>
      <c r="AX116" s="557"/>
      <c r="AY116" s="557"/>
      <c r="AZ116" s="557"/>
      <c r="BA116" s="557"/>
      <c r="BB116" s="557"/>
      <c r="BC116" s="557"/>
      <c r="BD116" s="555"/>
      <c r="BE116" s="592"/>
      <c r="BF116" s="592"/>
      <c r="BG116" s="592"/>
      <c r="BH116" s="592"/>
      <c r="BI116" s="592"/>
      <c r="BJ116" s="592"/>
      <c r="BK116" s="592"/>
      <c r="BL116" s="592"/>
      <c r="BM116" s="592"/>
      <c r="BN116" s="592"/>
      <c r="BO116" s="592"/>
      <c r="BP116" s="592"/>
      <c r="BQ116" s="592"/>
      <c r="BR116" s="592"/>
      <c r="BS116" s="592"/>
      <c r="BT116" s="592"/>
    </row>
    <row r="117" spans="1:72" s="591" customFormat="1" ht="15">
      <c r="A117" s="539"/>
      <c r="B117" s="539"/>
      <c r="C117" s="539"/>
      <c r="D117" s="539"/>
      <c r="E117" s="539"/>
      <c r="F117" s="539"/>
      <c r="G117" s="539"/>
      <c r="H117" s="539"/>
      <c r="I117" s="539"/>
      <c r="J117" s="539"/>
      <c r="K117" s="539"/>
      <c r="L117" s="539"/>
      <c r="M117" s="539"/>
      <c r="N117" s="539"/>
      <c r="O117" s="539"/>
      <c r="P117" s="539"/>
      <c r="Q117" s="539"/>
      <c r="R117" s="539"/>
      <c r="S117" s="557"/>
      <c r="T117" s="557"/>
      <c r="U117" s="557"/>
      <c r="V117" s="557"/>
      <c r="W117" s="539"/>
      <c r="X117" s="539"/>
      <c r="Y117" s="557"/>
      <c r="Z117" s="557"/>
      <c r="AA117" s="539"/>
      <c r="AB117" s="539"/>
      <c r="AC117" s="539"/>
      <c r="AD117" s="557"/>
      <c r="AE117" s="557"/>
      <c r="AF117" s="557"/>
      <c r="AG117" s="557"/>
      <c r="AH117" s="557"/>
      <c r="AI117" s="557"/>
      <c r="AJ117" s="557"/>
      <c r="AK117" s="557"/>
      <c r="AL117" s="557"/>
      <c r="AM117" s="557"/>
      <c r="AN117" s="557"/>
      <c r="AO117" s="557"/>
      <c r="AP117" s="557"/>
      <c r="AQ117" s="557"/>
      <c r="AR117" s="557"/>
      <c r="AS117" s="557"/>
      <c r="AT117" s="557"/>
      <c r="AU117" s="557"/>
      <c r="AV117" s="557"/>
      <c r="AW117" s="557"/>
      <c r="AX117" s="557"/>
      <c r="AY117" s="557"/>
      <c r="AZ117" s="557"/>
      <c r="BA117" s="557"/>
      <c r="BB117" s="557"/>
      <c r="BC117" s="557"/>
      <c r="BD117" s="555"/>
      <c r="BE117" s="592"/>
      <c r="BF117" s="592"/>
      <c r="BG117" s="592"/>
      <c r="BH117" s="592"/>
      <c r="BI117" s="592"/>
      <c r="BJ117" s="592"/>
      <c r="BK117" s="592"/>
      <c r="BL117" s="592"/>
      <c r="BM117" s="592"/>
      <c r="BN117" s="592"/>
      <c r="BO117" s="592"/>
      <c r="BP117" s="592"/>
      <c r="BQ117" s="592"/>
      <c r="BR117" s="592"/>
      <c r="BS117" s="592"/>
      <c r="BT117" s="592"/>
    </row>
    <row r="118" spans="1:72" s="591" customFormat="1" ht="15">
      <c r="A118" s="539"/>
      <c r="B118" s="539"/>
      <c r="C118" s="539"/>
      <c r="D118" s="539"/>
      <c r="E118" s="539"/>
      <c r="F118" s="539"/>
      <c r="G118" s="539"/>
      <c r="H118" s="539"/>
      <c r="I118" s="539"/>
      <c r="J118" s="539"/>
      <c r="K118" s="539"/>
      <c r="L118" s="539"/>
      <c r="M118" s="539"/>
      <c r="N118" s="539"/>
      <c r="O118" s="539"/>
      <c r="P118" s="539"/>
      <c r="Q118" s="539"/>
      <c r="R118" s="539"/>
      <c r="S118" s="557"/>
      <c r="T118" s="557"/>
      <c r="U118" s="557"/>
      <c r="V118" s="557"/>
      <c r="W118" s="539"/>
      <c r="X118" s="539"/>
      <c r="Y118" s="557"/>
      <c r="Z118" s="557"/>
      <c r="AA118" s="539"/>
      <c r="AB118" s="539"/>
      <c r="AC118" s="539"/>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5"/>
      <c r="BE118" s="592"/>
      <c r="BF118" s="592"/>
      <c r="BG118" s="592"/>
      <c r="BH118" s="592"/>
      <c r="BI118" s="592"/>
      <c r="BJ118" s="592"/>
      <c r="BK118" s="592"/>
      <c r="BL118" s="592"/>
      <c r="BM118" s="592"/>
      <c r="BN118" s="592"/>
      <c r="BO118" s="592"/>
      <c r="BP118" s="592"/>
      <c r="BQ118" s="592"/>
      <c r="BR118" s="592"/>
      <c r="BS118" s="592"/>
      <c r="BT118" s="592"/>
    </row>
    <row r="119" spans="1:72" s="591" customFormat="1" ht="15">
      <c r="A119" s="539"/>
      <c r="B119" s="539"/>
      <c r="C119" s="539"/>
      <c r="D119" s="539"/>
      <c r="E119" s="539"/>
      <c r="F119" s="539"/>
      <c r="G119" s="539"/>
      <c r="H119" s="539"/>
      <c r="I119" s="539"/>
      <c r="J119" s="539"/>
      <c r="K119" s="539"/>
      <c r="L119" s="539"/>
      <c r="M119" s="539"/>
      <c r="N119" s="539"/>
      <c r="O119" s="539"/>
      <c r="P119" s="539"/>
      <c r="Q119" s="539"/>
      <c r="R119" s="539"/>
      <c r="S119" s="557"/>
      <c r="T119" s="557"/>
      <c r="U119" s="557"/>
      <c r="V119" s="557"/>
      <c r="W119" s="539"/>
      <c r="X119" s="539"/>
      <c r="Y119" s="557"/>
      <c r="Z119" s="557"/>
      <c r="AA119" s="539"/>
      <c r="AB119" s="539"/>
      <c r="AC119" s="539"/>
      <c r="AD119" s="557"/>
      <c r="AE119" s="557"/>
      <c r="AF119" s="557"/>
      <c r="AG119" s="557"/>
      <c r="AH119" s="557"/>
      <c r="AI119" s="557"/>
      <c r="AJ119" s="557"/>
      <c r="AK119" s="557"/>
      <c r="AL119" s="557"/>
      <c r="AM119" s="557"/>
      <c r="AN119" s="557"/>
      <c r="AO119" s="557"/>
      <c r="AP119" s="557"/>
      <c r="AQ119" s="557"/>
      <c r="AR119" s="557"/>
      <c r="AS119" s="557"/>
      <c r="AT119" s="557"/>
      <c r="AU119" s="557"/>
      <c r="AV119" s="557"/>
      <c r="AW119" s="557"/>
      <c r="AX119" s="557"/>
      <c r="AY119" s="557"/>
      <c r="AZ119" s="557"/>
      <c r="BA119" s="557"/>
      <c r="BB119" s="557"/>
      <c r="BC119" s="557"/>
      <c r="BD119" s="555"/>
      <c r="BE119" s="592"/>
      <c r="BF119" s="592"/>
      <c r="BG119" s="592"/>
      <c r="BH119" s="592"/>
      <c r="BI119" s="592"/>
      <c r="BJ119" s="592"/>
      <c r="BK119" s="592"/>
      <c r="BL119" s="592"/>
      <c r="BM119" s="592"/>
      <c r="BN119" s="592"/>
      <c r="BO119" s="592"/>
      <c r="BP119" s="592"/>
      <c r="BQ119" s="592"/>
      <c r="BR119" s="592"/>
      <c r="BS119" s="592"/>
      <c r="BT119" s="592"/>
    </row>
    <row r="120" spans="1:72" s="591" customFormat="1" ht="15">
      <c r="A120" s="539"/>
      <c r="B120" s="539"/>
      <c r="C120" s="539"/>
      <c r="D120" s="539"/>
      <c r="E120" s="539"/>
      <c r="F120" s="539"/>
      <c r="G120" s="539"/>
      <c r="H120" s="539"/>
      <c r="I120" s="539"/>
      <c r="J120" s="539"/>
      <c r="K120" s="539"/>
      <c r="L120" s="539"/>
      <c r="M120" s="539"/>
      <c r="N120" s="539"/>
      <c r="O120" s="539"/>
      <c r="P120" s="539"/>
      <c r="Q120" s="539"/>
      <c r="R120" s="539"/>
      <c r="S120" s="557"/>
      <c r="T120" s="557"/>
      <c r="U120" s="557"/>
      <c r="V120" s="557"/>
      <c r="W120" s="539"/>
      <c r="X120" s="539"/>
      <c r="Y120" s="557"/>
      <c r="Z120" s="557"/>
      <c r="AA120" s="539"/>
      <c r="AB120" s="539"/>
      <c r="AC120" s="539"/>
      <c r="AD120" s="557"/>
      <c r="AE120" s="557"/>
      <c r="AF120" s="557"/>
      <c r="AG120" s="557"/>
      <c r="AH120" s="557"/>
      <c r="AI120" s="557"/>
      <c r="AJ120" s="557"/>
      <c r="AK120" s="557"/>
      <c r="AL120" s="557"/>
      <c r="AM120" s="557"/>
      <c r="AN120" s="557"/>
      <c r="AO120" s="557"/>
      <c r="AP120" s="557"/>
      <c r="AQ120" s="557"/>
      <c r="AR120" s="557"/>
      <c r="AS120" s="557"/>
      <c r="AT120" s="557"/>
      <c r="AU120" s="557"/>
      <c r="AV120" s="557"/>
      <c r="AW120" s="557"/>
      <c r="AX120" s="557"/>
      <c r="AY120" s="557"/>
      <c r="AZ120" s="557"/>
      <c r="BA120" s="557"/>
      <c r="BB120" s="557"/>
      <c r="BC120" s="557"/>
      <c r="BD120" s="555"/>
      <c r="BE120" s="592"/>
      <c r="BF120" s="592"/>
      <c r="BG120" s="592"/>
      <c r="BH120" s="595"/>
      <c r="BI120" s="592"/>
      <c r="BJ120" s="592"/>
      <c r="BK120" s="592"/>
      <c r="BL120" s="592"/>
      <c r="BM120" s="592"/>
      <c r="BN120" s="592"/>
      <c r="BO120" s="592"/>
      <c r="BP120" s="592"/>
      <c r="BQ120" s="592"/>
      <c r="BR120" s="592"/>
      <c r="BS120" s="592"/>
      <c r="BT120" s="592"/>
    </row>
    <row r="121" spans="1:72" s="591" customFormat="1" ht="15">
      <c r="A121" s="539"/>
      <c r="B121" s="539"/>
      <c r="C121" s="539"/>
      <c r="D121" s="539"/>
      <c r="E121" s="539"/>
      <c r="F121" s="539"/>
      <c r="G121" s="539"/>
      <c r="H121" s="539"/>
      <c r="I121" s="539"/>
      <c r="J121" s="539"/>
      <c r="K121" s="539"/>
      <c r="L121" s="539"/>
      <c r="M121" s="539"/>
      <c r="N121" s="539"/>
      <c r="O121" s="539"/>
      <c r="P121" s="539"/>
      <c r="Q121" s="539"/>
      <c r="R121" s="539"/>
      <c r="S121" s="557"/>
      <c r="T121" s="557"/>
      <c r="U121" s="557"/>
      <c r="V121" s="557"/>
      <c r="W121" s="539"/>
      <c r="X121" s="539"/>
      <c r="Y121" s="557"/>
      <c r="Z121" s="557"/>
      <c r="AA121" s="539"/>
      <c r="AB121" s="539"/>
      <c r="AC121" s="539"/>
      <c r="AD121" s="557"/>
      <c r="AE121" s="557"/>
      <c r="AF121" s="557"/>
      <c r="AG121" s="557"/>
      <c r="AH121" s="557"/>
      <c r="AI121" s="557"/>
      <c r="AJ121" s="557"/>
      <c r="AK121" s="557"/>
      <c r="AL121" s="557"/>
      <c r="AM121" s="557"/>
      <c r="AN121" s="557"/>
      <c r="AO121" s="557"/>
      <c r="AP121" s="557"/>
      <c r="AQ121" s="557"/>
      <c r="AR121" s="557"/>
      <c r="AS121" s="557"/>
      <c r="AT121" s="557"/>
      <c r="AU121" s="557"/>
      <c r="AV121" s="557"/>
      <c r="AW121" s="557"/>
      <c r="AX121" s="557"/>
      <c r="AY121" s="557"/>
      <c r="AZ121" s="557"/>
      <c r="BA121" s="557"/>
      <c r="BB121" s="557"/>
      <c r="BC121" s="557"/>
      <c r="BD121" s="555"/>
      <c r="BE121" s="592"/>
      <c r="BF121" s="592"/>
      <c r="BG121" s="592"/>
      <c r="BH121" s="592"/>
      <c r="BI121" s="592"/>
      <c r="BJ121" s="592"/>
      <c r="BK121" s="592"/>
      <c r="BL121" s="592"/>
      <c r="BM121" s="592"/>
      <c r="BN121" s="592"/>
      <c r="BO121" s="592"/>
      <c r="BP121" s="592"/>
      <c r="BQ121" s="592"/>
      <c r="BR121" s="592"/>
      <c r="BS121" s="592"/>
      <c r="BT121" s="592"/>
    </row>
    <row r="122" spans="1:72" s="591" customFormat="1" ht="15">
      <c r="A122" s="539"/>
      <c r="B122" s="539"/>
      <c r="C122" s="539"/>
      <c r="D122" s="539"/>
      <c r="E122" s="539"/>
      <c r="F122" s="539"/>
      <c r="G122" s="539"/>
      <c r="H122" s="539"/>
      <c r="I122" s="539"/>
      <c r="J122" s="539"/>
      <c r="K122" s="539"/>
      <c r="L122" s="539"/>
      <c r="M122" s="539"/>
      <c r="N122" s="539"/>
      <c r="O122" s="539"/>
      <c r="P122" s="539"/>
      <c r="Q122" s="539"/>
      <c r="R122" s="539"/>
      <c r="S122" s="557"/>
      <c r="T122" s="557"/>
      <c r="U122" s="557"/>
      <c r="V122" s="557"/>
      <c r="W122" s="539"/>
      <c r="X122" s="539"/>
      <c r="Y122" s="557"/>
      <c r="Z122" s="557"/>
      <c r="AA122" s="539"/>
      <c r="AB122" s="539"/>
      <c r="AC122" s="539"/>
      <c r="AD122" s="557"/>
      <c r="AE122" s="557"/>
      <c r="AF122" s="557"/>
      <c r="AG122" s="557"/>
      <c r="AH122" s="557"/>
      <c r="AI122" s="557"/>
      <c r="AJ122" s="557"/>
      <c r="AK122" s="557"/>
      <c r="AL122" s="557"/>
      <c r="AM122" s="557"/>
      <c r="AN122" s="557"/>
      <c r="AO122" s="557"/>
      <c r="AP122" s="557"/>
      <c r="AQ122" s="557"/>
      <c r="AR122" s="557"/>
      <c r="AS122" s="557"/>
      <c r="AT122" s="557"/>
      <c r="AU122" s="557"/>
      <c r="AV122" s="557"/>
      <c r="AW122" s="557"/>
      <c r="AX122" s="557"/>
      <c r="AY122" s="557"/>
      <c r="AZ122" s="557"/>
      <c r="BA122" s="557"/>
      <c r="BB122" s="557"/>
      <c r="BC122" s="557"/>
      <c r="BD122" s="555"/>
      <c r="BE122" s="592"/>
      <c r="BF122" s="592"/>
      <c r="BG122" s="592"/>
      <c r="BH122" s="592"/>
      <c r="BI122" s="592"/>
      <c r="BJ122" s="592"/>
      <c r="BK122" s="592"/>
      <c r="BL122" s="592"/>
      <c r="BM122" s="592"/>
      <c r="BN122" s="592"/>
      <c r="BO122" s="592"/>
      <c r="BP122" s="592"/>
      <c r="BQ122" s="592"/>
      <c r="BR122" s="592"/>
      <c r="BS122" s="592"/>
      <c r="BT122" s="592"/>
    </row>
    <row r="123" spans="1:72" s="591" customFormat="1" ht="15">
      <c r="A123" s="539"/>
      <c r="B123" s="539"/>
      <c r="C123" s="539"/>
      <c r="D123" s="539"/>
      <c r="E123" s="539"/>
      <c r="F123" s="539"/>
      <c r="G123" s="539"/>
      <c r="H123" s="539"/>
      <c r="I123" s="539"/>
      <c r="J123" s="539"/>
      <c r="K123" s="539"/>
      <c r="L123" s="539"/>
      <c r="M123" s="539"/>
      <c r="N123" s="539"/>
      <c r="O123" s="539"/>
      <c r="P123" s="539"/>
      <c r="Q123" s="539"/>
      <c r="R123" s="539"/>
      <c r="S123" s="557"/>
      <c r="T123" s="557"/>
      <c r="U123" s="557"/>
      <c r="V123" s="557"/>
      <c r="W123" s="539"/>
      <c r="X123" s="539"/>
      <c r="Y123" s="557"/>
      <c r="Z123" s="557"/>
      <c r="AA123" s="539"/>
      <c r="AB123" s="539"/>
      <c r="AC123" s="539"/>
      <c r="AD123" s="557"/>
      <c r="AE123" s="557"/>
      <c r="AF123" s="557"/>
      <c r="AG123" s="557"/>
      <c r="AH123" s="557"/>
      <c r="AI123" s="557"/>
      <c r="AJ123" s="557"/>
      <c r="AK123" s="557"/>
      <c r="AL123" s="557"/>
      <c r="AM123" s="557"/>
      <c r="AN123" s="557"/>
      <c r="AO123" s="557"/>
      <c r="AP123" s="557"/>
      <c r="AQ123" s="557"/>
      <c r="AR123" s="557"/>
      <c r="AS123" s="557"/>
      <c r="AT123" s="557"/>
      <c r="AU123" s="557"/>
      <c r="AV123" s="557"/>
      <c r="AW123" s="557"/>
      <c r="AX123" s="557"/>
      <c r="AY123" s="557"/>
      <c r="AZ123" s="557"/>
      <c r="BA123" s="557"/>
      <c r="BB123" s="557"/>
      <c r="BC123" s="557"/>
      <c r="BD123" s="555"/>
      <c r="BE123" s="592"/>
      <c r="BF123" s="592"/>
      <c r="BG123" s="592"/>
      <c r="BH123" s="592"/>
      <c r="BI123" s="592"/>
      <c r="BJ123" s="592"/>
      <c r="BK123" s="592"/>
      <c r="BL123" s="592"/>
      <c r="BM123" s="592"/>
      <c r="BN123" s="592"/>
      <c r="BO123" s="592"/>
      <c r="BP123" s="592"/>
      <c r="BQ123" s="592"/>
      <c r="BR123" s="592"/>
      <c r="BS123" s="592"/>
      <c r="BT123" s="592"/>
    </row>
    <row r="124" spans="1:72" s="591" customFormat="1" ht="15">
      <c r="A124" s="539"/>
      <c r="B124" s="539"/>
      <c r="C124" s="539"/>
      <c r="D124" s="539"/>
      <c r="E124" s="539"/>
      <c r="F124" s="539"/>
      <c r="G124" s="539"/>
      <c r="H124" s="539"/>
      <c r="I124" s="539"/>
      <c r="J124" s="539"/>
      <c r="K124" s="539"/>
      <c r="L124" s="539"/>
      <c r="M124" s="539"/>
      <c r="N124" s="539"/>
      <c r="O124" s="539"/>
      <c r="P124" s="539"/>
      <c r="Q124" s="539"/>
      <c r="R124" s="539"/>
      <c r="S124" s="557"/>
      <c r="T124" s="557"/>
      <c r="U124" s="557"/>
      <c r="V124" s="557"/>
      <c r="W124" s="539"/>
      <c r="X124" s="539"/>
      <c r="Y124" s="557"/>
      <c r="Z124" s="557"/>
      <c r="AA124" s="539"/>
      <c r="AB124" s="539"/>
      <c r="AC124" s="539"/>
      <c r="AD124" s="557"/>
      <c r="AE124" s="557"/>
      <c r="AF124" s="557"/>
      <c r="AG124" s="557"/>
      <c r="AH124" s="557"/>
      <c r="AI124" s="557"/>
      <c r="AJ124" s="557"/>
      <c r="AK124" s="557"/>
      <c r="AL124" s="557"/>
      <c r="AM124" s="557"/>
      <c r="AN124" s="557"/>
      <c r="AO124" s="557"/>
      <c r="AP124" s="557"/>
      <c r="AQ124" s="557"/>
      <c r="AR124" s="557"/>
      <c r="AS124" s="557"/>
      <c r="AT124" s="557"/>
      <c r="AU124" s="557"/>
      <c r="AV124" s="557"/>
      <c r="AW124" s="557"/>
      <c r="AX124" s="557"/>
      <c r="AY124" s="557"/>
      <c r="AZ124" s="557"/>
      <c r="BA124" s="557"/>
      <c r="BB124" s="557"/>
      <c r="BC124" s="557"/>
      <c r="BD124" s="555"/>
      <c r="BE124" s="592"/>
      <c r="BF124" s="592"/>
      <c r="BG124" s="592"/>
      <c r="BH124" s="592"/>
      <c r="BI124" s="592"/>
      <c r="BJ124" s="592"/>
      <c r="BK124" s="592"/>
      <c r="BL124" s="592"/>
      <c r="BM124" s="592"/>
      <c r="BN124" s="592"/>
      <c r="BO124" s="592"/>
      <c r="BP124" s="592"/>
      <c r="BQ124" s="592"/>
      <c r="BR124" s="592"/>
      <c r="BS124" s="592"/>
      <c r="BT124" s="592"/>
    </row>
    <row r="125" spans="1:72" s="591" customFormat="1" ht="15">
      <c r="A125" s="539"/>
      <c r="B125" s="539"/>
      <c r="C125" s="539"/>
      <c r="D125" s="539"/>
      <c r="E125" s="539"/>
      <c r="F125" s="539"/>
      <c r="G125" s="539"/>
      <c r="H125" s="539"/>
      <c r="I125" s="539"/>
      <c r="J125" s="539"/>
      <c r="K125" s="539"/>
      <c r="L125" s="539"/>
      <c r="M125" s="539"/>
      <c r="N125" s="539"/>
      <c r="O125" s="539"/>
      <c r="P125" s="539"/>
      <c r="Q125" s="539"/>
      <c r="R125" s="539"/>
      <c r="S125" s="557"/>
      <c r="T125" s="557"/>
      <c r="U125" s="557"/>
      <c r="V125" s="557"/>
      <c r="W125" s="539"/>
      <c r="X125" s="539"/>
      <c r="Y125" s="557"/>
      <c r="Z125" s="557"/>
      <c r="AA125" s="539"/>
      <c r="AB125" s="539"/>
      <c r="AC125" s="539"/>
      <c r="AD125" s="557"/>
      <c r="AE125" s="557"/>
      <c r="AF125" s="557"/>
      <c r="AG125" s="557"/>
      <c r="AH125" s="557"/>
      <c r="AI125" s="557"/>
      <c r="AJ125" s="557"/>
      <c r="AK125" s="557"/>
      <c r="AL125" s="557"/>
      <c r="AM125" s="557"/>
      <c r="AN125" s="557"/>
      <c r="AO125" s="557"/>
      <c r="AP125" s="557"/>
      <c r="AQ125" s="557"/>
      <c r="AR125" s="557"/>
      <c r="AS125" s="557"/>
      <c r="AT125" s="557"/>
      <c r="AU125" s="557"/>
      <c r="AV125" s="557"/>
      <c r="AW125" s="557"/>
      <c r="AX125" s="557"/>
      <c r="AY125" s="557"/>
      <c r="AZ125" s="557"/>
      <c r="BA125" s="557"/>
      <c r="BB125" s="557"/>
      <c r="BC125" s="557"/>
      <c r="BD125" s="555"/>
      <c r="BE125" s="592"/>
      <c r="BF125" s="592"/>
      <c r="BG125" s="592"/>
      <c r="BH125" s="592"/>
      <c r="BI125" s="592"/>
      <c r="BJ125" s="592"/>
      <c r="BK125" s="592"/>
      <c r="BL125" s="592"/>
      <c r="BM125" s="592"/>
      <c r="BN125" s="592"/>
      <c r="BO125" s="592"/>
      <c r="BP125" s="592"/>
      <c r="BQ125" s="592"/>
      <c r="BR125" s="592"/>
      <c r="BS125" s="592"/>
      <c r="BT125" s="592"/>
    </row>
    <row r="126" spans="1:72" s="591" customFormat="1" ht="15">
      <c r="A126" s="539"/>
      <c r="B126" s="539"/>
      <c r="C126" s="539"/>
      <c r="D126" s="539"/>
      <c r="E126" s="539"/>
      <c r="F126" s="539"/>
      <c r="G126" s="539"/>
      <c r="H126" s="539"/>
      <c r="I126" s="539"/>
      <c r="J126" s="539"/>
      <c r="K126" s="539"/>
      <c r="L126" s="539"/>
      <c r="M126" s="539"/>
      <c r="N126" s="539"/>
      <c r="O126" s="539"/>
      <c r="P126" s="539"/>
      <c r="Q126" s="539"/>
      <c r="R126" s="539"/>
      <c r="S126" s="557"/>
      <c r="T126" s="557"/>
      <c r="U126" s="557"/>
      <c r="V126" s="557"/>
      <c r="W126" s="539"/>
      <c r="X126" s="539"/>
      <c r="Y126" s="557"/>
      <c r="Z126" s="557"/>
      <c r="AA126" s="539"/>
      <c r="AB126" s="539"/>
      <c r="AC126" s="539"/>
      <c r="AD126" s="557"/>
      <c r="AE126" s="557"/>
      <c r="AF126" s="557"/>
      <c r="AG126" s="557"/>
      <c r="AH126" s="557"/>
      <c r="AI126" s="557"/>
      <c r="AJ126" s="557"/>
      <c r="AK126" s="557"/>
      <c r="AL126" s="557"/>
      <c r="AM126" s="557"/>
      <c r="AN126" s="557"/>
      <c r="AO126" s="557"/>
      <c r="AP126" s="557"/>
      <c r="AQ126" s="557"/>
      <c r="AR126" s="557"/>
      <c r="AS126" s="557"/>
      <c r="AT126" s="557"/>
      <c r="AU126" s="557"/>
      <c r="AV126" s="557"/>
      <c r="AW126" s="557"/>
      <c r="AX126" s="557"/>
      <c r="AY126" s="557"/>
      <c r="AZ126" s="557"/>
      <c r="BA126" s="557"/>
      <c r="BB126" s="557"/>
      <c r="BC126" s="557"/>
      <c r="BD126" s="555"/>
      <c r="BE126" s="592"/>
      <c r="BF126" s="592"/>
      <c r="BG126" s="592"/>
      <c r="BH126" s="592"/>
      <c r="BI126" s="592"/>
      <c r="BJ126" s="592"/>
      <c r="BK126" s="592"/>
      <c r="BL126" s="592"/>
      <c r="BM126" s="592"/>
      <c r="BN126" s="592"/>
      <c r="BO126" s="592"/>
      <c r="BP126" s="592"/>
      <c r="BQ126" s="592"/>
      <c r="BR126" s="592"/>
      <c r="BS126" s="592"/>
      <c r="BT126" s="592"/>
    </row>
    <row r="127" spans="1:72" s="591" customFormat="1" ht="15">
      <c r="A127" s="539"/>
      <c r="B127" s="539"/>
      <c r="C127" s="539"/>
      <c r="D127" s="539"/>
      <c r="E127" s="539"/>
      <c r="F127" s="539"/>
      <c r="G127" s="539"/>
      <c r="H127" s="539"/>
      <c r="I127" s="539"/>
      <c r="J127" s="539"/>
      <c r="K127" s="539"/>
      <c r="L127" s="539"/>
      <c r="M127" s="539"/>
      <c r="N127" s="539"/>
      <c r="O127" s="539"/>
      <c r="P127" s="539"/>
      <c r="Q127" s="539"/>
      <c r="R127" s="539"/>
      <c r="S127" s="557"/>
      <c r="T127" s="557"/>
      <c r="U127" s="557"/>
      <c r="V127" s="557"/>
      <c r="W127" s="539"/>
      <c r="X127" s="539"/>
      <c r="Y127" s="557"/>
      <c r="Z127" s="557"/>
      <c r="AA127" s="539"/>
      <c r="AB127" s="539"/>
      <c r="AC127" s="539"/>
      <c r="AD127" s="557"/>
      <c r="AE127" s="557"/>
      <c r="AF127" s="557"/>
      <c r="AG127" s="557"/>
      <c r="AH127" s="557"/>
      <c r="AI127" s="557"/>
      <c r="AJ127" s="557"/>
      <c r="AK127" s="557"/>
      <c r="AL127" s="557"/>
      <c r="AM127" s="557"/>
      <c r="AN127" s="557"/>
      <c r="AO127" s="557"/>
      <c r="AP127" s="557"/>
      <c r="AQ127" s="557"/>
      <c r="AR127" s="557"/>
      <c r="AS127" s="557"/>
      <c r="AT127" s="557"/>
      <c r="AU127" s="557"/>
      <c r="AV127" s="557"/>
      <c r="AW127" s="557"/>
      <c r="AX127" s="557"/>
      <c r="AY127" s="557"/>
      <c r="AZ127" s="557"/>
      <c r="BA127" s="557"/>
      <c r="BB127" s="557"/>
      <c r="BC127" s="557"/>
      <c r="BD127" s="555"/>
      <c r="BE127" s="592"/>
      <c r="BF127" s="592"/>
      <c r="BG127" s="592"/>
      <c r="BH127" s="592"/>
      <c r="BI127" s="592"/>
      <c r="BJ127" s="592"/>
      <c r="BK127" s="592"/>
      <c r="BL127" s="592"/>
      <c r="BM127" s="592"/>
      <c r="BN127" s="592"/>
      <c r="BO127" s="592"/>
      <c r="BP127" s="592"/>
      <c r="BQ127" s="592"/>
      <c r="BR127" s="592"/>
      <c r="BS127" s="592"/>
      <c r="BT127" s="592"/>
    </row>
    <row r="128" spans="1:72" s="591" customFormat="1" ht="15">
      <c r="A128" s="539"/>
      <c r="B128" s="539"/>
      <c r="C128" s="539"/>
      <c r="D128" s="539"/>
      <c r="E128" s="539"/>
      <c r="F128" s="539"/>
      <c r="G128" s="539"/>
      <c r="H128" s="539"/>
      <c r="I128" s="539"/>
      <c r="J128" s="539"/>
      <c r="K128" s="539"/>
      <c r="L128" s="539"/>
      <c r="M128" s="539"/>
      <c r="N128" s="539"/>
      <c r="O128" s="539"/>
      <c r="P128" s="539"/>
      <c r="Q128" s="539"/>
      <c r="R128" s="539"/>
      <c r="S128" s="557"/>
      <c r="T128" s="557"/>
      <c r="U128" s="557"/>
      <c r="V128" s="557"/>
      <c r="W128" s="539"/>
      <c r="X128" s="539"/>
      <c r="Y128" s="557"/>
      <c r="Z128" s="557"/>
      <c r="AA128" s="539"/>
      <c r="AB128" s="539"/>
      <c r="AC128" s="539"/>
      <c r="AD128" s="557"/>
      <c r="AE128" s="557"/>
      <c r="AF128" s="557"/>
      <c r="AG128" s="557"/>
      <c r="AH128" s="557"/>
      <c r="AI128" s="557"/>
      <c r="AJ128" s="557"/>
      <c r="AK128" s="557"/>
      <c r="AL128" s="557"/>
      <c r="AM128" s="557"/>
      <c r="AN128" s="557"/>
      <c r="AO128" s="557"/>
      <c r="AP128" s="557"/>
      <c r="AQ128" s="557"/>
      <c r="AR128" s="557"/>
      <c r="AS128" s="557"/>
      <c r="AT128" s="557"/>
      <c r="AU128" s="557"/>
      <c r="AV128" s="557"/>
      <c r="AW128" s="557"/>
      <c r="AX128" s="557"/>
      <c r="AY128" s="557"/>
      <c r="AZ128" s="557"/>
      <c r="BA128" s="557"/>
      <c r="BB128" s="557"/>
      <c r="BC128" s="557"/>
      <c r="BD128" s="555"/>
      <c r="BE128" s="592"/>
      <c r="BF128" s="592"/>
      <c r="BG128" s="592"/>
      <c r="BH128" s="592"/>
      <c r="BI128" s="592"/>
      <c r="BJ128" s="592"/>
      <c r="BK128" s="592"/>
      <c r="BL128" s="592"/>
      <c r="BM128" s="592"/>
      <c r="BN128" s="592"/>
      <c r="BO128" s="592"/>
      <c r="BP128" s="592"/>
      <c r="BQ128" s="592"/>
      <c r="BR128" s="592"/>
      <c r="BS128" s="592"/>
      <c r="BT128" s="592"/>
    </row>
    <row r="129" spans="1:72" s="591" customFormat="1" ht="15">
      <c r="A129" s="539"/>
      <c r="B129" s="539"/>
      <c r="C129" s="539"/>
      <c r="D129" s="539"/>
      <c r="E129" s="539"/>
      <c r="F129" s="539"/>
      <c r="G129" s="539"/>
      <c r="H129" s="539"/>
      <c r="I129" s="539"/>
      <c r="J129" s="539"/>
      <c r="K129" s="539"/>
      <c r="L129" s="539"/>
      <c r="M129" s="539"/>
      <c r="N129" s="539"/>
      <c r="O129" s="539"/>
      <c r="P129" s="539"/>
      <c r="Q129" s="539"/>
      <c r="R129" s="539"/>
      <c r="S129" s="557"/>
      <c r="T129" s="557"/>
      <c r="U129" s="557"/>
      <c r="V129" s="557"/>
      <c r="W129" s="539"/>
      <c r="X129" s="539"/>
      <c r="Y129" s="557"/>
      <c r="Z129" s="557"/>
      <c r="AA129" s="539"/>
      <c r="AB129" s="539"/>
      <c r="AC129" s="539"/>
      <c r="AD129" s="557"/>
      <c r="AE129" s="557"/>
      <c r="AF129" s="557"/>
      <c r="AG129" s="557"/>
      <c r="AH129" s="557"/>
      <c r="AI129" s="557"/>
      <c r="AJ129" s="557"/>
      <c r="AK129" s="557"/>
      <c r="AL129" s="557"/>
      <c r="AM129" s="557"/>
      <c r="AN129" s="557"/>
      <c r="AO129" s="557"/>
      <c r="AP129" s="557"/>
      <c r="AQ129" s="557"/>
      <c r="AR129" s="557"/>
      <c r="AS129" s="557"/>
      <c r="AT129" s="557"/>
      <c r="AU129" s="557"/>
      <c r="AV129" s="557"/>
      <c r="AW129" s="557"/>
      <c r="AX129" s="557"/>
      <c r="AY129" s="557"/>
      <c r="AZ129" s="557"/>
      <c r="BA129" s="557"/>
      <c r="BB129" s="557"/>
      <c r="BC129" s="557"/>
      <c r="BD129" s="555"/>
      <c r="BE129" s="592"/>
      <c r="BF129" s="592"/>
      <c r="BG129" s="592"/>
      <c r="BH129" s="592"/>
      <c r="BI129" s="592"/>
      <c r="BJ129" s="592"/>
      <c r="BK129" s="592"/>
      <c r="BL129" s="592"/>
      <c r="BM129" s="592"/>
      <c r="BN129" s="592"/>
      <c r="BO129" s="592"/>
      <c r="BP129" s="592"/>
      <c r="BQ129" s="592"/>
      <c r="BR129" s="592"/>
      <c r="BS129" s="592"/>
      <c r="BT129" s="592"/>
    </row>
    <row r="130" spans="1:72" s="591" customFormat="1" ht="15">
      <c r="A130" s="539"/>
      <c r="B130" s="539"/>
      <c r="C130" s="539"/>
      <c r="D130" s="539"/>
      <c r="E130" s="539"/>
      <c r="F130" s="539"/>
      <c r="G130" s="539"/>
      <c r="H130" s="539"/>
      <c r="I130" s="539"/>
      <c r="J130" s="539"/>
      <c r="K130" s="539"/>
      <c r="L130" s="539"/>
      <c r="M130" s="539"/>
      <c r="N130" s="539"/>
      <c r="O130" s="539"/>
      <c r="P130" s="539"/>
      <c r="Q130" s="539"/>
      <c r="R130" s="539"/>
      <c r="S130" s="557"/>
      <c r="T130" s="557"/>
      <c r="U130" s="557"/>
      <c r="V130" s="557"/>
      <c r="W130" s="539"/>
      <c r="X130" s="539"/>
      <c r="Y130" s="557"/>
      <c r="Z130" s="557"/>
      <c r="AA130" s="539"/>
      <c r="AB130" s="539"/>
      <c r="AC130" s="539"/>
      <c r="AD130" s="557"/>
      <c r="AE130" s="557"/>
      <c r="AF130" s="557"/>
      <c r="AG130" s="557"/>
      <c r="AH130" s="557"/>
      <c r="AI130" s="557"/>
      <c r="AJ130" s="557"/>
      <c r="AK130" s="557"/>
      <c r="AL130" s="557"/>
      <c r="AM130" s="557"/>
      <c r="AN130" s="557"/>
      <c r="AO130" s="557"/>
      <c r="AP130" s="557"/>
      <c r="AQ130" s="557"/>
      <c r="AR130" s="557"/>
      <c r="AS130" s="557"/>
      <c r="AT130" s="557"/>
      <c r="AU130" s="557"/>
      <c r="AV130" s="557"/>
      <c r="AW130" s="557"/>
      <c r="AX130" s="557"/>
      <c r="AY130" s="557"/>
      <c r="AZ130" s="557"/>
      <c r="BA130" s="557"/>
      <c r="BB130" s="557"/>
      <c r="BC130" s="557"/>
      <c r="BD130" s="555"/>
      <c r="BE130" s="592"/>
      <c r="BF130" s="592"/>
      <c r="BG130" s="592"/>
      <c r="BH130" s="592"/>
      <c r="BI130" s="592"/>
      <c r="BJ130" s="592"/>
      <c r="BK130" s="592"/>
      <c r="BL130" s="592"/>
      <c r="BM130" s="592"/>
      <c r="BN130" s="592"/>
      <c r="BO130" s="592"/>
      <c r="BP130" s="592"/>
      <c r="BQ130" s="592"/>
      <c r="BR130" s="592"/>
      <c r="BS130" s="592"/>
      <c r="BT130" s="592"/>
    </row>
    <row r="131" spans="1:72" s="591" customFormat="1" ht="15">
      <c r="A131" s="539"/>
      <c r="B131" s="539"/>
      <c r="C131" s="539"/>
      <c r="D131" s="539"/>
      <c r="E131" s="539"/>
      <c r="F131" s="539"/>
      <c r="G131" s="539"/>
      <c r="H131" s="539"/>
      <c r="I131" s="539"/>
      <c r="J131" s="539"/>
      <c r="K131" s="539"/>
      <c r="L131" s="539"/>
      <c r="M131" s="539"/>
      <c r="N131" s="539"/>
      <c r="O131" s="539"/>
      <c r="P131" s="539"/>
      <c r="Q131" s="539"/>
      <c r="R131" s="539"/>
      <c r="S131" s="557"/>
      <c r="T131" s="557"/>
      <c r="U131" s="557"/>
      <c r="V131" s="557"/>
      <c r="W131" s="539"/>
      <c r="X131" s="539"/>
      <c r="Y131" s="557"/>
      <c r="Z131" s="557"/>
      <c r="AA131" s="539"/>
      <c r="AB131" s="539"/>
      <c r="AC131" s="539"/>
      <c r="AD131" s="557"/>
      <c r="AE131" s="557"/>
      <c r="AF131" s="557"/>
      <c r="AG131" s="557"/>
      <c r="AH131" s="557"/>
      <c r="AI131" s="557"/>
      <c r="AJ131" s="557"/>
      <c r="AK131" s="557"/>
      <c r="AL131" s="557"/>
      <c r="AM131" s="557"/>
      <c r="AN131" s="557"/>
      <c r="AO131" s="557"/>
      <c r="AP131" s="557"/>
      <c r="AQ131" s="557"/>
      <c r="AR131" s="557"/>
      <c r="AS131" s="557"/>
      <c r="AT131" s="557"/>
      <c r="AU131" s="557"/>
      <c r="AV131" s="557"/>
      <c r="AW131" s="557"/>
      <c r="AX131" s="557"/>
      <c r="AY131" s="557"/>
      <c r="AZ131" s="557"/>
      <c r="BA131" s="557"/>
      <c r="BB131" s="557"/>
      <c r="BC131" s="557"/>
      <c r="BD131" s="555"/>
      <c r="BE131" s="592"/>
      <c r="BF131" s="592"/>
      <c r="BG131" s="592"/>
      <c r="BH131" s="592"/>
      <c r="BI131" s="592"/>
      <c r="BJ131" s="592"/>
      <c r="BK131" s="592"/>
      <c r="BL131" s="592"/>
      <c r="BM131" s="592"/>
      <c r="BN131" s="592"/>
      <c r="BO131" s="592"/>
      <c r="BP131" s="592"/>
      <c r="BQ131" s="592"/>
      <c r="BR131" s="592"/>
      <c r="BS131" s="592"/>
      <c r="BT131" s="592"/>
    </row>
    <row r="132" spans="1:72" s="591" customFormat="1" ht="15">
      <c r="A132" s="539"/>
      <c r="B132" s="539"/>
      <c r="C132" s="539"/>
      <c r="D132" s="539"/>
      <c r="E132" s="539"/>
      <c r="F132" s="539"/>
      <c r="G132" s="539"/>
      <c r="H132" s="539"/>
      <c r="I132" s="539"/>
      <c r="J132" s="539"/>
      <c r="K132" s="539"/>
      <c r="L132" s="539"/>
      <c r="M132" s="539"/>
      <c r="N132" s="539"/>
      <c r="O132" s="539"/>
      <c r="P132" s="539"/>
      <c r="Q132" s="539"/>
      <c r="R132" s="539"/>
      <c r="S132" s="557"/>
      <c r="T132" s="557"/>
      <c r="U132" s="557"/>
      <c r="V132" s="557"/>
      <c r="W132" s="539"/>
      <c r="X132" s="539"/>
      <c r="Y132" s="557"/>
      <c r="Z132" s="557"/>
      <c r="AA132" s="539"/>
      <c r="AB132" s="539"/>
      <c r="AC132" s="539"/>
      <c r="AD132" s="557"/>
      <c r="AE132" s="557"/>
      <c r="AF132" s="557"/>
      <c r="AG132" s="557"/>
      <c r="AH132" s="557"/>
      <c r="AI132" s="557"/>
      <c r="AJ132" s="557"/>
      <c r="AK132" s="557"/>
      <c r="AL132" s="557"/>
      <c r="AM132" s="557"/>
      <c r="AN132" s="557"/>
      <c r="AO132" s="557"/>
      <c r="AP132" s="557"/>
      <c r="AQ132" s="557"/>
      <c r="AR132" s="557"/>
      <c r="AS132" s="557"/>
      <c r="AT132" s="557"/>
      <c r="AU132" s="557"/>
      <c r="AV132" s="557"/>
      <c r="AW132" s="557"/>
      <c r="AX132" s="557"/>
      <c r="AY132" s="557"/>
      <c r="AZ132" s="557"/>
      <c r="BA132" s="557"/>
      <c r="BB132" s="557"/>
      <c r="BC132" s="557"/>
      <c r="BD132" s="555"/>
      <c r="BE132" s="592"/>
      <c r="BF132" s="592"/>
      <c r="BG132" s="592"/>
      <c r="BH132" s="592"/>
      <c r="BI132" s="592"/>
      <c r="BJ132" s="592"/>
      <c r="BK132" s="592"/>
      <c r="BL132" s="592"/>
      <c r="BM132" s="592"/>
      <c r="BN132" s="592"/>
      <c r="BO132" s="592"/>
      <c r="BP132" s="592"/>
      <c r="BQ132" s="592"/>
      <c r="BR132" s="592"/>
      <c r="BS132" s="592"/>
      <c r="BT132" s="592"/>
    </row>
    <row r="133" spans="1:72" s="591" customFormat="1" ht="15">
      <c r="A133" s="539"/>
      <c r="B133" s="539"/>
      <c r="C133" s="539"/>
      <c r="D133" s="539"/>
      <c r="E133" s="539"/>
      <c r="F133" s="539"/>
      <c r="G133" s="539"/>
      <c r="H133" s="539"/>
      <c r="I133" s="539"/>
      <c r="J133" s="539"/>
      <c r="K133" s="539"/>
      <c r="L133" s="539"/>
      <c r="M133" s="539"/>
      <c r="N133" s="539"/>
      <c r="O133" s="539"/>
      <c r="P133" s="539"/>
      <c r="Q133" s="539"/>
      <c r="R133" s="539"/>
      <c r="S133" s="557"/>
      <c r="T133" s="557"/>
      <c r="U133" s="557"/>
      <c r="V133" s="557"/>
      <c r="W133" s="539"/>
      <c r="X133" s="539"/>
      <c r="Y133" s="557"/>
      <c r="Z133" s="557"/>
      <c r="AA133" s="539"/>
      <c r="AB133" s="539"/>
      <c r="AC133" s="539"/>
      <c r="AD133" s="557"/>
      <c r="AE133" s="557"/>
      <c r="AF133" s="557"/>
      <c r="AG133" s="557"/>
      <c r="AH133" s="557"/>
      <c r="AI133" s="557"/>
      <c r="AJ133" s="557"/>
      <c r="AK133" s="557"/>
      <c r="AL133" s="557"/>
      <c r="AM133" s="557"/>
      <c r="AN133" s="557"/>
      <c r="AO133" s="557"/>
      <c r="AP133" s="557"/>
      <c r="AQ133" s="557"/>
      <c r="AR133" s="557"/>
      <c r="AS133" s="557"/>
      <c r="AT133" s="557"/>
      <c r="AU133" s="557"/>
      <c r="AV133" s="557"/>
      <c r="AW133" s="557"/>
      <c r="AX133" s="557"/>
      <c r="AY133" s="557"/>
      <c r="AZ133" s="557"/>
      <c r="BA133" s="557"/>
      <c r="BB133" s="557"/>
      <c r="BC133" s="557"/>
      <c r="BD133" s="555"/>
      <c r="BE133" s="592"/>
      <c r="BF133" s="592"/>
      <c r="BG133" s="592"/>
      <c r="BH133" s="592"/>
      <c r="BI133" s="592"/>
      <c r="BJ133" s="592"/>
      <c r="BK133" s="592"/>
      <c r="BL133" s="592"/>
      <c r="BM133" s="592"/>
      <c r="BN133" s="592"/>
      <c r="BO133" s="592"/>
      <c r="BP133" s="592"/>
      <c r="BQ133" s="592"/>
      <c r="BR133" s="592"/>
      <c r="BS133" s="592"/>
      <c r="BT133" s="592"/>
    </row>
    <row r="134" spans="1:72" s="591" customFormat="1" ht="15">
      <c r="A134" s="539"/>
      <c r="B134" s="539"/>
      <c r="C134" s="539"/>
      <c r="D134" s="539"/>
      <c r="E134" s="539"/>
      <c r="F134" s="539"/>
      <c r="G134" s="539"/>
      <c r="H134" s="539"/>
      <c r="I134" s="539"/>
      <c r="J134" s="539"/>
      <c r="K134" s="539"/>
      <c r="L134" s="539"/>
      <c r="M134" s="539"/>
      <c r="N134" s="539"/>
      <c r="O134" s="539"/>
      <c r="P134" s="539"/>
      <c r="Q134" s="539"/>
      <c r="R134" s="539"/>
      <c r="S134" s="557"/>
      <c r="T134" s="557"/>
      <c r="U134" s="557"/>
      <c r="V134" s="557"/>
      <c r="W134" s="539"/>
      <c r="X134" s="539"/>
      <c r="Y134" s="557"/>
      <c r="Z134" s="557"/>
      <c r="AA134" s="539"/>
      <c r="AB134" s="539"/>
      <c r="AC134" s="539"/>
      <c r="AD134" s="557"/>
      <c r="AE134" s="557"/>
      <c r="AF134" s="557"/>
      <c r="AG134" s="557"/>
      <c r="AH134" s="557"/>
      <c r="AI134" s="557"/>
      <c r="AJ134" s="557"/>
      <c r="AK134" s="557"/>
      <c r="AL134" s="557"/>
      <c r="AM134" s="557"/>
      <c r="AN134" s="557"/>
      <c r="AO134" s="557"/>
      <c r="AP134" s="557"/>
      <c r="AQ134" s="557"/>
      <c r="AR134" s="557"/>
      <c r="AS134" s="557"/>
      <c r="AT134" s="557"/>
      <c r="AU134" s="557"/>
      <c r="AV134" s="557"/>
      <c r="AW134" s="557"/>
      <c r="AX134" s="557"/>
      <c r="AY134" s="557"/>
      <c r="AZ134" s="557"/>
      <c r="BA134" s="557"/>
      <c r="BB134" s="557"/>
      <c r="BC134" s="557"/>
      <c r="BD134" s="555"/>
      <c r="BE134" s="592"/>
      <c r="BF134" s="592"/>
      <c r="BG134" s="592"/>
      <c r="BH134" s="592"/>
      <c r="BI134" s="592"/>
      <c r="BJ134" s="592"/>
      <c r="BK134" s="592"/>
      <c r="BL134" s="592"/>
      <c r="BM134" s="592"/>
      <c r="BN134" s="592"/>
      <c r="BO134" s="592"/>
      <c r="BP134" s="592"/>
      <c r="BQ134" s="592"/>
      <c r="BR134" s="592"/>
      <c r="BS134" s="592"/>
      <c r="BT134" s="592"/>
    </row>
    <row r="135" spans="1:72" s="591" customFormat="1" ht="15">
      <c r="A135" s="539"/>
      <c r="B135" s="539"/>
      <c r="C135" s="539"/>
      <c r="D135" s="539"/>
      <c r="E135" s="539"/>
      <c r="F135" s="539"/>
      <c r="G135" s="539"/>
      <c r="H135" s="539"/>
      <c r="I135" s="539"/>
      <c r="J135" s="539"/>
      <c r="K135" s="539"/>
      <c r="L135" s="539"/>
      <c r="M135" s="539"/>
      <c r="N135" s="539"/>
      <c r="O135" s="539"/>
      <c r="P135" s="539"/>
      <c r="Q135" s="539"/>
      <c r="R135" s="539"/>
      <c r="S135" s="557"/>
      <c r="T135" s="557"/>
      <c r="U135" s="557"/>
      <c r="V135" s="557"/>
      <c r="W135" s="539"/>
      <c r="X135" s="539"/>
      <c r="Y135" s="557"/>
      <c r="Z135" s="557"/>
      <c r="AA135" s="539"/>
      <c r="AB135" s="539"/>
      <c r="AC135" s="539"/>
      <c r="AD135" s="557"/>
      <c r="AE135" s="557"/>
      <c r="AF135" s="557"/>
      <c r="AG135" s="557"/>
      <c r="AH135" s="557"/>
      <c r="AI135" s="557"/>
      <c r="AJ135" s="557"/>
      <c r="AK135" s="557"/>
      <c r="AL135" s="557"/>
      <c r="AM135" s="557"/>
      <c r="AN135" s="557"/>
      <c r="AO135" s="557"/>
      <c r="AP135" s="557"/>
      <c r="AQ135" s="557"/>
      <c r="AR135" s="557"/>
      <c r="AS135" s="557"/>
      <c r="AT135" s="557"/>
      <c r="AU135" s="557"/>
      <c r="AV135" s="557"/>
      <c r="AW135" s="557"/>
      <c r="AX135" s="557"/>
      <c r="AY135" s="557"/>
      <c r="AZ135" s="557"/>
      <c r="BA135" s="557"/>
      <c r="BB135" s="557"/>
      <c r="BC135" s="557"/>
      <c r="BD135" s="555"/>
      <c r="BE135" s="592"/>
      <c r="BF135" s="592"/>
      <c r="BG135" s="592"/>
      <c r="BH135" s="592"/>
      <c r="BI135" s="592"/>
      <c r="BJ135" s="592"/>
      <c r="BK135" s="592"/>
      <c r="BL135" s="592"/>
      <c r="BM135" s="592"/>
      <c r="BN135" s="592"/>
      <c r="BO135" s="592"/>
      <c r="BP135" s="592"/>
      <c r="BQ135" s="592"/>
      <c r="BR135" s="592"/>
      <c r="BS135" s="592"/>
      <c r="BT135" s="592"/>
    </row>
    <row r="136" spans="1:72" s="591" customFormat="1" ht="15">
      <c r="A136" s="539"/>
      <c r="B136" s="539"/>
      <c r="C136" s="539"/>
      <c r="D136" s="539"/>
      <c r="E136" s="539"/>
      <c r="F136" s="539"/>
      <c r="G136" s="539"/>
      <c r="H136" s="539"/>
      <c r="I136" s="539"/>
      <c r="J136" s="539"/>
      <c r="K136" s="539"/>
      <c r="L136" s="539"/>
      <c r="M136" s="539"/>
      <c r="N136" s="539"/>
      <c r="O136" s="539"/>
      <c r="P136" s="539"/>
      <c r="Q136" s="539"/>
      <c r="R136" s="539"/>
      <c r="S136" s="557"/>
      <c r="T136" s="557"/>
      <c r="U136" s="557"/>
      <c r="V136" s="557"/>
      <c r="W136" s="539"/>
      <c r="X136" s="539"/>
      <c r="Y136" s="557"/>
      <c r="Z136" s="557"/>
      <c r="AA136" s="539"/>
      <c r="AB136" s="539"/>
      <c r="AC136" s="539"/>
      <c r="AD136" s="557"/>
      <c r="AE136" s="557"/>
      <c r="AF136" s="557"/>
      <c r="AG136" s="557"/>
      <c r="AH136" s="557"/>
      <c r="AI136" s="557"/>
      <c r="AJ136" s="557"/>
      <c r="AK136" s="557"/>
      <c r="AL136" s="557"/>
      <c r="AM136" s="557"/>
      <c r="AN136" s="557"/>
      <c r="AO136" s="557"/>
      <c r="AP136" s="557"/>
      <c r="AQ136" s="557"/>
      <c r="AR136" s="557"/>
      <c r="AS136" s="557"/>
      <c r="AT136" s="557"/>
      <c r="AU136" s="557"/>
      <c r="AV136" s="557"/>
      <c r="AW136" s="557"/>
      <c r="AX136" s="557"/>
      <c r="AY136" s="557"/>
      <c r="AZ136" s="557"/>
      <c r="BA136" s="557"/>
      <c r="BB136" s="557"/>
      <c r="BC136" s="557"/>
      <c r="BD136" s="555"/>
      <c r="BE136" s="592"/>
      <c r="BF136" s="592"/>
      <c r="BG136" s="592"/>
      <c r="BH136" s="592"/>
      <c r="BI136" s="592"/>
      <c r="BJ136" s="592"/>
      <c r="BK136" s="592"/>
      <c r="BL136" s="592"/>
      <c r="BM136" s="592"/>
      <c r="BN136" s="592"/>
      <c r="BO136" s="592"/>
      <c r="BP136" s="592"/>
      <c r="BQ136" s="592"/>
      <c r="BR136" s="592"/>
      <c r="BS136" s="592"/>
      <c r="BT136" s="592"/>
    </row>
    <row r="137" spans="1:72" s="591" customFormat="1" ht="15">
      <c r="A137" s="539"/>
      <c r="B137" s="539"/>
      <c r="C137" s="539"/>
      <c r="D137" s="539"/>
      <c r="E137" s="539"/>
      <c r="F137" s="539"/>
      <c r="G137" s="539"/>
      <c r="H137" s="539"/>
      <c r="I137" s="539"/>
      <c r="J137" s="539"/>
      <c r="K137" s="539"/>
      <c r="L137" s="539"/>
      <c r="M137" s="539"/>
      <c r="N137" s="539"/>
      <c r="O137" s="539"/>
      <c r="P137" s="539"/>
      <c r="Q137" s="539"/>
      <c r="R137" s="539"/>
      <c r="S137" s="557"/>
      <c r="T137" s="557"/>
      <c r="U137" s="557"/>
      <c r="V137" s="557"/>
      <c r="W137" s="539"/>
      <c r="X137" s="539"/>
      <c r="Y137" s="557"/>
      <c r="Z137" s="557"/>
      <c r="AA137" s="539"/>
      <c r="AB137" s="539"/>
      <c r="AC137" s="539"/>
      <c r="AD137" s="557"/>
      <c r="AE137" s="557"/>
      <c r="AF137" s="557"/>
      <c r="AG137" s="557"/>
      <c r="AH137" s="557"/>
      <c r="AI137" s="557"/>
      <c r="AJ137" s="557"/>
      <c r="AK137" s="557"/>
      <c r="AL137" s="557"/>
      <c r="AM137" s="557"/>
      <c r="AN137" s="557"/>
      <c r="AO137" s="557"/>
      <c r="AP137" s="557"/>
      <c r="AQ137" s="557"/>
      <c r="AR137" s="557"/>
      <c r="AS137" s="557"/>
      <c r="AT137" s="557"/>
      <c r="AU137" s="557"/>
      <c r="AV137" s="557"/>
      <c r="AW137" s="557"/>
      <c r="AX137" s="557"/>
      <c r="AY137" s="557"/>
      <c r="AZ137" s="557"/>
      <c r="BA137" s="557"/>
      <c r="BB137" s="557"/>
      <c r="BC137" s="557"/>
      <c r="BD137" s="555"/>
      <c r="BE137" s="592"/>
      <c r="BF137" s="592"/>
      <c r="BG137" s="592"/>
      <c r="BH137" s="592"/>
      <c r="BI137" s="592"/>
      <c r="BJ137" s="592"/>
      <c r="BK137" s="592"/>
      <c r="BL137" s="592"/>
      <c r="BM137" s="592"/>
      <c r="BN137" s="592"/>
      <c r="BO137" s="592"/>
      <c r="BP137" s="592"/>
      <c r="BQ137" s="592"/>
      <c r="BR137" s="592"/>
      <c r="BS137" s="592"/>
      <c r="BT137" s="592"/>
    </row>
    <row r="138" spans="1:72" s="591" customFormat="1" ht="15">
      <c r="A138" s="539"/>
      <c r="B138" s="539"/>
      <c r="C138" s="539"/>
      <c r="D138" s="539"/>
      <c r="E138" s="539"/>
      <c r="F138" s="539"/>
      <c r="G138" s="539"/>
      <c r="H138" s="539"/>
      <c r="I138" s="539"/>
      <c r="J138" s="539"/>
      <c r="K138" s="539"/>
      <c r="L138" s="539"/>
      <c r="M138" s="539"/>
      <c r="N138" s="539"/>
      <c r="O138" s="539"/>
      <c r="P138" s="539"/>
      <c r="Q138" s="539"/>
      <c r="R138" s="539"/>
      <c r="S138" s="557"/>
      <c r="T138" s="557"/>
      <c r="U138" s="557"/>
      <c r="V138" s="557"/>
      <c r="W138" s="539"/>
      <c r="X138" s="539"/>
      <c r="Y138" s="557"/>
      <c r="Z138" s="557"/>
      <c r="AA138" s="539"/>
      <c r="AB138" s="539"/>
      <c r="AC138" s="539"/>
      <c r="AD138" s="557"/>
      <c r="AE138" s="557"/>
      <c r="AF138" s="557"/>
      <c r="AG138" s="557"/>
      <c r="AH138" s="557"/>
      <c r="AI138" s="557"/>
      <c r="AJ138" s="557"/>
      <c r="AK138" s="557"/>
      <c r="AL138" s="557"/>
      <c r="AM138" s="557"/>
      <c r="AN138" s="557"/>
      <c r="AO138" s="557"/>
      <c r="AP138" s="557"/>
      <c r="AQ138" s="557"/>
      <c r="AR138" s="557"/>
      <c r="AS138" s="557"/>
      <c r="AT138" s="557"/>
      <c r="AU138" s="557"/>
      <c r="AV138" s="557"/>
      <c r="AW138" s="557"/>
      <c r="AX138" s="557"/>
      <c r="AY138" s="557"/>
      <c r="AZ138" s="557"/>
      <c r="BA138" s="557"/>
      <c r="BB138" s="557"/>
      <c r="BC138" s="557"/>
      <c r="BD138" s="555"/>
      <c r="BE138" s="592"/>
      <c r="BF138" s="592"/>
      <c r="BG138" s="592"/>
      <c r="BH138" s="592"/>
      <c r="BI138" s="592"/>
      <c r="BJ138" s="592"/>
      <c r="BK138" s="592"/>
      <c r="BL138" s="592"/>
      <c r="BM138" s="592"/>
      <c r="BN138" s="592"/>
      <c r="BO138" s="592"/>
      <c r="BP138" s="592"/>
      <c r="BQ138" s="592"/>
      <c r="BR138" s="592"/>
      <c r="BS138" s="592"/>
      <c r="BT138" s="592"/>
    </row>
    <row r="139" spans="1:72" s="591" customFormat="1" ht="15">
      <c r="A139" s="539"/>
      <c r="B139" s="539"/>
      <c r="C139" s="539"/>
      <c r="D139" s="539"/>
      <c r="E139" s="539"/>
      <c r="F139" s="539"/>
      <c r="G139" s="539"/>
      <c r="H139" s="539"/>
      <c r="I139" s="539"/>
      <c r="J139" s="539"/>
      <c r="K139" s="539"/>
      <c r="L139" s="539"/>
      <c r="M139" s="539"/>
      <c r="N139" s="539"/>
      <c r="O139" s="539"/>
      <c r="P139" s="539"/>
      <c r="Q139" s="539"/>
      <c r="R139" s="539"/>
      <c r="S139" s="557"/>
      <c r="T139" s="557"/>
      <c r="U139" s="557"/>
      <c r="V139" s="557"/>
      <c r="W139" s="539"/>
      <c r="X139" s="539"/>
      <c r="Y139" s="557"/>
      <c r="Z139" s="557"/>
      <c r="AA139" s="539"/>
      <c r="AB139" s="539"/>
      <c r="AC139" s="539"/>
      <c r="AD139" s="557"/>
      <c r="AE139" s="557"/>
      <c r="AF139" s="557"/>
      <c r="AG139" s="557"/>
      <c r="AH139" s="557"/>
      <c r="AI139" s="557"/>
      <c r="AJ139" s="557"/>
      <c r="AK139" s="557"/>
      <c r="AL139" s="557"/>
      <c r="AM139" s="557"/>
      <c r="AN139" s="557"/>
      <c r="AO139" s="557"/>
      <c r="AP139" s="557"/>
      <c r="AQ139" s="557"/>
      <c r="AR139" s="557"/>
      <c r="AS139" s="557"/>
      <c r="AT139" s="557"/>
      <c r="AU139" s="557"/>
      <c r="AV139" s="557"/>
      <c r="AW139" s="557"/>
      <c r="AX139" s="557"/>
      <c r="AY139" s="557"/>
      <c r="AZ139" s="557"/>
      <c r="BA139" s="557"/>
      <c r="BB139" s="557"/>
      <c r="BC139" s="557"/>
      <c r="BD139" s="555"/>
      <c r="BE139" s="592"/>
      <c r="BF139" s="592"/>
      <c r="BG139" s="592"/>
      <c r="BH139" s="592"/>
      <c r="BI139" s="592"/>
      <c r="BJ139" s="592"/>
      <c r="BK139" s="592"/>
      <c r="BL139" s="592"/>
      <c r="BM139" s="592"/>
      <c r="BN139" s="592"/>
      <c r="BO139" s="592"/>
      <c r="BP139" s="592"/>
      <c r="BQ139" s="592"/>
      <c r="BR139" s="592"/>
      <c r="BS139" s="592"/>
      <c r="BT139" s="592"/>
    </row>
    <row r="140" spans="1:72" s="591" customFormat="1" ht="15">
      <c r="A140" s="539"/>
      <c r="B140" s="539"/>
      <c r="C140" s="539"/>
      <c r="D140" s="539"/>
      <c r="E140" s="539"/>
      <c r="F140" s="539"/>
      <c r="G140" s="539"/>
      <c r="H140" s="539"/>
      <c r="I140" s="539"/>
      <c r="J140" s="539"/>
      <c r="K140" s="539"/>
      <c r="L140" s="539"/>
      <c r="M140" s="539"/>
      <c r="N140" s="539"/>
      <c r="O140" s="539"/>
      <c r="P140" s="539"/>
      <c r="Q140" s="539"/>
      <c r="R140" s="539"/>
      <c r="S140" s="557"/>
      <c r="T140" s="557"/>
      <c r="U140" s="557"/>
      <c r="V140" s="557"/>
      <c r="W140" s="539"/>
      <c r="X140" s="539"/>
      <c r="Y140" s="557"/>
      <c r="Z140" s="557"/>
      <c r="AA140" s="539"/>
      <c r="AB140" s="539"/>
      <c r="AC140" s="539"/>
      <c r="AD140" s="557"/>
      <c r="AE140" s="557"/>
      <c r="AF140" s="557"/>
      <c r="AG140" s="557"/>
      <c r="AH140" s="557"/>
      <c r="AI140" s="557"/>
      <c r="AJ140" s="557"/>
      <c r="AK140" s="557"/>
      <c r="AL140" s="557"/>
      <c r="AM140" s="557"/>
      <c r="AN140" s="557"/>
      <c r="AO140" s="557"/>
      <c r="AP140" s="557"/>
      <c r="AQ140" s="557"/>
      <c r="AR140" s="557"/>
      <c r="AS140" s="557"/>
      <c r="AT140" s="557"/>
      <c r="AU140" s="557"/>
      <c r="AV140" s="557"/>
      <c r="AW140" s="557"/>
      <c r="AX140" s="557"/>
      <c r="AY140" s="557"/>
      <c r="AZ140" s="557"/>
      <c r="BA140" s="557"/>
      <c r="BB140" s="557"/>
      <c r="BC140" s="557"/>
      <c r="BD140" s="555"/>
      <c r="BE140" s="592"/>
      <c r="BF140" s="592"/>
      <c r="BG140" s="592"/>
      <c r="BH140" s="592"/>
      <c r="BI140" s="592"/>
      <c r="BJ140" s="592"/>
      <c r="BK140" s="592"/>
      <c r="BL140" s="592"/>
      <c r="BM140" s="592"/>
      <c r="BN140" s="592"/>
      <c r="BO140" s="592"/>
      <c r="BP140" s="592"/>
      <c r="BQ140" s="592"/>
      <c r="BR140" s="592"/>
      <c r="BS140" s="592"/>
      <c r="BT140" s="592"/>
    </row>
    <row r="141" spans="1:72" s="591" customFormat="1" ht="15">
      <c r="A141" s="539"/>
      <c r="B141" s="539"/>
      <c r="C141" s="539"/>
      <c r="D141" s="539"/>
      <c r="E141" s="539"/>
      <c r="F141" s="539"/>
      <c r="G141" s="539"/>
      <c r="H141" s="539"/>
      <c r="I141" s="539"/>
      <c r="J141" s="539"/>
      <c r="K141" s="539"/>
      <c r="L141" s="539"/>
      <c r="M141" s="539"/>
      <c r="N141" s="539"/>
      <c r="O141" s="539"/>
      <c r="P141" s="539"/>
      <c r="Q141" s="539"/>
      <c r="R141" s="539"/>
      <c r="S141" s="557"/>
      <c r="T141" s="557"/>
      <c r="U141" s="557"/>
      <c r="V141" s="557"/>
      <c r="W141" s="539"/>
      <c r="X141" s="539"/>
      <c r="Y141" s="557"/>
      <c r="Z141" s="557"/>
      <c r="AA141" s="539"/>
      <c r="AB141" s="539"/>
      <c r="AC141" s="539"/>
      <c r="AD141" s="557"/>
      <c r="AE141" s="557"/>
      <c r="AF141" s="557"/>
      <c r="AG141" s="557"/>
      <c r="AH141" s="557"/>
      <c r="AI141" s="557"/>
      <c r="AJ141" s="557"/>
      <c r="AK141" s="557"/>
      <c r="AL141" s="557"/>
      <c r="AM141" s="557"/>
      <c r="AN141" s="557"/>
      <c r="AO141" s="557"/>
      <c r="AP141" s="557"/>
      <c r="AQ141" s="557"/>
      <c r="AR141" s="557"/>
      <c r="AS141" s="557"/>
      <c r="AT141" s="557"/>
      <c r="AU141" s="557"/>
      <c r="AV141" s="557"/>
      <c r="AW141" s="557"/>
      <c r="AX141" s="557"/>
      <c r="AY141" s="557"/>
      <c r="AZ141" s="557"/>
      <c r="BA141" s="557"/>
      <c r="BB141" s="557"/>
      <c r="BC141" s="557"/>
      <c r="BD141" s="555"/>
      <c r="BE141" s="592"/>
      <c r="BF141" s="592"/>
      <c r="BG141" s="592"/>
      <c r="BH141" s="592"/>
      <c r="BI141" s="592"/>
      <c r="BJ141" s="592"/>
      <c r="BK141" s="592"/>
      <c r="BL141" s="592"/>
      <c r="BM141" s="592"/>
      <c r="BN141" s="592"/>
      <c r="BO141" s="592"/>
      <c r="BP141" s="592"/>
      <c r="BQ141" s="592"/>
      <c r="BR141" s="592"/>
      <c r="BS141" s="592"/>
      <c r="BT141" s="592"/>
    </row>
    <row r="142" spans="1:72" s="591" customFormat="1" ht="15">
      <c r="A142" s="539"/>
      <c r="B142" s="539"/>
      <c r="C142" s="539"/>
      <c r="D142" s="539"/>
      <c r="E142" s="539"/>
      <c r="F142" s="539"/>
      <c r="G142" s="539"/>
      <c r="H142" s="539"/>
      <c r="I142" s="539"/>
      <c r="J142" s="539"/>
      <c r="K142" s="539"/>
      <c r="L142" s="539"/>
      <c r="M142" s="539"/>
      <c r="N142" s="539"/>
      <c r="O142" s="539"/>
      <c r="P142" s="539"/>
      <c r="Q142" s="539"/>
      <c r="R142" s="539"/>
      <c r="S142" s="557"/>
      <c r="T142" s="557"/>
      <c r="U142" s="557"/>
      <c r="V142" s="557"/>
      <c r="W142" s="539"/>
      <c r="X142" s="539"/>
      <c r="Y142" s="557"/>
      <c r="Z142" s="557"/>
      <c r="AA142" s="539"/>
      <c r="AB142" s="539"/>
      <c r="AC142" s="539"/>
      <c r="AD142" s="557"/>
      <c r="AE142" s="557"/>
      <c r="AF142" s="557"/>
      <c r="AG142" s="557"/>
      <c r="AH142" s="557"/>
      <c r="AI142" s="557"/>
      <c r="AJ142" s="557"/>
      <c r="AK142" s="557"/>
      <c r="AL142" s="557"/>
      <c r="AM142" s="557"/>
      <c r="AN142" s="557"/>
      <c r="AO142" s="557"/>
      <c r="AP142" s="557"/>
      <c r="AQ142" s="557"/>
      <c r="AR142" s="557"/>
      <c r="AS142" s="557"/>
      <c r="AT142" s="557"/>
      <c r="AU142" s="557"/>
      <c r="AV142" s="557"/>
      <c r="AW142" s="557"/>
      <c r="AX142" s="557"/>
      <c r="AY142" s="557"/>
      <c r="AZ142" s="557"/>
      <c r="BA142" s="557"/>
      <c r="BB142" s="557"/>
      <c r="BC142" s="557"/>
      <c r="BD142" s="555"/>
      <c r="BE142" s="592"/>
      <c r="BF142" s="592"/>
      <c r="BG142" s="592"/>
      <c r="BH142" s="592"/>
      <c r="BI142" s="592"/>
      <c r="BJ142" s="592"/>
      <c r="BK142" s="592"/>
      <c r="BL142" s="592"/>
      <c r="BM142" s="592"/>
      <c r="BN142" s="592"/>
      <c r="BO142" s="592"/>
      <c r="BP142" s="592"/>
      <c r="BQ142" s="592"/>
      <c r="BR142" s="592"/>
      <c r="BS142" s="592"/>
      <c r="BT142" s="592"/>
    </row>
    <row r="143" spans="1:72" s="591" customFormat="1" ht="15">
      <c r="A143" s="539"/>
      <c r="B143" s="539"/>
      <c r="C143" s="539"/>
      <c r="D143" s="539"/>
      <c r="E143" s="539"/>
      <c r="F143" s="539"/>
      <c r="G143" s="539"/>
      <c r="H143" s="539"/>
      <c r="I143" s="539"/>
      <c r="J143" s="539"/>
      <c r="K143" s="539"/>
      <c r="L143" s="539"/>
      <c r="M143" s="539"/>
      <c r="N143" s="539"/>
      <c r="O143" s="539"/>
      <c r="P143" s="539"/>
      <c r="Q143" s="539"/>
      <c r="R143" s="539"/>
      <c r="S143" s="557"/>
      <c r="T143" s="557"/>
      <c r="U143" s="557"/>
      <c r="V143" s="557"/>
      <c r="W143" s="539"/>
      <c r="X143" s="539"/>
      <c r="Y143" s="557"/>
      <c r="Z143" s="557"/>
      <c r="AA143" s="539"/>
      <c r="AB143" s="539"/>
      <c r="AC143" s="539"/>
      <c r="AD143" s="557"/>
      <c r="AE143" s="557"/>
      <c r="AF143" s="557"/>
      <c r="AG143" s="557"/>
      <c r="AH143" s="557"/>
      <c r="AI143" s="557"/>
      <c r="AJ143" s="557"/>
      <c r="AK143" s="557"/>
      <c r="AL143" s="557"/>
      <c r="AM143" s="557"/>
      <c r="AN143" s="557"/>
      <c r="AO143" s="557"/>
      <c r="AP143" s="557"/>
      <c r="AQ143" s="557"/>
      <c r="AR143" s="557"/>
      <c r="AS143" s="557"/>
      <c r="AT143" s="557"/>
      <c r="AU143" s="557"/>
      <c r="AV143" s="557"/>
      <c r="AW143" s="557"/>
      <c r="AX143" s="557"/>
      <c r="AY143" s="557"/>
      <c r="AZ143" s="557"/>
      <c r="BA143" s="557"/>
      <c r="BB143" s="557"/>
      <c r="BC143" s="557"/>
      <c r="BD143" s="555"/>
      <c r="BE143" s="592"/>
      <c r="BF143" s="592"/>
      <c r="BG143" s="592"/>
      <c r="BH143" s="592"/>
      <c r="BI143" s="592"/>
      <c r="BJ143" s="592"/>
      <c r="BK143" s="592"/>
      <c r="BL143" s="592"/>
      <c r="BM143" s="592"/>
      <c r="BN143" s="592"/>
      <c r="BO143" s="592"/>
      <c r="BP143" s="592"/>
      <c r="BQ143" s="592"/>
      <c r="BR143" s="592"/>
      <c r="BS143" s="592"/>
      <c r="BT143" s="592"/>
    </row>
    <row r="144" spans="1:72" s="591" customFormat="1" ht="15">
      <c r="A144" s="539"/>
      <c r="B144" s="539"/>
      <c r="C144" s="539"/>
      <c r="D144" s="539"/>
      <c r="E144" s="539"/>
      <c r="F144" s="539"/>
      <c r="G144" s="539"/>
      <c r="H144" s="539"/>
      <c r="I144" s="539"/>
      <c r="J144" s="539"/>
      <c r="K144" s="539"/>
      <c r="L144" s="539"/>
      <c r="M144" s="539"/>
      <c r="N144" s="539"/>
      <c r="O144" s="539"/>
      <c r="P144" s="539"/>
      <c r="Q144" s="539"/>
      <c r="R144" s="539"/>
      <c r="S144" s="557"/>
      <c r="T144" s="557"/>
      <c r="U144" s="557"/>
      <c r="V144" s="557"/>
      <c r="W144" s="539"/>
      <c r="X144" s="539"/>
      <c r="Y144" s="557"/>
      <c r="Z144" s="557"/>
      <c r="AA144" s="539"/>
      <c r="AB144" s="539"/>
      <c r="AC144" s="539"/>
      <c r="AD144" s="557"/>
      <c r="AE144" s="557"/>
      <c r="AF144" s="557"/>
      <c r="AG144" s="557"/>
      <c r="AH144" s="557"/>
      <c r="AI144" s="557"/>
      <c r="AJ144" s="557"/>
      <c r="AK144" s="557"/>
      <c r="AL144" s="557"/>
      <c r="AM144" s="557"/>
      <c r="AN144" s="557"/>
      <c r="AO144" s="557"/>
      <c r="AP144" s="557"/>
      <c r="AQ144" s="557"/>
      <c r="AR144" s="557"/>
      <c r="AS144" s="557"/>
      <c r="AT144" s="557"/>
      <c r="AU144" s="557"/>
      <c r="AV144" s="557"/>
      <c r="AW144" s="557"/>
      <c r="AX144" s="557"/>
      <c r="AY144" s="557"/>
      <c r="AZ144" s="557"/>
      <c r="BA144" s="557"/>
      <c r="BB144" s="557"/>
      <c r="BC144" s="557"/>
      <c r="BD144" s="555"/>
      <c r="BE144" s="592"/>
      <c r="BF144" s="592"/>
      <c r="BG144" s="592"/>
      <c r="BH144" s="592"/>
      <c r="BI144" s="592"/>
      <c r="BJ144" s="592"/>
      <c r="BK144" s="592"/>
      <c r="BL144" s="592"/>
      <c r="BM144" s="592"/>
      <c r="BN144" s="592"/>
      <c r="BO144" s="592"/>
      <c r="BP144" s="592"/>
      <c r="BQ144" s="592"/>
      <c r="BR144" s="592"/>
      <c r="BS144" s="592"/>
      <c r="BT144" s="592"/>
    </row>
    <row r="145" spans="1:72" s="591" customFormat="1" ht="15">
      <c r="A145" s="539"/>
      <c r="B145" s="539"/>
      <c r="C145" s="539"/>
      <c r="D145" s="539"/>
      <c r="E145" s="539"/>
      <c r="F145" s="539"/>
      <c r="G145" s="539"/>
      <c r="H145" s="539"/>
      <c r="I145" s="539"/>
      <c r="J145" s="539"/>
      <c r="K145" s="539"/>
      <c r="L145" s="539"/>
      <c r="M145" s="539"/>
      <c r="N145" s="539"/>
      <c r="O145" s="539"/>
      <c r="P145" s="539"/>
      <c r="Q145" s="539"/>
      <c r="R145" s="539"/>
      <c r="S145" s="557"/>
      <c r="T145" s="557"/>
      <c r="U145" s="557"/>
      <c r="V145" s="557"/>
      <c r="W145" s="539"/>
      <c r="X145" s="539"/>
      <c r="Y145" s="557"/>
      <c r="Z145" s="557"/>
      <c r="AA145" s="539"/>
      <c r="AB145" s="539"/>
      <c r="AC145" s="539"/>
      <c r="AD145" s="557"/>
      <c r="AE145" s="557"/>
      <c r="AF145" s="557"/>
      <c r="AG145" s="557"/>
      <c r="AH145" s="557"/>
      <c r="AI145" s="557"/>
      <c r="AJ145" s="557"/>
      <c r="AK145" s="557"/>
      <c r="AL145" s="557"/>
      <c r="AM145" s="557"/>
      <c r="AN145" s="557"/>
      <c r="AO145" s="557"/>
      <c r="AP145" s="557"/>
      <c r="AQ145" s="557"/>
      <c r="AR145" s="557"/>
      <c r="AS145" s="557"/>
      <c r="AT145" s="557"/>
      <c r="AU145" s="557"/>
      <c r="AV145" s="557"/>
      <c r="AW145" s="557"/>
      <c r="AX145" s="557"/>
      <c r="AY145" s="557"/>
      <c r="AZ145" s="557"/>
      <c r="BA145" s="557"/>
      <c r="BB145" s="557"/>
      <c r="BC145" s="557"/>
      <c r="BD145" s="555"/>
      <c r="BE145" s="592"/>
      <c r="BF145" s="592"/>
      <c r="BG145" s="592"/>
      <c r="BH145" s="592"/>
      <c r="BI145" s="592"/>
      <c r="BJ145" s="592"/>
      <c r="BK145" s="592"/>
      <c r="BL145" s="592"/>
      <c r="BM145" s="592"/>
      <c r="BN145" s="592"/>
      <c r="BO145" s="592"/>
      <c r="BP145" s="592"/>
      <c r="BQ145" s="592"/>
      <c r="BR145" s="592"/>
      <c r="BS145" s="592"/>
      <c r="BT145" s="592"/>
    </row>
    <row r="146" spans="1:72" s="591" customFormat="1" ht="15">
      <c r="A146" s="539"/>
      <c r="B146" s="539"/>
      <c r="C146" s="539"/>
      <c r="D146" s="539"/>
      <c r="E146" s="539"/>
      <c r="F146" s="539"/>
      <c r="G146" s="539"/>
      <c r="H146" s="539"/>
      <c r="I146" s="539"/>
      <c r="J146" s="539"/>
      <c r="K146" s="539"/>
      <c r="L146" s="539"/>
      <c r="M146" s="539"/>
      <c r="N146" s="539"/>
      <c r="O146" s="539"/>
      <c r="P146" s="539"/>
      <c r="Q146" s="539"/>
      <c r="R146" s="539"/>
      <c r="S146" s="557"/>
      <c r="T146" s="557"/>
      <c r="U146" s="557"/>
      <c r="V146" s="557"/>
      <c r="W146" s="539"/>
      <c r="X146" s="539"/>
      <c r="Y146" s="557"/>
      <c r="Z146" s="557"/>
      <c r="AA146" s="539"/>
      <c r="AB146" s="539"/>
      <c r="AC146" s="539"/>
      <c r="AD146" s="557"/>
      <c r="AE146" s="557"/>
      <c r="AF146" s="557"/>
      <c r="AG146" s="557"/>
      <c r="AH146" s="557"/>
      <c r="AI146" s="557"/>
      <c r="AJ146" s="557"/>
      <c r="AK146" s="557"/>
      <c r="AL146" s="557"/>
      <c r="AM146" s="557"/>
      <c r="AN146" s="557"/>
      <c r="AO146" s="557"/>
      <c r="AP146" s="557"/>
      <c r="AQ146" s="557"/>
      <c r="AR146" s="557"/>
      <c r="AS146" s="557"/>
      <c r="AT146" s="557"/>
      <c r="AU146" s="557"/>
      <c r="AV146" s="557"/>
      <c r="AW146" s="557"/>
      <c r="AX146" s="557"/>
      <c r="AY146" s="557"/>
      <c r="AZ146" s="557"/>
      <c r="BA146" s="557"/>
      <c r="BB146" s="557"/>
      <c r="BC146" s="557"/>
      <c r="BD146" s="555"/>
      <c r="BE146" s="592"/>
      <c r="BF146" s="592"/>
      <c r="BG146" s="592"/>
      <c r="BH146" s="592"/>
      <c r="BI146" s="592"/>
      <c r="BJ146" s="592"/>
      <c r="BK146" s="592"/>
      <c r="BL146" s="592"/>
      <c r="BM146" s="592"/>
      <c r="BN146" s="592"/>
      <c r="BO146" s="592"/>
      <c r="BP146" s="592"/>
      <c r="BQ146" s="592"/>
      <c r="BR146" s="592"/>
      <c r="BS146" s="592"/>
      <c r="BT146" s="592"/>
    </row>
    <row r="147" spans="1:72" s="591" customFormat="1" ht="15">
      <c r="A147" s="539"/>
      <c r="B147" s="539"/>
      <c r="C147" s="539"/>
      <c r="D147" s="539"/>
      <c r="E147" s="539"/>
      <c r="F147" s="539"/>
      <c r="G147" s="539"/>
      <c r="H147" s="539"/>
      <c r="I147" s="539"/>
      <c r="J147" s="539"/>
      <c r="K147" s="539"/>
      <c r="L147" s="539"/>
      <c r="M147" s="539"/>
      <c r="N147" s="539"/>
      <c r="O147" s="539"/>
      <c r="P147" s="539"/>
      <c r="Q147" s="539"/>
      <c r="R147" s="539"/>
      <c r="S147" s="557"/>
      <c r="T147" s="557"/>
      <c r="U147" s="557"/>
      <c r="V147" s="557"/>
      <c r="W147" s="539"/>
      <c r="X147" s="539"/>
      <c r="Y147" s="557"/>
      <c r="Z147" s="557"/>
      <c r="AA147" s="539"/>
      <c r="AB147" s="539"/>
      <c r="AC147" s="539"/>
      <c r="AD147" s="557"/>
      <c r="AE147" s="557"/>
      <c r="AF147" s="557"/>
      <c r="AG147" s="557"/>
      <c r="AH147" s="557"/>
      <c r="AI147" s="557"/>
      <c r="AJ147" s="557"/>
      <c r="AK147" s="557"/>
      <c r="AL147" s="557"/>
      <c r="AM147" s="557"/>
      <c r="AN147" s="557"/>
      <c r="AO147" s="557"/>
      <c r="AP147" s="557"/>
      <c r="AQ147" s="557"/>
      <c r="AR147" s="557"/>
      <c r="AS147" s="557"/>
      <c r="AT147" s="557"/>
      <c r="AU147" s="557"/>
      <c r="AV147" s="557"/>
      <c r="AW147" s="557"/>
      <c r="AX147" s="557"/>
      <c r="AY147" s="557"/>
      <c r="AZ147" s="557"/>
      <c r="BA147" s="557"/>
      <c r="BB147" s="557"/>
      <c r="BC147" s="557"/>
      <c r="BD147" s="555"/>
      <c r="BE147" s="592"/>
      <c r="BF147" s="592"/>
      <c r="BG147" s="592"/>
      <c r="BH147" s="592"/>
      <c r="BI147" s="592"/>
      <c r="BJ147" s="592"/>
      <c r="BK147" s="592"/>
      <c r="BL147" s="592"/>
      <c r="BM147" s="592"/>
      <c r="BN147" s="592"/>
      <c r="BO147" s="592"/>
      <c r="BP147" s="592"/>
      <c r="BQ147" s="592"/>
      <c r="BR147" s="592"/>
      <c r="BS147" s="592"/>
      <c r="BT147" s="592"/>
    </row>
    <row r="148" spans="1:72" s="591" customFormat="1" ht="15">
      <c r="A148" s="539"/>
      <c r="B148" s="539"/>
      <c r="C148" s="539"/>
      <c r="D148" s="539"/>
      <c r="E148" s="539"/>
      <c r="F148" s="539"/>
      <c r="G148" s="539"/>
      <c r="H148" s="539"/>
      <c r="I148" s="539"/>
      <c r="J148" s="539"/>
      <c r="K148" s="539"/>
      <c r="L148" s="539"/>
      <c r="M148" s="539"/>
      <c r="N148" s="539"/>
      <c r="O148" s="539"/>
      <c r="P148" s="539"/>
      <c r="Q148" s="539"/>
      <c r="R148" s="539"/>
      <c r="S148" s="557"/>
      <c r="T148" s="557"/>
      <c r="U148" s="557"/>
      <c r="V148" s="557"/>
      <c r="W148" s="539"/>
      <c r="X148" s="539"/>
      <c r="Y148" s="557"/>
      <c r="Z148" s="557"/>
      <c r="AA148" s="539"/>
      <c r="AB148" s="539"/>
      <c r="AC148" s="539"/>
      <c r="AD148" s="557"/>
      <c r="AE148" s="557"/>
      <c r="AF148" s="557"/>
      <c r="AG148" s="557"/>
      <c r="AH148" s="557"/>
      <c r="AI148" s="557"/>
      <c r="AJ148" s="557"/>
      <c r="AK148" s="557"/>
      <c r="AL148" s="557"/>
      <c r="AM148" s="557"/>
      <c r="AN148" s="557"/>
      <c r="AO148" s="557"/>
      <c r="AP148" s="557"/>
      <c r="AQ148" s="557"/>
      <c r="AR148" s="557"/>
      <c r="AS148" s="557"/>
      <c r="AT148" s="557"/>
      <c r="AU148" s="557"/>
      <c r="AV148" s="557"/>
      <c r="AW148" s="557"/>
      <c r="AX148" s="557"/>
      <c r="AY148" s="557"/>
      <c r="AZ148" s="557"/>
      <c r="BA148" s="557"/>
      <c r="BB148" s="557"/>
      <c r="BC148" s="557"/>
      <c r="BD148" s="555"/>
      <c r="BE148" s="592"/>
      <c r="BF148" s="592"/>
      <c r="BG148" s="592"/>
      <c r="BH148" s="592"/>
      <c r="BI148" s="592"/>
      <c r="BJ148" s="592"/>
      <c r="BK148" s="592"/>
      <c r="BL148" s="592"/>
      <c r="BM148" s="592"/>
      <c r="BN148" s="592"/>
      <c r="BO148" s="592"/>
      <c r="BP148" s="592"/>
      <c r="BQ148" s="592"/>
      <c r="BR148" s="592"/>
      <c r="BS148" s="592"/>
      <c r="BT148" s="592"/>
    </row>
    <row r="149" spans="1:72" s="591" customFormat="1" ht="15">
      <c r="A149" s="539"/>
      <c r="B149" s="539"/>
      <c r="C149" s="539"/>
      <c r="D149" s="539"/>
      <c r="E149" s="539"/>
      <c r="F149" s="539"/>
      <c r="G149" s="539"/>
      <c r="H149" s="539"/>
      <c r="I149" s="539"/>
      <c r="J149" s="539"/>
      <c r="K149" s="539"/>
      <c r="L149" s="539"/>
      <c r="M149" s="539"/>
      <c r="N149" s="539"/>
      <c r="O149" s="539"/>
      <c r="P149" s="539"/>
      <c r="Q149" s="539"/>
      <c r="R149" s="539"/>
      <c r="S149" s="557"/>
      <c r="T149" s="557"/>
      <c r="U149" s="557"/>
      <c r="V149" s="557"/>
      <c r="W149" s="539"/>
      <c r="X149" s="539"/>
      <c r="Y149" s="557"/>
      <c r="Z149" s="557"/>
      <c r="AA149" s="539"/>
      <c r="AB149" s="539"/>
      <c r="AC149" s="539"/>
      <c r="AD149" s="557"/>
      <c r="AE149" s="557"/>
      <c r="AF149" s="557"/>
      <c r="AG149" s="557"/>
      <c r="AH149" s="557"/>
      <c r="AI149" s="557"/>
      <c r="AJ149" s="557"/>
      <c r="AK149" s="557"/>
      <c r="AL149" s="557"/>
      <c r="AM149" s="557"/>
      <c r="AN149" s="557"/>
      <c r="AO149" s="557"/>
      <c r="AP149" s="557"/>
      <c r="AQ149" s="557"/>
      <c r="AR149" s="557"/>
      <c r="AS149" s="557"/>
      <c r="AT149" s="557"/>
      <c r="AU149" s="557"/>
      <c r="AV149" s="557"/>
      <c r="AW149" s="557"/>
      <c r="AX149" s="557"/>
      <c r="AY149" s="557"/>
      <c r="AZ149" s="557"/>
      <c r="BA149" s="557"/>
      <c r="BB149" s="557"/>
      <c r="BC149" s="557"/>
      <c r="BD149" s="555"/>
      <c r="BE149" s="592"/>
      <c r="BF149" s="592"/>
      <c r="BG149" s="592"/>
      <c r="BH149" s="592"/>
      <c r="BI149" s="592"/>
      <c r="BJ149" s="592"/>
      <c r="BK149" s="592"/>
      <c r="BL149" s="592"/>
      <c r="BM149" s="592"/>
      <c r="BN149" s="592"/>
      <c r="BO149" s="592"/>
      <c r="BP149" s="592"/>
      <c r="BQ149" s="592"/>
      <c r="BR149" s="592"/>
      <c r="BS149" s="592"/>
      <c r="BT149" s="592"/>
    </row>
    <row r="150" spans="1:72" s="591" customFormat="1" ht="15">
      <c r="A150" s="539"/>
      <c r="B150" s="539"/>
      <c r="C150" s="539"/>
      <c r="D150" s="539"/>
      <c r="E150" s="539"/>
      <c r="F150" s="539"/>
      <c r="G150" s="539"/>
      <c r="H150" s="539"/>
      <c r="I150" s="539"/>
      <c r="J150" s="539"/>
      <c r="K150" s="539"/>
      <c r="L150" s="539"/>
      <c r="M150" s="539"/>
      <c r="N150" s="539"/>
      <c r="O150" s="539"/>
      <c r="P150" s="539"/>
      <c r="Q150" s="539"/>
      <c r="R150" s="539"/>
      <c r="S150" s="557"/>
      <c r="T150" s="557"/>
      <c r="U150" s="557"/>
      <c r="V150" s="557"/>
      <c r="W150" s="539"/>
      <c r="X150" s="539"/>
      <c r="Y150" s="557"/>
      <c r="Z150" s="557"/>
      <c r="AA150" s="539"/>
      <c r="AB150" s="539"/>
      <c r="AC150" s="539"/>
      <c r="AD150" s="557"/>
      <c r="AE150" s="557"/>
      <c r="AF150" s="557"/>
      <c r="AG150" s="557"/>
      <c r="AH150" s="557"/>
      <c r="AI150" s="557"/>
      <c r="AJ150" s="557"/>
      <c r="AK150" s="557"/>
      <c r="AL150" s="557"/>
      <c r="AM150" s="557"/>
      <c r="AN150" s="557"/>
      <c r="AO150" s="557"/>
      <c r="AP150" s="557"/>
      <c r="AQ150" s="557"/>
      <c r="AR150" s="557"/>
      <c r="AS150" s="557"/>
      <c r="AT150" s="557"/>
      <c r="AU150" s="557"/>
      <c r="AV150" s="557"/>
      <c r="AW150" s="557"/>
      <c r="AX150" s="557"/>
      <c r="AY150" s="557"/>
      <c r="AZ150" s="557"/>
      <c r="BA150" s="557"/>
      <c r="BB150" s="557"/>
      <c r="BC150" s="557"/>
      <c r="BD150" s="555"/>
      <c r="BE150" s="592"/>
      <c r="BF150" s="592"/>
      <c r="BG150" s="592"/>
      <c r="BH150" s="592"/>
      <c r="BI150" s="592"/>
      <c r="BJ150" s="592"/>
      <c r="BK150" s="592"/>
      <c r="BL150" s="592"/>
      <c r="BM150" s="592"/>
      <c r="BN150" s="592"/>
      <c r="BO150" s="592"/>
      <c r="BP150" s="592"/>
      <c r="BQ150" s="592"/>
      <c r="BR150" s="592"/>
      <c r="BS150" s="592"/>
      <c r="BT150" s="592"/>
    </row>
    <row r="151" spans="1:72" s="591" customFormat="1" ht="15">
      <c r="A151" s="539"/>
      <c r="B151" s="539"/>
      <c r="C151" s="539"/>
      <c r="D151" s="539"/>
      <c r="E151" s="539"/>
      <c r="F151" s="539"/>
      <c r="G151" s="539"/>
      <c r="H151" s="539"/>
      <c r="I151" s="539"/>
      <c r="J151" s="539"/>
      <c r="K151" s="539"/>
      <c r="L151" s="539"/>
      <c r="M151" s="539"/>
      <c r="N151" s="539"/>
      <c r="O151" s="539"/>
      <c r="P151" s="539"/>
      <c r="Q151" s="539"/>
      <c r="R151" s="539"/>
      <c r="S151" s="557"/>
      <c r="T151" s="557"/>
      <c r="U151" s="557"/>
      <c r="V151" s="557"/>
      <c r="W151" s="539"/>
      <c r="X151" s="539"/>
      <c r="Y151" s="557"/>
      <c r="Z151" s="557"/>
      <c r="AA151" s="539"/>
      <c r="AB151" s="539"/>
      <c r="AC151" s="539"/>
      <c r="AD151" s="557"/>
      <c r="AE151" s="557"/>
      <c r="AF151" s="557"/>
      <c r="AG151" s="557"/>
      <c r="AH151" s="557"/>
      <c r="AI151" s="557"/>
      <c r="AJ151" s="557"/>
      <c r="AK151" s="557"/>
      <c r="AL151" s="557"/>
      <c r="AM151" s="557"/>
      <c r="AN151" s="557"/>
      <c r="AO151" s="557"/>
      <c r="AP151" s="557"/>
      <c r="AQ151" s="557"/>
      <c r="AR151" s="557"/>
      <c r="AS151" s="557"/>
      <c r="AT151" s="557"/>
      <c r="AU151" s="557"/>
      <c r="AV151" s="557"/>
      <c r="AW151" s="557"/>
      <c r="AX151" s="557"/>
      <c r="AY151" s="557"/>
      <c r="AZ151" s="557"/>
      <c r="BA151" s="557"/>
      <c r="BB151" s="557"/>
      <c r="BC151" s="557"/>
      <c r="BD151" s="555"/>
      <c r="BE151" s="592"/>
      <c r="BF151" s="592"/>
      <c r="BG151" s="592"/>
      <c r="BH151" s="592"/>
      <c r="BI151" s="592"/>
      <c r="BJ151" s="592"/>
      <c r="BK151" s="592"/>
      <c r="BL151" s="592"/>
      <c r="BM151" s="592"/>
      <c r="BN151" s="592"/>
      <c r="BO151" s="592"/>
      <c r="BP151" s="592"/>
      <c r="BQ151" s="592"/>
      <c r="BR151" s="592"/>
      <c r="BS151" s="592"/>
      <c r="BT151" s="592"/>
    </row>
    <row r="152" spans="1:72" s="591" customFormat="1" ht="15">
      <c r="A152" s="539"/>
      <c r="B152" s="539"/>
      <c r="C152" s="539"/>
      <c r="D152" s="539"/>
      <c r="E152" s="539"/>
      <c r="F152" s="539"/>
      <c r="G152" s="539"/>
      <c r="H152" s="539"/>
      <c r="I152" s="539"/>
      <c r="J152" s="539"/>
      <c r="K152" s="539"/>
      <c r="L152" s="539"/>
      <c r="M152" s="539"/>
      <c r="N152" s="539"/>
      <c r="O152" s="539"/>
      <c r="P152" s="539"/>
      <c r="Q152" s="539"/>
      <c r="R152" s="539"/>
      <c r="S152" s="557"/>
      <c r="T152" s="557"/>
      <c r="U152" s="557"/>
      <c r="V152" s="557"/>
      <c r="W152" s="539"/>
      <c r="X152" s="539"/>
      <c r="Y152" s="557"/>
      <c r="Z152" s="557"/>
      <c r="AA152" s="539"/>
      <c r="AB152" s="539"/>
      <c r="AC152" s="539"/>
      <c r="AD152" s="557"/>
      <c r="AE152" s="557"/>
      <c r="AF152" s="557"/>
      <c r="AG152" s="557"/>
      <c r="AH152" s="557"/>
      <c r="AI152" s="557"/>
      <c r="AJ152" s="557"/>
      <c r="AK152" s="557"/>
      <c r="AL152" s="557"/>
      <c r="AM152" s="557"/>
      <c r="AN152" s="557"/>
      <c r="AO152" s="557"/>
      <c r="AP152" s="557"/>
      <c r="AQ152" s="557"/>
      <c r="AR152" s="557"/>
      <c r="AS152" s="557"/>
      <c r="AT152" s="557"/>
      <c r="AU152" s="557"/>
      <c r="AV152" s="557"/>
      <c r="AW152" s="557"/>
      <c r="AX152" s="557"/>
      <c r="AY152" s="557"/>
      <c r="AZ152" s="557"/>
      <c r="BA152" s="557"/>
      <c r="BB152" s="557"/>
      <c r="BC152" s="557"/>
      <c r="BD152" s="555"/>
      <c r="BE152" s="592"/>
      <c r="BF152" s="592"/>
      <c r="BG152" s="592"/>
      <c r="BH152" s="592"/>
      <c r="BI152" s="592"/>
      <c r="BJ152" s="592"/>
      <c r="BK152" s="592"/>
      <c r="BL152" s="592"/>
      <c r="BM152" s="592"/>
      <c r="BN152" s="592"/>
      <c r="BO152" s="592"/>
      <c r="BP152" s="592"/>
      <c r="BQ152" s="592"/>
      <c r="BR152" s="592"/>
      <c r="BS152" s="592"/>
      <c r="BT152" s="592"/>
    </row>
    <row r="153" spans="1:72" s="591" customFormat="1" ht="15">
      <c r="A153" s="539"/>
      <c r="B153" s="539"/>
      <c r="C153" s="539"/>
      <c r="D153" s="539"/>
      <c r="E153" s="539"/>
      <c r="F153" s="539"/>
      <c r="G153" s="539"/>
      <c r="H153" s="539"/>
      <c r="I153" s="539"/>
      <c r="J153" s="539"/>
      <c r="K153" s="539"/>
      <c r="L153" s="539"/>
      <c r="M153" s="539"/>
      <c r="N153" s="539"/>
      <c r="O153" s="539"/>
      <c r="P153" s="539"/>
      <c r="Q153" s="539"/>
      <c r="R153" s="539"/>
      <c r="S153" s="557"/>
      <c r="T153" s="557"/>
      <c r="U153" s="557"/>
      <c r="V153" s="557"/>
      <c r="W153" s="539"/>
      <c r="X153" s="539"/>
      <c r="Y153" s="557"/>
      <c r="Z153" s="557"/>
      <c r="AA153" s="539"/>
      <c r="AB153" s="539"/>
      <c r="AC153" s="539"/>
      <c r="AD153" s="557"/>
      <c r="AE153" s="557"/>
      <c r="AF153" s="557"/>
      <c r="AG153" s="557"/>
      <c r="AH153" s="557"/>
      <c r="AI153" s="557"/>
      <c r="AJ153" s="557"/>
      <c r="AK153" s="557"/>
      <c r="AL153" s="557"/>
      <c r="AM153" s="557"/>
      <c r="AN153" s="557"/>
      <c r="AO153" s="557"/>
      <c r="AP153" s="557"/>
      <c r="AQ153" s="557"/>
      <c r="AR153" s="557"/>
      <c r="AS153" s="557"/>
      <c r="AT153" s="557"/>
      <c r="AU153" s="557"/>
      <c r="AV153" s="557"/>
      <c r="AW153" s="557"/>
      <c r="AX153" s="557"/>
      <c r="AY153" s="557"/>
      <c r="AZ153" s="557"/>
      <c r="BA153" s="557"/>
      <c r="BB153" s="557"/>
      <c r="BC153" s="557"/>
      <c r="BD153" s="555"/>
      <c r="BE153" s="592"/>
      <c r="BF153" s="592"/>
      <c r="BG153" s="592"/>
      <c r="BH153" s="592"/>
      <c r="BI153" s="592"/>
      <c r="BJ153" s="592"/>
      <c r="BK153" s="592"/>
      <c r="BL153" s="592"/>
      <c r="BM153" s="592"/>
      <c r="BN153" s="592"/>
      <c r="BO153" s="592"/>
      <c r="BP153" s="592"/>
      <c r="BQ153" s="592"/>
      <c r="BR153" s="592"/>
      <c r="BS153" s="592"/>
      <c r="BT153" s="592"/>
    </row>
    <row r="154" spans="1:72" s="591" customFormat="1" ht="15">
      <c r="A154" s="539"/>
      <c r="B154" s="539"/>
      <c r="C154" s="539"/>
      <c r="D154" s="539"/>
      <c r="E154" s="539"/>
      <c r="F154" s="539"/>
      <c r="G154" s="539"/>
      <c r="H154" s="539"/>
      <c r="I154" s="539"/>
      <c r="J154" s="539"/>
      <c r="K154" s="539"/>
      <c r="L154" s="539"/>
      <c r="M154" s="539"/>
      <c r="N154" s="539"/>
      <c r="O154" s="539"/>
      <c r="P154" s="539"/>
      <c r="Q154" s="539"/>
      <c r="R154" s="539"/>
      <c r="S154" s="557"/>
      <c r="T154" s="557"/>
      <c r="U154" s="557"/>
      <c r="V154" s="557"/>
      <c r="W154" s="539"/>
      <c r="X154" s="539"/>
      <c r="Y154" s="557"/>
      <c r="Z154" s="557"/>
      <c r="AA154" s="539"/>
      <c r="AB154" s="539"/>
      <c r="AC154" s="539"/>
      <c r="AD154" s="557"/>
      <c r="AE154" s="557"/>
      <c r="AF154" s="557"/>
      <c r="AG154" s="557"/>
      <c r="AH154" s="557"/>
      <c r="AI154" s="557"/>
      <c r="AJ154" s="557"/>
      <c r="AK154" s="557"/>
      <c r="AL154" s="557"/>
      <c r="AM154" s="557"/>
      <c r="AN154" s="557"/>
      <c r="AO154" s="557"/>
      <c r="AP154" s="557"/>
      <c r="AQ154" s="557"/>
      <c r="AR154" s="557"/>
      <c r="AS154" s="557"/>
      <c r="AT154" s="557"/>
      <c r="AU154" s="557"/>
      <c r="AV154" s="557"/>
      <c r="AW154" s="557"/>
      <c r="AX154" s="557"/>
      <c r="AY154" s="557"/>
      <c r="AZ154" s="557"/>
      <c r="BA154" s="557"/>
      <c r="BB154" s="557"/>
      <c r="BC154" s="557"/>
      <c r="BD154" s="555"/>
      <c r="BE154" s="592"/>
      <c r="BF154" s="592"/>
      <c r="BG154" s="592"/>
      <c r="BH154" s="592"/>
      <c r="BI154" s="592"/>
      <c r="BJ154" s="592"/>
      <c r="BK154" s="592"/>
      <c r="BL154" s="592"/>
      <c r="BM154" s="592"/>
      <c r="BN154" s="592"/>
      <c r="BO154" s="592"/>
      <c r="BP154" s="592"/>
      <c r="BQ154" s="592"/>
      <c r="BR154" s="592"/>
      <c r="BS154" s="592"/>
      <c r="BT154" s="592"/>
    </row>
    <row r="155" spans="1:72" s="591" customFormat="1" ht="15">
      <c r="A155" s="539"/>
      <c r="B155" s="539"/>
      <c r="C155" s="539"/>
      <c r="D155" s="539"/>
      <c r="E155" s="539"/>
      <c r="F155" s="539"/>
      <c r="G155" s="539"/>
      <c r="H155" s="539"/>
      <c r="I155" s="539"/>
      <c r="J155" s="539"/>
      <c r="K155" s="539"/>
      <c r="L155" s="539"/>
      <c r="M155" s="539"/>
      <c r="N155" s="539"/>
      <c r="O155" s="539"/>
      <c r="P155" s="539"/>
      <c r="Q155" s="539"/>
      <c r="R155" s="539"/>
      <c r="S155" s="557"/>
      <c r="T155" s="557"/>
      <c r="U155" s="557"/>
      <c r="V155" s="557"/>
      <c r="W155" s="539"/>
      <c r="X155" s="539"/>
      <c r="Y155" s="557"/>
      <c r="Z155" s="557"/>
      <c r="AA155" s="539"/>
      <c r="AB155" s="539"/>
      <c r="AC155" s="539"/>
      <c r="AD155" s="557"/>
      <c r="AE155" s="557"/>
      <c r="AF155" s="557"/>
      <c r="AG155" s="557"/>
      <c r="AH155" s="557"/>
      <c r="AI155" s="557"/>
      <c r="AJ155" s="557"/>
      <c r="AK155" s="557"/>
      <c r="AL155" s="557"/>
      <c r="AM155" s="557"/>
      <c r="AN155" s="557"/>
      <c r="AO155" s="557"/>
      <c r="AP155" s="557"/>
      <c r="AQ155" s="557"/>
      <c r="AR155" s="557"/>
      <c r="AS155" s="557"/>
      <c r="AT155" s="557"/>
      <c r="AU155" s="557"/>
      <c r="AV155" s="557"/>
      <c r="AW155" s="557"/>
      <c r="AX155" s="557"/>
      <c r="AY155" s="557"/>
      <c r="AZ155" s="557"/>
      <c r="BA155" s="557"/>
      <c r="BB155" s="557"/>
      <c r="BC155" s="557"/>
      <c r="BD155" s="555"/>
      <c r="BE155" s="592"/>
      <c r="BF155" s="592"/>
      <c r="BG155" s="592"/>
      <c r="BH155" s="592"/>
      <c r="BI155" s="592"/>
      <c r="BJ155" s="592"/>
      <c r="BK155" s="592"/>
      <c r="BL155" s="592"/>
      <c r="BM155" s="592"/>
      <c r="BN155" s="592"/>
      <c r="BO155" s="592"/>
      <c r="BP155" s="592"/>
      <c r="BQ155" s="592"/>
      <c r="BR155" s="592"/>
      <c r="BS155" s="592"/>
      <c r="BT155" s="592"/>
    </row>
    <row r="156" spans="1:72" s="591" customFormat="1" ht="15">
      <c r="A156" s="539"/>
      <c r="B156" s="539"/>
      <c r="C156" s="539"/>
      <c r="D156" s="539"/>
      <c r="E156" s="539"/>
      <c r="F156" s="539"/>
      <c r="G156" s="539"/>
      <c r="H156" s="539"/>
      <c r="I156" s="539"/>
      <c r="J156" s="539"/>
      <c r="K156" s="539"/>
      <c r="L156" s="539"/>
      <c r="M156" s="539"/>
      <c r="N156" s="539"/>
      <c r="O156" s="539"/>
      <c r="P156" s="539"/>
      <c r="Q156" s="539"/>
      <c r="R156" s="539"/>
      <c r="S156" s="557"/>
      <c r="T156" s="557"/>
      <c r="U156" s="557"/>
      <c r="V156" s="557"/>
      <c r="W156" s="539"/>
      <c r="X156" s="539"/>
      <c r="Y156" s="557"/>
      <c r="Z156" s="557"/>
      <c r="AA156" s="539"/>
      <c r="AB156" s="539"/>
      <c r="AC156" s="539"/>
      <c r="AD156" s="557"/>
      <c r="AE156" s="557"/>
      <c r="AF156" s="557"/>
      <c r="AG156" s="557"/>
      <c r="AH156" s="557"/>
      <c r="AI156" s="557"/>
      <c r="AJ156" s="557"/>
      <c r="AK156" s="557"/>
      <c r="AL156" s="557"/>
      <c r="AM156" s="557"/>
      <c r="AN156" s="557"/>
      <c r="AO156" s="557"/>
      <c r="AP156" s="557"/>
      <c r="AQ156" s="557"/>
      <c r="AR156" s="557"/>
      <c r="AS156" s="557"/>
      <c r="AT156" s="557"/>
      <c r="AU156" s="557"/>
      <c r="AV156" s="557"/>
      <c r="AW156" s="557"/>
      <c r="AX156" s="557"/>
      <c r="AY156" s="557"/>
      <c r="AZ156" s="557"/>
      <c r="BA156" s="557"/>
      <c r="BB156" s="557"/>
      <c r="BC156" s="557"/>
      <c r="BD156" s="555"/>
      <c r="BE156" s="592"/>
      <c r="BF156" s="592"/>
      <c r="BG156" s="592"/>
      <c r="BH156" s="592"/>
      <c r="BI156" s="592"/>
      <c r="BJ156" s="592"/>
      <c r="BK156" s="592"/>
      <c r="BL156" s="592"/>
      <c r="BM156" s="592"/>
      <c r="BN156" s="592"/>
      <c r="BO156" s="592"/>
      <c r="BP156" s="592"/>
      <c r="BQ156" s="592"/>
      <c r="BR156" s="592"/>
      <c r="BS156" s="592"/>
      <c r="BT156" s="592"/>
    </row>
    <row r="157" spans="1:72" s="591" customFormat="1" ht="15">
      <c r="A157" s="539"/>
      <c r="B157" s="539"/>
      <c r="C157" s="539"/>
      <c r="D157" s="539"/>
      <c r="E157" s="539"/>
      <c r="F157" s="539"/>
      <c r="G157" s="539"/>
      <c r="H157" s="539"/>
      <c r="I157" s="539"/>
      <c r="J157" s="539"/>
      <c r="K157" s="539"/>
      <c r="L157" s="539"/>
      <c r="M157" s="539"/>
      <c r="N157" s="539"/>
      <c r="O157" s="539"/>
      <c r="P157" s="539"/>
      <c r="Q157" s="539"/>
      <c r="R157" s="539"/>
      <c r="S157" s="557"/>
      <c r="T157" s="557"/>
      <c r="U157" s="557"/>
      <c r="V157" s="557"/>
      <c r="W157" s="539"/>
      <c r="X157" s="539"/>
      <c r="Y157" s="557"/>
      <c r="Z157" s="557"/>
      <c r="AA157" s="539"/>
      <c r="AB157" s="539"/>
      <c r="AC157" s="539"/>
      <c r="AD157" s="557"/>
      <c r="AE157" s="557"/>
      <c r="AF157" s="557"/>
      <c r="AG157" s="557"/>
      <c r="AH157" s="557"/>
      <c r="AI157" s="557"/>
      <c r="AJ157" s="557"/>
      <c r="AK157" s="557"/>
      <c r="AL157" s="557"/>
      <c r="AM157" s="557"/>
      <c r="AN157" s="557"/>
      <c r="AO157" s="557"/>
      <c r="AP157" s="557"/>
      <c r="AQ157" s="557"/>
      <c r="AR157" s="557"/>
      <c r="AS157" s="557"/>
      <c r="AT157" s="557"/>
      <c r="AU157" s="557"/>
      <c r="AV157" s="557"/>
      <c r="AW157" s="557"/>
      <c r="AX157" s="557"/>
      <c r="AY157" s="557"/>
      <c r="AZ157" s="557"/>
      <c r="BA157" s="557"/>
      <c r="BB157" s="557"/>
      <c r="BC157" s="557"/>
      <c r="BD157" s="555"/>
      <c r="BE157" s="592"/>
      <c r="BF157" s="592"/>
      <c r="BG157" s="592"/>
      <c r="BH157" s="592"/>
      <c r="BI157" s="592"/>
      <c r="BJ157" s="592"/>
      <c r="BK157" s="592"/>
      <c r="BL157" s="592"/>
      <c r="BM157" s="592"/>
      <c r="BN157" s="592"/>
      <c r="BO157" s="592"/>
      <c r="BP157" s="592"/>
      <c r="BQ157" s="592"/>
      <c r="BR157" s="592"/>
      <c r="BS157" s="592"/>
      <c r="BT157" s="592"/>
    </row>
    <row r="158" spans="1:72" s="591" customFormat="1" ht="15">
      <c r="A158" s="539"/>
      <c r="B158" s="539"/>
      <c r="C158" s="539"/>
      <c r="D158" s="539"/>
      <c r="E158" s="539"/>
      <c r="F158" s="539"/>
      <c r="G158" s="539"/>
      <c r="H158" s="539"/>
      <c r="I158" s="539"/>
      <c r="J158" s="539"/>
      <c r="K158" s="539"/>
      <c r="L158" s="539"/>
      <c r="M158" s="539"/>
      <c r="N158" s="539"/>
      <c r="O158" s="539"/>
      <c r="P158" s="539"/>
      <c r="Q158" s="539"/>
      <c r="R158" s="539"/>
      <c r="S158" s="557"/>
      <c r="T158" s="557"/>
      <c r="U158" s="557"/>
      <c r="V158" s="557"/>
      <c r="W158" s="539"/>
      <c r="X158" s="539"/>
      <c r="Y158" s="557"/>
      <c r="Z158" s="557"/>
      <c r="AA158" s="539"/>
      <c r="AB158" s="539"/>
      <c r="AC158" s="539"/>
      <c r="AD158" s="557"/>
      <c r="AE158" s="557"/>
      <c r="AF158" s="557"/>
      <c r="AG158" s="557"/>
      <c r="AH158" s="557"/>
      <c r="AI158" s="557"/>
      <c r="AJ158" s="557"/>
      <c r="AK158" s="557"/>
      <c r="AL158" s="557"/>
      <c r="AM158" s="557"/>
      <c r="AN158" s="557"/>
      <c r="AO158" s="557"/>
      <c r="AP158" s="557"/>
      <c r="AQ158" s="557"/>
      <c r="AR158" s="557"/>
      <c r="AS158" s="557"/>
      <c r="AT158" s="557"/>
      <c r="AU158" s="557"/>
      <c r="AV158" s="557"/>
      <c r="AW158" s="557"/>
      <c r="AX158" s="557"/>
      <c r="AY158" s="557"/>
      <c r="AZ158" s="557"/>
      <c r="BA158" s="557"/>
      <c r="BB158" s="557"/>
      <c r="BC158" s="557"/>
      <c r="BD158" s="555"/>
      <c r="BE158" s="592"/>
      <c r="BF158" s="592"/>
      <c r="BG158" s="592"/>
      <c r="BH158" s="592"/>
      <c r="BI158" s="592"/>
      <c r="BJ158" s="592"/>
      <c r="BK158" s="592"/>
      <c r="BL158" s="592"/>
      <c r="BM158" s="592"/>
      <c r="BN158" s="592"/>
      <c r="BO158" s="592"/>
      <c r="BP158" s="592"/>
      <c r="BQ158" s="592"/>
      <c r="BR158" s="592"/>
      <c r="BS158" s="592"/>
      <c r="BT158" s="592"/>
    </row>
    <row r="159" spans="1:72" s="591" customFormat="1" ht="15">
      <c r="A159" s="539"/>
      <c r="B159" s="539"/>
      <c r="C159" s="539"/>
      <c r="D159" s="539"/>
      <c r="E159" s="539"/>
      <c r="F159" s="539"/>
      <c r="G159" s="539"/>
      <c r="H159" s="539"/>
      <c r="I159" s="539"/>
      <c r="J159" s="539"/>
      <c r="K159" s="539"/>
      <c r="L159" s="539"/>
      <c r="M159" s="539"/>
      <c r="N159" s="539"/>
      <c r="O159" s="539"/>
      <c r="P159" s="539"/>
      <c r="Q159" s="539"/>
      <c r="R159" s="539"/>
      <c r="S159" s="557"/>
      <c r="T159" s="557"/>
      <c r="U159" s="557"/>
      <c r="V159" s="557"/>
      <c r="W159" s="539"/>
      <c r="X159" s="539"/>
      <c r="Y159" s="557"/>
      <c r="Z159" s="557"/>
      <c r="AA159" s="539"/>
      <c r="AB159" s="539"/>
      <c r="AC159" s="539"/>
      <c r="AD159" s="557"/>
      <c r="AE159" s="557"/>
      <c r="AF159" s="557"/>
      <c r="AG159" s="557"/>
      <c r="AH159" s="557"/>
      <c r="AI159" s="557"/>
      <c r="AJ159" s="557"/>
      <c r="AK159" s="557"/>
      <c r="AL159" s="557"/>
      <c r="AM159" s="557"/>
      <c r="AN159" s="557"/>
      <c r="AO159" s="557"/>
      <c r="AP159" s="557"/>
      <c r="AQ159" s="557"/>
      <c r="AR159" s="557"/>
      <c r="AS159" s="557"/>
      <c r="AT159" s="557"/>
      <c r="AU159" s="557"/>
      <c r="AV159" s="557"/>
      <c r="AW159" s="557"/>
      <c r="AX159" s="557"/>
      <c r="AY159" s="557"/>
      <c r="AZ159" s="557"/>
      <c r="BA159" s="557"/>
      <c r="BB159" s="557"/>
      <c r="BC159" s="557"/>
      <c r="BD159" s="555"/>
      <c r="BE159" s="592"/>
      <c r="BF159" s="592"/>
      <c r="BG159" s="592"/>
      <c r="BH159" s="592"/>
      <c r="BI159" s="592"/>
      <c r="BJ159" s="592"/>
      <c r="BK159" s="592"/>
      <c r="BL159" s="592"/>
      <c r="BM159" s="592"/>
      <c r="BN159" s="592"/>
      <c r="BO159" s="592"/>
      <c r="BP159" s="592"/>
      <c r="BQ159" s="592"/>
      <c r="BR159" s="592"/>
      <c r="BS159" s="592"/>
      <c r="BT159" s="592"/>
    </row>
    <row r="160" spans="1:72" s="591" customFormat="1" ht="15">
      <c r="A160" s="539"/>
      <c r="B160" s="539"/>
      <c r="C160" s="539"/>
      <c r="D160" s="539"/>
      <c r="E160" s="539"/>
      <c r="F160" s="539"/>
      <c r="G160" s="539"/>
      <c r="H160" s="539"/>
      <c r="I160" s="539"/>
      <c r="J160" s="539"/>
      <c r="K160" s="539"/>
      <c r="L160" s="539"/>
      <c r="M160" s="539"/>
      <c r="N160" s="539"/>
      <c r="O160" s="539"/>
      <c r="P160" s="539"/>
      <c r="Q160" s="539"/>
      <c r="R160" s="539"/>
      <c r="S160" s="557"/>
      <c r="T160" s="557"/>
      <c r="U160" s="557"/>
      <c r="V160" s="557"/>
      <c r="W160" s="539"/>
      <c r="X160" s="539"/>
      <c r="Y160" s="557"/>
      <c r="Z160" s="557"/>
      <c r="AA160" s="539"/>
      <c r="AB160" s="539"/>
      <c r="AC160" s="539"/>
      <c r="AD160" s="557"/>
      <c r="AE160" s="557"/>
      <c r="AF160" s="557"/>
      <c r="AG160" s="557"/>
      <c r="AH160" s="557"/>
      <c r="AI160" s="557"/>
      <c r="AJ160" s="557"/>
      <c r="AK160" s="557"/>
      <c r="AL160" s="557"/>
      <c r="AM160" s="557"/>
      <c r="AN160" s="557"/>
      <c r="AO160" s="557"/>
      <c r="AP160" s="557"/>
      <c r="AQ160" s="557"/>
      <c r="AR160" s="557"/>
      <c r="AS160" s="557"/>
      <c r="AT160" s="557"/>
      <c r="AU160" s="557"/>
      <c r="AV160" s="557"/>
      <c r="AW160" s="557"/>
      <c r="AX160" s="557"/>
      <c r="AY160" s="557"/>
      <c r="AZ160" s="557"/>
      <c r="BA160" s="557"/>
      <c r="BB160" s="557"/>
      <c r="BC160" s="557"/>
      <c r="BD160" s="555"/>
      <c r="BE160" s="592"/>
      <c r="BF160" s="592"/>
      <c r="BG160" s="592"/>
      <c r="BH160" s="592"/>
      <c r="BI160" s="592"/>
      <c r="BJ160" s="592"/>
      <c r="BK160" s="592"/>
      <c r="BL160" s="592"/>
      <c r="BM160" s="592"/>
      <c r="BN160" s="592"/>
      <c r="BO160" s="592"/>
      <c r="BP160" s="592"/>
      <c r="BQ160" s="592"/>
      <c r="BR160" s="592"/>
      <c r="BS160" s="592"/>
      <c r="BT160" s="592"/>
    </row>
    <row r="161" spans="1:72" s="591" customFormat="1" ht="15">
      <c r="A161" s="539"/>
      <c r="B161" s="539"/>
      <c r="C161" s="539"/>
      <c r="D161" s="539"/>
      <c r="E161" s="539"/>
      <c r="F161" s="539"/>
      <c r="G161" s="539"/>
      <c r="H161" s="539"/>
      <c r="I161" s="539"/>
      <c r="J161" s="539"/>
      <c r="K161" s="539"/>
      <c r="L161" s="539"/>
      <c r="M161" s="539"/>
      <c r="N161" s="539"/>
      <c r="O161" s="539"/>
      <c r="P161" s="539"/>
      <c r="Q161" s="539"/>
      <c r="R161" s="539"/>
      <c r="S161" s="557"/>
      <c r="T161" s="557"/>
      <c r="U161" s="557"/>
      <c r="V161" s="557"/>
      <c r="W161" s="539"/>
      <c r="X161" s="539"/>
      <c r="Y161" s="557"/>
      <c r="Z161" s="557"/>
      <c r="AA161" s="539"/>
      <c r="AB161" s="539"/>
      <c r="AC161" s="539"/>
      <c r="AD161" s="557"/>
      <c r="AE161" s="557"/>
      <c r="AF161" s="557"/>
      <c r="AG161" s="557"/>
      <c r="AH161" s="557"/>
      <c r="AI161" s="557"/>
      <c r="AJ161" s="557"/>
      <c r="AK161" s="557"/>
      <c r="AL161" s="557"/>
      <c r="AM161" s="557"/>
      <c r="AN161" s="557"/>
      <c r="AO161" s="557"/>
      <c r="AP161" s="557"/>
      <c r="AQ161" s="557"/>
      <c r="AR161" s="557"/>
      <c r="AS161" s="557"/>
      <c r="AT161" s="557"/>
      <c r="AU161" s="557"/>
      <c r="AV161" s="557"/>
      <c r="AW161" s="557"/>
      <c r="AX161" s="557"/>
      <c r="AY161" s="557"/>
      <c r="AZ161" s="557"/>
      <c r="BA161" s="557"/>
      <c r="BB161" s="557"/>
      <c r="BC161" s="557"/>
      <c r="BD161" s="555"/>
      <c r="BE161" s="592"/>
      <c r="BF161" s="592"/>
      <c r="BG161" s="592"/>
      <c r="BH161" s="592"/>
      <c r="BI161" s="592"/>
      <c r="BJ161" s="592"/>
      <c r="BK161" s="592"/>
      <c r="BL161" s="592"/>
      <c r="BM161" s="592"/>
      <c r="BN161" s="592"/>
      <c r="BO161" s="592"/>
      <c r="BP161" s="592"/>
      <c r="BQ161" s="592"/>
      <c r="BR161" s="592"/>
      <c r="BS161" s="592"/>
      <c r="BT161" s="592"/>
    </row>
    <row r="162" spans="1:72" s="591" customFormat="1" ht="15">
      <c r="A162" s="539"/>
      <c r="B162" s="539"/>
      <c r="C162" s="539"/>
      <c r="D162" s="539"/>
      <c r="E162" s="539"/>
      <c r="F162" s="539"/>
      <c r="G162" s="539"/>
      <c r="H162" s="539"/>
      <c r="I162" s="539"/>
      <c r="J162" s="539"/>
      <c r="K162" s="539"/>
      <c r="L162" s="539"/>
      <c r="M162" s="539"/>
      <c r="N162" s="539"/>
      <c r="O162" s="539"/>
      <c r="P162" s="539"/>
      <c r="Q162" s="539"/>
      <c r="R162" s="539"/>
      <c r="S162" s="557"/>
      <c r="T162" s="557"/>
      <c r="U162" s="557"/>
      <c r="V162" s="557"/>
      <c r="W162" s="539"/>
      <c r="X162" s="539"/>
      <c r="Y162" s="557"/>
      <c r="Z162" s="557"/>
      <c r="AA162" s="539"/>
      <c r="AB162" s="539"/>
      <c r="AC162" s="539"/>
      <c r="AD162" s="557"/>
      <c r="AE162" s="557"/>
      <c r="AF162" s="557"/>
      <c r="AG162" s="557"/>
      <c r="AH162" s="557"/>
      <c r="AI162" s="557"/>
      <c r="AJ162" s="557"/>
      <c r="AK162" s="557"/>
      <c r="AL162" s="557"/>
      <c r="AM162" s="557"/>
      <c r="AN162" s="557"/>
      <c r="AO162" s="557"/>
      <c r="AP162" s="557"/>
      <c r="AQ162" s="557"/>
      <c r="AR162" s="557"/>
      <c r="AS162" s="557"/>
      <c r="AT162" s="557"/>
      <c r="AU162" s="557"/>
      <c r="AV162" s="557"/>
      <c r="AW162" s="557"/>
      <c r="AX162" s="557"/>
      <c r="AY162" s="557"/>
      <c r="AZ162" s="557"/>
      <c r="BA162" s="557"/>
      <c r="BB162" s="557"/>
      <c r="BC162" s="557"/>
      <c r="BD162" s="555"/>
      <c r="BE162" s="592"/>
      <c r="BF162" s="592"/>
      <c r="BG162" s="592"/>
      <c r="BH162" s="592"/>
      <c r="BI162" s="592"/>
      <c r="BJ162" s="592"/>
      <c r="BK162" s="592"/>
      <c r="BL162" s="592"/>
      <c r="BM162" s="592"/>
      <c r="BN162" s="592"/>
      <c r="BO162" s="592"/>
      <c r="BP162" s="592"/>
      <c r="BQ162" s="592"/>
      <c r="BR162" s="592"/>
      <c r="BS162" s="592"/>
      <c r="BT162" s="592"/>
    </row>
    <row r="163" spans="1:72" s="591" customFormat="1" ht="15">
      <c r="A163" s="539"/>
      <c r="B163" s="539"/>
      <c r="C163" s="539"/>
      <c r="D163" s="539"/>
      <c r="E163" s="539"/>
      <c r="F163" s="539"/>
      <c r="G163" s="539"/>
      <c r="H163" s="539"/>
      <c r="I163" s="539"/>
      <c r="J163" s="539"/>
      <c r="K163" s="539"/>
      <c r="L163" s="539"/>
      <c r="M163" s="539"/>
      <c r="N163" s="539"/>
      <c r="O163" s="539"/>
      <c r="P163" s="539"/>
      <c r="Q163" s="539"/>
      <c r="R163" s="539"/>
      <c r="S163" s="557"/>
      <c r="T163" s="557"/>
      <c r="U163" s="557"/>
      <c r="V163" s="557"/>
      <c r="W163" s="539"/>
      <c r="X163" s="539"/>
      <c r="Y163" s="557"/>
      <c r="Z163" s="557"/>
      <c r="AA163" s="539"/>
      <c r="AB163" s="539"/>
      <c r="AC163" s="539"/>
      <c r="AD163" s="557"/>
      <c r="AE163" s="557"/>
      <c r="AF163" s="557"/>
      <c r="AG163" s="557"/>
      <c r="AH163" s="557"/>
      <c r="AI163" s="557"/>
      <c r="AJ163" s="557"/>
      <c r="AK163" s="557"/>
      <c r="AL163" s="557"/>
      <c r="AM163" s="557"/>
      <c r="AN163" s="557"/>
      <c r="AO163" s="557"/>
      <c r="AP163" s="557"/>
      <c r="AQ163" s="557"/>
      <c r="AR163" s="557"/>
      <c r="AS163" s="557"/>
      <c r="AT163" s="557"/>
      <c r="AU163" s="557"/>
      <c r="AV163" s="557"/>
      <c r="AW163" s="557"/>
      <c r="AX163" s="557"/>
      <c r="AY163" s="557"/>
      <c r="AZ163" s="557"/>
      <c r="BA163" s="557"/>
      <c r="BB163" s="557"/>
      <c r="BC163" s="557"/>
      <c r="BD163" s="555"/>
      <c r="BE163" s="592"/>
      <c r="BF163" s="592"/>
      <c r="BG163" s="592"/>
      <c r="BH163" s="592"/>
      <c r="BI163" s="592"/>
      <c r="BJ163" s="592"/>
      <c r="BK163" s="592"/>
      <c r="BL163" s="592"/>
      <c r="BM163" s="592"/>
      <c r="BN163" s="592"/>
      <c r="BO163" s="592"/>
      <c r="BP163" s="592"/>
      <c r="BQ163" s="592"/>
      <c r="BR163" s="592"/>
      <c r="BS163" s="592"/>
      <c r="BT163" s="592"/>
    </row>
    <row r="164" spans="1:72" s="591" customFormat="1" ht="15">
      <c r="A164" s="539"/>
      <c r="B164" s="539"/>
      <c r="C164" s="539"/>
      <c r="D164" s="539"/>
      <c r="E164" s="539"/>
      <c r="F164" s="539"/>
      <c r="G164" s="539"/>
      <c r="H164" s="539"/>
      <c r="I164" s="539"/>
      <c r="J164" s="539"/>
      <c r="K164" s="539"/>
      <c r="L164" s="539"/>
      <c r="M164" s="539"/>
      <c r="N164" s="539"/>
      <c r="O164" s="539"/>
      <c r="P164" s="539"/>
      <c r="Q164" s="539"/>
      <c r="R164" s="539"/>
      <c r="S164" s="557"/>
      <c r="T164" s="557"/>
      <c r="U164" s="557"/>
      <c r="V164" s="557"/>
      <c r="W164" s="539"/>
      <c r="X164" s="539"/>
      <c r="Y164" s="557"/>
      <c r="Z164" s="557"/>
      <c r="AA164" s="539"/>
      <c r="AB164" s="539"/>
      <c r="AC164" s="539"/>
      <c r="AD164" s="557"/>
      <c r="AE164" s="557"/>
      <c r="AF164" s="557"/>
      <c r="AG164" s="557"/>
      <c r="AH164" s="557"/>
      <c r="AI164" s="557"/>
      <c r="AJ164" s="557"/>
      <c r="AK164" s="557"/>
      <c r="AL164" s="557"/>
      <c r="AM164" s="557"/>
      <c r="AN164" s="557"/>
      <c r="AO164" s="557"/>
      <c r="AP164" s="557"/>
      <c r="AQ164" s="557"/>
      <c r="AR164" s="557"/>
      <c r="AS164" s="557"/>
      <c r="AT164" s="557"/>
      <c r="AU164" s="557"/>
      <c r="AV164" s="557"/>
      <c r="AW164" s="557"/>
      <c r="AX164" s="557"/>
      <c r="AY164" s="557"/>
      <c r="AZ164" s="557"/>
      <c r="BA164" s="557"/>
      <c r="BB164" s="557"/>
      <c r="BC164" s="557"/>
      <c r="BD164" s="555"/>
      <c r="BE164" s="592"/>
      <c r="BF164" s="592"/>
      <c r="BG164" s="592"/>
      <c r="BH164" s="592"/>
      <c r="BI164" s="592"/>
      <c r="BJ164" s="592"/>
      <c r="BK164" s="592"/>
      <c r="BL164" s="592"/>
      <c r="BM164" s="592"/>
      <c r="BN164" s="592"/>
      <c r="BO164" s="592"/>
      <c r="BP164" s="592"/>
      <c r="BQ164" s="592"/>
      <c r="BR164" s="592"/>
      <c r="BS164" s="592"/>
      <c r="BT164" s="592"/>
    </row>
    <row r="165" spans="1:72" s="591" customFormat="1" ht="15">
      <c r="A165" s="539"/>
      <c r="B165" s="539"/>
      <c r="C165" s="539"/>
      <c r="D165" s="539"/>
      <c r="E165" s="539"/>
      <c r="F165" s="539"/>
      <c r="G165" s="539"/>
      <c r="H165" s="539"/>
      <c r="I165" s="539"/>
      <c r="J165" s="539"/>
      <c r="K165" s="539"/>
      <c r="L165" s="539"/>
      <c r="M165" s="539"/>
      <c r="N165" s="539"/>
      <c r="O165" s="539"/>
      <c r="P165" s="539"/>
      <c r="Q165" s="539"/>
      <c r="R165" s="539"/>
      <c r="S165" s="557"/>
      <c r="T165" s="557"/>
      <c r="U165" s="557"/>
      <c r="V165" s="557"/>
      <c r="W165" s="539"/>
      <c r="X165" s="539"/>
      <c r="Y165" s="557"/>
      <c r="Z165" s="557"/>
      <c r="AA165" s="539"/>
      <c r="AB165" s="539"/>
      <c r="AC165" s="539"/>
      <c r="AD165" s="557"/>
      <c r="AE165" s="557"/>
      <c r="AF165" s="557"/>
      <c r="AG165" s="557"/>
      <c r="AH165" s="557"/>
      <c r="AI165" s="557"/>
      <c r="AJ165" s="557"/>
      <c r="AK165" s="557"/>
      <c r="AL165" s="557"/>
      <c r="AM165" s="557"/>
      <c r="AN165" s="557"/>
      <c r="AO165" s="557"/>
      <c r="AP165" s="557"/>
      <c r="AQ165" s="557"/>
      <c r="AR165" s="557"/>
      <c r="AS165" s="557"/>
      <c r="AT165" s="557"/>
      <c r="AU165" s="557"/>
      <c r="AV165" s="557"/>
      <c r="AW165" s="557"/>
      <c r="AX165" s="557"/>
      <c r="AY165" s="557"/>
      <c r="AZ165" s="557"/>
      <c r="BA165" s="557"/>
      <c r="BB165" s="557"/>
      <c r="BC165" s="557"/>
      <c r="BD165" s="555"/>
      <c r="BE165" s="592"/>
      <c r="BF165" s="592"/>
      <c r="BG165" s="592"/>
      <c r="BH165" s="592"/>
      <c r="BI165" s="592"/>
      <c r="BJ165" s="592"/>
      <c r="BK165" s="592"/>
      <c r="BL165" s="592"/>
      <c r="BM165" s="592"/>
      <c r="BN165" s="592"/>
      <c r="BO165" s="592"/>
      <c r="BP165" s="592"/>
      <c r="BQ165" s="592"/>
      <c r="BR165" s="592"/>
      <c r="BS165" s="592"/>
      <c r="BT165" s="592"/>
    </row>
    <row r="166" spans="1:72" s="591" customFormat="1" ht="15">
      <c r="A166" s="539"/>
      <c r="B166" s="539"/>
      <c r="C166" s="539"/>
      <c r="D166" s="539"/>
      <c r="E166" s="539"/>
      <c r="F166" s="539"/>
      <c r="G166" s="539"/>
      <c r="H166" s="539"/>
      <c r="I166" s="539"/>
      <c r="J166" s="539"/>
      <c r="K166" s="539"/>
      <c r="L166" s="539"/>
      <c r="M166" s="539"/>
      <c r="N166" s="539"/>
      <c r="O166" s="539"/>
      <c r="P166" s="539"/>
      <c r="Q166" s="539"/>
      <c r="R166" s="539"/>
      <c r="S166" s="557"/>
      <c r="T166" s="557"/>
      <c r="U166" s="557"/>
      <c r="V166" s="557"/>
      <c r="W166" s="539"/>
      <c r="X166" s="539"/>
      <c r="Y166" s="557"/>
      <c r="Z166" s="557"/>
      <c r="AA166" s="539"/>
      <c r="AB166" s="539"/>
      <c r="AC166" s="539"/>
      <c r="AD166" s="557"/>
      <c r="AE166" s="557"/>
      <c r="AF166" s="557"/>
      <c r="AG166" s="557"/>
      <c r="AH166" s="557"/>
      <c r="AI166" s="557"/>
      <c r="AJ166" s="557"/>
      <c r="AK166" s="557"/>
      <c r="AL166" s="557"/>
      <c r="AM166" s="557"/>
      <c r="AN166" s="557"/>
      <c r="AO166" s="557"/>
      <c r="AP166" s="557"/>
      <c r="AQ166" s="557"/>
      <c r="AR166" s="557"/>
      <c r="AS166" s="557"/>
      <c r="AT166" s="557"/>
      <c r="AU166" s="557"/>
      <c r="AV166" s="557"/>
      <c r="AW166" s="557"/>
      <c r="AX166" s="557"/>
      <c r="AY166" s="557"/>
      <c r="AZ166" s="557"/>
      <c r="BA166" s="557"/>
      <c r="BB166" s="557"/>
      <c r="BC166" s="557"/>
      <c r="BD166" s="555"/>
      <c r="BE166" s="592"/>
      <c r="BF166" s="592"/>
      <c r="BG166" s="592"/>
      <c r="BH166" s="592"/>
      <c r="BI166" s="592"/>
      <c r="BJ166" s="592"/>
      <c r="BK166" s="592"/>
      <c r="BL166" s="592"/>
      <c r="BM166" s="592"/>
      <c r="BN166" s="592"/>
      <c r="BO166" s="592"/>
      <c r="BP166" s="592"/>
      <c r="BQ166" s="592"/>
      <c r="BR166" s="592"/>
      <c r="BS166" s="592"/>
      <c r="BT166" s="592"/>
    </row>
    <row r="167" spans="1:72" s="591" customFormat="1" ht="15">
      <c r="A167" s="539"/>
      <c r="B167" s="539"/>
      <c r="C167" s="539"/>
      <c r="D167" s="539"/>
      <c r="E167" s="539"/>
      <c r="F167" s="539"/>
      <c r="G167" s="539"/>
      <c r="H167" s="539"/>
      <c r="I167" s="539"/>
      <c r="J167" s="539"/>
      <c r="K167" s="539"/>
      <c r="L167" s="539"/>
      <c r="M167" s="539"/>
      <c r="N167" s="539"/>
      <c r="O167" s="539"/>
      <c r="P167" s="539"/>
      <c r="Q167" s="539"/>
      <c r="R167" s="539"/>
      <c r="S167" s="557"/>
      <c r="T167" s="557"/>
      <c r="U167" s="557"/>
      <c r="V167" s="557"/>
      <c r="W167" s="539"/>
      <c r="X167" s="539"/>
      <c r="Y167" s="557"/>
      <c r="Z167" s="557"/>
      <c r="AA167" s="539"/>
      <c r="AB167" s="539"/>
      <c r="AC167" s="539"/>
      <c r="AD167" s="557"/>
      <c r="AE167" s="557"/>
      <c r="AF167" s="557"/>
      <c r="AG167" s="557"/>
      <c r="AH167" s="557"/>
      <c r="AI167" s="557"/>
      <c r="AJ167" s="557"/>
      <c r="AK167" s="557"/>
      <c r="AL167" s="557"/>
      <c r="AM167" s="557"/>
      <c r="AN167" s="557"/>
      <c r="AO167" s="557"/>
      <c r="AP167" s="557"/>
      <c r="AQ167" s="557"/>
      <c r="AR167" s="557"/>
      <c r="AS167" s="557"/>
      <c r="AT167" s="557"/>
      <c r="AU167" s="557"/>
      <c r="AV167" s="557"/>
      <c r="AW167" s="557"/>
      <c r="AX167" s="557"/>
      <c r="AY167" s="557"/>
      <c r="AZ167" s="557"/>
      <c r="BA167" s="557"/>
      <c r="BB167" s="557"/>
      <c r="BC167" s="557"/>
      <c r="BD167" s="555"/>
      <c r="BE167" s="592"/>
      <c r="BF167" s="592"/>
      <c r="BG167" s="592"/>
      <c r="BH167" s="592"/>
      <c r="BI167" s="592"/>
      <c r="BJ167" s="592"/>
      <c r="BK167" s="592"/>
      <c r="BL167" s="592"/>
      <c r="BM167" s="592"/>
      <c r="BN167" s="592"/>
      <c r="BO167" s="592"/>
      <c r="BP167" s="592"/>
      <c r="BQ167" s="592"/>
      <c r="BR167" s="592"/>
      <c r="BS167" s="592"/>
      <c r="BT167" s="592"/>
    </row>
    <row r="168" spans="1:72" s="591" customFormat="1" ht="15">
      <c r="A168" s="539"/>
      <c r="B168" s="539"/>
      <c r="C168" s="539"/>
      <c r="D168" s="539"/>
      <c r="E168" s="539"/>
      <c r="F168" s="539"/>
      <c r="G168" s="539"/>
      <c r="H168" s="539"/>
      <c r="I168" s="539"/>
      <c r="J168" s="539"/>
      <c r="K168" s="539"/>
      <c r="L168" s="539"/>
      <c r="M168" s="539"/>
      <c r="N168" s="539"/>
      <c r="O168" s="539"/>
      <c r="P168" s="539"/>
      <c r="Q168" s="539"/>
      <c r="R168" s="539"/>
      <c r="S168" s="557"/>
      <c r="T168" s="557"/>
      <c r="U168" s="557"/>
      <c r="V168" s="557"/>
      <c r="W168" s="539"/>
      <c r="X168" s="539"/>
      <c r="Y168" s="557"/>
      <c r="Z168" s="557"/>
      <c r="AA168" s="539"/>
      <c r="AB168" s="539"/>
      <c r="AC168" s="539"/>
      <c r="AD168" s="557"/>
      <c r="AE168" s="557"/>
      <c r="AF168" s="557"/>
      <c r="AG168" s="557"/>
      <c r="AH168" s="557"/>
      <c r="AI168" s="557"/>
      <c r="AJ168" s="557"/>
      <c r="AK168" s="557"/>
      <c r="AL168" s="557"/>
      <c r="AM168" s="557"/>
      <c r="AN168" s="557"/>
      <c r="AO168" s="557"/>
      <c r="AP168" s="557"/>
      <c r="AQ168" s="557"/>
      <c r="AR168" s="557"/>
      <c r="AS168" s="557"/>
      <c r="AT168" s="557"/>
      <c r="AU168" s="557"/>
      <c r="AV168" s="557"/>
      <c r="AW168" s="557"/>
      <c r="AX168" s="557"/>
      <c r="AY168" s="557"/>
      <c r="AZ168" s="557"/>
      <c r="BA168" s="557"/>
      <c r="BB168" s="557"/>
      <c r="BC168" s="557"/>
      <c r="BD168" s="555"/>
      <c r="BE168" s="592"/>
      <c r="BF168" s="592"/>
      <c r="BG168" s="592"/>
      <c r="BH168" s="592"/>
      <c r="BI168" s="592"/>
      <c r="BJ168" s="592"/>
      <c r="BK168" s="592"/>
      <c r="BL168" s="592"/>
      <c r="BM168" s="592"/>
      <c r="BN168" s="592"/>
      <c r="BO168" s="592"/>
      <c r="BP168" s="592"/>
      <c r="BQ168" s="592"/>
      <c r="BR168" s="592"/>
      <c r="BS168" s="592"/>
      <c r="BT168" s="592"/>
    </row>
    <row r="169" spans="1:72" s="591" customFormat="1" ht="15">
      <c r="A169" s="539"/>
      <c r="B169" s="539"/>
      <c r="C169" s="539"/>
      <c r="D169" s="539"/>
      <c r="E169" s="539"/>
      <c r="F169" s="539"/>
      <c r="G169" s="539"/>
      <c r="H169" s="539"/>
      <c r="I169" s="539"/>
      <c r="J169" s="539"/>
      <c r="K169" s="539"/>
      <c r="L169" s="539"/>
      <c r="M169" s="539"/>
      <c r="N169" s="539"/>
      <c r="O169" s="539"/>
      <c r="P169" s="539"/>
      <c r="Q169" s="539"/>
      <c r="R169" s="539"/>
      <c r="S169" s="557"/>
      <c r="T169" s="557"/>
      <c r="U169" s="557"/>
      <c r="V169" s="557"/>
      <c r="W169" s="539"/>
      <c r="X169" s="539"/>
      <c r="Y169" s="557"/>
      <c r="Z169" s="557"/>
      <c r="AA169" s="539"/>
      <c r="AB169" s="539"/>
      <c r="AC169" s="539"/>
      <c r="AD169" s="557"/>
      <c r="AE169" s="557"/>
      <c r="AF169" s="557"/>
      <c r="AG169" s="557"/>
      <c r="AH169" s="557"/>
      <c r="AI169" s="557"/>
      <c r="AJ169" s="557"/>
      <c r="AK169" s="557"/>
      <c r="AL169" s="557"/>
      <c r="AM169" s="557"/>
      <c r="AN169" s="557"/>
      <c r="AO169" s="557"/>
      <c r="AP169" s="557"/>
      <c r="AQ169" s="557"/>
      <c r="AR169" s="557"/>
      <c r="AS169" s="557"/>
      <c r="AT169" s="557"/>
      <c r="AU169" s="557"/>
      <c r="AV169" s="557"/>
      <c r="AW169" s="557"/>
      <c r="AX169" s="557"/>
      <c r="AY169" s="557"/>
      <c r="AZ169" s="557"/>
      <c r="BA169" s="557"/>
      <c r="BB169" s="557"/>
      <c r="BC169" s="557"/>
      <c r="BD169" s="555"/>
      <c r="BE169" s="592"/>
      <c r="BF169" s="592"/>
      <c r="BG169" s="592"/>
      <c r="BH169" s="592"/>
      <c r="BI169" s="592"/>
      <c r="BJ169" s="592"/>
      <c r="BK169" s="592"/>
      <c r="BL169" s="592"/>
      <c r="BM169" s="592"/>
      <c r="BN169" s="592"/>
      <c r="BO169" s="592"/>
      <c r="BP169" s="592"/>
      <c r="BQ169" s="592"/>
      <c r="BR169" s="592"/>
      <c r="BS169" s="592"/>
      <c r="BT169" s="592"/>
    </row>
    <row r="170" spans="1:72" s="591" customFormat="1" ht="15">
      <c r="A170" s="539"/>
      <c r="B170" s="539"/>
      <c r="C170" s="539"/>
      <c r="D170" s="539"/>
      <c r="E170" s="539"/>
      <c r="F170" s="539"/>
      <c r="G170" s="539"/>
      <c r="H170" s="539"/>
      <c r="I170" s="539"/>
      <c r="J170" s="539"/>
      <c r="K170" s="539"/>
      <c r="L170" s="539"/>
      <c r="M170" s="539"/>
      <c r="N170" s="539"/>
      <c r="O170" s="539"/>
      <c r="P170" s="539"/>
      <c r="Q170" s="539"/>
      <c r="R170" s="539"/>
      <c r="S170" s="557"/>
      <c r="T170" s="557"/>
      <c r="U170" s="557"/>
      <c r="V170" s="557"/>
      <c r="W170" s="539"/>
      <c r="X170" s="539"/>
      <c r="Y170" s="557"/>
      <c r="Z170" s="557"/>
      <c r="AA170" s="539"/>
      <c r="AB170" s="539"/>
      <c r="AC170" s="539"/>
      <c r="AD170" s="557"/>
      <c r="AE170" s="557"/>
      <c r="AF170" s="557"/>
      <c r="AG170" s="557"/>
      <c r="AH170" s="557"/>
      <c r="AI170" s="557"/>
      <c r="AJ170" s="557"/>
      <c r="AK170" s="557"/>
      <c r="AL170" s="557"/>
      <c r="AM170" s="557"/>
      <c r="AN170" s="557"/>
      <c r="AO170" s="557"/>
      <c r="AP170" s="557"/>
      <c r="AQ170" s="557"/>
      <c r="AR170" s="557"/>
      <c r="AS170" s="557"/>
      <c r="AT170" s="557"/>
      <c r="AU170" s="557"/>
      <c r="AV170" s="557"/>
      <c r="AW170" s="557"/>
      <c r="AX170" s="557"/>
      <c r="AY170" s="557"/>
      <c r="AZ170" s="557"/>
      <c r="BA170" s="557"/>
      <c r="BB170" s="557"/>
      <c r="BC170" s="557"/>
      <c r="BD170" s="555"/>
      <c r="BE170" s="592"/>
      <c r="BF170" s="592"/>
      <c r="BG170" s="592"/>
      <c r="BH170" s="592"/>
      <c r="BI170" s="592"/>
      <c r="BJ170" s="592"/>
      <c r="BK170" s="592"/>
      <c r="BL170" s="592"/>
      <c r="BM170" s="592"/>
      <c r="BN170" s="592"/>
      <c r="BO170" s="592"/>
      <c r="BP170" s="592"/>
      <c r="BQ170" s="592"/>
      <c r="BR170" s="592"/>
      <c r="BS170" s="592"/>
      <c r="BT170" s="592"/>
    </row>
    <row r="171" spans="1:72" s="591" customFormat="1" ht="15">
      <c r="A171" s="539"/>
      <c r="B171" s="539"/>
      <c r="C171" s="539"/>
      <c r="D171" s="539"/>
      <c r="E171" s="539"/>
      <c r="F171" s="539"/>
      <c r="G171" s="539"/>
      <c r="H171" s="539"/>
      <c r="I171" s="539"/>
      <c r="J171" s="539"/>
      <c r="K171" s="539"/>
      <c r="L171" s="539"/>
      <c r="M171" s="539"/>
      <c r="N171" s="539"/>
      <c r="O171" s="539"/>
      <c r="P171" s="539"/>
      <c r="Q171" s="539"/>
      <c r="R171" s="539"/>
      <c r="S171" s="557"/>
      <c r="T171" s="557"/>
      <c r="U171" s="557"/>
      <c r="V171" s="557"/>
      <c r="W171" s="539"/>
      <c r="X171" s="539"/>
      <c r="Y171" s="557"/>
      <c r="Z171" s="557"/>
      <c r="AA171" s="539"/>
      <c r="AB171" s="539"/>
      <c r="AC171" s="539"/>
      <c r="AD171" s="557"/>
      <c r="AE171" s="557"/>
      <c r="AF171" s="557"/>
      <c r="AG171" s="557"/>
      <c r="AH171" s="557"/>
      <c r="AI171" s="557"/>
      <c r="AJ171" s="557"/>
      <c r="AK171" s="557"/>
      <c r="AL171" s="557"/>
      <c r="AM171" s="557"/>
      <c r="AN171" s="557"/>
      <c r="AO171" s="557"/>
      <c r="AP171" s="557"/>
      <c r="AQ171" s="557"/>
      <c r="AR171" s="557"/>
      <c r="AS171" s="557"/>
      <c r="AT171" s="557"/>
      <c r="AU171" s="557"/>
      <c r="AV171" s="557"/>
      <c r="AW171" s="557"/>
      <c r="AX171" s="557"/>
      <c r="AY171" s="557"/>
      <c r="AZ171" s="557"/>
      <c r="BA171" s="557"/>
      <c r="BB171" s="557"/>
      <c r="BC171" s="557"/>
      <c r="BD171" s="555"/>
      <c r="BE171" s="592"/>
      <c r="BF171" s="592"/>
      <c r="BG171" s="592"/>
      <c r="BH171" s="592"/>
      <c r="BI171" s="592"/>
      <c r="BJ171" s="592"/>
      <c r="BK171" s="592"/>
      <c r="BL171" s="592"/>
      <c r="BM171" s="592"/>
      <c r="BN171" s="592"/>
      <c r="BO171" s="592"/>
      <c r="BP171" s="592"/>
      <c r="BQ171" s="592"/>
      <c r="BR171" s="592"/>
      <c r="BS171" s="592"/>
      <c r="BT171" s="592"/>
    </row>
    <row r="172" spans="1:72" s="591" customFormat="1" ht="15">
      <c r="A172" s="539"/>
      <c r="B172" s="539"/>
      <c r="C172" s="539"/>
      <c r="D172" s="539"/>
      <c r="E172" s="539"/>
      <c r="F172" s="539"/>
      <c r="G172" s="539"/>
      <c r="H172" s="539"/>
      <c r="I172" s="539"/>
      <c r="J172" s="539"/>
      <c r="K172" s="539"/>
      <c r="L172" s="539"/>
      <c r="M172" s="539"/>
      <c r="N172" s="539"/>
      <c r="O172" s="539"/>
      <c r="P172" s="539"/>
      <c r="Q172" s="539"/>
      <c r="R172" s="539"/>
      <c r="S172" s="557"/>
      <c r="T172" s="557"/>
      <c r="U172" s="557"/>
      <c r="V172" s="557"/>
      <c r="W172" s="539"/>
      <c r="X172" s="539"/>
      <c r="Y172" s="557"/>
      <c r="Z172" s="557"/>
      <c r="AA172" s="539"/>
      <c r="AB172" s="539"/>
      <c r="AC172" s="539"/>
      <c r="AD172" s="557"/>
      <c r="AE172" s="557"/>
      <c r="AF172" s="557"/>
      <c r="AG172" s="557"/>
      <c r="AH172" s="557"/>
      <c r="AI172" s="557"/>
      <c r="AJ172" s="557"/>
      <c r="AK172" s="557"/>
      <c r="AL172" s="557"/>
      <c r="AM172" s="557"/>
      <c r="AN172" s="557"/>
      <c r="AO172" s="557"/>
      <c r="AP172" s="557"/>
      <c r="AQ172" s="557"/>
      <c r="AR172" s="557"/>
      <c r="AS172" s="557"/>
      <c r="AT172" s="557"/>
      <c r="AU172" s="557"/>
      <c r="AV172" s="557"/>
      <c r="AW172" s="557"/>
      <c r="AX172" s="557"/>
      <c r="AY172" s="557"/>
      <c r="AZ172" s="557"/>
      <c r="BA172" s="557"/>
      <c r="BB172" s="557"/>
      <c r="BC172" s="557"/>
      <c r="BD172" s="555"/>
      <c r="BE172" s="592"/>
      <c r="BF172" s="592"/>
      <c r="BG172" s="592"/>
      <c r="BH172" s="592"/>
      <c r="BI172" s="592"/>
      <c r="BJ172" s="592"/>
      <c r="BK172" s="592"/>
      <c r="BL172" s="592"/>
      <c r="BM172" s="592"/>
      <c r="BN172" s="592"/>
      <c r="BO172" s="592"/>
      <c r="BP172" s="592"/>
      <c r="BQ172" s="592"/>
      <c r="BR172" s="592"/>
      <c r="BS172" s="592"/>
      <c r="BT172" s="592"/>
    </row>
    <row r="173" spans="1:72" s="591" customFormat="1" ht="15">
      <c r="A173" s="539"/>
      <c r="B173" s="539"/>
      <c r="C173" s="539"/>
      <c r="D173" s="539"/>
      <c r="E173" s="539"/>
      <c r="F173" s="539"/>
      <c r="G173" s="539"/>
      <c r="H173" s="539"/>
      <c r="I173" s="539"/>
      <c r="J173" s="539"/>
      <c r="K173" s="539"/>
      <c r="L173" s="539"/>
      <c r="M173" s="539"/>
      <c r="N173" s="539"/>
      <c r="O173" s="539"/>
      <c r="P173" s="539"/>
      <c r="Q173" s="539"/>
      <c r="R173" s="539"/>
      <c r="S173" s="557"/>
      <c r="T173" s="557"/>
      <c r="U173" s="557"/>
      <c r="V173" s="557"/>
      <c r="W173" s="539"/>
      <c r="X173" s="539"/>
      <c r="Y173" s="557"/>
      <c r="Z173" s="557"/>
      <c r="AA173" s="539"/>
      <c r="AB173" s="539"/>
      <c r="AC173" s="539"/>
      <c r="AD173" s="557"/>
      <c r="AE173" s="557"/>
      <c r="AF173" s="557"/>
      <c r="AG173" s="557"/>
      <c r="AH173" s="557"/>
      <c r="AI173" s="557"/>
      <c r="AJ173" s="557"/>
      <c r="AK173" s="557"/>
      <c r="AL173" s="557"/>
      <c r="AM173" s="557"/>
      <c r="AN173" s="557"/>
      <c r="AO173" s="557"/>
      <c r="AP173" s="557"/>
      <c r="AQ173" s="557"/>
      <c r="AR173" s="557"/>
      <c r="AS173" s="557"/>
      <c r="AT173" s="557"/>
      <c r="AU173" s="557"/>
      <c r="AV173" s="557"/>
      <c r="AW173" s="557"/>
      <c r="AX173" s="557"/>
      <c r="AY173" s="557"/>
      <c r="AZ173" s="557"/>
      <c r="BA173" s="557"/>
      <c r="BB173" s="557"/>
      <c r="BC173" s="557"/>
      <c r="BD173" s="555"/>
      <c r="BE173" s="592"/>
      <c r="BF173" s="592"/>
      <c r="BG173" s="592"/>
      <c r="BH173" s="592"/>
      <c r="BI173" s="592"/>
      <c r="BJ173" s="592"/>
      <c r="BK173" s="592"/>
      <c r="BL173" s="592"/>
      <c r="BM173" s="592"/>
      <c r="BN173" s="592"/>
      <c r="BO173" s="592"/>
      <c r="BP173" s="592"/>
      <c r="BQ173" s="592"/>
      <c r="BR173" s="592"/>
      <c r="BS173" s="592"/>
      <c r="BT173" s="592"/>
    </row>
    <row r="174" spans="1:72" s="591" customFormat="1" ht="15">
      <c r="A174" s="539"/>
      <c r="B174" s="539"/>
      <c r="C174" s="539"/>
      <c r="D174" s="539"/>
      <c r="E174" s="539"/>
      <c r="F174" s="539"/>
      <c r="G174" s="539"/>
      <c r="H174" s="539"/>
      <c r="I174" s="539"/>
      <c r="J174" s="539"/>
      <c r="K174" s="539"/>
      <c r="L174" s="539"/>
      <c r="M174" s="539"/>
      <c r="N174" s="539"/>
      <c r="O174" s="539"/>
      <c r="P174" s="539"/>
      <c r="Q174" s="539"/>
      <c r="R174" s="539"/>
      <c r="S174" s="557"/>
      <c r="T174" s="557"/>
      <c r="U174" s="557"/>
      <c r="V174" s="557"/>
      <c r="W174" s="539"/>
      <c r="X174" s="539"/>
      <c r="Y174" s="557"/>
      <c r="Z174" s="557"/>
      <c r="AA174" s="539"/>
      <c r="AB174" s="539"/>
      <c r="AC174" s="539"/>
      <c r="AD174" s="557"/>
      <c r="AE174" s="557"/>
      <c r="AF174" s="557"/>
      <c r="AG174" s="557"/>
      <c r="AH174" s="557"/>
      <c r="AI174" s="557"/>
      <c r="AJ174" s="557"/>
      <c r="AK174" s="557"/>
      <c r="AL174" s="557"/>
      <c r="AM174" s="557"/>
      <c r="AN174" s="557"/>
      <c r="AO174" s="557"/>
      <c r="AP174" s="557"/>
      <c r="AQ174" s="557"/>
      <c r="AR174" s="557"/>
      <c r="AS174" s="557"/>
      <c r="AT174" s="557"/>
      <c r="AU174" s="557"/>
      <c r="AV174" s="557"/>
      <c r="AW174" s="557"/>
      <c r="AX174" s="557"/>
      <c r="AY174" s="557"/>
      <c r="AZ174" s="557"/>
      <c r="BA174" s="557"/>
      <c r="BB174" s="557"/>
      <c r="BC174" s="557"/>
      <c r="BD174" s="555"/>
      <c r="BE174" s="592"/>
      <c r="BF174" s="592"/>
      <c r="BG174" s="592"/>
      <c r="BH174" s="592"/>
      <c r="BI174" s="592"/>
      <c r="BJ174" s="592"/>
      <c r="BK174" s="592"/>
      <c r="BL174" s="592"/>
      <c r="BM174" s="592"/>
      <c r="BN174" s="592"/>
      <c r="BO174" s="592"/>
      <c r="BP174" s="592"/>
      <c r="BQ174" s="592"/>
      <c r="BR174" s="592"/>
      <c r="BS174" s="592"/>
      <c r="BT174" s="592"/>
    </row>
    <row r="175" spans="1:72" s="591" customFormat="1" ht="15">
      <c r="A175" s="539"/>
      <c r="B175" s="539"/>
      <c r="C175" s="539"/>
      <c r="D175" s="539"/>
      <c r="E175" s="539"/>
      <c r="F175" s="539"/>
      <c r="G175" s="539"/>
      <c r="H175" s="539"/>
      <c r="I175" s="539"/>
      <c r="J175" s="539"/>
      <c r="K175" s="539"/>
      <c r="L175" s="539"/>
      <c r="M175" s="539"/>
      <c r="N175" s="539"/>
      <c r="O175" s="539"/>
      <c r="P175" s="539"/>
      <c r="Q175" s="539"/>
      <c r="R175" s="539"/>
      <c r="S175" s="557"/>
      <c r="T175" s="557"/>
      <c r="U175" s="557"/>
      <c r="V175" s="557"/>
      <c r="W175" s="539"/>
      <c r="X175" s="539"/>
      <c r="Y175" s="557"/>
      <c r="Z175" s="557"/>
      <c r="AA175" s="539"/>
      <c r="AB175" s="539"/>
      <c r="AC175" s="539"/>
      <c r="AD175" s="557"/>
      <c r="AE175" s="557"/>
      <c r="AF175" s="557"/>
      <c r="AG175" s="557"/>
      <c r="AH175" s="557"/>
      <c r="AI175" s="557"/>
      <c r="AJ175" s="557"/>
      <c r="AK175" s="557"/>
      <c r="AL175" s="557"/>
      <c r="AM175" s="557"/>
      <c r="AN175" s="557"/>
      <c r="AO175" s="557"/>
      <c r="AP175" s="557"/>
      <c r="AQ175" s="557"/>
      <c r="AR175" s="557"/>
      <c r="AS175" s="557"/>
      <c r="AT175" s="557"/>
      <c r="AU175" s="557"/>
      <c r="AV175" s="557"/>
      <c r="AW175" s="557"/>
      <c r="AX175" s="557"/>
      <c r="AY175" s="557"/>
      <c r="AZ175" s="557"/>
      <c r="BA175" s="557"/>
      <c r="BB175" s="557"/>
      <c r="BC175" s="557"/>
      <c r="BD175" s="555"/>
      <c r="BE175" s="592"/>
      <c r="BF175" s="592"/>
      <c r="BG175" s="592"/>
      <c r="BH175" s="592"/>
      <c r="BI175" s="592"/>
      <c r="BJ175" s="592"/>
      <c r="BK175" s="592"/>
      <c r="BL175" s="592"/>
      <c r="BM175" s="592"/>
      <c r="BN175" s="592"/>
      <c r="BO175" s="592"/>
      <c r="BP175" s="592"/>
      <c r="BQ175" s="592"/>
      <c r="BR175" s="592"/>
      <c r="BS175" s="592"/>
      <c r="BT175" s="592"/>
    </row>
    <row r="176" spans="1:72" s="591" customFormat="1" ht="15">
      <c r="A176" s="539"/>
      <c r="B176" s="539"/>
      <c r="C176" s="539"/>
      <c r="D176" s="539"/>
      <c r="E176" s="539"/>
      <c r="F176" s="539"/>
      <c r="G176" s="539"/>
      <c r="H176" s="539"/>
      <c r="I176" s="539"/>
      <c r="J176" s="539"/>
      <c r="K176" s="539"/>
      <c r="L176" s="539"/>
      <c r="M176" s="539"/>
      <c r="N176" s="539"/>
      <c r="O176" s="539"/>
      <c r="P176" s="539"/>
      <c r="Q176" s="539"/>
      <c r="R176" s="539"/>
      <c r="S176" s="557"/>
      <c r="T176" s="557"/>
      <c r="U176" s="557"/>
      <c r="V176" s="557"/>
      <c r="W176" s="539"/>
      <c r="X176" s="539"/>
      <c r="Y176" s="557"/>
      <c r="Z176" s="557"/>
      <c r="AA176" s="539"/>
      <c r="AB176" s="539"/>
      <c r="AC176" s="539"/>
      <c r="AD176" s="557"/>
      <c r="AE176" s="557"/>
      <c r="AF176" s="557"/>
      <c r="AG176" s="557"/>
      <c r="AH176" s="557"/>
      <c r="AI176" s="557"/>
      <c r="AJ176" s="557"/>
      <c r="AK176" s="557"/>
      <c r="AL176" s="557"/>
      <c r="AM176" s="557"/>
      <c r="AN176" s="557"/>
      <c r="AO176" s="557"/>
      <c r="AP176" s="557"/>
      <c r="AQ176" s="557"/>
      <c r="AR176" s="557"/>
      <c r="AS176" s="557"/>
      <c r="AT176" s="557"/>
      <c r="AU176" s="557"/>
      <c r="AV176" s="557"/>
      <c r="AW176" s="557"/>
      <c r="AX176" s="557"/>
      <c r="AY176" s="557"/>
      <c r="AZ176" s="557"/>
      <c r="BA176" s="557"/>
      <c r="BB176" s="557"/>
      <c r="BC176" s="557"/>
      <c r="BD176" s="555"/>
      <c r="BE176" s="592"/>
      <c r="BF176" s="592"/>
      <c r="BG176" s="592"/>
      <c r="BH176" s="592"/>
      <c r="BI176" s="592"/>
      <c r="BJ176" s="592"/>
      <c r="BK176" s="592"/>
      <c r="BL176" s="592"/>
      <c r="BM176" s="592"/>
      <c r="BN176" s="592"/>
      <c r="BO176" s="592"/>
      <c r="BP176" s="592"/>
      <c r="BQ176" s="592"/>
      <c r="BR176" s="592"/>
      <c r="BS176" s="592"/>
      <c r="BT176" s="592"/>
    </row>
    <row r="177" spans="1:72" s="591" customFormat="1" ht="15">
      <c r="A177" s="539"/>
      <c r="B177" s="539"/>
      <c r="C177" s="539"/>
      <c r="D177" s="539"/>
      <c r="E177" s="539"/>
      <c r="F177" s="539"/>
      <c r="G177" s="539"/>
      <c r="H177" s="539"/>
      <c r="I177" s="539"/>
      <c r="J177" s="539"/>
      <c r="K177" s="539"/>
      <c r="L177" s="539"/>
      <c r="M177" s="539"/>
      <c r="N177" s="539"/>
      <c r="O177" s="539"/>
      <c r="P177" s="539"/>
      <c r="Q177" s="539"/>
      <c r="R177" s="539"/>
      <c r="S177" s="557"/>
      <c r="T177" s="557"/>
      <c r="U177" s="557"/>
      <c r="V177" s="557"/>
      <c r="W177" s="539"/>
      <c r="X177" s="539"/>
      <c r="Y177" s="557"/>
      <c r="Z177" s="557"/>
      <c r="AA177" s="539"/>
      <c r="AB177" s="539"/>
      <c r="AC177" s="539"/>
      <c r="AD177" s="557"/>
      <c r="AE177" s="557"/>
      <c r="AF177" s="557"/>
      <c r="AG177" s="557"/>
      <c r="AH177" s="557"/>
      <c r="AI177" s="557"/>
      <c r="AJ177" s="557"/>
      <c r="AK177" s="557"/>
      <c r="AL177" s="557"/>
      <c r="AM177" s="557"/>
      <c r="AN177" s="557"/>
      <c r="AO177" s="557"/>
      <c r="AP177" s="557"/>
      <c r="AQ177" s="557"/>
      <c r="AR177" s="557"/>
      <c r="AS177" s="557"/>
      <c r="AT177" s="557"/>
      <c r="AU177" s="557"/>
      <c r="AV177" s="557"/>
      <c r="AW177" s="557"/>
      <c r="AX177" s="557"/>
      <c r="AY177" s="557"/>
      <c r="AZ177" s="557"/>
      <c r="BA177" s="557"/>
      <c r="BB177" s="557"/>
      <c r="BC177" s="557"/>
      <c r="BD177" s="555"/>
      <c r="BE177" s="592"/>
      <c r="BF177" s="592"/>
      <c r="BG177" s="592"/>
      <c r="BH177" s="592"/>
      <c r="BI177" s="592"/>
      <c r="BJ177" s="592"/>
      <c r="BK177" s="592"/>
      <c r="BL177" s="592"/>
      <c r="BM177" s="592"/>
      <c r="BN177" s="592"/>
      <c r="BO177" s="592"/>
      <c r="BP177" s="592"/>
      <c r="BQ177" s="592"/>
      <c r="BR177" s="592"/>
      <c r="BS177" s="592"/>
      <c r="BT177" s="592"/>
    </row>
    <row r="178" spans="1:72" s="591" customFormat="1" ht="15">
      <c r="A178" s="539"/>
      <c r="B178" s="539"/>
      <c r="C178" s="539"/>
      <c r="D178" s="539"/>
      <c r="E178" s="539"/>
      <c r="F178" s="539"/>
      <c r="G178" s="539"/>
      <c r="H178" s="539"/>
      <c r="I178" s="539"/>
      <c r="J178" s="539"/>
      <c r="K178" s="539"/>
      <c r="L178" s="539"/>
      <c r="M178" s="539"/>
      <c r="N178" s="539"/>
      <c r="O178" s="539"/>
      <c r="P178" s="539"/>
      <c r="Q178" s="539"/>
      <c r="R178" s="539"/>
      <c r="S178" s="557"/>
      <c r="T178" s="557"/>
      <c r="U178" s="557"/>
      <c r="V178" s="557"/>
      <c r="W178" s="539"/>
      <c r="X178" s="539"/>
      <c r="Y178" s="557"/>
      <c r="Z178" s="557"/>
      <c r="AA178" s="539"/>
      <c r="AB178" s="539"/>
      <c r="AC178" s="539"/>
      <c r="AD178" s="557"/>
      <c r="AE178" s="557"/>
      <c r="AF178" s="557"/>
      <c r="AG178" s="557"/>
      <c r="AH178" s="557"/>
      <c r="AI178" s="557"/>
      <c r="AJ178" s="557"/>
      <c r="AK178" s="557"/>
      <c r="AL178" s="557"/>
      <c r="AM178" s="557"/>
      <c r="AN178" s="557"/>
      <c r="AO178" s="557"/>
      <c r="AP178" s="557"/>
      <c r="AQ178" s="557"/>
      <c r="AR178" s="557"/>
      <c r="AS178" s="557"/>
      <c r="AT178" s="557"/>
      <c r="AU178" s="557"/>
      <c r="AV178" s="557"/>
      <c r="AW178" s="557"/>
      <c r="AX178" s="557"/>
      <c r="AY178" s="557"/>
      <c r="AZ178" s="557"/>
      <c r="BA178" s="557"/>
      <c r="BB178" s="557"/>
      <c r="BC178" s="557"/>
      <c r="BD178" s="555"/>
      <c r="BE178" s="592"/>
      <c r="BF178" s="592"/>
      <c r="BG178" s="592"/>
      <c r="BH178" s="592"/>
      <c r="BI178" s="592"/>
      <c r="BJ178" s="592"/>
      <c r="BK178" s="592"/>
      <c r="BL178" s="592"/>
      <c r="BM178" s="592"/>
      <c r="BN178" s="592"/>
      <c r="BO178" s="592"/>
      <c r="BP178" s="592"/>
      <c r="BQ178" s="592"/>
      <c r="BR178" s="592"/>
      <c r="BS178" s="592"/>
      <c r="BT178" s="592"/>
    </row>
    <row r="179" spans="1:72" s="591" customFormat="1" ht="15">
      <c r="A179" s="539"/>
      <c r="B179" s="539"/>
      <c r="C179" s="539"/>
      <c r="D179" s="539"/>
      <c r="E179" s="539"/>
      <c r="F179" s="539"/>
      <c r="G179" s="539"/>
      <c r="H179" s="539"/>
      <c r="I179" s="539"/>
      <c r="J179" s="539"/>
      <c r="K179" s="539"/>
      <c r="L179" s="539"/>
      <c r="M179" s="539"/>
      <c r="N179" s="539"/>
      <c r="O179" s="539"/>
      <c r="P179" s="539"/>
      <c r="Q179" s="539"/>
      <c r="R179" s="539"/>
      <c r="S179" s="557"/>
      <c r="T179" s="557"/>
      <c r="U179" s="557"/>
      <c r="V179" s="557"/>
      <c r="W179" s="539"/>
      <c r="X179" s="539"/>
      <c r="Y179" s="557"/>
      <c r="Z179" s="557"/>
      <c r="AA179" s="539"/>
      <c r="AB179" s="539"/>
      <c r="AC179" s="539"/>
      <c r="AD179" s="557"/>
      <c r="AE179" s="557"/>
      <c r="AF179" s="557"/>
      <c r="AG179" s="557"/>
      <c r="AH179" s="557"/>
      <c r="AI179" s="557"/>
      <c r="AJ179" s="557"/>
      <c r="AK179" s="557"/>
      <c r="AL179" s="557"/>
      <c r="AM179" s="557"/>
      <c r="AN179" s="557"/>
      <c r="AO179" s="557"/>
      <c r="AP179" s="557"/>
      <c r="AQ179" s="557"/>
      <c r="AR179" s="557"/>
      <c r="AS179" s="557"/>
      <c r="AT179" s="557"/>
      <c r="AU179" s="557"/>
      <c r="AV179" s="557"/>
      <c r="AW179" s="557"/>
      <c r="AX179" s="557"/>
      <c r="AY179" s="557"/>
      <c r="AZ179" s="557"/>
      <c r="BA179" s="557"/>
      <c r="BB179" s="557"/>
      <c r="BC179" s="557"/>
      <c r="BD179" s="555"/>
      <c r="BE179" s="592"/>
      <c r="BF179" s="592"/>
      <c r="BG179" s="592"/>
      <c r="BH179" s="592"/>
      <c r="BI179" s="592"/>
      <c r="BJ179" s="592"/>
      <c r="BK179" s="592"/>
      <c r="BL179" s="592"/>
      <c r="BM179" s="592"/>
      <c r="BN179" s="592"/>
      <c r="BO179" s="592"/>
      <c r="BP179" s="592"/>
      <c r="BQ179" s="592"/>
      <c r="BR179" s="592"/>
      <c r="BS179" s="592"/>
      <c r="BT179" s="592"/>
    </row>
    <row r="180" spans="1:72" s="591" customFormat="1" ht="15">
      <c r="A180" s="539"/>
      <c r="B180" s="539"/>
      <c r="C180" s="539"/>
      <c r="D180" s="539"/>
      <c r="E180" s="539"/>
      <c r="F180" s="539"/>
      <c r="G180" s="539"/>
      <c r="H180" s="539"/>
      <c r="I180" s="539"/>
      <c r="J180" s="539"/>
      <c r="K180" s="539"/>
      <c r="L180" s="539"/>
      <c r="M180" s="539"/>
      <c r="N180" s="539"/>
      <c r="O180" s="539"/>
      <c r="P180" s="539"/>
      <c r="Q180" s="539"/>
      <c r="R180" s="539"/>
      <c r="S180" s="557"/>
      <c r="T180" s="557"/>
      <c r="U180" s="557"/>
      <c r="V180" s="557"/>
      <c r="W180" s="539"/>
      <c r="X180" s="539"/>
      <c r="Y180" s="557"/>
      <c r="Z180" s="557"/>
      <c r="AA180" s="539"/>
      <c r="AB180" s="539"/>
      <c r="AC180" s="539"/>
      <c r="AD180" s="557"/>
      <c r="AE180" s="557"/>
      <c r="AF180" s="557"/>
      <c r="AG180" s="557"/>
      <c r="AH180" s="557"/>
      <c r="AI180" s="557"/>
      <c r="AJ180" s="557"/>
      <c r="AK180" s="557"/>
      <c r="AL180" s="557"/>
      <c r="AM180" s="557"/>
      <c r="AN180" s="557"/>
      <c r="AO180" s="557"/>
      <c r="AP180" s="557"/>
      <c r="AQ180" s="557"/>
      <c r="AR180" s="557"/>
      <c r="AS180" s="557"/>
      <c r="AT180" s="557"/>
      <c r="AU180" s="557"/>
      <c r="AV180" s="557"/>
      <c r="AW180" s="557"/>
      <c r="AX180" s="557"/>
      <c r="AY180" s="557"/>
      <c r="AZ180" s="557"/>
      <c r="BA180" s="557"/>
      <c r="BB180" s="557"/>
      <c r="BC180" s="557"/>
      <c r="BD180" s="555"/>
      <c r="BE180" s="592"/>
      <c r="BF180" s="592"/>
      <c r="BG180" s="592"/>
      <c r="BH180" s="592"/>
      <c r="BI180" s="592"/>
      <c r="BJ180" s="592"/>
      <c r="BK180" s="592"/>
      <c r="BL180" s="592"/>
      <c r="BM180" s="592"/>
      <c r="BN180" s="592"/>
      <c r="BO180" s="592"/>
      <c r="BP180" s="592"/>
      <c r="BQ180" s="592"/>
      <c r="BR180" s="592"/>
      <c r="BS180" s="592"/>
      <c r="BT180" s="592"/>
    </row>
    <row r="181" spans="1:72" s="591" customFormat="1" ht="15">
      <c r="A181" s="539"/>
      <c r="B181" s="539"/>
      <c r="C181" s="539"/>
      <c r="D181" s="539"/>
      <c r="E181" s="539"/>
      <c r="F181" s="539"/>
      <c r="G181" s="539"/>
      <c r="H181" s="539"/>
      <c r="I181" s="539"/>
      <c r="J181" s="539"/>
      <c r="K181" s="539"/>
      <c r="L181" s="539"/>
      <c r="M181" s="539"/>
      <c r="N181" s="539"/>
      <c r="O181" s="539"/>
      <c r="P181" s="539"/>
      <c r="Q181" s="539"/>
      <c r="R181" s="539"/>
      <c r="S181" s="557"/>
      <c r="T181" s="557"/>
      <c r="U181" s="557"/>
      <c r="V181" s="557"/>
      <c r="W181" s="539"/>
      <c r="X181" s="539"/>
      <c r="Y181" s="557"/>
      <c r="Z181" s="557"/>
      <c r="AA181" s="539"/>
      <c r="AB181" s="539"/>
      <c r="AC181" s="539"/>
      <c r="AD181" s="557"/>
      <c r="AE181" s="557"/>
      <c r="AF181" s="557"/>
      <c r="AG181" s="557"/>
      <c r="AH181" s="557"/>
      <c r="AI181" s="557"/>
      <c r="AJ181" s="557"/>
      <c r="AK181" s="557"/>
      <c r="AL181" s="557"/>
      <c r="AM181" s="557"/>
      <c r="AN181" s="557"/>
      <c r="AO181" s="557"/>
      <c r="AP181" s="557"/>
      <c r="AQ181" s="557"/>
      <c r="AR181" s="557"/>
      <c r="AS181" s="557"/>
      <c r="AT181" s="557"/>
      <c r="AU181" s="557"/>
      <c r="AV181" s="557"/>
      <c r="AW181" s="557"/>
      <c r="AX181" s="557"/>
      <c r="AY181" s="557"/>
      <c r="AZ181" s="557"/>
      <c r="BA181" s="557"/>
      <c r="BB181" s="557"/>
      <c r="BC181" s="557"/>
      <c r="BD181" s="555"/>
      <c r="BE181" s="592"/>
      <c r="BF181" s="592"/>
      <c r="BG181" s="592"/>
      <c r="BH181" s="592"/>
      <c r="BI181" s="592"/>
      <c r="BJ181" s="592"/>
      <c r="BK181" s="592"/>
      <c r="BL181" s="592"/>
      <c r="BM181" s="592"/>
      <c r="BN181" s="592"/>
      <c r="BO181" s="592"/>
      <c r="BP181" s="592"/>
      <c r="BQ181" s="592"/>
      <c r="BR181" s="592"/>
      <c r="BS181" s="592"/>
      <c r="BT181" s="592"/>
    </row>
    <row r="182" spans="1:72" s="591" customFormat="1" ht="15">
      <c r="A182" s="539"/>
      <c r="B182" s="539"/>
      <c r="C182" s="539"/>
      <c r="D182" s="539"/>
      <c r="E182" s="539"/>
      <c r="F182" s="539"/>
      <c r="G182" s="539"/>
      <c r="H182" s="539"/>
      <c r="I182" s="539"/>
      <c r="J182" s="539"/>
      <c r="K182" s="539"/>
      <c r="L182" s="539"/>
      <c r="M182" s="539"/>
      <c r="N182" s="539"/>
      <c r="O182" s="539"/>
      <c r="P182" s="539"/>
      <c r="Q182" s="539"/>
      <c r="R182" s="539"/>
      <c r="S182" s="557"/>
      <c r="T182" s="557"/>
      <c r="U182" s="557"/>
      <c r="V182" s="557"/>
      <c r="W182" s="539"/>
      <c r="X182" s="539"/>
      <c r="Y182" s="557"/>
      <c r="Z182" s="557"/>
      <c r="AA182" s="539"/>
      <c r="AB182" s="539"/>
      <c r="AC182" s="539"/>
      <c r="AD182" s="557"/>
      <c r="AE182" s="557"/>
      <c r="AF182" s="557"/>
      <c r="AG182" s="557"/>
      <c r="AH182" s="557"/>
      <c r="AI182" s="557"/>
      <c r="AJ182" s="557"/>
      <c r="AK182" s="557"/>
      <c r="AL182" s="557"/>
      <c r="AM182" s="557"/>
      <c r="AN182" s="557"/>
      <c r="AO182" s="557"/>
      <c r="AP182" s="557"/>
      <c r="AQ182" s="557"/>
      <c r="AR182" s="557"/>
      <c r="AS182" s="557"/>
      <c r="AT182" s="557"/>
      <c r="AU182" s="557"/>
      <c r="AV182" s="557"/>
      <c r="AW182" s="557"/>
      <c r="AX182" s="557"/>
      <c r="AY182" s="557"/>
      <c r="AZ182" s="557"/>
      <c r="BA182" s="557"/>
      <c r="BB182" s="557"/>
      <c r="BC182" s="557"/>
      <c r="BD182" s="555"/>
      <c r="BE182" s="592"/>
      <c r="BF182" s="592"/>
      <c r="BG182" s="592"/>
      <c r="BH182" s="592"/>
      <c r="BI182" s="592"/>
      <c r="BJ182" s="592"/>
      <c r="BK182" s="592"/>
      <c r="BL182" s="592"/>
      <c r="BM182" s="592"/>
      <c r="BN182" s="592"/>
      <c r="BO182" s="592"/>
      <c r="BP182" s="592"/>
      <c r="BQ182" s="592"/>
      <c r="BR182" s="592"/>
      <c r="BS182" s="592"/>
      <c r="BT182" s="592"/>
    </row>
    <row r="183" spans="1:72" s="591" customFormat="1" ht="15">
      <c r="A183" s="539"/>
      <c r="B183" s="539"/>
      <c r="C183" s="539"/>
      <c r="D183" s="539"/>
      <c r="E183" s="539"/>
      <c r="F183" s="539"/>
      <c r="G183" s="539"/>
      <c r="H183" s="539"/>
      <c r="I183" s="539"/>
      <c r="J183" s="539"/>
      <c r="K183" s="539"/>
      <c r="L183" s="539"/>
      <c r="M183" s="539"/>
      <c r="N183" s="539"/>
      <c r="O183" s="539"/>
      <c r="P183" s="539"/>
      <c r="Q183" s="539"/>
      <c r="R183" s="539"/>
      <c r="S183" s="557"/>
      <c r="T183" s="557"/>
      <c r="U183" s="557"/>
      <c r="V183" s="557"/>
      <c r="W183" s="539"/>
      <c r="X183" s="539"/>
      <c r="Y183" s="557"/>
      <c r="Z183" s="557"/>
      <c r="AA183" s="539"/>
      <c r="AB183" s="539"/>
      <c r="AC183" s="539"/>
      <c r="AD183" s="557"/>
      <c r="AE183" s="557"/>
      <c r="AF183" s="557"/>
      <c r="AG183" s="557"/>
      <c r="AH183" s="557"/>
      <c r="AI183" s="557"/>
      <c r="AJ183" s="557"/>
      <c r="AK183" s="557"/>
      <c r="AL183" s="557"/>
      <c r="AM183" s="557"/>
      <c r="AN183" s="557"/>
      <c r="AO183" s="557"/>
      <c r="AP183" s="557"/>
      <c r="AQ183" s="557"/>
      <c r="AR183" s="557"/>
      <c r="AS183" s="557"/>
      <c r="AT183" s="557"/>
      <c r="AU183" s="557"/>
      <c r="AV183" s="557"/>
      <c r="AW183" s="557"/>
      <c r="AX183" s="557"/>
      <c r="AY183" s="557"/>
      <c r="AZ183" s="557"/>
      <c r="BA183" s="557"/>
      <c r="BB183" s="557"/>
      <c r="BC183" s="557"/>
      <c r="BD183" s="555"/>
      <c r="BE183" s="592"/>
      <c r="BF183" s="592"/>
      <c r="BG183" s="592"/>
      <c r="BH183" s="592"/>
      <c r="BI183" s="592"/>
      <c r="BJ183" s="592"/>
      <c r="BK183" s="592"/>
      <c r="BL183" s="592"/>
      <c r="BM183" s="592"/>
      <c r="BN183" s="592"/>
      <c r="BO183" s="592"/>
      <c r="BP183" s="592"/>
      <c r="BQ183" s="592"/>
      <c r="BR183" s="592"/>
      <c r="BS183" s="592"/>
      <c r="BT183" s="592"/>
    </row>
    <row r="184" spans="1:72" s="591" customFormat="1" ht="15">
      <c r="A184" s="539"/>
      <c r="B184" s="539"/>
      <c r="C184" s="539"/>
      <c r="D184" s="539"/>
      <c r="E184" s="539"/>
      <c r="F184" s="539"/>
      <c r="G184" s="539"/>
      <c r="H184" s="539"/>
      <c r="I184" s="539"/>
      <c r="J184" s="539"/>
      <c r="K184" s="539"/>
      <c r="L184" s="539"/>
      <c r="M184" s="539"/>
      <c r="N184" s="539"/>
      <c r="O184" s="539"/>
      <c r="P184" s="539"/>
      <c r="Q184" s="539"/>
      <c r="R184" s="539"/>
      <c r="S184" s="557"/>
      <c r="T184" s="557"/>
      <c r="U184" s="557"/>
      <c r="V184" s="557"/>
      <c r="W184" s="539"/>
      <c r="X184" s="539"/>
      <c r="Y184" s="557"/>
      <c r="Z184" s="557"/>
      <c r="AA184" s="539"/>
      <c r="AB184" s="539"/>
      <c r="AC184" s="539"/>
      <c r="AD184" s="557"/>
      <c r="AE184" s="557"/>
      <c r="AF184" s="557"/>
      <c r="AG184" s="557"/>
      <c r="AH184" s="557"/>
      <c r="AI184" s="557"/>
      <c r="AJ184" s="557"/>
      <c r="AK184" s="557"/>
      <c r="AL184" s="557"/>
      <c r="AM184" s="557"/>
      <c r="AN184" s="557"/>
      <c r="AO184" s="557"/>
      <c r="AP184" s="557"/>
      <c r="AQ184" s="557"/>
      <c r="AR184" s="557"/>
      <c r="AS184" s="557"/>
      <c r="AT184" s="557"/>
      <c r="AU184" s="557"/>
      <c r="AV184" s="557"/>
      <c r="AW184" s="557"/>
      <c r="AX184" s="557"/>
      <c r="AY184" s="557"/>
      <c r="AZ184" s="557"/>
      <c r="BA184" s="557"/>
      <c r="BB184" s="557"/>
      <c r="BC184" s="557"/>
      <c r="BD184" s="555"/>
      <c r="BE184" s="592"/>
      <c r="BF184" s="592"/>
      <c r="BG184" s="592"/>
      <c r="BH184" s="592"/>
      <c r="BI184" s="592"/>
      <c r="BJ184" s="592"/>
      <c r="BK184" s="592"/>
      <c r="BL184" s="592"/>
      <c r="BM184" s="592"/>
      <c r="BN184" s="592"/>
      <c r="BO184" s="592"/>
      <c r="BP184" s="592"/>
      <c r="BQ184" s="592"/>
      <c r="BR184" s="592"/>
      <c r="BS184" s="592"/>
      <c r="BT184" s="592"/>
    </row>
    <row r="185" spans="1:72" s="591" customFormat="1" ht="15">
      <c r="A185" s="539"/>
      <c r="B185" s="539"/>
      <c r="C185" s="539"/>
      <c r="D185" s="539"/>
      <c r="E185" s="539"/>
      <c r="F185" s="539"/>
      <c r="G185" s="539"/>
      <c r="H185" s="539"/>
      <c r="I185" s="539"/>
      <c r="J185" s="539"/>
      <c r="K185" s="539"/>
      <c r="L185" s="539"/>
      <c r="M185" s="539"/>
      <c r="N185" s="539"/>
      <c r="O185" s="539"/>
      <c r="P185" s="539"/>
      <c r="Q185" s="539"/>
      <c r="R185" s="539"/>
      <c r="S185" s="557"/>
      <c r="T185" s="557"/>
      <c r="U185" s="557"/>
      <c r="V185" s="557"/>
      <c r="W185" s="539"/>
      <c r="X185" s="539"/>
      <c r="Y185" s="557"/>
      <c r="Z185" s="557"/>
      <c r="AA185" s="539"/>
      <c r="AB185" s="539"/>
      <c r="AC185" s="539"/>
      <c r="AD185" s="557"/>
      <c r="AE185" s="557"/>
      <c r="AF185" s="557"/>
      <c r="AG185" s="557"/>
      <c r="AH185" s="557"/>
      <c r="AI185" s="557"/>
      <c r="AJ185" s="557"/>
      <c r="AK185" s="557"/>
      <c r="AL185" s="557"/>
      <c r="AM185" s="557"/>
      <c r="AN185" s="557"/>
      <c r="AO185" s="557"/>
      <c r="AP185" s="557"/>
      <c r="AQ185" s="557"/>
      <c r="AR185" s="557"/>
      <c r="AS185" s="557"/>
      <c r="AT185" s="557"/>
      <c r="AU185" s="557"/>
      <c r="AV185" s="557"/>
      <c r="AW185" s="557"/>
      <c r="AX185" s="557"/>
      <c r="AY185" s="557"/>
      <c r="AZ185" s="557"/>
      <c r="BA185" s="557"/>
      <c r="BB185" s="557"/>
      <c r="BC185" s="557"/>
      <c r="BD185" s="555"/>
      <c r="BE185" s="592"/>
      <c r="BF185" s="592"/>
      <c r="BG185" s="592"/>
      <c r="BH185" s="592"/>
      <c r="BI185" s="592"/>
      <c r="BJ185" s="592"/>
      <c r="BK185" s="592"/>
      <c r="BL185" s="592"/>
      <c r="BM185" s="592"/>
      <c r="BN185" s="592"/>
      <c r="BO185" s="592"/>
      <c r="BP185" s="592"/>
      <c r="BQ185" s="592"/>
      <c r="BR185" s="592"/>
      <c r="BS185" s="592"/>
      <c r="BT185" s="592"/>
    </row>
    <row r="186" spans="1:72" s="591" customFormat="1" ht="15">
      <c r="A186" s="539"/>
      <c r="B186" s="539"/>
      <c r="C186" s="539"/>
      <c r="D186" s="539"/>
      <c r="E186" s="539"/>
      <c r="F186" s="539"/>
      <c r="G186" s="539"/>
      <c r="H186" s="539"/>
      <c r="I186" s="539"/>
      <c r="J186" s="539"/>
      <c r="K186" s="539"/>
      <c r="L186" s="539"/>
      <c r="M186" s="539"/>
      <c r="N186" s="539"/>
      <c r="O186" s="539"/>
      <c r="P186" s="539"/>
      <c r="Q186" s="539"/>
      <c r="R186" s="539"/>
      <c r="S186" s="557"/>
      <c r="T186" s="557"/>
      <c r="U186" s="557"/>
      <c r="V186" s="557"/>
      <c r="W186" s="539"/>
      <c r="X186" s="539"/>
      <c r="Y186" s="557"/>
      <c r="Z186" s="557"/>
      <c r="AA186" s="539"/>
      <c r="AB186" s="539"/>
      <c r="AC186" s="539"/>
      <c r="AD186" s="557"/>
      <c r="AE186" s="557"/>
      <c r="AF186" s="557"/>
      <c r="AG186" s="557"/>
      <c r="AH186" s="557"/>
      <c r="AI186" s="557"/>
      <c r="AJ186" s="557"/>
      <c r="AK186" s="557"/>
      <c r="AL186" s="557"/>
      <c r="AM186" s="557"/>
      <c r="AN186" s="557"/>
      <c r="AO186" s="557"/>
      <c r="AP186" s="557"/>
      <c r="AQ186" s="557"/>
      <c r="AR186" s="557"/>
      <c r="AS186" s="557"/>
      <c r="AT186" s="557"/>
      <c r="AU186" s="557"/>
      <c r="AV186" s="557"/>
      <c r="AW186" s="557"/>
      <c r="AX186" s="557"/>
      <c r="AY186" s="557"/>
      <c r="AZ186" s="557"/>
      <c r="BA186" s="557"/>
      <c r="BB186" s="557"/>
      <c r="BC186" s="557"/>
      <c r="BD186" s="555"/>
      <c r="BE186" s="592"/>
      <c r="BF186" s="592"/>
      <c r="BG186" s="592"/>
      <c r="BH186" s="592"/>
      <c r="BI186" s="592"/>
      <c r="BJ186" s="592"/>
      <c r="BK186" s="592"/>
      <c r="BL186" s="592"/>
      <c r="BM186" s="592"/>
      <c r="BN186" s="592"/>
      <c r="BO186" s="592"/>
      <c r="BP186" s="592"/>
      <c r="BQ186" s="592"/>
      <c r="BR186" s="592"/>
      <c r="BS186" s="592"/>
      <c r="BT186" s="592"/>
    </row>
    <row r="187" spans="1:72" s="591" customFormat="1" ht="15">
      <c r="A187" s="539"/>
      <c r="B187" s="539"/>
      <c r="C187" s="539"/>
      <c r="D187" s="539"/>
      <c r="E187" s="539"/>
      <c r="F187" s="539"/>
      <c r="G187" s="539"/>
      <c r="H187" s="539"/>
      <c r="I187" s="539"/>
      <c r="J187" s="539"/>
      <c r="K187" s="539"/>
      <c r="L187" s="539"/>
      <c r="M187" s="539"/>
      <c r="N187" s="539"/>
      <c r="O187" s="539"/>
      <c r="P187" s="539"/>
      <c r="Q187" s="539"/>
      <c r="R187" s="539"/>
      <c r="S187" s="557"/>
      <c r="T187" s="557"/>
      <c r="U187" s="557"/>
      <c r="V187" s="557"/>
      <c r="W187" s="539"/>
      <c r="X187" s="539"/>
      <c r="Y187" s="557"/>
      <c r="Z187" s="557"/>
      <c r="AA187" s="539"/>
      <c r="AB187" s="539"/>
      <c r="AC187" s="539"/>
      <c r="AD187" s="557"/>
      <c r="AE187" s="557"/>
      <c r="AF187" s="557"/>
      <c r="AG187" s="557"/>
      <c r="AH187" s="557"/>
      <c r="AI187" s="557"/>
      <c r="AJ187" s="557"/>
      <c r="AK187" s="557"/>
      <c r="AL187" s="557"/>
      <c r="AM187" s="557"/>
      <c r="AN187" s="557"/>
      <c r="AO187" s="557"/>
      <c r="AP187" s="557"/>
      <c r="AQ187" s="557"/>
      <c r="AR187" s="557"/>
      <c r="AS187" s="557"/>
      <c r="AT187" s="557"/>
      <c r="AU187" s="557"/>
      <c r="AV187" s="557"/>
      <c r="AW187" s="557"/>
      <c r="AX187" s="557"/>
      <c r="AY187" s="557"/>
      <c r="AZ187" s="557"/>
      <c r="BA187" s="557"/>
      <c r="BB187" s="557"/>
      <c r="BC187" s="557"/>
      <c r="BD187" s="555"/>
      <c r="BE187" s="592"/>
      <c r="BF187" s="592"/>
      <c r="BG187" s="592"/>
      <c r="BH187" s="592"/>
      <c r="BI187" s="592"/>
      <c r="BJ187" s="592"/>
      <c r="BK187" s="592"/>
      <c r="BL187" s="592"/>
      <c r="BM187" s="592"/>
      <c r="BN187" s="592"/>
      <c r="BO187" s="592"/>
      <c r="BP187" s="592"/>
      <c r="BQ187" s="592"/>
      <c r="BR187" s="592"/>
      <c r="BS187" s="592"/>
      <c r="BT187" s="592"/>
    </row>
    <row r="188" spans="1:72" s="591" customFormat="1" ht="15">
      <c r="A188" s="539"/>
      <c r="B188" s="539"/>
      <c r="C188" s="539"/>
      <c r="D188" s="539"/>
      <c r="E188" s="539"/>
      <c r="F188" s="539"/>
      <c r="G188" s="539"/>
      <c r="H188" s="539"/>
      <c r="I188" s="539"/>
      <c r="J188" s="539"/>
      <c r="K188" s="539"/>
      <c r="L188" s="539"/>
      <c r="M188" s="539"/>
      <c r="N188" s="539"/>
      <c r="O188" s="539"/>
      <c r="P188" s="539"/>
      <c r="Q188" s="539"/>
      <c r="R188" s="539"/>
      <c r="S188" s="557"/>
      <c r="T188" s="557"/>
      <c r="U188" s="557"/>
      <c r="V188" s="557"/>
      <c r="W188" s="539"/>
      <c r="X188" s="539"/>
      <c r="Y188" s="557"/>
      <c r="Z188" s="557"/>
      <c r="AA188" s="539"/>
      <c r="AB188" s="539"/>
      <c r="AC188" s="539"/>
      <c r="AD188" s="557"/>
      <c r="AE188" s="557"/>
      <c r="AF188" s="557"/>
      <c r="AG188" s="557"/>
      <c r="AH188" s="557"/>
      <c r="AI188" s="557"/>
      <c r="AJ188" s="557"/>
      <c r="AK188" s="557"/>
      <c r="AL188" s="557"/>
      <c r="AM188" s="557"/>
      <c r="AN188" s="557"/>
      <c r="AO188" s="557"/>
      <c r="AP188" s="557"/>
      <c r="AQ188" s="557"/>
      <c r="AR188" s="557"/>
      <c r="AS188" s="557"/>
      <c r="AT188" s="557"/>
      <c r="AU188" s="557"/>
      <c r="AV188" s="557"/>
      <c r="AW188" s="557"/>
      <c r="AX188" s="557"/>
      <c r="AY188" s="557"/>
      <c r="AZ188" s="557"/>
      <c r="BA188" s="557"/>
      <c r="BB188" s="557"/>
      <c r="BC188" s="557"/>
      <c r="BD188" s="555"/>
      <c r="BE188" s="592"/>
      <c r="BF188" s="592"/>
      <c r="BG188" s="592"/>
      <c r="BH188" s="592"/>
      <c r="BI188" s="592"/>
      <c r="BJ188" s="592"/>
      <c r="BK188" s="592"/>
      <c r="BL188" s="592"/>
      <c r="BM188" s="592"/>
      <c r="BN188" s="592"/>
      <c r="BO188" s="592"/>
      <c r="BP188" s="592"/>
      <c r="BQ188" s="592"/>
      <c r="BR188" s="592"/>
      <c r="BS188" s="592"/>
      <c r="BT188" s="592"/>
    </row>
    <row r="189" spans="1:72" s="591" customFormat="1" ht="15">
      <c r="A189" s="539"/>
      <c r="B189" s="539"/>
      <c r="C189" s="539"/>
      <c r="D189" s="539"/>
      <c r="E189" s="539"/>
      <c r="F189" s="539"/>
      <c r="G189" s="539"/>
      <c r="H189" s="539"/>
      <c r="I189" s="539"/>
      <c r="J189" s="539"/>
      <c r="K189" s="539"/>
      <c r="L189" s="539"/>
      <c r="M189" s="539"/>
      <c r="N189" s="539"/>
      <c r="O189" s="539"/>
      <c r="P189" s="539"/>
      <c r="Q189" s="539"/>
      <c r="R189" s="539"/>
      <c r="S189" s="557"/>
      <c r="T189" s="557"/>
      <c r="U189" s="557"/>
      <c r="V189" s="557"/>
      <c r="W189" s="539"/>
      <c r="X189" s="539"/>
      <c r="Y189" s="557"/>
      <c r="Z189" s="557"/>
      <c r="AA189" s="539"/>
      <c r="AB189" s="539"/>
      <c r="AC189" s="539"/>
      <c r="AD189" s="557"/>
      <c r="AE189" s="557"/>
      <c r="AF189" s="557"/>
      <c r="AG189" s="557"/>
      <c r="AH189" s="557"/>
      <c r="AI189" s="557"/>
      <c r="AJ189" s="557"/>
      <c r="AK189" s="557"/>
      <c r="AL189" s="557"/>
      <c r="AM189" s="557"/>
      <c r="AN189" s="557"/>
      <c r="AO189" s="557"/>
      <c r="AP189" s="557"/>
      <c r="AQ189" s="557"/>
      <c r="AR189" s="557"/>
      <c r="AS189" s="557"/>
      <c r="AT189" s="557"/>
      <c r="AU189" s="557"/>
      <c r="AV189" s="557"/>
      <c r="AW189" s="557"/>
      <c r="AX189" s="557"/>
      <c r="AY189" s="557"/>
      <c r="AZ189" s="557"/>
      <c r="BA189" s="557"/>
      <c r="BB189" s="557"/>
      <c r="BC189" s="557"/>
      <c r="BD189" s="555"/>
      <c r="BE189" s="592"/>
      <c r="BF189" s="592"/>
      <c r="BG189" s="592"/>
      <c r="BH189" s="592"/>
      <c r="BI189" s="592"/>
      <c r="BJ189" s="592"/>
      <c r="BK189" s="592"/>
      <c r="BL189" s="592"/>
      <c r="BM189" s="592"/>
      <c r="BN189" s="592"/>
      <c r="BO189" s="592"/>
      <c r="BP189" s="592"/>
      <c r="BQ189" s="592"/>
      <c r="BR189" s="592"/>
      <c r="BS189" s="592"/>
      <c r="BT189" s="592"/>
    </row>
    <row r="190" spans="1:72" s="591" customFormat="1" ht="15">
      <c r="A190" s="539"/>
      <c r="B190" s="539"/>
      <c r="C190" s="539"/>
      <c r="D190" s="539"/>
      <c r="E190" s="539"/>
      <c r="F190" s="539"/>
      <c r="G190" s="539"/>
      <c r="H190" s="539"/>
      <c r="I190" s="539"/>
      <c r="J190" s="539"/>
      <c r="K190" s="539"/>
      <c r="L190" s="539"/>
      <c r="M190" s="539"/>
      <c r="N190" s="539"/>
      <c r="O190" s="539"/>
      <c r="P190" s="539"/>
      <c r="Q190" s="539"/>
      <c r="R190" s="539"/>
      <c r="S190" s="557"/>
      <c r="T190" s="557"/>
      <c r="U190" s="557"/>
      <c r="V190" s="557"/>
      <c r="W190" s="539"/>
      <c r="X190" s="539"/>
      <c r="Y190" s="557"/>
      <c r="Z190" s="557"/>
      <c r="AA190" s="539"/>
      <c r="AB190" s="539"/>
      <c r="AC190" s="539"/>
      <c r="AD190" s="557"/>
      <c r="AE190" s="557"/>
      <c r="AF190" s="557"/>
      <c r="AG190" s="557"/>
      <c r="AH190" s="557"/>
      <c r="AI190" s="557"/>
      <c r="AJ190" s="557"/>
      <c r="AK190" s="557"/>
      <c r="AL190" s="557"/>
      <c r="AM190" s="557"/>
      <c r="AN190" s="557"/>
      <c r="AO190" s="557"/>
      <c r="AP190" s="557"/>
      <c r="AQ190" s="557"/>
      <c r="AR190" s="557"/>
      <c r="AS190" s="557"/>
      <c r="AT190" s="557"/>
      <c r="AU190" s="557"/>
      <c r="AV190" s="557"/>
      <c r="AW190" s="557"/>
      <c r="AX190" s="557"/>
      <c r="AY190" s="557"/>
      <c r="AZ190" s="557"/>
      <c r="BA190" s="557"/>
      <c r="BB190" s="557"/>
      <c r="BC190" s="557"/>
      <c r="BD190" s="555"/>
      <c r="BE190" s="592"/>
      <c r="BF190" s="592"/>
      <c r="BG190" s="592"/>
      <c r="BH190" s="592"/>
      <c r="BI190" s="592"/>
      <c r="BJ190" s="592"/>
      <c r="BK190" s="592"/>
      <c r="BL190" s="592"/>
      <c r="BM190" s="592"/>
      <c r="BN190" s="592"/>
      <c r="BO190" s="592"/>
      <c r="BP190" s="592"/>
      <c r="BQ190" s="592"/>
      <c r="BR190" s="592"/>
      <c r="BS190" s="592"/>
      <c r="BT190" s="592"/>
    </row>
    <row r="191" spans="1:72" s="591" customFormat="1" ht="15">
      <c r="A191" s="539"/>
      <c r="B191" s="539"/>
      <c r="C191" s="539"/>
      <c r="D191" s="539"/>
      <c r="E191" s="539"/>
      <c r="F191" s="539"/>
      <c r="G191" s="539"/>
      <c r="H191" s="539"/>
      <c r="I191" s="539"/>
      <c r="J191" s="539"/>
      <c r="K191" s="539"/>
      <c r="L191" s="539"/>
      <c r="M191" s="539"/>
      <c r="N191" s="539"/>
      <c r="O191" s="539"/>
      <c r="P191" s="539"/>
      <c r="Q191" s="539"/>
      <c r="R191" s="539"/>
      <c r="S191" s="557"/>
      <c r="T191" s="557"/>
      <c r="U191" s="557"/>
      <c r="V191" s="557"/>
      <c r="W191" s="539"/>
      <c r="X191" s="539"/>
      <c r="Y191" s="557"/>
      <c r="Z191" s="557"/>
      <c r="AA191" s="539"/>
      <c r="AB191" s="539"/>
      <c r="AC191" s="539"/>
      <c r="AD191" s="557"/>
      <c r="AE191" s="557"/>
      <c r="AF191" s="557"/>
      <c r="AG191" s="557"/>
      <c r="AH191" s="557"/>
      <c r="AI191" s="557"/>
      <c r="AJ191" s="557"/>
      <c r="AK191" s="557"/>
      <c r="AL191" s="557"/>
      <c r="AM191" s="557"/>
      <c r="AN191" s="557"/>
      <c r="AO191" s="557"/>
      <c r="AP191" s="557"/>
      <c r="AQ191" s="557"/>
      <c r="AR191" s="557"/>
      <c r="AS191" s="557"/>
      <c r="AT191" s="557"/>
      <c r="AU191" s="557"/>
      <c r="AV191" s="557"/>
      <c r="AW191" s="557"/>
      <c r="AX191" s="557"/>
      <c r="AY191" s="557"/>
      <c r="AZ191" s="557"/>
      <c r="BA191" s="557"/>
      <c r="BB191" s="557"/>
      <c r="BC191" s="557"/>
      <c r="BD191" s="555"/>
      <c r="BE191" s="592"/>
      <c r="BF191" s="592"/>
      <c r="BG191" s="592"/>
      <c r="BH191" s="592"/>
      <c r="BI191" s="592"/>
      <c r="BJ191" s="592"/>
      <c r="BK191" s="592"/>
      <c r="BL191" s="592"/>
      <c r="BM191" s="592"/>
      <c r="BN191" s="592"/>
      <c r="BO191" s="592"/>
      <c r="BP191" s="592"/>
      <c r="BQ191" s="592"/>
      <c r="BR191" s="592"/>
      <c r="BS191" s="592"/>
      <c r="BT191" s="592"/>
    </row>
    <row r="192" spans="1:72" s="591" customFormat="1" ht="15">
      <c r="A192" s="539"/>
      <c r="B192" s="539"/>
      <c r="C192" s="539"/>
      <c r="D192" s="539"/>
      <c r="E192" s="539"/>
      <c r="F192" s="539"/>
      <c r="G192" s="539"/>
      <c r="H192" s="539"/>
      <c r="I192" s="539"/>
      <c r="J192" s="539"/>
      <c r="K192" s="539"/>
      <c r="L192" s="539"/>
      <c r="M192" s="539"/>
      <c r="N192" s="539"/>
      <c r="O192" s="539"/>
      <c r="P192" s="539"/>
      <c r="Q192" s="539"/>
      <c r="R192" s="539"/>
      <c r="S192" s="557"/>
      <c r="T192" s="557"/>
      <c r="U192" s="557"/>
      <c r="V192" s="557"/>
      <c r="W192" s="539"/>
      <c r="X192" s="539"/>
      <c r="Y192" s="557"/>
      <c r="Z192" s="557"/>
      <c r="AA192" s="539"/>
      <c r="AB192" s="539"/>
      <c r="AC192" s="539"/>
      <c r="AD192" s="557"/>
      <c r="AE192" s="557"/>
      <c r="AF192" s="557"/>
      <c r="AG192" s="557"/>
      <c r="AH192" s="557"/>
      <c r="AI192" s="557"/>
      <c r="AJ192" s="557"/>
      <c r="AK192" s="557"/>
      <c r="AL192" s="557"/>
      <c r="AM192" s="557"/>
      <c r="AN192" s="557"/>
      <c r="AO192" s="557"/>
      <c r="AP192" s="557"/>
      <c r="AQ192" s="557"/>
      <c r="AR192" s="557"/>
      <c r="AS192" s="557"/>
      <c r="AT192" s="557"/>
      <c r="AU192" s="557"/>
      <c r="AV192" s="557"/>
      <c r="AW192" s="557"/>
      <c r="AX192" s="557"/>
      <c r="AY192" s="557"/>
      <c r="AZ192" s="557"/>
      <c r="BA192" s="557"/>
      <c r="BB192" s="557"/>
      <c r="BC192" s="557"/>
      <c r="BD192" s="555"/>
      <c r="BE192" s="592"/>
      <c r="BF192" s="592"/>
      <c r="BG192" s="592"/>
      <c r="BH192" s="592"/>
      <c r="BI192" s="592"/>
      <c r="BJ192" s="592"/>
      <c r="BK192" s="592"/>
      <c r="BL192" s="592"/>
      <c r="BM192" s="592"/>
      <c r="BN192" s="592"/>
      <c r="BO192" s="592"/>
      <c r="BP192" s="592"/>
      <c r="BQ192" s="592"/>
      <c r="BR192" s="592"/>
      <c r="BS192" s="592"/>
      <c r="BT192" s="592"/>
    </row>
    <row r="193" spans="1:72" s="591" customFormat="1" ht="15">
      <c r="A193" s="539"/>
      <c r="B193" s="539"/>
      <c r="C193" s="539"/>
      <c r="D193" s="539"/>
      <c r="E193" s="539"/>
      <c r="F193" s="539"/>
      <c r="G193" s="539"/>
      <c r="H193" s="539"/>
      <c r="I193" s="539"/>
      <c r="J193" s="539"/>
      <c r="K193" s="539"/>
      <c r="L193" s="539"/>
      <c r="M193" s="539"/>
      <c r="N193" s="539"/>
      <c r="O193" s="539"/>
      <c r="P193" s="539"/>
      <c r="Q193" s="539"/>
      <c r="R193" s="539"/>
      <c r="S193" s="557"/>
      <c r="T193" s="557"/>
      <c r="U193" s="557"/>
      <c r="V193" s="557"/>
      <c r="W193" s="539"/>
      <c r="X193" s="539"/>
      <c r="Y193" s="557"/>
      <c r="Z193" s="557"/>
      <c r="AA193" s="539"/>
      <c r="AB193" s="539"/>
      <c r="AC193" s="539"/>
      <c r="AD193" s="557"/>
      <c r="AE193" s="557"/>
      <c r="AF193" s="557"/>
      <c r="AG193" s="557"/>
      <c r="AH193" s="557"/>
      <c r="AI193" s="557"/>
      <c r="AJ193" s="557"/>
      <c r="AK193" s="557"/>
      <c r="AL193" s="557"/>
      <c r="AM193" s="557"/>
      <c r="AN193" s="557"/>
      <c r="AO193" s="557"/>
      <c r="AP193" s="557"/>
      <c r="AQ193" s="557"/>
      <c r="AR193" s="557"/>
      <c r="AS193" s="557"/>
      <c r="AT193" s="557"/>
      <c r="AU193" s="557"/>
      <c r="AV193" s="557"/>
      <c r="AW193" s="557"/>
      <c r="AX193" s="557"/>
      <c r="AY193" s="557"/>
      <c r="AZ193" s="557"/>
      <c r="BA193" s="557"/>
      <c r="BB193" s="557"/>
      <c r="BC193" s="557"/>
      <c r="BD193" s="555"/>
      <c r="BE193" s="592"/>
      <c r="BF193" s="592"/>
      <c r="BG193" s="592"/>
      <c r="BH193" s="592"/>
      <c r="BI193" s="592"/>
      <c r="BJ193" s="592"/>
      <c r="BK193" s="592"/>
      <c r="BL193" s="592"/>
      <c r="BM193" s="592"/>
      <c r="BN193" s="592"/>
      <c r="BO193" s="592"/>
      <c r="BP193" s="592"/>
      <c r="BQ193" s="592"/>
      <c r="BR193" s="592"/>
      <c r="BS193" s="592"/>
      <c r="BT193" s="592"/>
    </row>
    <row r="194" spans="1:72" s="591" customFormat="1" ht="15">
      <c r="A194" s="539"/>
      <c r="B194" s="539"/>
      <c r="C194" s="539"/>
      <c r="D194" s="539"/>
      <c r="E194" s="539"/>
      <c r="F194" s="539"/>
      <c r="G194" s="539"/>
      <c r="H194" s="539"/>
      <c r="I194" s="539"/>
      <c r="J194" s="539"/>
      <c r="K194" s="539"/>
      <c r="L194" s="539"/>
      <c r="M194" s="539"/>
      <c r="N194" s="539"/>
      <c r="O194" s="539"/>
      <c r="P194" s="539"/>
      <c r="Q194" s="539"/>
      <c r="R194" s="539"/>
      <c r="S194" s="557"/>
      <c r="T194" s="557"/>
      <c r="U194" s="557"/>
      <c r="V194" s="557"/>
      <c r="W194" s="539"/>
      <c r="X194" s="539"/>
      <c r="Y194" s="557"/>
      <c r="Z194" s="557"/>
      <c r="AA194" s="539"/>
      <c r="AB194" s="539"/>
      <c r="AC194" s="539"/>
      <c r="AD194" s="557"/>
      <c r="AE194" s="557"/>
      <c r="AF194" s="557"/>
      <c r="AG194" s="557"/>
      <c r="AH194" s="557"/>
      <c r="AI194" s="557"/>
      <c r="AJ194" s="557"/>
      <c r="AK194" s="557"/>
      <c r="AL194" s="557"/>
      <c r="AM194" s="557"/>
      <c r="AN194" s="557"/>
      <c r="AO194" s="557"/>
      <c r="AP194" s="557"/>
      <c r="AQ194" s="557"/>
      <c r="AR194" s="557"/>
      <c r="AS194" s="557"/>
      <c r="AT194" s="557"/>
      <c r="AU194" s="557"/>
      <c r="AV194" s="557"/>
      <c r="AW194" s="557"/>
      <c r="AX194" s="557"/>
      <c r="AY194" s="557"/>
      <c r="AZ194" s="557"/>
      <c r="BA194" s="557"/>
      <c r="BB194" s="557"/>
      <c r="BC194" s="557"/>
      <c r="BD194" s="555"/>
      <c r="BE194" s="592"/>
      <c r="BF194" s="592"/>
      <c r="BG194" s="592"/>
      <c r="BH194" s="592"/>
      <c r="BI194" s="592"/>
      <c r="BJ194" s="592"/>
      <c r="BK194" s="592"/>
      <c r="BL194" s="592"/>
      <c r="BM194" s="592"/>
      <c r="BN194" s="592"/>
      <c r="BO194" s="592"/>
      <c r="BP194" s="592"/>
      <c r="BQ194" s="592"/>
      <c r="BR194" s="592"/>
      <c r="BS194" s="592"/>
      <c r="BT194" s="592"/>
    </row>
    <row r="195" spans="1:72" s="591" customFormat="1" ht="15">
      <c r="A195" s="539"/>
      <c r="B195" s="539"/>
      <c r="C195" s="539"/>
      <c r="D195" s="539"/>
      <c r="E195" s="539"/>
      <c r="F195" s="539"/>
      <c r="G195" s="539"/>
      <c r="H195" s="539"/>
      <c r="I195" s="539"/>
      <c r="J195" s="539"/>
      <c r="K195" s="539"/>
      <c r="L195" s="539"/>
      <c r="M195" s="539"/>
      <c r="N195" s="539"/>
      <c r="O195" s="539"/>
      <c r="P195" s="539"/>
      <c r="Q195" s="539"/>
      <c r="R195" s="539"/>
      <c r="S195" s="557"/>
      <c r="T195" s="557"/>
      <c r="U195" s="557"/>
      <c r="V195" s="557"/>
      <c r="W195" s="539"/>
      <c r="X195" s="539"/>
      <c r="Y195" s="557"/>
      <c r="Z195" s="557"/>
      <c r="AA195" s="539"/>
      <c r="AB195" s="539"/>
      <c r="AC195" s="539"/>
      <c r="AD195" s="557"/>
      <c r="AE195" s="557"/>
      <c r="AF195" s="557"/>
      <c r="AG195" s="557"/>
      <c r="AH195" s="557"/>
      <c r="AI195" s="557"/>
      <c r="AJ195" s="557"/>
      <c r="AK195" s="557"/>
      <c r="AL195" s="557"/>
      <c r="AM195" s="557"/>
      <c r="AN195" s="557"/>
      <c r="AO195" s="557"/>
      <c r="AP195" s="557"/>
      <c r="AQ195" s="557"/>
      <c r="AR195" s="557"/>
      <c r="AS195" s="557"/>
      <c r="AT195" s="557"/>
      <c r="AU195" s="557"/>
      <c r="AV195" s="557"/>
      <c r="AW195" s="557"/>
      <c r="AX195" s="557"/>
      <c r="AY195" s="557"/>
      <c r="AZ195" s="557"/>
      <c r="BA195" s="557"/>
      <c r="BB195" s="557"/>
      <c r="BC195" s="557"/>
      <c r="BD195" s="555"/>
      <c r="BE195" s="592"/>
      <c r="BF195" s="592"/>
      <c r="BG195" s="592"/>
      <c r="BH195" s="592"/>
      <c r="BI195" s="592"/>
      <c r="BJ195" s="592"/>
      <c r="BK195" s="592"/>
      <c r="BL195" s="592"/>
      <c r="BM195" s="592"/>
      <c r="BN195" s="592"/>
      <c r="BO195" s="592"/>
      <c r="BP195" s="592"/>
      <c r="BQ195" s="592"/>
      <c r="BR195" s="592"/>
      <c r="BS195" s="592"/>
      <c r="BT195" s="592"/>
    </row>
    <row r="196" spans="1:72" s="591" customFormat="1" ht="15">
      <c r="A196" s="539"/>
      <c r="B196" s="539"/>
      <c r="C196" s="539"/>
      <c r="D196" s="539"/>
      <c r="E196" s="539"/>
      <c r="F196" s="539"/>
      <c r="G196" s="539"/>
      <c r="H196" s="539"/>
      <c r="I196" s="539"/>
      <c r="J196" s="539"/>
      <c r="K196" s="539"/>
      <c r="L196" s="539"/>
      <c r="M196" s="539"/>
      <c r="N196" s="539"/>
      <c r="O196" s="539"/>
      <c r="P196" s="539"/>
      <c r="Q196" s="539"/>
      <c r="R196" s="539"/>
      <c r="S196" s="557"/>
      <c r="T196" s="557"/>
      <c r="U196" s="557"/>
      <c r="V196" s="557"/>
      <c r="W196" s="539"/>
      <c r="X196" s="539"/>
      <c r="Y196" s="557"/>
      <c r="Z196" s="557"/>
      <c r="AA196" s="539"/>
      <c r="AB196" s="539"/>
      <c r="AC196" s="539"/>
      <c r="AD196" s="557"/>
      <c r="AE196" s="557"/>
      <c r="AF196" s="557"/>
      <c r="AG196" s="557"/>
      <c r="AH196" s="557"/>
      <c r="AI196" s="557"/>
      <c r="AJ196" s="557"/>
      <c r="AK196" s="557"/>
      <c r="AL196" s="557"/>
      <c r="AM196" s="557"/>
      <c r="AN196" s="557"/>
      <c r="AO196" s="557"/>
      <c r="AP196" s="557"/>
      <c r="AQ196" s="557"/>
      <c r="AR196" s="557"/>
      <c r="AS196" s="557"/>
      <c r="AT196" s="557"/>
      <c r="AU196" s="557"/>
      <c r="AV196" s="557"/>
      <c r="AW196" s="557"/>
      <c r="AX196" s="557"/>
      <c r="AY196" s="557"/>
      <c r="AZ196" s="557"/>
      <c r="BA196" s="557"/>
      <c r="BB196" s="557"/>
      <c r="BC196" s="557"/>
      <c r="BD196" s="555"/>
      <c r="BE196" s="592"/>
      <c r="BF196" s="592"/>
      <c r="BG196" s="592"/>
      <c r="BH196" s="592"/>
      <c r="BI196" s="592"/>
      <c r="BJ196" s="592"/>
      <c r="BK196" s="592"/>
      <c r="BL196" s="592"/>
      <c r="BM196" s="592"/>
      <c r="BN196" s="592"/>
      <c r="BO196" s="592"/>
      <c r="BP196" s="592"/>
      <c r="BQ196" s="592"/>
      <c r="BR196" s="592"/>
      <c r="BS196" s="592"/>
      <c r="BT196" s="592"/>
    </row>
    <row r="197" spans="1:72" s="591" customFormat="1" ht="15">
      <c r="A197" s="539"/>
      <c r="B197" s="539"/>
      <c r="C197" s="539"/>
      <c r="D197" s="539"/>
      <c r="E197" s="539"/>
      <c r="F197" s="539"/>
      <c r="G197" s="539"/>
      <c r="H197" s="539"/>
      <c r="I197" s="539"/>
      <c r="J197" s="539"/>
      <c r="K197" s="539"/>
      <c r="L197" s="539"/>
      <c r="M197" s="539"/>
      <c r="N197" s="539"/>
      <c r="O197" s="539"/>
      <c r="P197" s="539"/>
      <c r="Q197" s="539"/>
      <c r="R197" s="539"/>
      <c r="S197" s="557"/>
      <c r="T197" s="557"/>
      <c r="U197" s="557"/>
      <c r="V197" s="557"/>
      <c r="W197" s="539"/>
      <c r="X197" s="539"/>
      <c r="Y197" s="557"/>
      <c r="Z197" s="557"/>
      <c r="AA197" s="539"/>
      <c r="AB197" s="539"/>
      <c r="AC197" s="539"/>
      <c r="AD197" s="557"/>
      <c r="AE197" s="557"/>
      <c r="AF197" s="557"/>
      <c r="AG197" s="557"/>
      <c r="AH197" s="557"/>
      <c r="AI197" s="557"/>
      <c r="AJ197" s="557"/>
      <c r="AK197" s="557"/>
      <c r="AL197" s="557"/>
      <c r="AM197" s="557"/>
      <c r="AN197" s="557"/>
      <c r="AO197" s="557"/>
      <c r="AP197" s="557"/>
      <c r="AQ197" s="557"/>
      <c r="AR197" s="557"/>
      <c r="AS197" s="557"/>
      <c r="AT197" s="557"/>
      <c r="AU197" s="557"/>
      <c r="AV197" s="557"/>
      <c r="AW197" s="557"/>
      <c r="AX197" s="557"/>
      <c r="AY197" s="557"/>
      <c r="AZ197" s="557"/>
      <c r="BA197" s="557"/>
      <c r="BB197" s="557"/>
      <c r="BC197" s="557"/>
      <c r="BD197" s="555"/>
      <c r="BE197" s="592"/>
      <c r="BF197" s="592"/>
      <c r="BG197" s="592"/>
      <c r="BH197" s="592"/>
      <c r="BI197" s="592"/>
      <c r="BJ197" s="592"/>
      <c r="BK197" s="592"/>
      <c r="BL197" s="592"/>
      <c r="BM197" s="592"/>
      <c r="BN197" s="592"/>
      <c r="BO197" s="592"/>
      <c r="BP197" s="592"/>
      <c r="BQ197" s="592"/>
      <c r="BR197" s="592"/>
      <c r="BS197" s="592"/>
      <c r="BT197" s="592"/>
    </row>
    <row r="198" spans="1:72" s="591" customFormat="1" ht="15">
      <c r="A198" s="539"/>
      <c r="B198" s="539"/>
      <c r="C198" s="539"/>
      <c r="D198" s="539"/>
      <c r="E198" s="539"/>
      <c r="F198" s="539"/>
      <c r="G198" s="539"/>
      <c r="H198" s="539"/>
      <c r="I198" s="539"/>
      <c r="J198" s="539"/>
      <c r="K198" s="539"/>
      <c r="L198" s="539"/>
      <c r="M198" s="539"/>
      <c r="N198" s="539"/>
      <c r="O198" s="539"/>
      <c r="P198" s="539"/>
      <c r="Q198" s="539"/>
      <c r="R198" s="539"/>
      <c r="S198" s="557"/>
      <c r="T198" s="557"/>
      <c r="U198" s="557"/>
      <c r="V198" s="557"/>
      <c r="W198" s="539"/>
      <c r="X198" s="539"/>
      <c r="Y198" s="557"/>
      <c r="Z198" s="557"/>
      <c r="AA198" s="539"/>
      <c r="AB198" s="539"/>
      <c r="AC198" s="539"/>
      <c r="AD198" s="557"/>
      <c r="AE198" s="557"/>
      <c r="AF198" s="557"/>
      <c r="AG198" s="557"/>
      <c r="AH198" s="557"/>
      <c r="AI198" s="557"/>
      <c r="AJ198" s="557"/>
      <c r="AK198" s="557"/>
      <c r="AL198" s="557"/>
      <c r="AM198" s="557"/>
      <c r="AN198" s="557"/>
      <c r="AO198" s="557"/>
      <c r="AP198" s="557"/>
      <c r="AQ198" s="557"/>
      <c r="AR198" s="557"/>
      <c r="AS198" s="557"/>
      <c r="AT198" s="557"/>
      <c r="AU198" s="557"/>
      <c r="AV198" s="557"/>
      <c r="AW198" s="557"/>
      <c r="AX198" s="557"/>
      <c r="AY198" s="557"/>
      <c r="AZ198" s="557"/>
      <c r="BA198" s="557"/>
      <c r="BB198" s="557"/>
      <c r="BC198" s="557"/>
      <c r="BD198" s="555"/>
      <c r="BE198" s="592"/>
      <c r="BF198" s="592"/>
      <c r="BG198" s="592"/>
      <c r="BH198" s="592"/>
      <c r="BI198" s="592"/>
      <c r="BJ198" s="592"/>
      <c r="BK198" s="592"/>
      <c r="BL198" s="592"/>
      <c r="BM198" s="592"/>
      <c r="BN198" s="592"/>
      <c r="BO198" s="592"/>
      <c r="BP198" s="592"/>
      <c r="BQ198" s="592"/>
      <c r="BR198" s="592"/>
      <c r="BS198" s="592"/>
      <c r="BT198" s="592"/>
    </row>
    <row r="199" spans="1:72" s="591" customFormat="1" ht="15">
      <c r="A199" s="539"/>
      <c r="B199" s="539"/>
      <c r="C199" s="539"/>
      <c r="D199" s="539"/>
      <c r="E199" s="539"/>
      <c r="F199" s="539"/>
      <c r="G199" s="539"/>
      <c r="H199" s="539"/>
      <c r="I199" s="539"/>
      <c r="J199" s="539"/>
      <c r="K199" s="539"/>
      <c r="L199" s="539"/>
      <c r="M199" s="539"/>
      <c r="N199" s="539"/>
      <c r="O199" s="539"/>
      <c r="P199" s="539"/>
      <c r="Q199" s="539"/>
      <c r="R199" s="539"/>
      <c r="S199" s="557"/>
      <c r="T199" s="557"/>
      <c r="U199" s="557"/>
      <c r="V199" s="557"/>
      <c r="W199" s="539"/>
      <c r="X199" s="539"/>
      <c r="Y199" s="557"/>
      <c r="Z199" s="557"/>
      <c r="AA199" s="539"/>
      <c r="AB199" s="539"/>
      <c r="AC199" s="539"/>
      <c r="AD199" s="557"/>
      <c r="AE199" s="557"/>
      <c r="AF199" s="557"/>
      <c r="AG199" s="557"/>
      <c r="AH199" s="557"/>
      <c r="AI199" s="557"/>
      <c r="AJ199" s="557"/>
      <c r="AK199" s="557"/>
      <c r="AL199" s="557"/>
      <c r="AM199" s="557"/>
      <c r="AN199" s="557"/>
      <c r="AO199" s="557"/>
      <c r="AP199" s="557"/>
      <c r="AQ199" s="557"/>
      <c r="AR199" s="557"/>
      <c r="AS199" s="557"/>
      <c r="AT199" s="557"/>
      <c r="AU199" s="557"/>
      <c r="AV199" s="557"/>
      <c r="AW199" s="557"/>
      <c r="AX199" s="557"/>
      <c r="AY199" s="557"/>
      <c r="AZ199" s="557"/>
      <c r="BA199" s="557"/>
      <c r="BB199" s="557"/>
      <c r="BC199" s="557"/>
      <c r="BD199" s="555"/>
      <c r="BE199" s="592"/>
      <c r="BF199" s="592"/>
      <c r="BG199" s="592"/>
      <c r="BH199" s="592"/>
      <c r="BI199" s="592"/>
      <c r="BJ199" s="592"/>
      <c r="BK199" s="592"/>
      <c r="BL199" s="592"/>
      <c r="BM199" s="592"/>
      <c r="BN199" s="592"/>
      <c r="BO199" s="592"/>
      <c r="BP199" s="592"/>
      <c r="BQ199" s="592"/>
      <c r="BR199" s="592"/>
      <c r="BS199" s="592"/>
      <c r="BT199" s="592"/>
    </row>
    <row r="200" spans="1:72" s="591" customFormat="1" ht="15">
      <c r="A200" s="539"/>
      <c r="B200" s="539"/>
      <c r="C200" s="539"/>
      <c r="D200" s="539"/>
      <c r="E200" s="539"/>
      <c r="F200" s="539"/>
      <c r="G200" s="539"/>
      <c r="H200" s="539"/>
      <c r="I200" s="539"/>
      <c r="J200" s="539"/>
      <c r="K200" s="539"/>
      <c r="L200" s="539"/>
      <c r="M200" s="539"/>
      <c r="N200" s="539"/>
      <c r="O200" s="539"/>
      <c r="P200" s="539"/>
      <c r="Q200" s="539"/>
      <c r="R200" s="539"/>
      <c r="S200" s="557"/>
      <c r="T200" s="557"/>
      <c r="U200" s="557"/>
      <c r="V200" s="557"/>
      <c r="W200" s="539"/>
      <c r="X200" s="539"/>
      <c r="Y200" s="557"/>
      <c r="Z200" s="557"/>
      <c r="AA200" s="539"/>
      <c r="AB200" s="539"/>
      <c r="AC200" s="539"/>
      <c r="AD200" s="557"/>
      <c r="AE200" s="557"/>
      <c r="AF200" s="557"/>
      <c r="AG200" s="557"/>
      <c r="AH200" s="557"/>
      <c r="AI200" s="557"/>
      <c r="AJ200" s="557"/>
      <c r="AK200" s="557"/>
      <c r="AL200" s="557"/>
      <c r="AM200" s="557"/>
      <c r="AN200" s="557"/>
      <c r="AO200" s="557"/>
      <c r="AP200" s="557"/>
      <c r="AQ200" s="557"/>
      <c r="AR200" s="557"/>
      <c r="AS200" s="557"/>
      <c r="AT200" s="557"/>
      <c r="AU200" s="557"/>
      <c r="AV200" s="557"/>
      <c r="AW200" s="557"/>
      <c r="AX200" s="557"/>
      <c r="AY200" s="557"/>
      <c r="AZ200" s="557"/>
      <c r="BA200" s="557"/>
      <c r="BB200" s="557"/>
      <c r="BC200" s="557"/>
      <c r="BD200" s="555"/>
      <c r="BE200" s="592"/>
      <c r="BF200" s="592"/>
      <c r="BG200" s="592"/>
      <c r="BH200" s="592"/>
      <c r="BI200" s="592"/>
      <c r="BJ200" s="592"/>
      <c r="BK200" s="592"/>
      <c r="BL200" s="592"/>
      <c r="BM200" s="592"/>
      <c r="BN200" s="592"/>
      <c r="BO200" s="592"/>
      <c r="BP200" s="592"/>
      <c r="BQ200" s="592"/>
      <c r="BR200" s="592"/>
      <c r="BS200" s="592"/>
      <c r="BT200" s="592"/>
    </row>
    <row r="201" spans="1:72" s="591" customFormat="1" ht="15">
      <c r="A201" s="539"/>
      <c r="B201" s="539"/>
      <c r="C201" s="539"/>
      <c r="D201" s="539"/>
      <c r="E201" s="539"/>
      <c r="F201" s="539"/>
      <c r="G201" s="539"/>
      <c r="H201" s="539"/>
      <c r="I201" s="539"/>
      <c r="J201" s="539"/>
      <c r="K201" s="539"/>
      <c r="L201" s="539"/>
      <c r="M201" s="539"/>
      <c r="N201" s="539"/>
      <c r="O201" s="539"/>
      <c r="P201" s="539"/>
      <c r="Q201" s="539"/>
      <c r="R201" s="539"/>
      <c r="S201" s="557"/>
      <c r="T201" s="557"/>
      <c r="U201" s="557"/>
      <c r="V201" s="557"/>
      <c r="W201" s="539"/>
      <c r="X201" s="539"/>
      <c r="Y201" s="557"/>
      <c r="Z201" s="557"/>
      <c r="AA201" s="539"/>
      <c r="AB201" s="539"/>
      <c r="AC201" s="539"/>
      <c r="AD201" s="557"/>
      <c r="AE201" s="557"/>
      <c r="AF201" s="557"/>
      <c r="AG201" s="557"/>
      <c r="AH201" s="557"/>
      <c r="AI201" s="557"/>
      <c r="AJ201" s="557"/>
      <c r="AK201" s="557"/>
      <c r="AL201" s="557"/>
      <c r="AM201" s="557"/>
      <c r="AN201" s="557"/>
      <c r="AO201" s="557"/>
      <c r="AP201" s="557"/>
      <c r="AQ201" s="557"/>
      <c r="AR201" s="557"/>
      <c r="AS201" s="557"/>
      <c r="AT201" s="557"/>
      <c r="AU201" s="557"/>
      <c r="AV201" s="557"/>
      <c r="AW201" s="557"/>
      <c r="AX201" s="557"/>
      <c r="AY201" s="557"/>
      <c r="AZ201" s="557"/>
      <c r="BA201" s="557"/>
      <c r="BB201" s="557"/>
      <c r="BC201" s="557"/>
      <c r="BD201" s="555"/>
      <c r="BE201" s="592"/>
      <c r="BF201" s="592"/>
      <c r="BG201" s="592"/>
      <c r="BH201" s="592"/>
      <c r="BI201" s="592"/>
      <c r="BJ201" s="592"/>
      <c r="BK201" s="592"/>
      <c r="BL201" s="592"/>
      <c r="BM201" s="592"/>
      <c r="BN201" s="592"/>
      <c r="BO201" s="592"/>
      <c r="BP201" s="592"/>
      <c r="BQ201" s="592"/>
      <c r="BR201" s="592"/>
      <c r="BS201" s="592"/>
      <c r="BT201" s="592"/>
    </row>
    <row r="202" spans="1:72" s="591" customFormat="1" ht="15">
      <c r="A202" s="539"/>
      <c r="B202" s="539"/>
      <c r="C202" s="539"/>
      <c r="D202" s="539"/>
      <c r="E202" s="539"/>
      <c r="F202" s="539"/>
      <c r="G202" s="539"/>
      <c r="H202" s="539"/>
      <c r="I202" s="539"/>
      <c r="J202" s="539"/>
      <c r="K202" s="539"/>
      <c r="L202" s="539"/>
      <c r="M202" s="539"/>
      <c r="N202" s="539"/>
      <c r="O202" s="539"/>
      <c r="P202" s="539"/>
      <c r="Q202" s="539"/>
      <c r="R202" s="539"/>
      <c r="S202" s="557"/>
      <c r="T202" s="557"/>
      <c r="U202" s="557"/>
      <c r="V202" s="557"/>
      <c r="W202" s="539"/>
      <c r="X202" s="539"/>
      <c r="Y202" s="557"/>
      <c r="Z202" s="557"/>
      <c r="AA202" s="539"/>
      <c r="AB202" s="539"/>
      <c r="AC202" s="539"/>
      <c r="AD202" s="557"/>
      <c r="AE202" s="557"/>
      <c r="AF202" s="557"/>
      <c r="AG202" s="557"/>
      <c r="AH202" s="557"/>
      <c r="AI202" s="557"/>
      <c r="AJ202" s="557"/>
      <c r="AK202" s="557"/>
      <c r="AL202" s="557"/>
      <c r="AM202" s="557"/>
      <c r="AN202" s="557"/>
      <c r="AO202" s="557"/>
      <c r="AP202" s="557"/>
      <c r="AQ202" s="557"/>
      <c r="AR202" s="557"/>
      <c r="AS202" s="557"/>
      <c r="AT202" s="557"/>
      <c r="AU202" s="557"/>
      <c r="AV202" s="557"/>
      <c r="AW202" s="557"/>
      <c r="AX202" s="557"/>
      <c r="AY202" s="557"/>
      <c r="AZ202" s="557"/>
      <c r="BA202" s="557"/>
      <c r="BB202" s="557"/>
      <c r="BC202" s="557"/>
      <c r="BD202" s="555"/>
      <c r="BE202" s="592"/>
      <c r="BF202" s="592"/>
      <c r="BG202" s="592"/>
      <c r="BH202" s="592"/>
      <c r="BI202" s="592"/>
      <c r="BJ202" s="592"/>
      <c r="BK202" s="592"/>
      <c r="BL202" s="592"/>
      <c r="BM202" s="592"/>
      <c r="BN202" s="592"/>
      <c r="BO202" s="592"/>
      <c r="BP202" s="592"/>
      <c r="BQ202" s="592"/>
      <c r="BR202" s="592"/>
      <c r="BS202" s="592"/>
      <c r="BT202" s="592"/>
    </row>
    <row r="203" spans="1:72" s="591" customFormat="1" ht="15">
      <c r="A203" s="539"/>
      <c r="B203" s="539"/>
      <c r="C203" s="539"/>
      <c r="D203" s="539"/>
      <c r="E203" s="539"/>
      <c r="F203" s="539"/>
      <c r="G203" s="539"/>
      <c r="H203" s="539"/>
      <c r="I203" s="539"/>
      <c r="J203" s="539"/>
      <c r="K203" s="539"/>
      <c r="L203" s="539"/>
      <c r="M203" s="539"/>
      <c r="N203" s="539"/>
      <c r="O203" s="539"/>
      <c r="P203" s="539"/>
      <c r="Q203" s="539"/>
      <c r="R203" s="539"/>
      <c r="S203" s="557"/>
      <c r="T203" s="557"/>
      <c r="U203" s="557"/>
      <c r="V203" s="557"/>
      <c r="W203" s="539"/>
      <c r="X203" s="539"/>
      <c r="Y203" s="557"/>
      <c r="Z203" s="557"/>
      <c r="AA203" s="539"/>
      <c r="AB203" s="539"/>
      <c r="AC203" s="539"/>
      <c r="AD203" s="557"/>
      <c r="AE203" s="557"/>
      <c r="AF203" s="557"/>
      <c r="AG203" s="557"/>
      <c r="AH203" s="557"/>
      <c r="AI203" s="557"/>
      <c r="AJ203" s="557"/>
      <c r="AK203" s="557"/>
      <c r="AL203" s="557"/>
      <c r="AM203" s="557"/>
      <c r="AN203" s="557"/>
      <c r="AO203" s="557"/>
      <c r="AP203" s="557"/>
      <c r="AQ203" s="557"/>
      <c r="AR203" s="557"/>
      <c r="AS203" s="557"/>
      <c r="AT203" s="557"/>
      <c r="AU203" s="557"/>
      <c r="AV203" s="557"/>
      <c r="AW203" s="557"/>
      <c r="AX203" s="557"/>
      <c r="AY203" s="557"/>
      <c r="AZ203" s="557"/>
      <c r="BA203" s="557"/>
      <c r="BB203" s="557"/>
      <c r="BC203" s="557"/>
      <c r="BD203" s="555"/>
      <c r="BE203" s="592"/>
      <c r="BF203" s="592"/>
      <c r="BG203" s="592"/>
      <c r="BH203" s="592"/>
      <c r="BI203" s="592"/>
      <c r="BJ203" s="592"/>
      <c r="BK203" s="592"/>
      <c r="BL203" s="592"/>
      <c r="BM203" s="592"/>
      <c r="BN203" s="592"/>
      <c r="BO203" s="592"/>
      <c r="BP203" s="592"/>
      <c r="BQ203" s="592"/>
      <c r="BR203" s="592"/>
      <c r="BS203" s="592"/>
      <c r="BT203" s="592"/>
    </row>
    <row r="204" spans="1:72" s="591" customFormat="1" ht="15">
      <c r="A204" s="539"/>
      <c r="B204" s="539"/>
      <c r="C204" s="539"/>
      <c r="D204" s="539"/>
      <c r="E204" s="539"/>
      <c r="F204" s="539"/>
      <c r="G204" s="539"/>
      <c r="H204" s="539"/>
      <c r="I204" s="539"/>
      <c r="J204" s="539"/>
      <c r="K204" s="539"/>
      <c r="L204" s="539"/>
      <c r="M204" s="539"/>
      <c r="N204" s="539"/>
      <c r="O204" s="539"/>
      <c r="P204" s="539"/>
      <c r="Q204" s="539"/>
      <c r="R204" s="539"/>
      <c r="S204" s="557"/>
      <c r="T204" s="557"/>
      <c r="U204" s="557"/>
      <c r="V204" s="557"/>
      <c r="W204" s="539"/>
      <c r="X204" s="539"/>
      <c r="Y204" s="557"/>
      <c r="Z204" s="557"/>
      <c r="AA204" s="539"/>
      <c r="AB204" s="539"/>
      <c r="AC204" s="539"/>
      <c r="AD204" s="557"/>
      <c r="AE204" s="557"/>
      <c r="AF204" s="557"/>
      <c r="AG204" s="557"/>
      <c r="AH204" s="557"/>
      <c r="AI204" s="557"/>
      <c r="AJ204" s="557"/>
      <c r="AK204" s="557"/>
      <c r="AL204" s="557"/>
      <c r="AM204" s="557"/>
      <c r="AN204" s="557"/>
      <c r="AO204" s="557"/>
      <c r="AP204" s="557"/>
      <c r="AQ204" s="557"/>
      <c r="AR204" s="557"/>
      <c r="AS204" s="557"/>
      <c r="AT204" s="557"/>
      <c r="AU204" s="557"/>
      <c r="AV204" s="557"/>
      <c r="AW204" s="557"/>
      <c r="AX204" s="557"/>
      <c r="AY204" s="557"/>
      <c r="AZ204" s="557"/>
      <c r="BA204" s="557"/>
      <c r="BB204" s="557"/>
      <c r="BC204" s="557"/>
      <c r="BD204" s="555"/>
      <c r="BE204" s="592"/>
      <c r="BF204" s="592"/>
      <c r="BG204" s="592"/>
      <c r="BH204" s="592"/>
      <c r="BI204" s="592"/>
      <c r="BJ204" s="592"/>
      <c r="BK204" s="592"/>
      <c r="BL204" s="592"/>
      <c r="BM204" s="592"/>
      <c r="BN204" s="592"/>
      <c r="BO204" s="592"/>
      <c r="BP204" s="592"/>
      <c r="BQ204" s="592"/>
      <c r="BR204" s="592"/>
      <c r="BS204" s="592"/>
      <c r="BT204" s="592"/>
    </row>
    <row r="205" spans="1:72" s="591" customFormat="1" ht="15">
      <c r="A205" s="539"/>
      <c r="B205" s="539"/>
      <c r="C205" s="539"/>
      <c r="D205" s="539"/>
      <c r="E205" s="539"/>
      <c r="F205" s="539"/>
      <c r="G205" s="539"/>
      <c r="H205" s="539"/>
      <c r="I205" s="539"/>
      <c r="J205" s="539"/>
      <c r="K205" s="539"/>
      <c r="L205" s="539"/>
      <c r="M205" s="539"/>
      <c r="N205" s="539"/>
      <c r="O205" s="539"/>
      <c r="P205" s="539"/>
      <c r="Q205" s="539"/>
      <c r="R205" s="539"/>
      <c r="S205" s="557"/>
      <c r="T205" s="557"/>
      <c r="U205" s="557"/>
      <c r="V205" s="557"/>
      <c r="W205" s="539"/>
      <c r="X205" s="539"/>
      <c r="Y205" s="557"/>
      <c r="Z205" s="557"/>
      <c r="AA205" s="539"/>
      <c r="AB205" s="539"/>
      <c r="AC205" s="539"/>
      <c r="AD205" s="557"/>
      <c r="AE205" s="557"/>
      <c r="AF205" s="557"/>
      <c r="AG205" s="557"/>
      <c r="AH205" s="557"/>
      <c r="AI205" s="557"/>
      <c r="AJ205" s="557"/>
      <c r="AK205" s="557"/>
      <c r="AL205" s="557"/>
      <c r="AM205" s="557"/>
      <c r="AN205" s="557"/>
      <c r="AO205" s="557"/>
      <c r="AP205" s="557"/>
      <c r="AQ205" s="557"/>
      <c r="AR205" s="557"/>
      <c r="AS205" s="557"/>
      <c r="AT205" s="557"/>
      <c r="AU205" s="557"/>
      <c r="AV205" s="557"/>
      <c r="AW205" s="557"/>
      <c r="AX205" s="557"/>
      <c r="AY205" s="557"/>
      <c r="AZ205" s="557"/>
      <c r="BA205" s="557"/>
      <c r="BB205" s="557"/>
      <c r="BC205" s="557"/>
      <c r="BD205" s="555"/>
      <c r="BE205" s="592"/>
      <c r="BF205" s="592"/>
      <c r="BG205" s="592"/>
      <c r="BH205" s="592"/>
      <c r="BI205" s="592"/>
      <c r="BJ205" s="592"/>
      <c r="BK205" s="592"/>
      <c r="BL205" s="592"/>
      <c r="BM205" s="592"/>
      <c r="BN205" s="592"/>
      <c r="BO205" s="592"/>
      <c r="BP205" s="592"/>
      <c r="BQ205" s="592"/>
      <c r="BR205" s="592"/>
      <c r="BS205" s="592"/>
      <c r="BT205" s="592"/>
    </row>
    <row r="206" spans="1:72" s="591" customFormat="1" ht="15">
      <c r="A206" s="539"/>
      <c r="B206" s="539"/>
      <c r="C206" s="539"/>
      <c r="D206" s="539"/>
      <c r="E206" s="539"/>
      <c r="F206" s="539"/>
      <c r="G206" s="539"/>
      <c r="H206" s="539"/>
      <c r="I206" s="539"/>
      <c r="J206" s="539"/>
      <c r="K206" s="539"/>
      <c r="L206" s="539"/>
      <c r="M206" s="539"/>
      <c r="N206" s="539"/>
      <c r="O206" s="539"/>
      <c r="P206" s="539"/>
      <c r="Q206" s="539"/>
      <c r="R206" s="539"/>
      <c r="S206" s="557"/>
      <c r="T206" s="557"/>
      <c r="U206" s="557"/>
      <c r="V206" s="557"/>
      <c r="W206" s="539"/>
      <c r="X206" s="539"/>
      <c r="Y206" s="557"/>
      <c r="Z206" s="557"/>
      <c r="AA206" s="539"/>
      <c r="AB206" s="539"/>
      <c r="AC206" s="539"/>
      <c r="AD206" s="557"/>
      <c r="AE206" s="557"/>
      <c r="AF206" s="557"/>
      <c r="AG206" s="557"/>
      <c r="AH206" s="557"/>
      <c r="AI206" s="557"/>
      <c r="AJ206" s="557"/>
      <c r="AK206" s="557"/>
      <c r="AL206" s="557"/>
      <c r="AM206" s="557"/>
      <c r="AN206" s="557"/>
      <c r="AO206" s="557"/>
      <c r="AP206" s="557"/>
      <c r="AQ206" s="557"/>
      <c r="AR206" s="557"/>
      <c r="AS206" s="557"/>
      <c r="AT206" s="557"/>
      <c r="AU206" s="557"/>
      <c r="AV206" s="557"/>
      <c r="AW206" s="557"/>
      <c r="AX206" s="557"/>
      <c r="AY206" s="557"/>
      <c r="AZ206" s="557"/>
      <c r="BA206" s="557"/>
      <c r="BB206" s="557"/>
      <c r="BC206" s="557"/>
      <c r="BD206" s="555"/>
      <c r="BE206" s="592"/>
      <c r="BF206" s="592"/>
      <c r="BG206" s="592"/>
      <c r="BH206" s="592"/>
      <c r="BI206" s="592"/>
      <c r="BJ206" s="592"/>
      <c r="BK206" s="592"/>
      <c r="BL206" s="592"/>
      <c r="BM206" s="592"/>
      <c r="BN206" s="592"/>
      <c r="BO206" s="592"/>
      <c r="BP206" s="592"/>
      <c r="BQ206" s="592"/>
      <c r="BR206" s="592"/>
      <c r="BS206" s="592"/>
      <c r="BT206" s="592"/>
    </row>
    <row r="207" spans="1:72" s="591" customFormat="1" ht="15">
      <c r="A207" s="539"/>
      <c r="B207" s="539"/>
      <c r="C207" s="539"/>
      <c r="D207" s="539"/>
      <c r="E207" s="539"/>
      <c r="F207" s="539"/>
      <c r="G207" s="539"/>
      <c r="H207" s="539"/>
      <c r="I207" s="539"/>
      <c r="J207" s="539"/>
      <c r="K207" s="539"/>
      <c r="L207" s="539"/>
      <c r="M207" s="539"/>
      <c r="N207" s="539"/>
      <c r="O207" s="539"/>
      <c r="P207" s="539"/>
      <c r="Q207" s="539"/>
      <c r="R207" s="539"/>
      <c r="S207" s="557"/>
      <c r="T207" s="557"/>
      <c r="U207" s="557"/>
      <c r="V207" s="557"/>
      <c r="W207" s="539"/>
      <c r="X207" s="539"/>
      <c r="Y207" s="557"/>
      <c r="Z207" s="557"/>
      <c r="AA207" s="539"/>
      <c r="AB207" s="539"/>
      <c r="AC207" s="539"/>
      <c r="AD207" s="557"/>
      <c r="AE207" s="557"/>
      <c r="AF207" s="557"/>
      <c r="AG207" s="557"/>
      <c r="AH207" s="557"/>
      <c r="AI207" s="557"/>
      <c r="AJ207" s="557"/>
      <c r="AK207" s="557"/>
      <c r="AL207" s="557"/>
      <c r="AM207" s="557"/>
      <c r="AN207" s="557"/>
      <c r="AO207" s="557"/>
      <c r="AP207" s="557"/>
      <c r="AQ207" s="557"/>
      <c r="AR207" s="557"/>
      <c r="AS207" s="557"/>
      <c r="AT207" s="557"/>
      <c r="AU207" s="557"/>
      <c r="AV207" s="557"/>
      <c r="AW207" s="557"/>
      <c r="AX207" s="557"/>
      <c r="AY207" s="557"/>
      <c r="AZ207" s="557"/>
      <c r="BA207" s="557"/>
      <c r="BB207" s="557"/>
      <c r="BC207" s="557"/>
      <c r="BD207" s="555"/>
      <c r="BE207" s="592"/>
      <c r="BF207" s="592"/>
      <c r="BG207" s="592"/>
      <c r="BH207" s="592"/>
      <c r="BI207" s="592"/>
      <c r="BJ207" s="592"/>
      <c r="BK207" s="592"/>
      <c r="BL207" s="592"/>
      <c r="BM207" s="592"/>
      <c r="BN207" s="592"/>
      <c r="BO207" s="592"/>
      <c r="BP207" s="592"/>
      <c r="BQ207" s="592"/>
      <c r="BR207" s="592"/>
      <c r="BS207" s="592"/>
      <c r="BT207" s="592"/>
    </row>
    <row r="208" spans="1:72" s="591" customFormat="1" ht="15">
      <c r="A208" s="539"/>
      <c r="B208" s="539"/>
      <c r="C208" s="539"/>
      <c r="D208" s="539"/>
      <c r="E208" s="539"/>
      <c r="F208" s="539"/>
      <c r="G208" s="539"/>
      <c r="H208" s="539"/>
      <c r="I208" s="539"/>
      <c r="J208" s="539"/>
      <c r="K208" s="539"/>
      <c r="L208" s="539"/>
      <c r="M208" s="539"/>
      <c r="N208" s="539"/>
      <c r="O208" s="539"/>
      <c r="P208" s="539"/>
      <c r="Q208" s="539"/>
      <c r="R208" s="539"/>
      <c r="S208" s="557"/>
      <c r="T208" s="557"/>
      <c r="U208" s="557"/>
      <c r="V208" s="557"/>
      <c r="W208" s="539"/>
      <c r="X208" s="539"/>
      <c r="Y208" s="557"/>
      <c r="Z208" s="557"/>
      <c r="AA208" s="539"/>
      <c r="AB208" s="539"/>
      <c r="AC208" s="539"/>
      <c r="AD208" s="557"/>
      <c r="AE208" s="557"/>
      <c r="AF208" s="557"/>
      <c r="AG208" s="557"/>
      <c r="AH208" s="557"/>
      <c r="AI208" s="557"/>
      <c r="AJ208" s="557"/>
      <c r="AK208" s="557"/>
      <c r="AL208" s="557"/>
      <c r="AM208" s="557"/>
      <c r="AN208" s="557"/>
      <c r="AO208" s="557"/>
      <c r="AP208" s="557"/>
      <c r="AQ208" s="557"/>
      <c r="AR208" s="557"/>
      <c r="AS208" s="557"/>
      <c r="AT208" s="557"/>
      <c r="AU208" s="557"/>
      <c r="AV208" s="557"/>
      <c r="AW208" s="557"/>
      <c r="AX208" s="557"/>
      <c r="AY208" s="557"/>
      <c r="AZ208" s="557"/>
      <c r="BA208" s="557"/>
      <c r="BB208" s="557"/>
      <c r="BC208" s="557"/>
      <c r="BD208" s="555"/>
      <c r="BE208" s="592"/>
      <c r="BF208" s="592"/>
      <c r="BG208" s="592"/>
      <c r="BH208" s="592"/>
      <c r="BI208" s="592"/>
      <c r="BJ208" s="592"/>
      <c r="BK208" s="592"/>
      <c r="BL208" s="592"/>
      <c r="BM208" s="592"/>
      <c r="BN208" s="592"/>
      <c r="BO208" s="592"/>
      <c r="BP208" s="592"/>
      <c r="BQ208" s="592"/>
      <c r="BR208" s="592"/>
      <c r="BS208" s="592"/>
      <c r="BT208" s="592"/>
    </row>
    <row r="209" spans="1:72" s="591" customFormat="1" ht="15">
      <c r="A209" s="539"/>
      <c r="B209" s="539"/>
      <c r="C209" s="539"/>
      <c r="D209" s="539"/>
      <c r="E209" s="539"/>
      <c r="F209" s="539"/>
      <c r="G209" s="539"/>
      <c r="H209" s="539"/>
      <c r="I209" s="539"/>
      <c r="J209" s="539"/>
      <c r="K209" s="539"/>
      <c r="L209" s="539"/>
      <c r="M209" s="539"/>
      <c r="N209" s="539"/>
      <c r="O209" s="539"/>
      <c r="P209" s="539"/>
      <c r="Q209" s="539"/>
      <c r="R209" s="539"/>
      <c r="S209" s="557"/>
      <c r="T209" s="557"/>
      <c r="U209" s="557"/>
      <c r="V209" s="557"/>
      <c r="W209" s="539"/>
      <c r="X209" s="539"/>
      <c r="Y209" s="557"/>
      <c r="Z209" s="557"/>
      <c r="AA209" s="539"/>
      <c r="AB209" s="539"/>
      <c r="AC209" s="539"/>
      <c r="AD209" s="557"/>
      <c r="AE209" s="557"/>
      <c r="AF209" s="557"/>
      <c r="AG209" s="557"/>
      <c r="AH209" s="557"/>
      <c r="AI209" s="557"/>
      <c r="AJ209" s="557"/>
      <c r="AK209" s="557"/>
      <c r="AL209" s="557"/>
      <c r="AM209" s="557"/>
      <c r="AN209" s="557"/>
      <c r="AO209" s="557"/>
      <c r="AP209" s="557"/>
      <c r="AQ209" s="557"/>
      <c r="AR209" s="557"/>
      <c r="AS209" s="557"/>
      <c r="AT209" s="557"/>
      <c r="AU209" s="557"/>
      <c r="AV209" s="557"/>
      <c r="AW209" s="557"/>
      <c r="AX209" s="557"/>
      <c r="AY209" s="557"/>
      <c r="AZ209" s="557"/>
      <c r="BA209" s="557"/>
      <c r="BB209" s="557"/>
      <c r="BC209" s="557"/>
      <c r="BD209" s="555"/>
      <c r="BE209" s="592"/>
      <c r="BF209" s="592"/>
      <c r="BG209" s="592"/>
      <c r="BH209" s="592"/>
      <c r="BI209" s="592"/>
      <c r="BJ209" s="592"/>
      <c r="BK209" s="592"/>
      <c r="BL209" s="592"/>
      <c r="BM209" s="592"/>
      <c r="BN209" s="592"/>
      <c r="BO209" s="592"/>
      <c r="BP209" s="592"/>
      <c r="BQ209" s="592"/>
      <c r="BR209" s="592"/>
      <c r="BS209" s="592"/>
      <c r="BT209" s="592"/>
    </row>
    <row r="210" spans="1:72" s="591" customFormat="1" ht="15">
      <c r="A210" s="539"/>
      <c r="B210" s="539"/>
      <c r="C210" s="539"/>
      <c r="D210" s="539"/>
      <c r="E210" s="539"/>
      <c r="F210" s="539"/>
      <c r="G210" s="539"/>
      <c r="H210" s="539"/>
      <c r="I210" s="539"/>
      <c r="J210" s="539"/>
      <c r="K210" s="539"/>
      <c r="L210" s="539"/>
      <c r="M210" s="539"/>
      <c r="N210" s="539"/>
      <c r="O210" s="539"/>
      <c r="P210" s="539"/>
      <c r="Q210" s="539"/>
      <c r="R210" s="539"/>
      <c r="S210" s="557"/>
      <c r="T210" s="557"/>
      <c r="U210" s="557"/>
      <c r="V210" s="557"/>
      <c r="W210" s="539"/>
      <c r="X210" s="539"/>
      <c r="Y210" s="557"/>
      <c r="Z210" s="557"/>
      <c r="AA210" s="539"/>
      <c r="AB210" s="539"/>
      <c r="AC210" s="539"/>
      <c r="AD210" s="557"/>
      <c r="AE210" s="557"/>
      <c r="AF210" s="557"/>
      <c r="AG210" s="557"/>
      <c r="AH210" s="557"/>
      <c r="AI210" s="557"/>
      <c r="AJ210" s="557"/>
      <c r="AK210" s="557"/>
      <c r="AL210" s="557"/>
      <c r="AM210" s="557"/>
      <c r="AN210" s="557"/>
      <c r="AO210" s="557"/>
      <c r="AP210" s="557"/>
      <c r="AQ210" s="557"/>
      <c r="AR210" s="557"/>
      <c r="AS210" s="557"/>
      <c r="AT210" s="557"/>
      <c r="AU210" s="557"/>
      <c r="AV210" s="557"/>
      <c r="AW210" s="557"/>
      <c r="AX210" s="557"/>
      <c r="AY210" s="557"/>
      <c r="AZ210" s="557"/>
      <c r="BA210" s="557"/>
      <c r="BB210" s="557"/>
      <c r="BC210" s="557"/>
      <c r="BD210" s="555"/>
      <c r="BE210" s="592"/>
      <c r="BF210" s="592"/>
      <c r="BG210" s="592"/>
      <c r="BH210" s="592"/>
      <c r="BI210" s="592"/>
      <c r="BJ210" s="592"/>
      <c r="BK210" s="592"/>
      <c r="BL210" s="592"/>
      <c r="BM210" s="592"/>
      <c r="BN210" s="592"/>
      <c r="BO210" s="592"/>
      <c r="BP210" s="592"/>
      <c r="BQ210" s="592"/>
      <c r="BR210" s="592"/>
      <c r="BS210" s="592"/>
      <c r="BT210" s="592"/>
    </row>
    <row r="211" spans="1:72" s="591" customFormat="1" ht="15">
      <c r="A211" s="539"/>
      <c r="B211" s="539"/>
      <c r="C211" s="539"/>
      <c r="D211" s="539"/>
      <c r="E211" s="539"/>
      <c r="F211" s="539"/>
      <c r="G211" s="539"/>
      <c r="H211" s="539"/>
      <c r="I211" s="539"/>
      <c r="J211" s="539"/>
      <c r="K211" s="539"/>
      <c r="L211" s="539"/>
      <c r="M211" s="539"/>
      <c r="N211" s="539"/>
      <c r="O211" s="539"/>
      <c r="P211" s="539"/>
      <c r="Q211" s="539"/>
      <c r="R211" s="539"/>
      <c r="S211" s="557"/>
      <c r="T211" s="557"/>
      <c r="U211" s="557"/>
      <c r="V211" s="557"/>
      <c r="W211" s="539"/>
      <c r="X211" s="539"/>
      <c r="Y211" s="557"/>
      <c r="Z211" s="557"/>
      <c r="AA211" s="539"/>
      <c r="AB211" s="539"/>
      <c r="AC211" s="539"/>
      <c r="AD211" s="557"/>
      <c r="AE211" s="557"/>
      <c r="AF211" s="557"/>
      <c r="AG211" s="557"/>
      <c r="AH211" s="557"/>
      <c r="AI211" s="557"/>
      <c r="AJ211" s="557"/>
      <c r="AK211" s="557"/>
      <c r="AL211" s="557"/>
      <c r="AM211" s="557"/>
      <c r="AN211" s="557"/>
      <c r="AO211" s="557"/>
      <c r="AP211" s="557"/>
      <c r="AQ211" s="557"/>
      <c r="AR211" s="557"/>
      <c r="AS211" s="557"/>
      <c r="AT211" s="557"/>
      <c r="AU211" s="557"/>
      <c r="AV211" s="557"/>
      <c r="AW211" s="557"/>
      <c r="AX211" s="557"/>
      <c r="AY211" s="557"/>
      <c r="AZ211" s="557"/>
      <c r="BA211" s="557"/>
      <c r="BB211" s="557"/>
      <c r="BC211" s="557"/>
      <c r="BD211" s="555"/>
      <c r="BE211" s="592"/>
      <c r="BF211" s="592"/>
      <c r="BG211" s="592"/>
      <c r="BH211" s="592"/>
      <c r="BI211" s="592"/>
      <c r="BJ211" s="592"/>
      <c r="BK211" s="592"/>
      <c r="BL211" s="592"/>
      <c r="BM211" s="592"/>
      <c r="BN211" s="592"/>
      <c r="BO211" s="592"/>
      <c r="BP211" s="592"/>
      <c r="BQ211" s="592"/>
      <c r="BR211" s="592"/>
      <c r="BS211" s="592"/>
      <c r="BT211" s="592"/>
    </row>
    <row r="212" spans="1:72" s="591" customFormat="1" ht="15">
      <c r="A212" s="539"/>
      <c r="B212" s="539"/>
      <c r="C212" s="539"/>
      <c r="D212" s="539"/>
      <c r="E212" s="539"/>
      <c r="F212" s="539"/>
      <c r="G212" s="539"/>
      <c r="H212" s="539"/>
      <c r="I212" s="539"/>
      <c r="J212" s="539"/>
      <c r="K212" s="539"/>
      <c r="L212" s="539"/>
      <c r="M212" s="539"/>
      <c r="N212" s="539"/>
      <c r="O212" s="539"/>
      <c r="P212" s="539"/>
      <c r="Q212" s="539"/>
      <c r="R212" s="539"/>
      <c r="S212" s="557"/>
      <c r="T212" s="557"/>
      <c r="U212" s="557"/>
      <c r="V212" s="557"/>
      <c r="W212" s="539"/>
      <c r="X212" s="539"/>
      <c r="Y212" s="557"/>
      <c r="Z212" s="557"/>
      <c r="AA212" s="539"/>
      <c r="AB212" s="539"/>
      <c r="AC212" s="539"/>
      <c r="AD212" s="557"/>
      <c r="AE212" s="557"/>
      <c r="AF212" s="557"/>
      <c r="AG212" s="557"/>
      <c r="AH212" s="557"/>
      <c r="AI212" s="557"/>
      <c r="AJ212" s="557"/>
      <c r="AK212" s="557"/>
      <c r="AL212" s="557"/>
      <c r="AM212" s="557"/>
      <c r="AN212" s="557"/>
      <c r="AO212" s="557"/>
      <c r="AP212" s="557"/>
      <c r="AQ212" s="557"/>
      <c r="AR212" s="557"/>
      <c r="AS212" s="557"/>
      <c r="AT212" s="557"/>
      <c r="AU212" s="557"/>
      <c r="AV212" s="557"/>
      <c r="AW212" s="557"/>
      <c r="AX212" s="557"/>
      <c r="AY212" s="557"/>
      <c r="AZ212" s="557"/>
      <c r="BA212" s="557"/>
      <c r="BB212" s="557"/>
      <c r="BC212" s="557"/>
      <c r="BD212" s="555"/>
      <c r="BE212" s="592"/>
      <c r="BF212" s="592"/>
      <c r="BG212" s="592"/>
      <c r="BH212" s="592"/>
      <c r="BI212" s="592"/>
      <c r="BJ212" s="592"/>
      <c r="BK212" s="592"/>
      <c r="BL212" s="592"/>
      <c r="BM212" s="592"/>
      <c r="BN212" s="592"/>
      <c r="BO212" s="592"/>
      <c r="BP212" s="592"/>
      <c r="BQ212" s="592"/>
      <c r="BR212" s="592"/>
      <c r="BS212" s="592"/>
      <c r="BT212" s="592"/>
    </row>
    <row r="213" spans="1:72" s="591" customFormat="1" ht="15">
      <c r="A213" s="539"/>
      <c r="B213" s="539"/>
      <c r="C213" s="539"/>
      <c r="D213" s="539"/>
      <c r="E213" s="539"/>
      <c r="F213" s="539"/>
      <c r="G213" s="539"/>
      <c r="H213" s="539"/>
      <c r="I213" s="539"/>
      <c r="J213" s="539"/>
      <c r="K213" s="539"/>
      <c r="L213" s="539"/>
      <c r="M213" s="539"/>
      <c r="N213" s="539"/>
      <c r="O213" s="539"/>
      <c r="P213" s="539"/>
      <c r="Q213" s="539"/>
      <c r="R213" s="539"/>
      <c r="S213" s="557"/>
      <c r="T213" s="557"/>
      <c r="U213" s="557"/>
      <c r="V213" s="557"/>
      <c r="W213" s="539"/>
      <c r="X213" s="539"/>
      <c r="Y213" s="557"/>
      <c r="Z213" s="557"/>
      <c r="AA213" s="539"/>
      <c r="AB213" s="539"/>
      <c r="AC213" s="539"/>
      <c r="AD213" s="557"/>
      <c r="AE213" s="557"/>
      <c r="AF213" s="557"/>
      <c r="AG213" s="557"/>
      <c r="AH213" s="557"/>
      <c r="AI213" s="557"/>
      <c r="AJ213" s="557"/>
      <c r="AK213" s="557"/>
      <c r="AL213" s="557"/>
      <c r="AM213" s="557"/>
      <c r="AN213" s="557"/>
      <c r="AO213" s="557"/>
      <c r="AP213" s="557"/>
      <c r="AQ213" s="557"/>
      <c r="AR213" s="557"/>
      <c r="AS213" s="557"/>
      <c r="AT213" s="557"/>
      <c r="AU213" s="557"/>
      <c r="AV213" s="557"/>
      <c r="AW213" s="557"/>
      <c r="AX213" s="557"/>
      <c r="AY213" s="557"/>
      <c r="AZ213" s="557"/>
      <c r="BA213" s="557"/>
      <c r="BB213" s="557"/>
      <c r="BC213" s="557"/>
      <c r="BD213" s="555"/>
      <c r="BE213" s="592"/>
      <c r="BF213" s="592"/>
      <c r="BG213" s="592"/>
      <c r="BH213" s="592"/>
      <c r="BI213" s="592"/>
      <c r="BJ213" s="592"/>
      <c r="BK213" s="592"/>
      <c r="BL213" s="592"/>
      <c r="BM213" s="592"/>
      <c r="BN213" s="592"/>
      <c r="BO213" s="592"/>
      <c r="BP213" s="592"/>
      <c r="BQ213" s="592"/>
      <c r="BR213" s="592"/>
      <c r="BS213" s="592"/>
      <c r="BT213" s="592"/>
    </row>
    <row r="214" spans="1:72" s="591" customFormat="1" ht="15">
      <c r="A214" s="539"/>
      <c r="B214" s="539"/>
      <c r="C214" s="539"/>
      <c r="D214" s="539"/>
      <c r="E214" s="539"/>
      <c r="F214" s="539"/>
      <c r="G214" s="539"/>
      <c r="H214" s="539"/>
      <c r="I214" s="539"/>
      <c r="J214" s="539"/>
      <c r="K214" s="539"/>
      <c r="L214" s="539"/>
      <c r="M214" s="539"/>
      <c r="N214" s="539"/>
      <c r="O214" s="539"/>
      <c r="P214" s="539"/>
      <c r="Q214" s="539"/>
      <c r="R214" s="539"/>
      <c r="S214" s="557"/>
      <c r="T214" s="557"/>
      <c r="U214" s="557"/>
      <c r="V214" s="557"/>
      <c r="W214" s="539"/>
      <c r="X214" s="539"/>
      <c r="Y214" s="557"/>
      <c r="Z214" s="557"/>
      <c r="AA214" s="539"/>
      <c r="AB214" s="539"/>
      <c r="AC214" s="539"/>
      <c r="AD214" s="557"/>
      <c r="AE214" s="557"/>
      <c r="AF214" s="557"/>
      <c r="AG214" s="557"/>
      <c r="AH214" s="557"/>
      <c r="AI214" s="557"/>
      <c r="AJ214" s="557"/>
      <c r="AK214" s="557"/>
      <c r="AL214" s="557"/>
      <c r="AM214" s="557"/>
      <c r="AN214" s="557"/>
      <c r="AO214" s="557"/>
      <c r="AP214" s="557"/>
      <c r="AQ214" s="557"/>
      <c r="AR214" s="557"/>
      <c r="AS214" s="557"/>
      <c r="AT214" s="557"/>
      <c r="AU214" s="557"/>
      <c r="AV214" s="557"/>
      <c r="AW214" s="557"/>
      <c r="AX214" s="557"/>
      <c r="AY214" s="557"/>
      <c r="AZ214" s="557"/>
      <c r="BA214" s="557"/>
      <c r="BB214" s="557"/>
      <c r="BC214" s="557"/>
      <c r="BD214" s="555"/>
      <c r="BE214" s="592"/>
    </row>
  </sheetData>
  <mergeCells count="29">
    <mergeCell ref="BE8:BH8"/>
    <mergeCell ref="AK1:AM1"/>
    <mergeCell ref="A5:BA5"/>
    <mergeCell ref="BB5:BC5"/>
    <mergeCell ref="AV2:AY2"/>
    <mergeCell ref="AZ2:BC3"/>
    <mergeCell ref="A3:H3"/>
    <mergeCell ref="I3:L3"/>
    <mergeCell ref="M3:W3"/>
    <mergeCell ref="X3:Z3"/>
    <mergeCell ref="AA3:AR3"/>
    <mergeCell ref="AS3:AU3"/>
    <mergeCell ref="AV3:AY3"/>
    <mergeCell ref="H9:AS9"/>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s>
  <phoneticPr fontId="57"/>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8F525-F9A2-4796-9994-D9F15A96CFBF}">
  <sheetPr>
    <pageSetUpPr fitToPage="1"/>
  </sheetPr>
  <dimension ref="A1:CR41"/>
  <sheetViews>
    <sheetView showGridLines="0" view="pageBreakPreview" topLeftCell="A8" zoomScale="85" zoomScaleNormal="70" zoomScaleSheetLayoutView="85" workbookViewId="0">
      <selection activeCell="J6" sqref="J6:P6"/>
    </sheetView>
  </sheetViews>
  <sheetFormatPr defaultColWidth="2.54296875" defaultRowHeight="15"/>
  <cols>
    <col min="1" max="10" width="2.54296875" style="641" customWidth="1"/>
    <col min="11" max="16" width="3.26953125" style="641" customWidth="1"/>
    <col min="17" max="22" width="2.54296875" style="641" customWidth="1"/>
    <col min="23" max="38" width="2.54296875" style="641"/>
    <col min="39" max="39" width="2.54296875" style="641" customWidth="1"/>
    <col min="40" max="52" width="2.54296875" style="641"/>
    <col min="53" max="61" width="2.453125" style="691"/>
    <col min="62" max="70" width="2.54296875" style="641"/>
    <col min="71" max="71" width="2.54296875" style="641" customWidth="1"/>
    <col min="72" max="257" width="2.54296875" style="641"/>
    <col min="258" max="258" width="4" style="641" customWidth="1"/>
    <col min="259" max="290" width="2.54296875" style="641"/>
    <col min="291" max="291" width="2.54296875" style="641" customWidth="1"/>
    <col min="292" max="513" width="2.54296875" style="641"/>
    <col min="514" max="514" width="4" style="641" customWidth="1"/>
    <col min="515" max="546" width="2.54296875" style="641"/>
    <col min="547" max="547" width="2.54296875" style="641" customWidth="1"/>
    <col min="548" max="769" width="2.54296875" style="641"/>
    <col min="770" max="770" width="4" style="641" customWidth="1"/>
    <col min="771" max="802" width="2.54296875" style="641"/>
    <col min="803" max="803" width="2.54296875" style="641" customWidth="1"/>
    <col min="804" max="1025" width="2.54296875" style="641"/>
    <col min="1026" max="1026" width="4" style="641" customWidth="1"/>
    <col min="1027" max="1058" width="2.54296875" style="641"/>
    <col min="1059" max="1059" width="2.54296875" style="641" customWidth="1"/>
    <col min="1060" max="1281" width="2.54296875" style="641"/>
    <col min="1282" max="1282" width="4" style="641" customWidth="1"/>
    <col min="1283" max="1314" width="2.54296875" style="641"/>
    <col min="1315" max="1315" width="2.54296875" style="641" customWidth="1"/>
    <col min="1316" max="1537" width="2.54296875" style="641"/>
    <col min="1538" max="1538" width="4" style="641" customWidth="1"/>
    <col min="1539" max="1570" width="2.54296875" style="641"/>
    <col min="1571" max="1571" width="2.54296875" style="641" customWidth="1"/>
    <col min="1572" max="1793" width="2.54296875" style="641"/>
    <col min="1794" max="1794" width="4" style="641" customWidth="1"/>
    <col min="1795" max="1826" width="2.54296875" style="641"/>
    <col min="1827" max="1827" width="2.54296875" style="641" customWidth="1"/>
    <col min="1828" max="2049" width="2.54296875" style="641"/>
    <col min="2050" max="2050" width="4" style="641" customWidth="1"/>
    <col min="2051" max="2082" width="2.54296875" style="641"/>
    <col min="2083" max="2083" width="2.54296875" style="641" customWidth="1"/>
    <col min="2084" max="2305" width="2.54296875" style="641"/>
    <col min="2306" max="2306" width="4" style="641" customWidth="1"/>
    <col min="2307" max="2338" width="2.54296875" style="641"/>
    <col min="2339" max="2339" width="2.54296875" style="641" customWidth="1"/>
    <col min="2340" max="2561" width="2.54296875" style="641"/>
    <col min="2562" max="2562" width="4" style="641" customWidth="1"/>
    <col min="2563" max="2594" width="2.54296875" style="641"/>
    <col min="2595" max="2595" width="2.54296875" style="641" customWidth="1"/>
    <col min="2596" max="2817" width="2.54296875" style="641"/>
    <col min="2818" max="2818" width="4" style="641" customWidth="1"/>
    <col min="2819" max="2850" width="2.54296875" style="641"/>
    <col min="2851" max="2851" width="2.54296875" style="641" customWidth="1"/>
    <col min="2852" max="3073" width="2.54296875" style="641"/>
    <col min="3074" max="3074" width="4" style="641" customWidth="1"/>
    <col min="3075" max="3106" width="2.54296875" style="641"/>
    <col min="3107" max="3107" width="2.54296875" style="641" customWidth="1"/>
    <col min="3108" max="3329" width="2.54296875" style="641"/>
    <col min="3330" max="3330" width="4" style="641" customWidth="1"/>
    <col min="3331" max="3362" width="2.54296875" style="641"/>
    <col min="3363" max="3363" width="2.54296875" style="641" customWidth="1"/>
    <col min="3364" max="3585" width="2.54296875" style="641"/>
    <col min="3586" max="3586" width="4" style="641" customWidth="1"/>
    <col min="3587" max="3618" width="2.54296875" style="641"/>
    <col min="3619" max="3619" width="2.54296875" style="641" customWidth="1"/>
    <col min="3620" max="3841" width="2.54296875" style="641"/>
    <col min="3842" max="3842" width="4" style="641" customWidth="1"/>
    <col min="3843" max="3874" width="2.54296875" style="641"/>
    <col min="3875" max="3875" width="2.54296875" style="641" customWidth="1"/>
    <col min="3876" max="4097" width="2.54296875" style="641"/>
    <col min="4098" max="4098" width="4" style="641" customWidth="1"/>
    <col min="4099" max="4130" width="2.54296875" style="641"/>
    <col min="4131" max="4131" width="2.54296875" style="641" customWidth="1"/>
    <col min="4132" max="4353" width="2.54296875" style="641"/>
    <col min="4354" max="4354" width="4" style="641" customWidth="1"/>
    <col min="4355" max="4386" width="2.54296875" style="641"/>
    <col min="4387" max="4387" width="2.54296875" style="641" customWidth="1"/>
    <col min="4388" max="4609" width="2.54296875" style="641"/>
    <col min="4610" max="4610" width="4" style="641" customWidth="1"/>
    <col min="4611" max="4642" width="2.54296875" style="641"/>
    <col min="4643" max="4643" width="2.54296875" style="641" customWidth="1"/>
    <col min="4644" max="4865" width="2.54296875" style="641"/>
    <col min="4866" max="4866" width="4" style="641" customWidth="1"/>
    <col min="4867" max="4898" width="2.54296875" style="641"/>
    <col min="4899" max="4899" width="2.54296875" style="641" customWidth="1"/>
    <col min="4900" max="5121" width="2.54296875" style="641"/>
    <col min="5122" max="5122" width="4" style="641" customWidth="1"/>
    <col min="5123" max="5154" width="2.54296875" style="641"/>
    <col min="5155" max="5155" width="2.54296875" style="641" customWidth="1"/>
    <col min="5156" max="5377" width="2.54296875" style="641"/>
    <col min="5378" max="5378" width="4" style="641" customWidth="1"/>
    <col min="5379" max="5410" width="2.54296875" style="641"/>
    <col min="5411" max="5411" width="2.54296875" style="641" customWidth="1"/>
    <col min="5412" max="5633" width="2.54296875" style="641"/>
    <col min="5634" max="5634" width="4" style="641" customWidth="1"/>
    <col min="5635" max="5666" width="2.54296875" style="641"/>
    <col min="5667" max="5667" width="2.54296875" style="641" customWidth="1"/>
    <col min="5668" max="5889" width="2.54296875" style="641"/>
    <col min="5890" max="5890" width="4" style="641" customWidth="1"/>
    <col min="5891" max="5922" width="2.54296875" style="641"/>
    <col min="5923" max="5923" width="2.54296875" style="641" customWidth="1"/>
    <col min="5924" max="6145" width="2.54296875" style="641"/>
    <col min="6146" max="6146" width="4" style="641" customWidth="1"/>
    <col min="6147" max="6178" width="2.54296875" style="641"/>
    <col min="6179" max="6179" width="2.54296875" style="641" customWidth="1"/>
    <col min="6180" max="6401" width="2.54296875" style="641"/>
    <col min="6402" max="6402" width="4" style="641" customWidth="1"/>
    <col min="6403" max="6434" width="2.54296875" style="641"/>
    <col min="6435" max="6435" width="2.54296875" style="641" customWidth="1"/>
    <col min="6436" max="6657" width="2.54296875" style="641"/>
    <col min="6658" max="6658" width="4" style="641" customWidth="1"/>
    <col min="6659" max="6690" width="2.54296875" style="641"/>
    <col min="6691" max="6691" width="2.54296875" style="641" customWidth="1"/>
    <col min="6692" max="6913" width="2.54296875" style="641"/>
    <col min="6914" max="6914" width="4" style="641" customWidth="1"/>
    <col min="6915" max="6946" width="2.54296875" style="641"/>
    <col min="6947" max="6947" width="2.54296875" style="641" customWidth="1"/>
    <col min="6948" max="7169" width="2.54296875" style="641"/>
    <col min="7170" max="7170" width="4" style="641" customWidth="1"/>
    <col min="7171" max="7202" width="2.54296875" style="641"/>
    <col min="7203" max="7203" width="2.54296875" style="641" customWidth="1"/>
    <col min="7204" max="7425" width="2.54296875" style="641"/>
    <col min="7426" max="7426" width="4" style="641" customWidth="1"/>
    <col min="7427" max="7458" width="2.54296875" style="641"/>
    <col min="7459" max="7459" width="2.54296875" style="641" customWidth="1"/>
    <col min="7460" max="7681" width="2.54296875" style="641"/>
    <col min="7682" max="7682" width="4" style="641" customWidth="1"/>
    <col min="7683" max="7714" width="2.54296875" style="641"/>
    <col min="7715" max="7715" width="2.54296875" style="641" customWidth="1"/>
    <col min="7716" max="7937" width="2.54296875" style="641"/>
    <col min="7938" max="7938" width="4" style="641" customWidth="1"/>
    <col min="7939" max="7970" width="2.54296875" style="641"/>
    <col min="7971" max="7971" width="2.54296875" style="641" customWidth="1"/>
    <col min="7972" max="8193" width="2.54296875" style="641"/>
    <col min="8194" max="8194" width="4" style="641" customWidth="1"/>
    <col min="8195" max="8226" width="2.54296875" style="641"/>
    <col min="8227" max="8227" width="2.54296875" style="641" customWidth="1"/>
    <col min="8228" max="8449" width="2.54296875" style="641"/>
    <col min="8450" max="8450" width="4" style="641" customWidth="1"/>
    <col min="8451" max="8482" width="2.54296875" style="641"/>
    <col min="8483" max="8483" width="2.54296875" style="641" customWidth="1"/>
    <col min="8484" max="8705" width="2.54296875" style="641"/>
    <col min="8706" max="8706" width="4" style="641" customWidth="1"/>
    <col min="8707" max="8738" width="2.54296875" style="641"/>
    <col min="8739" max="8739" width="2.54296875" style="641" customWidth="1"/>
    <col min="8740" max="8961" width="2.54296875" style="641"/>
    <col min="8962" max="8962" width="4" style="641" customWidth="1"/>
    <col min="8963" max="8994" width="2.54296875" style="641"/>
    <col min="8995" max="8995" width="2.54296875" style="641" customWidth="1"/>
    <col min="8996" max="9217" width="2.54296875" style="641"/>
    <col min="9218" max="9218" width="4" style="641" customWidth="1"/>
    <col min="9219" max="9250" width="2.54296875" style="641"/>
    <col min="9251" max="9251" width="2.54296875" style="641" customWidth="1"/>
    <col min="9252" max="9473" width="2.54296875" style="641"/>
    <col min="9474" max="9474" width="4" style="641" customWidth="1"/>
    <col min="9475" max="9506" width="2.54296875" style="641"/>
    <col min="9507" max="9507" width="2.54296875" style="641" customWidth="1"/>
    <col min="9508" max="9729" width="2.54296875" style="641"/>
    <col min="9730" max="9730" width="4" style="641" customWidth="1"/>
    <col min="9731" max="9762" width="2.54296875" style="641"/>
    <col min="9763" max="9763" width="2.54296875" style="641" customWidth="1"/>
    <col min="9764" max="9985" width="2.54296875" style="641"/>
    <col min="9986" max="9986" width="4" style="641" customWidth="1"/>
    <col min="9987" max="10018" width="2.54296875" style="641"/>
    <col min="10019" max="10019" width="2.54296875" style="641" customWidth="1"/>
    <col min="10020" max="10241" width="2.54296875" style="641"/>
    <col min="10242" max="10242" width="4" style="641" customWidth="1"/>
    <col min="10243" max="10274" width="2.54296875" style="641"/>
    <col min="10275" max="10275" width="2.54296875" style="641" customWidth="1"/>
    <col min="10276" max="10497" width="2.54296875" style="641"/>
    <col min="10498" max="10498" width="4" style="641" customWidth="1"/>
    <col min="10499" max="10530" width="2.54296875" style="641"/>
    <col min="10531" max="10531" width="2.54296875" style="641" customWidth="1"/>
    <col min="10532" max="10753" width="2.54296875" style="641"/>
    <col min="10754" max="10754" width="4" style="641" customWidth="1"/>
    <col min="10755" max="10786" width="2.54296875" style="641"/>
    <col min="10787" max="10787" width="2.54296875" style="641" customWidth="1"/>
    <col min="10788" max="11009" width="2.54296875" style="641"/>
    <col min="11010" max="11010" width="4" style="641" customWidth="1"/>
    <col min="11011" max="11042" width="2.54296875" style="641"/>
    <col min="11043" max="11043" width="2.54296875" style="641" customWidth="1"/>
    <col min="11044" max="11265" width="2.54296875" style="641"/>
    <col min="11266" max="11266" width="4" style="641" customWidth="1"/>
    <col min="11267" max="11298" width="2.54296875" style="641"/>
    <col min="11299" max="11299" width="2.54296875" style="641" customWidth="1"/>
    <col min="11300" max="11521" width="2.54296875" style="641"/>
    <col min="11522" max="11522" width="4" style="641" customWidth="1"/>
    <col min="11523" max="11554" width="2.54296875" style="641"/>
    <col min="11555" max="11555" width="2.54296875" style="641" customWidth="1"/>
    <col min="11556" max="11777" width="2.54296875" style="641"/>
    <col min="11778" max="11778" width="4" style="641" customWidth="1"/>
    <col min="11779" max="11810" width="2.54296875" style="641"/>
    <col min="11811" max="11811" width="2.54296875" style="641" customWidth="1"/>
    <col min="11812" max="12033" width="2.54296875" style="641"/>
    <col min="12034" max="12034" width="4" style="641" customWidth="1"/>
    <col min="12035" max="12066" width="2.54296875" style="641"/>
    <col min="12067" max="12067" width="2.54296875" style="641" customWidth="1"/>
    <col min="12068" max="12289" width="2.54296875" style="641"/>
    <col min="12290" max="12290" width="4" style="641" customWidth="1"/>
    <col min="12291" max="12322" width="2.54296875" style="641"/>
    <col min="12323" max="12323" width="2.54296875" style="641" customWidth="1"/>
    <col min="12324" max="12545" width="2.54296875" style="641"/>
    <col min="12546" max="12546" width="4" style="641" customWidth="1"/>
    <col min="12547" max="12578" width="2.54296875" style="641"/>
    <col min="12579" max="12579" width="2.54296875" style="641" customWidth="1"/>
    <col min="12580" max="12801" width="2.54296875" style="641"/>
    <col min="12802" max="12802" width="4" style="641" customWidth="1"/>
    <col min="12803" max="12834" width="2.54296875" style="641"/>
    <col min="12835" max="12835" width="2.54296875" style="641" customWidth="1"/>
    <col min="12836" max="13057" width="2.54296875" style="641"/>
    <col min="13058" max="13058" width="4" style="641" customWidth="1"/>
    <col min="13059" max="13090" width="2.54296875" style="641"/>
    <col min="13091" max="13091" width="2.54296875" style="641" customWidth="1"/>
    <col min="13092" max="13313" width="2.54296875" style="641"/>
    <col min="13314" max="13314" width="4" style="641" customWidth="1"/>
    <col min="13315" max="13346" width="2.54296875" style="641"/>
    <col min="13347" max="13347" width="2.54296875" style="641" customWidth="1"/>
    <col min="13348" max="13569" width="2.54296875" style="641"/>
    <col min="13570" max="13570" width="4" style="641" customWidth="1"/>
    <col min="13571" max="13602" width="2.54296875" style="641"/>
    <col min="13603" max="13603" width="2.54296875" style="641" customWidth="1"/>
    <col min="13604" max="13825" width="2.54296875" style="641"/>
    <col min="13826" max="13826" width="4" style="641" customWidth="1"/>
    <col min="13827" max="13858" width="2.54296875" style="641"/>
    <col min="13859" max="13859" width="2.54296875" style="641" customWidth="1"/>
    <col min="13860" max="14081" width="2.54296875" style="641"/>
    <col min="14082" max="14082" width="4" style="641" customWidth="1"/>
    <col min="14083" max="14114" width="2.54296875" style="641"/>
    <col min="14115" max="14115" width="2.54296875" style="641" customWidth="1"/>
    <col min="14116" max="14337" width="2.54296875" style="641"/>
    <col min="14338" max="14338" width="4" style="641" customWidth="1"/>
    <col min="14339" max="14370" width="2.54296875" style="641"/>
    <col min="14371" max="14371" width="2.54296875" style="641" customWidth="1"/>
    <col min="14372" max="14593" width="2.54296875" style="641"/>
    <col min="14594" max="14594" width="4" style="641" customWidth="1"/>
    <col min="14595" max="14626" width="2.54296875" style="641"/>
    <col min="14627" max="14627" width="2.54296875" style="641" customWidth="1"/>
    <col min="14628" max="14849" width="2.54296875" style="641"/>
    <col min="14850" max="14850" width="4" style="641" customWidth="1"/>
    <col min="14851" max="14882" width="2.54296875" style="641"/>
    <col min="14883" max="14883" width="2.54296875" style="641" customWidth="1"/>
    <col min="14884" max="15105" width="2.54296875" style="641"/>
    <col min="15106" max="15106" width="4" style="641" customWidth="1"/>
    <col min="15107" max="15138" width="2.54296875" style="641"/>
    <col min="15139" max="15139" width="2.54296875" style="641" customWidth="1"/>
    <col min="15140" max="15361" width="2.54296875" style="641"/>
    <col min="15362" max="15362" width="4" style="641" customWidth="1"/>
    <col min="15363" max="15394" width="2.54296875" style="641"/>
    <col min="15395" max="15395" width="2.54296875" style="641" customWidth="1"/>
    <col min="15396" max="15617" width="2.54296875" style="641"/>
    <col min="15618" max="15618" width="4" style="641" customWidth="1"/>
    <col min="15619" max="15650" width="2.54296875" style="641"/>
    <col min="15651" max="15651" width="2.54296875" style="641" customWidth="1"/>
    <col min="15652" max="15873" width="2.54296875" style="641"/>
    <col min="15874" max="15874" width="4" style="641" customWidth="1"/>
    <col min="15875" max="15906" width="2.54296875" style="641"/>
    <col min="15907" max="15907" width="2.54296875" style="641" customWidth="1"/>
    <col min="15908" max="16129" width="2.54296875" style="641"/>
    <col min="16130" max="16130" width="4" style="641" customWidth="1"/>
    <col min="16131" max="16162" width="2.54296875" style="641"/>
    <col min="16163" max="16163" width="2.54296875" style="641" customWidth="1"/>
    <col min="16164" max="16384" width="2.54296875" style="641"/>
  </cols>
  <sheetData>
    <row r="1" spans="1:96" ht="12.75" customHeight="1">
      <c r="A1" s="843" t="s">
        <v>303</v>
      </c>
      <c r="B1" s="843"/>
      <c r="C1" s="843"/>
      <c r="D1" s="843"/>
      <c r="E1" s="843"/>
      <c r="F1" s="843"/>
      <c r="G1" s="843"/>
      <c r="H1" s="843"/>
      <c r="I1" s="843"/>
      <c r="J1" s="639"/>
      <c r="K1" s="639"/>
      <c r="L1" s="639"/>
      <c r="M1" s="639"/>
      <c r="N1" s="639"/>
      <c r="O1" s="639"/>
      <c r="P1" s="639"/>
      <c r="Q1" s="639"/>
      <c r="R1" s="639"/>
      <c r="S1" s="639"/>
      <c r="T1" s="639"/>
      <c r="U1" s="639"/>
      <c r="V1" s="639"/>
      <c r="W1" s="639"/>
      <c r="X1" s="639"/>
      <c r="Y1" s="639"/>
      <c r="Z1" s="639"/>
      <c r="AA1" s="639"/>
      <c r="AB1" s="639"/>
      <c r="AC1" s="639"/>
      <c r="AD1" s="639"/>
      <c r="AE1" s="639"/>
      <c r="AF1" s="639"/>
      <c r="AG1" s="639"/>
      <c r="AH1" s="639"/>
      <c r="AI1" s="639"/>
      <c r="AJ1" s="639"/>
      <c r="AK1" s="639"/>
      <c r="AL1" s="639"/>
      <c r="AM1" s="639"/>
      <c r="AN1" s="639"/>
      <c r="AO1" s="639"/>
      <c r="AP1" s="639"/>
      <c r="AQ1" s="639"/>
      <c r="AR1" s="639"/>
      <c r="AS1" s="639"/>
      <c r="AT1" s="639"/>
      <c r="AU1" s="639"/>
      <c r="AV1" s="639"/>
      <c r="AW1" s="639"/>
      <c r="AX1" s="639"/>
      <c r="AY1" s="639"/>
      <c r="AZ1" s="639"/>
      <c r="BA1" s="690"/>
      <c r="BB1" s="690"/>
      <c r="BC1" s="690"/>
      <c r="BD1" s="690"/>
      <c r="BE1" s="690"/>
      <c r="BF1" s="690"/>
      <c r="BG1" s="690"/>
      <c r="BH1" s="690"/>
      <c r="BI1" s="690"/>
      <c r="BJ1" s="639"/>
      <c r="BK1" s="639"/>
      <c r="BL1" s="639"/>
      <c r="BM1" s="639"/>
      <c r="BN1" s="639"/>
      <c r="BO1" s="639"/>
      <c r="BP1" s="639"/>
      <c r="BQ1" s="639"/>
      <c r="BR1" s="639"/>
      <c r="BS1" s="639"/>
      <c r="BT1" s="639"/>
      <c r="BU1" s="639"/>
      <c r="BV1" s="639"/>
      <c r="BW1" s="639"/>
      <c r="BX1" s="639"/>
      <c r="BY1" s="639"/>
      <c r="BZ1" s="639"/>
      <c r="CA1" s="639"/>
      <c r="CB1" s="639"/>
      <c r="CC1" s="639"/>
      <c r="CD1" s="639"/>
      <c r="CE1" s="639"/>
      <c r="CF1" s="639"/>
      <c r="CG1" s="639"/>
      <c r="CH1" s="639"/>
      <c r="CI1" s="639"/>
      <c r="CJ1" s="639"/>
      <c r="CK1" s="639"/>
      <c r="CL1" s="639"/>
      <c r="CM1" s="639"/>
      <c r="CN1" s="639"/>
      <c r="CO1" s="639"/>
      <c r="CP1" s="639"/>
      <c r="CQ1" s="640"/>
      <c r="CR1" s="640"/>
    </row>
    <row r="2" spans="1:96" ht="12.75" customHeight="1">
      <c r="A2" s="844" t="s">
        <v>304</v>
      </c>
      <c r="B2" s="844"/>
      <c r="C2" s="844"/>
      <c r="D2" s="844"/>
      <c r="E2" s="844"/>
      <c r="F2" s="844"/>
      <c r="G2" s="844"/>
      <c r="H2" s="844"/>
      <c r="I2" s="844"/>
      <c r="J2" s="844"/>
      <c r="K2" s="844"/>
      <c r="L2" s="844"/>
      <c r="M2" s="844"/>
      <c r="N2" s="844"/>
      <c r="O2" s="844"/>
      <c r="P2" s="844"/>
      <c r="Q2" s="844"/>
      <c r="R2" s="844"/>
      <c r="S2" s="844"/>
      <c r="T2" s="844"/>
      <c r="U2" s="844"/>
      <c r="V2" s="844"/>
      <c r="W2" s="844"/>
      <c r="X2" s="844"/>
      <c r="Y2" s="844"/>
      <c r="Z2" s="844"/>
      <c r="AA2" s="844"/>
      <c r="AB2" s="844"/>
      <c r="AC2" s="844"/>
      <c r="AD2" s="844"/>
      <c r="AE2" s="844"/>
      <c r="AF2" s="845" t="s">
        <v>305</v>
      </c>
      <c r="AG2" s="845"/>
      <c r="AH2" s="845"/>
      <c r="AI2" s="845"/>
      <c r="AJ2" s="845"/>
      <c r="AK2" s="845"/>
      <c r="AL2" s="845"/>
      <c r="AM2" s="845"/>
      <c r="AN2" s="845"/>
      <c r="AO2" s="845"/>
      <c r="AP2" s="845"/>
      <c r="AQ2" s="845"/>
      <c r="AR2" s="845"/>
      <c r="AS2" s="845"/>
      <c r="AT2" s="845"/>
      <c r="AU2" s="845"/>
      <c r="AV2" s="845"/>
      <c r="AW2" s="845"/>
      <c r="AX2" s="845"/>
      <c r="AY2" s="845"/>
      <c r="AZ2" s="845"/>
      <c r="BA2" s="845"/>
      <c r="BB2" s="845"/>
      <c r="BC2" s="845"/>
      <c r="BD2" s="845"/>
      <c r="BE2" s="845"/>
      <c r="BF2" s="845"/>
      <c r="BG2" s="845"/>
      <c r="BH2" s="845"/>
      <c r="BI2" s="845"/>
      <c r="BJ2" s="845"/>
      <c r="BK2" s="845"/>
      <c r="BL2" s="845"/>
      <c r="BM2" s="845"/>
      <c r="BN2" s="845"/>
      <c r="BO2" s="845"/>
      <c r="BP2" s="845"/>
      <c r="BQ2" s="845"/>
      <c r="BR2" s="845"/>
      <c r="BS2" s="845"/>
      <c r="BT2" s="845"/>
      <c r="BU2" s="845"/>
      <c r="BV2" s="845"/>
      <c r="BW2" s="845"/>
      <c r="BX2" s="845"/>
      <c r="BY2" s="845"/>
      <c r="BZ2" s="845"/>
      <c r="CA2" s="845"/>
      <c r="CB2" s="845"/>
      <c r="CC2" s="845"/>
      <c r="CD2" s="845"/>
      <c r="CE2" s="845"/>
      <c r="CF2" s="845"/>
      <c r="CG2" s="845"/>
      <c r="CH2" s="845"/>
      <c r="CI2" s="845"/>
      <c r="CJ2" s="845"/>
      <c r="CK2" s="845"/>
      <c r="CL2" s="845"/>
      <c r="CM2" s="845"/>
      <c r="CN2" s="845"/>
      <c r="CO2" s="845"/>
      <c r="CP2" s="845"/>
      <c r="CQ2" s="845"/>
      <c r="CR2" s="845"/>
    </row>
    <row r="3" spans="1:96" ht="27.75" customHeight="1">
      <c r="A3" s="846" t="s">
        <v>306</v>
      </c>
      <c r="B3" s="847"/>
      <c r="C3" s="847" t="s">
        <v>307</v>
      </c>
      <c r="D3" s="847"/>
      <c r="E3" s="847"/>
      <c r="F3" s="847"/>
      <c r="G3" s="847"/>
      <c r="H3" s="847"/>
      <c r="I3" s="847"/>
      <c r="J3" s="847"/>
      <c r="K3" s="847"/>
      <c r="L3" s="847"/>
      <c r="M3" s="847"/>
      <c r="N3" s="847"/>
      <c r="O3" s="847"/>
      <c r="P3" s="847"/>
      <c r="Q3" s="848" t="s">
        <v>308</v>
      </c>
      <c r="R3" s="849"/>
      <c r="S3" s="849"/>
      <c r="T3" s="849"/>
      <c r="U3" s="849"/>
      <c r="V3" s="849"/>
      <c r="W3" s="850"/>
      <c r="X3" s="848" t="s">
        <v>309</v>
      </c>
      <c r="Y3" s="849"/>
      <c r="Z3" s="849"/>
      <c r="AA3" s="850"/>
      <c r="AB3" s="854" t="s">
        <v>310</v>
      </c>
      <c r="AC3" s="855"/>
      <c r="AD3" s="854" t="s">
        <v>311</v>
      </c>
      <c r="AE3" s="855"/>
      <c r="AF3" s="848" t="s">
        <v>312</v>
      </c>
      <c r="AG3" s="849"/>
      <c r="AH3" s="849"/>
      <c r="AI3" s="850"/>
      <c r="AJ3" s="848" t="s">
        <v>313</v>
      </c>
      <c r="AK3" s="849"/>
      <c r="AL3" s="849"/>
      <c r="AM3" s="849"/>
      <c r="AN3" s="849"/>
      <c r="AO3" s="850"/>
      <c r="AP3" s="848" t="s">
        <v>314</v>
      </c>
      <c r="AQ3" s="849"/>
      <c r="AR3" s="849"/>
      <c r="AS3" s="849"/>
      <c r="AT3" s="849"/>
      <c r="AU3" s="849"/>
      <c r="AV3" s="849"/>
      <c r="AW3" s="849"/>
      <c r="AX3" s="849"/>
      <c r="AY3" s="849"/>
      <c r="AZ3" s="850"/>
      <c r="BA3" s="859" t="s">
        <v>606</v>
      </c>
      <c r="BB3" s="860"/>
      <c r="BC3" s="860"/>
      <c r="BD3" s="860"/>
      <c r="BE3" s="860"/>
      <c r="BF3" s="860"/>
      <c r="BG3" s="860"/>
      <c r="BH3" s="860"/>
      <c r="BI3" s="860"/>
      <c r="BJ3" s="846" t="s">
        <v>315</v>
      </c>
      <c r="BK3" s="846"/>
      <c r="BL3" s="846"/>
      <c r="BM3" s="846"/>
      <c r="BN3" s="846"/>
      <c r="BO3" s="846"/>
      <c r="BP3" s="846"/>
      <c r="BQ3" s="846"/>
      <c r="BR3" s="846"/>
      <c r="BS3" s="846"/>
      <c r="BT3" s="846"/>
      <c r="BU3" s="846"/>
      <c r="BV3" s="846"/>
      <c r="BW3" s="846"/>
      <c r="BX3" s="846"/>
      <c r="BY3" s="846"/>
      <c r="BZ3" s="846"/>
      <c r="CA3" s="846"/>
      <c r="CB3" s="846"/>
      <c r="CC3" s="846"/>
      <c r="CD3" s="846"/>
      <c r="CE3" s="846"/>
      <c r="CF3" s="846"/>
      <c r="CG3" s="846"/>
      <c r="CH3" s="846"/>
      <c r="CI3" s="846"/>
      <c r="CJ3" s="846"/>
      <c r="CK3" s="846"/>
      <c r="CL3" s="846"/>
      <c r="CM3" s="846"/>
      <c r="CN3" s="846"/>
      <c r="CO3" s="846"/>
      <c r="CP3" s="846"/>
      <c r="CQ3" s="846"/>
      <c r="CR3" s="846"/>
    </row>
    <row r="4" spans="1:96" ht="27.75" customHeight="1">
      <c r="A4" s="847"/>
      <c r="B4" s="847"/>
      <c r="C4" s="858" t="s">
        <v>316</v>
      </c>
      <c r="D4" s="858"/>
      <c r="E4" s="858"/>
      <c r="F4" s="858"/>
      <c r="G4" s="858"/>
      <c r="H4" s="858"/>
      <c r="I4" s="858"/>
      <c r="J4" s="858" t="s">
        <v>317</v>
      </c>
      <c r="K4" s="858"/>
      <c r="L4" s="858"/>
      <c r="M4" s="858"/>
      <c r="N4" s="858"/>
      <c r="O4" s="858"/>
      <c r="P4" s="858"/>
      <c r="Q4" s="851"/>
      <c r="R4" s="852"/>
      <c r="S4" s="852"/>
      <c r="T4" s="852"/>
      <c r="U4" s="852"/>
      <c r="V4" s="852"/>
      <c r="W4" s="853"/>
      <c r="X4" s="851"/>
      <c r="Y4" s="852"/>
      <c r="Z4" s="852"/>
      <c r="AA4" s="853"/>
      <c r="AB4" s="856"/>
      <c r="AC4" s="857"/>
      <c r="AD4" s="856"/>
      <c r="AE4" s="857"/>
      <c r="AF4" s="851"/>
      <c r="AG4" s="852"/>
      <c r="AH4" s="852"/>
      <c r="AI4" s="853"/>
      <c r="AJ4" s="851"/>
      <c r="AK4" s="852"/>
      <c r="AL4" s="852"/>
      <c r="AM4" s="852"/>
      <c r="AN4" s="852"/>
      <c r="AO4" s="853"/>
      <c r="AP4" s="851"/>
      <c r="AQ4" s="852"/>
      <c r="AR4" s="852"/>
      <c r="AS4" s="852"/>
      <c r="AT4" s="852"/>
      <c r="AU4" s="852"/>
      <c r="AV4" s="852"/>
      <c r="AW4" s="852"/>
      <c r="AX4" s="852"/>
      <c r="AY4" s="852"/>
      <c r="AZ4" s="853"/>
      <c r="BA4" s="861"/>
      <c r="BB4" s="862"/>
      <c r="BC4" s="862"/>
      <c r="BD4" s="862"/>
      <c r="BE4" s="862"/>
      <c r="BF4" s="862"/>
      <c r="BG4" s="862"/>
      <c r="BH4" s="862"/>
      <c r="BI4" s="862"/>
      <c r="BJ4" s="846"/>
      <c r="BK4" s="846"/>
      <c r="BL4" s="846"/>
      <c r="BM4" s="846"/>
      <c r="BN4" s="846"/>
      <c r="BO4" s="846"/>
      <c r="BP4" s="846"/>
      <c r="BQ4" s="846"/>
      <c r="BR4" s="846"/>
      <c r="BS4" s="846"/>
      <c r="BT4" s="846"/>
      <c r="BU4" s="846"/>
      <c r="BV4" s="846"/>
      <c r="BW4" s="846"/>
      <c r="BX4" s="846"/>
      <c r="BY4" s="846"/>
      <c r="BZ4" s="846"/>
      <c r="CA4" s="846"/>
      <c r="CB4" s="846"/>
      <c r="CC4" s="846"/>
      <c r="CD4" s="846"/>
      <c r="CE4" s="846"/>
      <c r="CF4" s="846"/>
      <c r="CG4" s="846"/>
      <c r="CH4" s="846"/>
      <c r="CI4" s="846"/>
      <c r="CJ4" s="846"/>
      <c r="CK4" s="846"/>
      <c r="CL4" s="846"/>
      <c r="CM4" s="846"/>
      <c r="CN4" s="846"/>
      <c r="CO4" s="846"/>
      <c r="CP4" s="846"/>
      <c r="CQ4" s="846"/>
      <c r="CR4" s="846"/>
    </row>
    <row r="5" spans="1:96">
      <c r="A5" s="801" t="s">
        <v>318</v>
      </c>
      <c r="B5" s="802"/>
      <c r="C5" s="828" t="s">
        <v>319</v>
      </c>
      <c r="D5" s="829"/>
      <c r="E5" s="829"/>
      <c r="F5" s="829"/>
      <c r="G5" s="829"/>
      <c r="H5" s="829"/>
      <c r="I5" s="830"/>
      <c r="J5" s="809"/>
      <c r="K5" s="810"/>
      <c r="L5" s="810"/>
      <c r="M5" s="810"/>
      <c r="N5" s="810"/>
      <c r="O5" s="810"/>
      <c r="P5" s="811"/>
      <c r="Q5" s="803"/>
      <c r="R5" s="804"/>
      <c r="S5" s="804"/>
      <c r="T5" s="804"/>
      <c r="U5" s="804"/>
      <c r="V5" s="804"/>
      <c r="W5" s="805"/>
      <c r="X5" s="806"/>
      <c r="Y5" s="807"/>
      <c r="Z5" s="807"/>
      <c r="AA5" s="808"/>
      <c r="AB5" s="789"/>
      <c r="AC5" s="790"/>
      <c r="AD5" s="789"/>
      <c r="AE5" s="790"/>
      <c r="AF5" s="791"/>
      <c r="AG5" s="792"/>
      <c r="AH5" s="792"/>
      <c r="AI5" s="793"/>
      <c r="AJ5" s="791"/>
      <c r="AK5" s="792"/>
      <c r="AL5" s="792"/>
      <c r="AM5" s="792"/>
      <c r="AN5" s="792"/>
      <c r="AO5" s="793"/>
      <c r="AP5" s="794"/>
      <c r="AQ5" s="774"/>
      <c r="AR5" s="774"/>
      <c r="AS5" s="774"/>
      <c r="AT5" s="774"/>
      <c r="AU5" s="774"/>
      <c r="AV5" s="774"/>
      <c r="AW5" s="774"/>
      <c r="AX5" s="774"/>
      <c r="AY5" s="774"/>
      <c r="AZ5" s="795"/>
      <c r="BA5" s="796"/>
      <c r="BB5" s="797"/>
      <c r="BC5" s="797"/>
      <c r="BD5" s="797"/>
      <c r="BE5" s="797"/>
      <c r="BF5" s="797"/>
      <c r="BG5" s="797"/>
      <c r="BH5" s="797"/>
      <c r="BI5" s="797"/>
      <c r="BJ5" s="773"/>
      <c r="BK5" s="774"/>
      <c r="BL5" s="774"/>
      <c r="BM5" s="774"/>
      <c r="BN5" s="774"/>
      <c r="BO5" s="774"/>
      <c r="BP5" s="774"/>
      <c r="BQ5" s="774"/>
      <c r="BR5" s="774"/>
      <c r="BS5" s="774"/>
      <c r="BT5" s="774"/>
      <c r="BU5" s="774"/>
      <c r="BV5" s="774"/>
      <c r="BW5" s="774"/>
      <c r="BX5" s="774"/>
      <c r="BY5" s="774"/>
      <c r="BZ5" s="774"/>
      <c r="CA5" s="774"/>
      <c r="CB5" s="774"/>
      <c r="CC5" s="774"/>
      <c r="CD5" s="774"/>
      <c r="CE5" s="774"/>
      <c r="CF5" s="774"/>
      <c r="CG5" s="774"/>
      <c r="CH5" s="774"/>
      <c r="CI5" s="774"/>
      <c r="CJ5" s="774"/>
      <c r="CK5" s="774"/>
      <c r="CL5" s="774"/>
      <c r="CM5" s="774"/>
      <c r="CN5" s="774"/>
      <c r="CO5" s="774"/>
      <c r="CP5" s="774"/>
      <c r="CQ5" s="774"/>
      <c r="CR5" s="775"/>
    </row>
    <row r="6" spans="1:96">
      <c r="A6" s="801" t="s">
        <v>320</v>
      </c>
      <c r="B6" s="802"/>
      <c r="C6" s="828"/>
      <c r="D6" s="829"/>
      <c r="E6" s="829"/>
      <c r="F6" s="829"/>
      <c r="G6" s="829"/>
      <c r="H6" s="829"/>
      <c r="I6" s="830"/>
      <c r="J6" s="809" t="s">
        <v>321</v>
      </c>
      <c r="K6" s="810"/>
      <c r="L6" s="810"/>
      <c r="M6" s="810"/>
      <c r="N6" s="810"/>
      <c r="O6" s="810"/>
      <c r="P6" s="811"/>
      <c r="Q6" s="778" t="s">
        <v>322</v>
      </c>
      <c r="R6" s="779"/>
      <c r="S6" s="779"/>
      <c r="T6" s="779"/>
      <c r="U6" s="779"/>
      <c r="V6" s="779"/>
      <c r="W6" s="780"/>
      <c r="X6" s="825" t="s">
        <v>323</v>
      </c>
      <c r="Y6" s="826"/>
      <c r="Z6" s="826"/>
      <c r="AA6" s="827"/>
      <c r="AB6" s="789" t="s">
        <v>324</v>
      </c>
      <c r="AC6" s="790"/>
      <c r="AD6" s="789" t="s">
        <v>325</v>
      </c>
      <c r="AE6" s="790"/>
      <c r="AF6" s="794" t="s">
        <v>302</v>
      </c>
      <c r="AG6" s="774"/>
      <c r="AH6" s="774"/>
      <c r="AI6" s="795"/>
      <c r="AJ6" s="822"/>
      <c r="AK6" s="823"/>
      <c r="AL6" s="823"/>
      <c r="AM6" s="823"/>
      <c r="AN6" s="823"/>
      <c r="AO6" s="824"/>
      <c r="AP6" s="794" t="s">
        <v>302</v>
      </c>
      <c r="AQ6" s="774"/>
      <c r="AR6" s="774"/>
      <c r="AS6" s="774"/>
      <c r="AT6" s="774"/>
      <c r="AU6" s="774"/>
      <c r="AV6" s="774"/>
      <c r="AW6" s="774"/>
      <c r="AX6" s="774"/>
      <c r="AY6" s="774"/>
      <c r="AZ6" s="795"/>
      <c r="BA6" s="796"/>
      <c r="BB6" s="797"/>
      <c r="BC6" s="797"/>
      <c r="BD6" s="797"/>
      <c r="BE6" s="797"/>
      <c r="BF6" s="797"/>
      <c r="BG6" s="797"/>
      <c r="BH6" s="797"/>
      <c r="BI6" s="797"/>
      <c r="BJ6" s="773"/>
      <c r="BK6" s="774"/>
      <c r="BL6" s="774"/>
      <c r="BM6" s="774"/>
      <c r="BN6" s="774"/>
      <c r="BO6" s="774"/>
      <c r="BP6" s="774"/>
      <c r="BQ6" s="774"/>
      <c r="BR6" s="774"/>
      <c r="BS6" s="774"/>
      <c r="BT6" s="774"/>
      <c r="BU6" s="774"/>
      <c r="BV6" s="774"/>
      <c r="BW6" s="774"/>
      <c r="BX6" s="774"/>
      <c r="BY6" s="774"/>
      <c r="BZ6" s="774"/>
      <c r="CA6" s="774"/>
      <c r="CB6" s="774"/>
      <c r="CC6" s="774"/>
      <c r="CD6" s="774"/>
      <c r="CE6" s="774"/>
      <c r="CF6" s="774"/>
      <c r="CG6" s="774"/>
      <c r="CH6" s="774"/>
      <c r="CI6" s="774"/>
      <c r="CJ6" s="774"/>
      <c r="CK6" s="774"/>
      <c r="CL6" s="774"/>
      <c r="CM6" s="774"/>
      <c r="CN6" s="774"/>
      <c r="CO6" s="774"/>
      <c r="CP6" s="774"/>
      <c r="CQ6" s="774"/>
      <c r="CR6" s="775"/>
    </row>
    <row r="7" spans="1:96" ht="15.75" customHeight="1">
      <c r="A7" s="801" t="s">
        <v>423</v>
      </c>
      <c r="B7" s="802"/>
      <c r="C7" s="831" t="s">
        <v>424</v>
      </c>
      <c r="D7" s="832"/>
      <c r="E7" s="832"/>
      <c r="F7" s="832"/>
      <c r="G7" s="832"/>
      <c r="H7" s="832"/>
      <c r="I7" s="833"/>
      <c r="J7" s="834"/>
      <c r="K7" s="834"/>
      <c r="L7" s="834"/>
      <c r="M7" s="834"/>
      <c r="N7" s="834"/>
      <c r="O7" s="834"/>
      <c r="P7" s="834"/>
      <c r="Q7" s="841"/>
      <c r="R7" s="832"/>
      <c r="S7" s="832"/>
      <c r="T7" s="832"/>
      <c r="U7" s="832"/>
      <c r="V7" s="832"/>
      <c r="W7" s="842"/>
      <c r="X7" s="825"/>
      <c r="Y7" s="826"/>
      <c r="Z7" s="826"/>
      <c r="AA7" s="827"/>
      <c r="AB7" s="789"/>
      <c r="AC7" s="790"/>
      <c r="AD7" s="789"/>
      <c r="AE7" s="790"/>
      <c r="AF7" s="798"/>
      <c r="AG7" s="799"/>
      <c r="AH7" s="799"/>
      <c r="AI7" s="800"/>
      <c r="AJ7" s="798"/>
      <c r="AK7" s="799"/>
      <c r="AL7" s="799"/>
      <c r="AM7" s="799"/>
      <c r="AN7" s="799"/>
      <c r="AO7" s="800"/>
      <c r="AP7" s="794"/>
      <c r="AQ7" s="774"/>
      <c r="AR7" s="774"/>
      <c r="AS7" s="774"/>
      <c r="AT7" s="774"/>
      <c r="AU7" s="774"/>
      <c r="AV7" s="774"/>
      <c r="AW7" s="774"/>
      <c r="AX7" s="774"/>
      <c r="AY7" s="774"/>
      <c r="AZ7" s="795"/>
      <c r="BA7" s="796"/>
      <c r="BB7" s="797"/>
      <c r="BC7" s="797"/>
      <c r="BD7" s="797"/>
      <c r="BE7" s="797"/>
      <c r="BF7" s="797"/>
      <c r="BG7" s="797"/>
      <c r="BH7" s="797"/>
      <c r="BI7" s="797"/>
      <c r="BJ7" s="776"/>
      <c r="BK7" s="820"/>
      <c r="BL7" s="820"/>
      <c r="BM7" s="820"/>
      <c r="BN7" s="820"/>
      <c r="BO7" s="820"/>
      <c r="BP7" s="820"/>
      <c r="BQ7" s="820"/>
      <c r="BR7" s="820"/>
      <c r="BS7" s="820"/>
      <c r="BT7" s="820"/>
      <c r="BU7" s="820"/>
      <c r="BV7" s="820"/>
      <c r="BW7" s="820"/>
      <c r="BX7" s="820"/>
      <c r="BY7" s="820"/>
      <c r="BZ7" s="820"/>
      <c r="CA7" s="820"/>
      <c r="CB7" s="820"/>
      <c r="CC7" s="820"/>
      <c r="CD7" s="820"/>
      <c r="CE7" s="820"/>
      <c r="CF7" s="820"/>
      <c r="CG7" s="820"/>
      <c r="CH7" s="820"/>
      <c r="CI7" s="820"/>
      <c r="CJ7" s="820"/>
      <c r="CK7" s="820"/>
      <c r="CL7" s="820"/>
      <c r="CM7" s="820"/>
      <c r="CN7" s="820"/>
      <c r="CO7" s="820"/>
      <c r="CP7" s="820"/>
      <c r="CQ7" s="820"/>
      <c r="CR7" s="821"/>
    </row>
    <row r="8" spans="1:96" ht="25.5" customHeight="1">
      <c r="A8" s="801">
        <v>2.1</v>
      </c>
      <c r="B8" s="802"/>
      <c r="C8" s="828"/>
      <c r="D8" s="829"/>
      <c r="E8" s="829"/>
      <c r="F8" s="829"/>
      <c r="G8" s="829"/>
      <c r="H8" s="829"/>
      <c r="I8" s="830"/>
      <c r="J8" s="803" t="s">
        <v>333</v>
      </c>
      <c r="K8" s="804"/>
      <c r="L8" s="804"/>
      <c r="M8" s="804"/>
      <c r="N8" s="804"/>
      <c r="O8" s="804"/>
      <c r="P8" s="805"/>
      <c r="Q8" s="778" t="s">
        <v>425</v>
      </c>
      <c r="R8" s="779"/>
      <c r="S8" s="779"/>
      <c r="T8" s="779"/>
      <c r="U8" s="779"/>
      <c r="V8" s="779"/>
      <c r="W8" s="780"/>
      <c r="X8" s="786" t="s">
        <v>326</v>
      </c>
      <c r="Y8" s="787"/>
      <c r="Z8" s="787"/>
      <c r="AA8" s="788"/>
      <c r="AB8" s="789" t="s">
        <v>327</v>
      </c>
      <c r="AC8" s="790"/>
      <c r="AD8" s="789" t="s">
        <v>328</v>
      </c>
      <c r="AE8" s="790"/>
      <c r="AF8" s="835">
        <v>255</v>
      </c>
      <c r="AG8" s="836"/>
      <c r="AH8" s="836"/>
      <c r="AI8" s="837"/>
      <c r="AJ8" s="838"/>
      <c r="AK8" s="839"/>
      <c r="AL8" s="839"/>
      <c r="AM8" s="839"/>
      <c r="AN8" s="839"/>
      <c r="AO8" s="840"/>
      <c r="AP8" s="815"/>
      <c r="AQ8" s="816"/>
      <c r="AR8" s="816"/>
      <c r="AS8" s="816"/>
      <c r="AT8" s="816"/>
      <c r="AU8" s="816"/>
      <c r="AV8" s="816"/>
      <c r="AW8" s="816"/>
      <c r="AX8" s="816"/>
      <c r="AY8" s="816"/>
      <c r="AZ8" s="817"/>
      <c r="BA8" s="863"/>
      <c r="BB8" s="864"/>
      <c r="BC8" s="864"/>
      <c r="BD8" s="864"/>
      <c r="BE8" s="864"/>
      <c r="BF8" s="864"/>
      <c r="BG8" s="864"/>
      <c r="BH8" s="864"/>
      <c r="BI8" s="864"/>
      <c r="BJ8" s="818" t="s">
        <v>611</v>
      </c>
      <c r="BK8" s="816"/>
      <c r="BL8" s="816"/>
      <c r="BM8" s="816"/>
      <c r="BN8" s="816"/>
      <c r="BO8" s="816"/>
      <c r="BP8" s="816"/>
      <c r="BQ8" s="816"/>
      <c r="BR8" s="816"/>
      <c r="BS8" s="816"/>
      <c r="BT8" s="816"/>
      <c r="BU8" s="816"/>
      <c r="BV8" s="816"/>
      <c r="BW8" s="816"/>
      <c r="BX8" s="816"/>
      <c r="BY8" s="816"/>
      <c r="BZ8" s="816"/>
      <c r="CA8" s="816"/>
      <c r="CB8" s="816"/>
      <c r="CC8" s="816"/>
      <c r="CD8" s="816"/>
      <c r="CE8" s="816"/>
      <c r="CF8" s="816"/>
      <c r="CG8" s="816"/>
      <c r="CH8" s="816"/>
      <c r="CI8" s="816"/>
      <c r="CJ8" s="816"/>
      <c r="CK8" s="816"/>
      <c r="CL8" s="816"/>
      <c r="CM8" s="816"/>
      <c r="CN8" s="816"/>
      <c r="CO8" s="816"/>
      <c r="CP8" s="816"/>
      <c r="CQ8" s="816"/>
      <c r="CR8" s="819"/>
    </row>
    <row r="9" spans="1:96" ht="54.75" customHeight="1">
      <c r="A9" s="801" t="s">
        <v>426</v>
      </c>
      <c r="B9" s="802"/>
      <c r="C9" s="778"/>
      <c r="D9" s="779"/>
      <c r="E9" s="779"/>
      <c r="F9" s="779"/>
      <c r="G9" s="779"/>
      <c r="H9" s="779"/>
      <c r="I9" s="780"/>
      <c r="J9" s="803" t="s">
        <v>330</v>
      </c>
      <c r="K9" s="804"/>
      <c r="L9" s="804"/>
      <c r="M9" s="804"/>
      <c r="N9" s="804"/>
      <c r="O9" s="804"/>
      <c r="P9" s="805"/>
      <c r="Q9" s="783" t="s">
        <v>425</v>
      </c>
      <c r="R9" s="784"/>
      <c r="S9" s="784"/>
      <c r="T9" s="784"/>
      <c r="U9" s="784"/>
      <c r="V9" s="784"/>
      <c r="W9" s="785"/>
      <c r="X9" s="812" t="s">
        <v>326</v>
      </c>
      <c r="Y9" s="813"/>
      <c r="Z9" s="813"/>
      <c r="AA9" s="814"/>
      <c r="AB9" s="789" t="s">
        <v>327</v>
      </c>
      <c r="AC9" s="790"/>
      <c r="AD9" s="789" t="s">
        <v>328</v>
      </c>
      <c r="AE9" s="790"/>
      <c r="AF9" s="791">
        <v>100</v>
      </c>
      <c r="AG9" s="792"/>
      <c r="AH9" s="792"/>
      <c r="AI9" s="793"/>
      <c r="AJ9" s="791"/>
      <c r="AK9" s="792"/>
      <c r="AL9" s="792"/>
      <c r="AM9" s="792"/>
      <c r="AN9" s="792"/>
      <c r="AO9" s="793"/>
      <c r="AP9" s="794"/>
      <c r="AQ9" s="774"/>
      <c r="AR9" s="774"/>
      <c r="AS9" s="774"/>
      <c r="AT9" s="774"/>
      <c r="AU9" s="774"/>
      <c r="AV9" s="774"/>
      <c r="AW9" s="774"/>
      <c r="AX9" s="774"/>
      <c r="AY9" s="774"/>
      <c r="AZ9" s="795"/>
      <c r="BA9" s="863"/>
      <c r="BB9" s="864"/>
      <c r="BC9" s="864"/>
      <c r="BD9" s="864"/>
      <c r="BE9" s="864"/>
      <c r="BF9" s="864"/>
      <c r="BG9" s="864"/>
      <c r="BH9" s="864"/>
      <c r="BI9" s="864"/>
      <c r="BJ9" s="773" t="s">
        <v>587</v>
      </c>
      <c r="BK9" s="774"/>
      <c r="BL9" s="774"/>
      <c r="BM9" s="774"/>
      <c r="BN9" s="774"/>
      <c r="BO9" s="774"/>
      <c r="BP9" s="774"/>
      <c r="BQ9" s="774"/>
      <c r="BR9" s="774"/>
      <c r="BS9" s="774"/>
      <c r="BT9" s="774"/>
      <c r="BU9" s="774"/>
      <c r="BV9" s="774"/>
      <c r="BW9" s="774"/>
      <c r="BX9" s="774"/>
      <c r="BY9" s="774"/>
      <c r="BZ9" s="774"/>
      <c r="CA9" s="774"/>
      <c r="CB9" s="774"/>
      <c r="CC9" s="774"/>
      <c r="CD9" s="774"/>
      <c r="CE9" s="774"/>
      <c r="CF9" s="774"/>
      <c r="CG9" s="774"/>
      <c r="CH9" s="774"/>
      <c r="CI9" s="774"/>
      <c r="CJ9" s="774"/>
      <c r="CK9" s="774"/>
      <c r="CL9" s="774"/>
      <c r="CM9" s="774"/>
      <c r="CN9" s="774"/>
      <c r="CO9" s="774"/>
      <c r="CP9" s="774"/>
      <c r="CQ9" s="774"/>
      <c r="CR9" s="775"/>
    </row>
    <row r="10" spans="1:96" ht="141" customHeight="1">
      <c r="A10" s="801" t="s">
        <v>435</v>
      </c>
      <c r="B10" s="802"/>
      <c r="C10" s="778"/>
      <c r="D10" s="779"/>
      <c r="E10" s="779"/>
      <c r="F10" s="779"/>
      <c r="G10" s="779"/>
      <c r="H10" s="779"/>
      <c r="I10" s="780"/>
      <c r="J10" s="809" t="s">
        <v>427</v>
      </c>
      <c r="K10" s="810"/>
      <c r="L10" s="810"/>
      <c r="M10" s="810"/>
      <c r="N10" s="810"/>
      <c r="O10" s="810"/>
      <c r="P10" s="811"/>
      <c r="Q10" s="809" t="s">
        <v>428</v>
      </c>
      <c r="R10" s="810"/>
      <c r="S10" s="810"/>
      <c r="T10" s="810"/>
      <c r="U10" s="810"/>
      <c r="V10" s="810"/>
      <c r="W10" s="811"/>
      <c r="X10" s="812" t="s">
        <v>326</v>
      </c>
      <c r="Y10" s="813"/>
      <c r="Z10" s="813"/>
      <c r="AA10" s="814"/>
      <c r="AB10" s="789" t="s">
        <v>327</v>
      </c>
      <c r="AC10" s="790"/>
      <c r="AD10" s="789" t="s">
        <v>328</v>
      </c>
      <c r="AE10" s="790"/>
      <c r="AF10" s="791"/>
      <c r="AG10" s="792"/>
      <c r="AH10" s="792"/>
      <c r="AI10" s="793"/>
      <c r="AJ10" s="791"/>
      <c r="AK10" s="792"/>
      <c r="AL10" s="792"/>
      <c r="AM10" s="792"/>
      <c r="AN10" s="792"/>
      <c r="AO10" s="793"/>
      <c r="AP10" s="794"/>
      <c r="AQ10" s="774"/>
      <c r="AR10" s="774"/>
      <c r="AS10" s="774"/>
      <c r="AT10" s="774"/>
      <c r="AU10" s="774"/>
      <c r="AV10" s="774"/>
      <c r="AW10" s="774"/>
      <c r="AX10" s="774"/>
      <c r="AY10" s="774"/>
      <c r="AZ10" s="795"/>
      <c r="BA10" s="796"/>
      <c r="BB10" s="797"/>
      <c r="BC10" s="797"/>
      <c r="BD10" s="797"/>
      <c r="BE10" s="797"/>
      <c r="BF10" s="797"/>
      <c r="BG10" s="797"/>
      <c r="BH10" s="797"/>
      <c r="BI10" s="797"/>
      <c r="BJ10" s="773" t="s">
        <v>589</v>
      </c>
      <c r="BK10" s="774"/>
      <c r="BL10" s="774"/>
      <c r="BM10" s="774"/>
      <c r="BN10" s="774"/>
      <c r="BO10" s="774"/>
      <c r="BP10" s="774"/>
      <c r="BQ10" s="774"/>
      <c r="BR10" s="774"/>
      <c r="BS10" s="774"/>
      <c r="BT10" s="774"/>
      <c r="BU10" s="774"/>
      <c r="BV10" s="774"/>
      <c r="BW10" s="774"/>
      <c r="BX10" s="774"/>
      <c r="BY10" s="774"/>
      <c r="BZ10" s="774"/>
      <c r="CA10" s="774"/>
      <c r="CB10" s="774"/>
      <c r="CC10" s="774"/>
      <c r="CD10" s="774"/>
      <c r="CE10" s="774"/>
      <c r="CF10" s="774"/>
      <c r="CG10" s="774"/>
      <c r="CH10" s="774"/>
      <c r="CI10" s="774"/>
      <c r="CJ10" s="774"/>
      <c r="CK10" s="774"/>
      <c r="CL10" s="774"/>
      <c r="CM10" s="774"/>
      <c r="CN10" s="774"/>
      <c r="CO10" s="774"/>
      <c r="CP10" s="774"/>
      <c r="CQ10" s="774"/>
      <c r="CR10" s="775"/>
    </row>
    <row r="11" spans="1:96" ht="33.75" customHeight="1">
      <c r="A11" s="801" t="s">
        <v>436</v>
      </c>
      <c r="B11" s="802"/>
      <c r="C11" s="648"/>
      <c r="D11" s="649"/>
      <c r="E11" s="649"/>
      <c r="F11" s="649"/>
      <c r="G11" s="649"/>
      <c r="H11" s="649"/>
      <c r="I11" s="650"/>
      <c r="J11" s="815" t="s">
        <v>429</v>
      </c>
      <c r="K11" s="816"/>
      <c r="L11" s="816"/>
      <c r="M11" s="816"/>
      <c r="N11" s="816"/>
      <c r="O11" s="816"/>
      <c r="P11" s="817"/>
      <c r="Q11" s="809" t="s">
        <v>430</v>
      </c>
      <c r="R11" s="810"/>
      <c r="S11" s="810"/>
      <c r="T11" s="810"/>
      <c r="U11" s="810"/>
      <c r="V11" s="810"/>
      <c r="W11" s="811"/>
      <c r="X11" s="812" t="s">
        <v>326</v>
      </c>
      <c r="Y11" s="813"/>
      <c r="Z11" s="813"/>
      <c r="AA11" s="814"/>
      <c r="AB11" s="789" t="s">
        <v>327</v>
      </c>
      <c r="AC11" s="790"/>
      <c r="AD11" s="789" t="s">
        <v>328</v>
      </c>
      <c r="AE11" s="790"/>
      <c r="AF11" s="642"/>
      <c r="AG11" s="643"/>
      <c r="AH11" s="643"/>
      <c r="AI11" s="644"/>
      <c r="AJ11" s="642"/>
      <c r="AK11" s="643"/>
      <c r="AL11" s="643"/>
      <c r="AM11" s="643"/>
      <c r="AN11" s="643"/>
      <c r="AO11" s="644"/>
      <c r="AP11" s="794"/>
      <c r="AQ11" s="774"/>
      <c r="AR11" s="774"/>
      <c r="AS11" s="774"/>
      <c r="AT11" s="774"/>
      <c r="AU11" s="774"/>
      <c r="AV11" s="774"/>
      <c r="AW11" s="774"/>
      <c r="AX11" s="774"/>
      <c r="AY11" s="774"/>
      <c r="AZ11" s="795"/>
      <c r="BA11" s="863"/>
      <c r="BB11" s="864"/>
      <c r="BC11" s="864"/>
      <c r="BD11" s="864"/>
      <c r="BE11" s="864"/>
      <c r="BF11" s="864"/>
      <c r="BG11" s="864"/>
      <c r="BH11" s="864"/>
      <c r="BI11" s="864"/>
      <c r="BJ11" s="773" t="s">
        <v>431</v>
      </c>
      <c r="BK11" s="774"/>
      <c r="BL11" s="774"/>
      <c r="BM11" s="774"/>
      <c r="BN11" s="774"/>
      <c r="BO11" s="774"/>
      <c r="BP11" s="774"/>
      <c r="BQ11" s="774"/>
      <c r="BR11" s="774"/>
      <c r="BS11" s="774"/>
      <c r="BT11" s="774"/>
      <c r="BU11" s="774"/>
      <c r="BV11" s="774"/>
      <c r="BW11" s="774"/>
      <c r="BX11" s="774"/>
      <c r="BY11" s="774"/>
      <c r="BZ11" s="774"/>
      <c r="CA11" s="774"/>
      <c r="CB11" s="774"/>
      <c r="CC11" s="774"/>
      <c r="CD11" s="774"/>
      <c r="CE11" s="774"/>
      <c r="CF11" s="774"/>
      <c r="CG11" s="774"/>
      <c r="CH11" s="774"/>
      <c r="CI11" s="774"/>
      <c r="CJ11" s="774"/>
      <c r="CK11" s="774"/>
      <c r="CL11" s="774"/>
      <c r="CM11" s="774"/>
      <c r="CN11" s="774"/>
      <c r="CO11" s="774"/>
      <c r="CP11" s="774"/>
      <c r="CQ11" s="774"/>
      <c r="CR11" s="775"/>
    </row>
    <row r="12" spans="1:96" ht="45.75" customHeight="1">
      <c r="A12" s="801" t="s">
        <v>437</v>
      </c>
      <c r="B12" s="802"/>
      <c r="C12" s="778"/>
      <c r="D12" s="779"/>
      <c r="E12" s="779"/>
      <c r="F12" s="779"/>
      <c r="G12" s="779"/>
      <c r="H12" s="779"/>
      <c r="I12" s="780"/>
      <c r="J12" s="815" t="s">
        <v>432</v>
      </c>
      <c r="K12" s="816"/>
      <c r="L12" s="816"/>
      <c r="M12" s="816"/>
      <c r="N12" s="816"/>
      <c r="O12" s="816"/>
      <c r="P12" s="817"/>
      <c r="Q12" s="809" t="s">
        <v>332</v>
      </c>
      <c r="R12" s="810"/>
      <c r="S12" s="810"/>
      <c r="T12" s="810"/>
      <c r="U12" s="810"/>
      <c r="V12" s="810"/>
      <c r="W12" s="811"/>
      <c r="X12" s="812" t="s">
        <v>326</v>
      </c>
      <c r="Y12" s="813"/>
      <c r="Z12" s="813"/>
      <c r="AA12" s="814"/>
      <c r="AB12" s="789" t="s">
        <v>324</v>
      </c>
      <c r="AC12" s="790"/>
      <c r="AD12" s="789" t="s">
        <v>328</v>
      </c>
      <c r="AE12" s="790"/>
      <c r="AF12" s="642"/>
      <c r="AG12" s="643"/>
      <c r="AH12" s="643"/>
      <c r="AI12" s="644"/>
      <c r="AJ12" s="642"/>
      <c r="AK12" s="643"/>
      <c r="AL12" s="643"/>
      <c r="AM12" s="643"/>
      <c r="AN12" s="643"/>
      <c r="AO12" s="644"/>
      <c r="AP12" s="815"/>
      <c r="AQ12" s="816"/>
      <c r="AR12" s="816"/>
      <c r="AS12" s="816"/>
      <c r="AT12" s="816"/>
      <c r="AU12" s="816"/>
      <c r="AV12" s="816"/>
      <c r="AW12" s="816"/>
      <c r="AX12" s="816"/>
      <c r="AY12" s="816"/>
      <c r="AZ12" s="817"/>
      <c r="BA12" s="863" t="s">
        <v>613</v>
      </c>
      <c r="BB12" s="864"/>
      <c r="BC12" s="864"/>
      <c r="BD12" s="864"/>
      <c r="BE12" s="864"/>
      <c r="BF12" s="864"/>
      <c r="BG12" s="864"/>
      <c r="BH12" s="864"/>
      <c r="BI12" s="864"/>
      <c r="BJ12" s="773" t="s">
        <v>588</v>
      </c>
      <c r="BK12" s="774"/>
      <c r="BL12" s="774"/>
      <c r="BM12" s="774"/>
      <c r="BN12" s="774"/>
      <c r="BO12" s="774"/>
      <c r="BP12" s="774"/>
      <c r="BQ12" s="774"/>
      <c r="BR12" s="774"/>
      <c r="BS12" s="774"/>
      <c r="BT12" s="774"/>
      <c r="BU12" s="774"/>
      <c r="BV12" s="774"/>
      <c r="BW12" s="774"/>
      <c r="BX12" s="774"/>
      <c r="BY12" s="774"/>
      <c r="BZ12" s="774"/>
      <c r="CA12" s="774"/>
      <c r="CB12" s="774"/>
      <c r="CC12" s="774"/>
      <c r="CD12" s="774"/>
      <c r="CE12" s="774"/>
      <c r="CF12" s="774"/>
      <c r="CG12" s="774"/>
      <c r="CH12" s="774"/>
      <c r="CI12" s="774"/>
      <c r="CJ12" s="774"/>
      <c r="CK12" s="774"/>
      <c r="CL12" s="774"/>
      <c r="CM12" s="774"/>
      <c r="CN12" s="774"/>
      <c r="CO12" s="774"/>
      <c r="CP12" s="774"/>
      <c r="CQ12" s="774"/>
      <c r="CR12" s="775"/>
    </row>
    <row r="13" spans="1:96" ht="15.75" customHeight="1">
      <c r="A13" s="801" t="s">
        <v>607</v>
      </c>
      <c r="B13" s="802"/>
      <c r="C13" s="778"/>
      <c r="D13" s="779"/>
      <c r="E13" s="779"/>
      <c r="F13" s="779"/>
      <c r="G13" s="779"/>
      <c r="H13" s="779"/>
      <c r="I13" s="780"/>
      <c r="J13" s="778" t="s">
        <v>609</v>
      </c>
      <c r="K13" s="779"/>
      <c r="L13" s="779"/>
      <c r="M13" s="779"/>
      <c r="N13" s="779"/>
      <c r="O13" s="779"/>
      <c r="P13" s="780"/>
      <c r="Q13" s="809" t="s">
        <v>331</v>
      </c>
      <c r="R13" s="810"/>
      <c r="S13" s="810"/>
      <c r="T13" s="810"/>
      <c r="U13" s="810"/>
      <c r="V13" s="810"/>
      <c r="W13" s="811"/>
      <c r="X13" s="812" t="s">
        <v>323</v>
      </c>
      <c r="Y13" s="813"/>
      <c r="Z13" s="813"/>
      <c r="AA13" s="814"/>
      <c r="AB13" s="789" t="s">
        <v>324</v>
      </c>
      <c r="AC13" s="790"/>
      <c r="AD13" s="789" t="s">
        <v>328</v>
      </c>
      <c r="AE13" s="790"/>
      <c r="AF13" s="791" t="s">
        <v>302</v>
      </c>
      <c r="AG13" s="792"/>
      <c r="AH13" s="792"/>
      <c r="AI13" s="793"/>
      <c r="AJ13" s="798"/>
      <c r="AK13" s="799"/>
      <c r="AL13" s="799"/>
      <c r="AM13" s="799"/>
      <c r="AN13" s="799"/>
      <c r="AO13" s="800"/>
      <c r="AP13" s="794"/>
      <c r="AQ13" s="774"/>
      <c r="AR13" s="774"/>
      <c r="AS13" s="774"/>
      <c r="AT13" s="774"/>
      <c r="AU13" s="774"/>
      <c r="AV13" s="774"/>
      <c r="AW13" s="774"/>
      <c r="AX13" s="774"/>
      <c r="AY13" s="774"/>
      <c r="AZ13" s="795"/>
      <c r="BA13" s="796"/>
      <c r="BB13" s="797"/>
      <c r="BC13" s="797"/>
      <c r="BD13" s="797"/>
      <c r="BE13" s="797"/>
      <c r="BF13" s="797"/>
      <c r="BG13" s="797"/>
      <c r="BH13" s="797"/>
      <c r="BI13" s="797"/>
      <c r="BJ13" s="773" t="s">
        <v>610</v>
      </c>
      <c r="BK13" s="774"/>
      <c r="BL13" s="774"/>
      <c r="BM13" s="774"/>
      <c r="BN13" s="774"/>
      <c r="BO13" s="774"/>
      <c r="BP13" s="774"/>
      <c r="BQ13" s="774"/>
      <c r="BR13" s="774"/>
      <c r="BS13" s="774"/>
      <c r="BT13" s="774"/>
      <c r="BU13" s="774"/>
      <c r="BV13" s="774"/>
      <c r="BW13" s="774"/>
      <c r="BX13" s="774"/>
      <c r="BY13" s="774"/>
      <c r="BZ13" s="774"/>
      <c r="CA13" s="774"/>
      <c r="CB13" s="774"/>
      <c r="CC13" s="774"/>
      <c r="CD13" s="774"/>
      <c r="CE13" s="774"/>
      <c r="CF13" s="774"/>
      <c r="CG13" s="774"/>
      <c r="CH13" s="774"/>
      <c r="CI13" s="774"/>
      <c r="CJ13" s="774"/>
      <c r="CK13" s="774"/>
      <c r="CL13" s="774"/>
      <c r="CM13" s="774"/>
      <c r="CN13" s="774"/>
      <c r="CO13" s="774"/>
      <c r="CP13" s="774"/>
      <c r="CQ13" s="774"/>
      <c r="CR13" s="775"/>
    </row>
    <row r="14" spans="1:96" ht="15.75" customHeight="1">
      <c r="A14" s="801" t="s">
        <v>542</v>
      </c>
      <c r="B14" s="802"/>
      <c r="C14" s="778"/>
      <c r="D14" s="779"/>
      <c r="E14" s="779"/>
      <c r="F14" s="779"/>
      <c r="G14" s="779"/>
      <c r="H14" s="779"/>
      <c r="I14" s="780"/>
      <c r="J14" s="778" t="s">
        <v>433</v>
      </c>
      <c r="K14" s="779"/>
      <c r="L14" s="779"/>
      <c r="M14" s="779"/>
      <c r="N14" s="779"/>
      <c r="O14" s="779"/>
      <c r="P14" s="780"/>
      <c r="Q14" s="809" t="s">
        <v>331</v>
      </c>
      <c r="R14" s="810"/>
      <c r="S14" s="810"/>
      <c r="T14" s="810"/>
      <c r="U14" s="810"/>
      <c r="V14" s="810"/>
      <c r="W14" s="811"/>
      <c r="X14" s="812" t="s">
        <v>323</v>
      </c>
      <c r="Y14" s="813"/>
      <c r="Z14" s="813"/>
      <c r="AA14" s="814"/>
      <c r="AB14" s="789" t="s">
        <v>324</v>
      </c>
      <c r="AC14" s="790"/>
      <c r="AD14" s="789" t="s">
        <v>328</v>
      </c>
      <c r="AE14" s="790"/>
      <c r="AF14" s="791" t="s">
        <v>302</v>
      </c>
      <c r="AG14" s="792"/>
      <c r="AH14" s="792"/>
      <c r="AI14" s="793"/>
      <c r="AJ14" s="798"/>
      <c r="AK14" s="799"/>
      <c r="AL14" s="799"/>
      <c r="AM14" s="799"/>
      <c r="AN14" s="799"/>
      <c r="AO14" s="800"/>
      <c r="AP14" s="794"/>
      <c r="AQ14" s="774"/>
      <c r="AR14" s="774"/>
      <c r="AS14" s="774"/>
      <c r="AT14" s="774"/>
      <c r="AU14" s="774"/>
      <c r="AV14" s="774"/>
      <c r="AW14" s="774"/>
      <c r="AX14" s="774"/>
      <c r="AY14" s="774"/>
      <c r="AZ14" s="795"/>
      <c r="BA14" s="796"/>
      <c r="BB14" s="797"/>
      <c r="BC14" s="797"/>
      <c r="BD14" s="797"/>
      <c r="BE14" s="797"/>
      <c r="BF14" s="797"/>
      <c r="BG14" s="797"/>
      <c r="BH14" s="797"/>
      <c r="BI14" s="797"/>
      <c r="BJ14" s="773" t="s">
        <v>405</v>
      </c>
      <c r="BK14" s="774"/>
      <c r="BL14" s="774"/>
      <c r="BM14" s="774"/>
      <c r="BN14" s="774"/>
      <c r="BO14" s="774"/>
      <c r="BP14" s="774"/>
      <c r="BQ14" s="774"/>
      <c r="BR14" s="774"/>
      <c r="BS14" s="774"/>
      <c r="BT14" s="774"/>
      <c r="BU14" s="774"/>
      <c r="BV14" s="774"/>
      <c r="BW14" s="774"/>
      <c r="BX14" s="774"/>
      <c r="BY14" s="774"/>
      <c r="BZ14" s="774"/>
      <c r="CA14" s="774"/>
      <c r="CB14" s="774"/>
      <c r="CC14" s="774"/>
      <c r="CD14" s="774"/>
      <c r="CE14" s="774"/>
      <c r="CF14" s="774"/>
      <c r="CG14" s="774"/>
      <c r="CH14" s="774"/>
      <c r="CI14" s="774"/>
      <c r="CJ14" s="774"/>
      <c r="CK14" s="774"/>
      <c r="CL14" s="774"/>
      <c r="CM14" s="774"/>
      <c r="CN14" s="774"/>
      <c r="CO14" s="774"/>
      <c r="CP14" s="774"/>
      <c r="CQ14" s="774"/>
      <c r="CR14" s="775"/>
    </row>
    <row r="15" spans="1:96" ht="46" customHeight="1">
      <c r="A15" s="801" t="s">
        <v>608</v>
      </c>
      <c r="B15" s="802"/>
      <c r="C15" s="778"/>
      <c r="D15" s="779"/>
      <c r="E15" s="779"/>
      <c r="F15" s="779"/>
      <c r="G15" s="779"/>
      <c r="H15" s="779"/>
      <c r="I15" s="780"/>
      <c r="J15" s="778" t="s">
        <v>434</v>
      </c>
      <c r="K15" s="779"/>
      <c r="L15" s="779"/>
      <c r="M15" s="779"/>
      <c r="N15" s="779"/>
      <c r="O15" s="779"/>
      <c r="P15" s="780"/>
      <c r="Q15" s="803" t="s">
        <v>331</v>
      </c>
      <c r="R15" s="804"/>
      <c r="S15" s="804"/>
      <c r="T15" s="804"/>
      <c r="U15" s="804"/>
      <c r="V15" s="804"/>
      <c r="W15" s="805"/>
      <c r="X15" s="806" t="s">
        <v>323</v>
      </c>
      <c r="Y15" s="807"/>
      <c r="Z15" s="807"/>
      <c r="AA15" s="808"/>
      <c r="AB15" s="789" t="s">
        <v>324</v>
      </c>
      <c r="AC15" s="790"/>
      <c r="AD15" s="789" t="s">
        <v>328</v>
      </c>
      <c r="AE15" s="790"/>
      <c r="AF15" s="791" t="s">
        <v>302</v>
      </c>
      <c r="AG15" s="792"/>
      <c r="AH15" s="792"/>
      <c r="AI15" s="793"/>
      <c r="AJ15" s="798"/>
      <c r="AK15" s="799"/>
      <c r="AL15" s="799"/>
      <c r="AM15" s="799"/>
      <c r="AN15" s="799"/>
      <c r="AO15" s="800"/>
      <c r="AP15" s="794"/>
      <c r="AQ15" s="774"/>
      <c r="AR15" s="774"/>
      <c r="AS15" s="774"/>
      <c r="AT15" s="774"/>
      <c r="AU15" s="774"/>
      <c r="AV15" s="774"/>
      <c r="AW15" s="774"/>
      <c r="AX15" s="774"/>
      <c r="AY15" s="774"/>
      <c r="AZ15" s="795"/>
      <c r="BA15" s="796"/>
      <c r="BB15" s="797"/>
      <c r="BC15" s="797"/>
      <c r="BD15" s="797"/>
      <c r="BE15" s="797"/>
      <c r="BF15" s="797"/>
      <c r="BG15" s="797"/>
      <c r="BH15" s="797"/>
      <c r="BI15" s="797"/>
      <c r="BJ15" s="773" t="s">
        <v>605</v>
      </c>
      <c r="BK15" s="774"/>
      <c r="BL15" s="774"/>
      <c r="BM15" s="774"/>
      <c r="BN15" s="774"/>
      <c r="BO15" s="774"/>
      <c r="BP15" s="774"/>
      <c r="BQ15" s="774"/>
      <c r="BR15" s="774"/>
      <c r="BS15" s="774"/>
      <c r="BT15" s="774"/>
      <c r="BU15" s="774"/>
      <c r="BV15" s="774"/>
      <c r="BW15" s="774"/>
      <c r="BX15" s="774"/>
      <c r="BY15" s="774"/>
      <c r="BZ15" s="774"/>
      <c r="CA15" s="774"/>
      <c r="CB15" s="774"/>
      <c r="CC15" s="774"/>
      <c r="CD15" s="774"/>
      <c r="CE15" s="774"/>
      <c r="CF15" s="774"/>
      <c r="CG15" s="774"/>
      <c r="CH15" s="774"/>
      <c r="CI15" s="774"/>
      <c r="CJ15" s="774"/>
      <c r="CK15" s="774"/>
      <c r="CL15" s="774"/>
      <c r="CM15" s="774"/>
      <c r="CN15" s="774"/>
      <c r="CO15" s="774"/>
      <c r="CP15" s="774"/>
      <c r="CQ15" s="774"/>
      <c r="CR15" s="775"/>
    </row>
    <row r="16" spans="1:96" ht="15.75" customHeight="1">
      <c r="A16" s="776"/>
      <c r="B16" s="777"/>
      <c r="C16" s="778"/>
      <c r="D16" s="779"/>
      <c r="E16" s="779"/>
      <c r="F16" s="779"/>
      <c r="G16" s="779"/>
      <c r="H16" s="779"/>
      <c r="I16" s="780"/>
      <c r="J16" s="651"/>
      <c r="K16" s="781"/>
      <c r="L16" s="781"/>
      <c r="M16" s="781"/>
      <c r="N16" s="781"/>
      <c r="O16" s="781"/>
      <c r="P16" s="782"/>
      <c r="Q16" s="783"/>
      <c r="R16" s="784"/>
      <c r="S16" s="784"/>
      <c r="T16" s="784"/>
      <c r="U16" s="784"/>
      <c r="V16" s="784"/>
      <c r="W16" s="785"/>
      <c r="X16" s="786"/>
      <c r="Y16" s="787"/>
      <c r="Z16" s="787"/>
      <c r="AA16" s="788"/>
      <c r="AB16" s="789"/>
      <c r="AC16" s="790"/>
      <c r="AD16" s="789"/>
      <c r="AE16" s="790"/>
      <c r="AF16" s="791"/>
      <c r="AG16" s="792"/>
      <c r="AH16" s="792"/>
      <c r="AI16" s="793"/>
      <c r="AJ16" s="791"/>
      <c r="AK16" s="792"/>
      <c r="AL16" s="792"/>
      <c r="AM16" s="792"/>
      <c r="AN16" s="792"/>
      <c r="AO16" s="793"/>
      <c r="AP16" s="794"/>
      <c r="AQ16" s="774"/>
      <c r="AR16" s="774"/>
      <c r="AS16" s="774"/>
      <c r="AT16" s="774"/>
      <c r="AU16" s="774"/>
      <c r="AV16" s="774"/>
      <c r="AW16" s="774"/>
      <c r="AX16" s="774"/>
      <c r="AY16" s="774"/>
      <c r="AZ16" s="795"/>
      <c r="BA16" s="796"/>
      <c r="BB16" s="797"/>
      <c r="BC16" s="797"/>
      <c r="BD16" s="797"/>
      <c r="BE16" s="797"/>
      <c r="BF16" s="797"/>
      <c r="BG16" s="797"/>
      <c r="BH16" s="797"/>
      <c r="BI16" s="797"/>
      <c r="BJ16" s="773"/>
      <c r="BK16" s="774"/>
      <c r="BL16" s="774"/>
      <c r="BM16" s="774"/>
      <c r="BN16" s="774"/>
      <c r="BO16" s="774"/>
      <c r="BP16" s="774"/>
      <c r="BQ16" s="774"/>
      <c r="BR16" s="774"/>
      <c r="BS16" s="774"/>
      <c r="BT16" s="774"/>
      <c r="BU16" s="774"/>
      <c r="BV16" s="774"/>
      <c r="BW16" s="774"/>
      <c r="BX16" s="774"/>
      <c r="BY16" s="774"/>
      <c r="BZ16" s="774"/>
      <c r="CA16" s="774"/>
      <c r="CB16" s="774"/>
      <c r="CC16" s="774"/>
      <c r="CD16" s="774"/>
      <c r="CE16" s="774"/>
      <c r="CF16" s="774"/>
      <c r="CG16" s="774"/>
      <c r="CH16" s="774"/>
      <c r="CI16" s="774"/>
      <c r="CJ16" s="774"/>
      <c r="CK16" s="774"/>
      <c r="CL16" s="774"/>
      <c r="CM16" s="774"/>
      <c r="CN16" s="774"/>
      <c r="CO16" s="774"/>
      <c r="CP16" s="774"/>
      <c r="CQ16" s="774"/>
      <c r="CR16" s="775"/>
    </row>
    <row r="17" spans="3:68">
      <c r="BA17" s="865"/>
      <c r="BB17" s="865"/>
      <c r="BC17" s="865"/>
      <c r="BD17" s="865"/>
      <c r="BE17" s="865"/>
      <c r="BF17" s="865"/>
      <c r="BG17" s="865"/>
      <c r="BH17" s="865"/>
      <c r="BI17" s="865"/>
    </row>
    <row r="18" spans="3:68">
      <c r="BA18" s="866"/>
      <c r="BB18" s="866"/>
      <c r="BC18" s="866"/>
      <c r="BD18" s="866"/>
      <c r="BE18" s="866"/>
      <c r="BF18" s="866"/>
      <c r="BG18" s="866"/>
      <c r="BH18" s="866"/>
      <c r="BI18" s="866"/>
    </row>
    <row r="19" spans="3:68">
      <c r="C19" s="652" t="s">
        <v>335</v>
      </c>
      <c r="D19" s="653"/>
      <c r="E19" s="654"/>
      <c r="F19" s="655"/>
      <c r="G19" s="655"/>
      <c r="H19" s="655"/>
      <c r="I19" s="655"/>
      <c r="J19" s="655"/>
      <c r="K19" s="655"/>
      <c r="L19" s="656"/>
      <c r="P19" s="657" t="s">
        <v>336</v>
      </c>
      <c r="Q19" s="658"/>
      <c r="R19" s="658"/>
      <c r="S19" s="659"/>
      <c r="T19" s="660"/>
      <c r="U19" s="657" t="s">
        <v>310</v>
      </c>
      <c r="V19" s="659"/>
      <c r="Y19" s="645" t="s">
        <v>311</v>
      </c>
      <c r="Z19" s="646"/>
      <c r="AA19" s="645"/>
      <c r="AB19" s="646"/>
      <c r="AC19" s="646"/>
      <c r="AD19" s="646"/>
      <c r="AE19" s="647"/>
      <c r="BA19" s="866"/>
      <c r="BB19" s="866"/>
      <c r="BC19" s="866"/>
      <c r="BD19" s="866"/>
      <c r="BE19" s="866"/>
      <c r="BF19" s="866"/>
      <c r="BG19" s="866"/>
      <c r="BH19" s="866"/>
      <c r="BI19" s="866"/>
    </row>
    <row r="20" spans="3:68">
      <c r="C20" s="661" t="s">
        <v>337</v>
      </c>
      <c r="D20" s="654"/>
      <c r="E20" s="654"/>
      <c r="F20" s="655"/>
      <c r="G20" s="655"/>
      <c r="H20" s="655"/>
      <c r="I20" s="654"/>
      <c r="J20" s="655"/>
      <c r="K20" s="655"/>
      <c r="L20" s="656"/>
      <c r="P20" s="662" t="s">
        <v>338</v>
      </c>
      <c r="Q20" s="663"/>
      <c r="R20" s="663"/>
      <c r="S20" s="664"/>
      <c r="T20" s="660"/>
      <c r="U20" s="662" t="s">
        <v>327</v>
      </c>
      <c r="V20" s="664"/>
      <c r="Y20" s="645" t="s">
        <v>339</v>
      </c>
      <c r="Z20" s="646"/>
      <c r="AA20" s="645" t="s">
        <v>340</v>
      </c>
      <c r="AB20" s="646"/>
      <c r="AC20" s="646"/>
      <c r="AD20" s="646"/>
      <c r="AE20" s="647"/>
      <c r="BA20" s="866"/>
      <c r="BB20" s="866"/>
      <c r="BC20" s="866"/>
      <c r="BD20" s="866"/>
      <c r="BE20" s="866"/>
      <c r="BF20" s="866"/>
      <c r="BG20" s="866"/>
      <c r="BH20" s="866"/>
      <c r="BI20" s="866"/>
    </row>
    <row r="21" spans="3:68">
      <c r="C21" s="661" t="s">
        <v>341</v>
      </c>
      <c r="D21" s="654"/>
      <c r="E21" s="654"/>
      <c r="F21" s="655"/>
      <c r="G21" s="655"/>
      <c r="H21" s="655"/>
      <c r="I21" s="654"/>
      <c r="J21" s="655"/>
      <c r="K21" s="655"/>
      <c r="L21" s="656"/>
      <c r="P21" s="662" t="s">
        <v>342</v>
      </c>
      <c r="Q21" s="663"/>
      <c r="R21" s="663"/>
      <c r="S21" s="664"/>
      <c r="T21" s="660"/>
      <c r="U21" s="662" t="s">
        <v>324</v>
      </c>
      <c r="V21" s="664"/>
      <c r="Y21" s="645" t="s">
        <v>343</v>
      </c>
      <c r="Z21" s="646"/>
      <c r="AA21" s="645" t="s">
        <v>344</v>
      </c>
      <c r="AB21" s="646"/>
      <c r="AC21" s="646"/>
      <c r="AD21" s="646"/>
      <c r="AE21" s="647"/>
      <c r="BA21" s="866"/>
      <c r="BB21" s="866"/>
      <c r="BC21" s="866"/>
      <c r="BD21" s="866"/>
      <c r="BE21" s="866"/>
      <c r="BF21" s="866"/>
      <c r="BG21" s="866"/>
      <c r="BH21" s="866"/>
      <c r="BI21" s="866"/>
    </row>
    <row r="22" spans="3:68">
      <c r="C22" s="661" t="s">
        <v>345</v>
      </c>
      <c r="D22" s="654"/>
      <c r="E22" s="654"/>
      <c r="F22" s="655"/>
      <c r="G22" s="655"/>
      <c r="H22" s="655"/>
      <c r="I22" s="654"/>
      <c r="J22" s="655"/>
      <c r="K22" s="655"/>
      <c r="L22" s="656"/>
      <c r="T22" s="660"/>
      <c r="U22" s="662" t="s">
        <v>310</v>
      </c>
      <c r="V22" s="664"/>
      <c r="Y22" s="665" t="s">
        <v>346</v>
      </c>
      <c r="Z22" s="666"/>
      <c r="AA22" s="665" t="s">
        <v>347</v>
      </c>
      <c r="AB22" s="666"/>
      <c r="AC22" s="666"/>
      <c r="AD22" s="666"/>
      <c r="AE22" s="667"/>
      <c r="BA22" s="866"/>
      <c r="BB22" s="866"/>
      <c r="BC22" s="866"/>
      <c r="BD22" s="866"/>
      <c r="BE22" s="866"/>
      <c r="BF22" s="866"/>
      <c r="BG22" s="866"/>
      <c r="BH22" s="866"/>
      <c r="BI22" s="866"/>
    </row>
    <row r="23" spans="3:68">
      <c r="C23" s="661" t="s">
        <v>348</v>
      </c>
      <c r="D23" s="654"/>
      <c r="E23" s="654"/>
      <c r="F23" s="655"/>
      <c r="G23" s="655"/>
      <c r="H23" s="655"/>
      <c r="I23" s="654"/>
      <c r="J23" s="655"/>
      <c r="K23" s="655"/>
      <c r="L23" s="656"/>
      <c r="T23" s="660"/>
      <c r="U23" s="662" t="s">
        <v>329</v>
      </c>
      <c r="V23" s="664"/>
      <c r="Z23" s="668"/>
      <c r="AA23" s="668"/>
      <c r="AB23" s="668"/>
      <c r="AC23" s="668"/>
      <c r="AD23" s="668"/>
      <c r="AE23" s="668"/>
      <c r="AF23" s="668"/>
      <c r="AG23" s="668"/>
      <c r="AH23" s="668"/>
      <c r="AI23" s="668"/>
      <c r="AJ23" s="668"/>
      <c r="AK23" s="668"/>
      <c r="AL23" s="668"/>
      <c r="AM23" s="668"/>
      <c r="AN23" s="668"/>
      <c r="AO23" s="668"/>
      <c r="AP23" s="668"/>
      <c r="AQ23" s="668"/>
      <c r="AR23" s="668"/>
      <c r="AS23" s="668"/>
      <c r="AT23" s="668"/>
      <c r="AU23" s="669"/>
      <c r="AV23" s="669"/>
      <c r="AW23" s="669"/>
      <c r="AX23" s="669"/>
      <c r="AY23" s="668"/>
      <c r="AZ23" s="668"/>
      <c r="BA23" s="866"/>
      <c r="BB23" s="866"/>
      <c r="BC23" s="866"/>
      <c r="BD23" s="866"/>
      <c r="BE23" s="866"/>
      <c r="BF23" s="866"/>
      <c r="BG23" s="866"/>
      <c r="BH23" s="866"/>
      <c r="BI23" s="866"/>
      <c r="BJ23" s="668"/>
      <c r="BK23" s="668"/>
      <c r="BL23" s="668"/>
      <c r="BM23" s="668"/>
      <c r="BN23" s="668"/>
      <c r="BO23" s="668"/>
      <c r="BP23" s="668"/>
    </row>
    <row r="24" spans="3:68">
      <c r="C24" s="661" t="s">
        <v>349</v>
      </c>
      <c r="D24" s="654"/>
      <c r="E24" s="654"/>
      <c r="F24" s="655"/>
      <c r="G24" s="655"/>
      <c r="H24" s="655"/>
      <c r="I24" s="654"/>
      <c r="J24" s="655"/>
      <c r="K24" s="655"/>
      <c r="L24" s="656"/>
      <c r="Z24" s="670"/>
      <c r="AA24" s="670"/>
      <c r="AB24" s="670"/>
      <c r="AC24" s="670"/>
      <c r="AD24" s="670"/>
      <c r="AE24" s="670"/>
      <c r="AF24" s="670"/>
      <c r="AG24" s="670"/>
      <c r="AH24" s="670"/>
      <c r="AI24" s="670"/>
      <c r="AJ24" s="670"/>
      <c r="AK24" s="670"/>
      <c r="AL24" s="670"/>
      <c r="AM24" s="670"/>
      <c r="AN24" s="670"/>
      <c r="AO24" s="670"/>
      <c r="AP24" s="671"/>
      <c r="AQ24" s="671"/>
      <c r="AR24" s="671"/>
      <c r="AS24" s="671"/>
      <c r="AT24" s="671"/>
      <c r="AU24" s="672"/>
      <c r="AV24" s="672"/>
      <c r="AW24" s="672"/>
      <c r="AX24" s="672"/>
      <c r="AY24" s="673"/>
      <c r="AZ24" s="673"/>
      <c r="BA24" s="866"/>
      <c r="BB24" s="866"/>
      <c r="BC24" s="866"/>
      <c r="BD24" s="866"/>
      <c r="BE24" s="866"/>
      <c r="BF24" s="866"/>
      <c r="BG24" s="866"/>
      <c r="BH24" s="866"/>
      <c r="BI24" s="866"/>
      <c r="BJ24" s="673"/>
      <c r="BK24" s="673"/>
      <c r="BL24" s="673"/>
      <c r="BM24" s="673"/>
      <c r="BN24" s="673"/>
      <c r="BO24" s="673"/>
      <c r="BP24" s="673"/>
    </row>
    <row r="25" spans="3:68">
      <c r="C25" s="661" t="s">
        <v>350</v>
      </c>
      <c r="D25" s="654"/>
      <c r="E25" s="654"/>
      <c r="F25" s="655"/>
      <c r="G25" s="655"/>
      <c r="H25" s="655"/>
      <c r="I25" s="654"/>
      <c r="J25" s="655"/>
      <c r="K25" s="655"/>
      <c r="L25" s="656"/>
      <c r="Z25" s="670"/>
      <c r="AA25" s="670"/>
      <c r="AB25" s="670"/>
      <c r="AC25" s="670"/>
      <c r="AD25" s="670"/>
      <c r="AE25" s="670"/>
      <c r="AF25" s="670"/>
      <c r="AG25" s="670"/>
      <c r="AH25" s="670"/>
      <c r="AI25" s="670"/>
      <c r="AJ25" s="670"/>
      <c r="AK25" s="670"/>
      <c r="AL25" s="670"/>
      <c r="AM25" s="670"/>
      <c r="AN25" s="670"/>
      <c r="AO25" s="670"/>
      <c r="AP25" s="671"/>
      <c r="AQ25" s="671"/>
      <c r="AR25" s="671"/>
      <c r="AS25" s="671"/>
      <c r="AT25" s="671"/>
      <c r="AU25" s="672"/>
      <c r="AV25" s="672"/>
      <c r="AW25" s="672"/>
      <c r="AX25" s="672"/>
      <c r="AY25" s="673"/>
      <c r="AZ25" s="673"/>
      <c r="BA25" s="772"/>
      <c r="BB25" s="772"/>
      <c r="BC25" s="772"/>
      <c r="BD25" s="772"/>
      <c r="BE25" s="772"/>
      <c r="BF25" s="772"/>
      <c r="BG25" s="772"/>
      <c r="BH25" s="772"/>
      <c r="BI25" s="772"/>
      <c r="BJ25" s="673"/>
      <c r="BK25" s="673"/>
      <c r="BL25" s="673"/>
      <c r="BM25" s="673"/>
      <c r="BN25" s="673"/>
      <c r="BO25" s="673"/>
      <c r="BP25" s="673"/>
    </row>
    <row r="26" spans="3:68">
      <c r="C26" s="661" t="s">
        <v>351</v>
      </c>
      <c r="D26" s="654"/>
      <c r="E26" s="654"/>
      <c r="F26" s="655"/>
      <c r="G26" s="655"/>
      <c r="H26" s="655"/>
      <c r="I26" s="654"/>
      <c r="J26" s="655"/>
      <c r="K26" s="655"/>
      <c r="L26" s="656"/>
      <c r="Z26" s="670"/>
      <c r="AA26" s="670"/>
      <c r="AB26" s="670"/>
      <c r="AC26" s="670"/>
      <c r="AD26" s="670"/>
      <c r="AE26" s="670"/>
      <c r="AF26" s="670"/>
      <c r="AG26" s="670"/>
      <c r="AH26" s="670"/>
      <c r="AI26" s="670"/>
      <c r="AJ26" s="670"/>
      <c r="AK26" s="670"/>
      <c r="AL26" s="670"/>
      <c r="AM26" s="670"/>
      <c r="AN26" s="670"/>
      <c r="AO26" s="670"/>
      <c r="AP26" s="671"/>
      <c r="AQ26" s="671"/>
      <c r="AR26" s="671"/>
      <c r="AS26" s="671"/>
      <c r="AT26" s="671"/>
      <c r="AU26" s="672"/>
      <c r="AV26" s="672"/>
      <c r="AW26" s="672"/>
      <c r="AX26" s="672"/>
      <c r="AY26" s="673"/>
      <c r="AZ26" s="673"/>
      <c r="BA26" s="772"/>
      <c r="BB26" s="772"/>
      <c r="BC26" s="772"/>
      <c r="BD26" s="772"/>
      <c r="BE26" s="772"/>
      <c r="BF26" s="772"/>
      <c r="BG26" s="772"/>
      <c r="BH26" s="772"/>
      <c r="BI26" s="772"/>
      <c r="BJ26" s="673"/>
      <c r="BK26" s="673"/>
      <c r="BL26" s="673"/>
      <c r="BM26" s="673"/>
      <c r="BN26" s="673"/>
      <c r="BO26" s="673"/>
      <c r="BP26" s="673"/>
    </row>
    <row r="27" spans="3:68">
      <c r="C27" s="661" t="s">
        <v>352</v>
      </c>
      <c r="D27" s="654"/>
      <c r="E27" s="654"/>
      <c r="F27" s="655"/>
      <c r="G27" s="655"/>
      <c r="H27" s="655"/>
      <c r="I27" s="654"/>
      <c r="J27" s="655"/>
      <c r="K27" s="655"/>
      <c r="L27" s="656"/>
      <c r="Z27" s="670"/>
      <c r="AA27" s="670"/>
      <c r="AB27" s="670"/>
      <c r="AC27" s="670"/>
      <c r="AD27" s="670"/>
      <c r="AE27" s="670"/>
      <c r="AF27" s="670"/>
      <c r="AG27" s="670"/>
      <c r="AH27" s="670"/>
      <c r="AI27" s="670"/>
      <c r="AJ27" s="670"/>
      <c r="AK27" s="670"/>
      <c r="AL27" s="670"/>
      <c r="AM27" s="670"/>
      <c r="AN27" s="670"/>
      <c r="AO27" s="670"/>
      <c r="AP27" s="671"/>
      <c r="AQ27" s="671"/>
      <c r="AR27" s="671"/>
      <c r="AS27" s="671"/>
      <c r="AT27" s="671"/>
      <c r="AU27" s="672"/>
      <c r="AV27" s="672"/>
      <c r="AW27" s="672"/>
      <c r="AX27" s="672"/>
      <c r="AY27" s="673"/>
      <c r="AZ27" s="673"/>
      <c r="BA27" s="772"/>
      <c r="BB27" s="772"/>
      <c r="BC27" s="772"/>
      <c r="BD27" s="772"/>
      <c r="BE27" s="772"/>
      <c r="BF27" s="772"/>
      <c r="BG27" s="772"/>
      <c r="BH27" s="772"/>
      <c r="BI27" s="772"/>
      <c r="BJ27" s="673"/>
      <c r="BK27" s="673"/>
      <c r="BL27" s="673"/>
      <c r="BM27" s="673"/>
      <c r="BN27" s="673"/>
      <c r="BO27" s="673"/>
      <c r="BP27" s="673"/>
    </row>
    <row r="28" spans="3:68">
      <c r="C28" s="661" t="s">
        <v>353</v>
      </c>
      <c r="D28" s="654"/>
      <c r="E28" s="654"/>
      <c r="F28" s="655"/>
      <c r="G28" s="655"/>
      <c r="H28" s="655"/>
      <c r="I28" s="654"/>
      <c r="J28" s="655"/>
      <c r="K28" s="655"/>
      <c r="L28" s="656"/>
      <c r="BA28" s="772"/>
      <c r="BB28" s="772"/>
      <c r="BC28" s="772"/>
      <c r="BD28" s="772"/>
      <c r="BE28" s="772"/>
      <c r="BF28" s="772"/>
      <c r="BG28" s="772"/>
      <c r="BH28" s="772"/>
      <c r="BI28" s="772"/>
    </row>
    <row r="29" spans="3:68">
      <c r="C29" s="661" t="s">
        <v>354</v>
      </c>
      <c r="D29" s="654"/>
      <c r="E29" s="654"/>
      <c r="F29" s="655"/>
      <c r="G29" s="655"/>
      <c r="H29" s="655"/>
      <c r="I29" s="654"/>
      <c r="J29" s="655"/>
      <c r="K29" s="655"/>
      <c r="L29" s="656"/>
      <c r="BA29" s="772"/>
      <c r="BB29" s="772"/>
      <c r="BC29" s="772"/>
      <c r="BD29" s="772"/>
      <c r="BE29" s="772"/>
      <c r="BF29" s="772"/>
      <c r="BG29" s="772"/>
      <c r="BH29" s="772"/>
      <c r="BI29" s="772"/>
    </row>
    <row r="30" spans="3:68">
      <c r="C30" s="661" t="s">
        <v>355</v>
      </c>
      <c r="D30" s="654"/>
      <c r="E30" s="654"/>
      <c r="F30" s="655"/>
      <c r="G30" s="655"/>
      <c r="H30" s="655"/>
      <c r="I30" s="654"/>
      <c r="J30" s="655"/>
      <c r="K30" s="655"/>
      <c r="L30" s="656"/>
      <c r="BA30" s="772"/>
      <c r="BB30" s="772"/>
      <c r="BC30" s="772"/>
      <c r="BD30" s="772"/>
      <c r="BE30" s="772"/>
      <c r="BF30" s="772"/>
      <c r="BG30" s="772"/>
      <c r="BH30" s="772"/>
      <c r="BI30" s="772"/>
    </row>
    <row r="31" spans="3:68">
      <c r="C31" s="661" t="s">
        <v>356</v>
      </c>
      <c r="D31" s="654"/>
      <c r="E31" s="654"/>
      <c r="F31" s="655"/>
      <c r="G31" s="655"/>
      <c r="H31" s="655"/>
      <c r="I31" s="654"/>
      <c r="J31" s="655"/>
      <c r="K31" s="655"/>
      <c r="L31" s="656"/>
      <c r="BA31" s="690"/>
      <c r="BB31" s="690"/>
      <c r="BC31" s="690"/>
      <c r="BD31" s="690"/>
      <c r="BE31" s="690"/>
      <c r="BF31" s="690"/>
      <c r="BG31" s="690"/>
      <c r="BH31" s="690"/>
      <c r="BI31" s="690"/>
    </row>
    <row r="32" spans="3:68">
      <c r="C32" s="661" t="s">
        <v>357</v>
      </c>
      <c r="D32" s="654"/>
      <c r="E32" s="654"/>
      <c r="F32" s="655"/>
      <c r="G32" s="655"/>
      <c r="H32" s="655"/>
      <c r="I32" s="654"/>
      <c r="J32" s="655"/>
      <c r="K32" s="655"/>
      <c r="L32" s="656"/>
    </row>
    <row r="33" spans="3:61">
      <c r="C33" s="661" t="s">
        <v>358</v>
      </c>
      <c r="D33" s="654"/>
      <c r="E33" s="654"/>
      <c r="F33" s="655"/>
      <c r="G33" s="655"/>
      <c r="H33" s="655"/>
      <c r="I33" s="654"/>
      <c r="J33" s="655"/>
      <c r="K33" s="655"/>
      <c r="L33" s="656"/>
    </row>
    <row r="34" spans="3:61">
      <c r="C34" s="661" t="s">
        <v>359</v>
      </c>
      <c r="D34" s="654"/>
      <c r="E34" s="654"/>
      <c r="F34" s="655"/>
      <c r="G34" s="655"/>
      <c r="H34" s="655"/>
      <c r="I34" s="654"/>
      <c r="J34" s="655"/>
      <c r="K34" s="655"/>
      <c r="L34" s="656"/>
    </row>
    <row r="35" spans="3:61">
      <c r="C35" s="661" t="s">
        <v>360</v>
      </c>
      <c r="D35" s="654"/>
      <c r="E35" s="654"/>
      <c r="F35" s="655"/>
      <c r="G35" s="655"/>
      <c r="H35" s="655"/>
      <c r="I35" s="654"/>
      <c r="J35" s="655"/>
      <c r="K35" s="655"/>
      <c r="L35" s="656"/>
    </row>
    <row r="36" spans="3:61">
      <c r="C36" s="661" t="s">
        <v>361</v>
      </c>
      <c r="D36" s="654"/>
      <c r="E36" s="654"/>
      <c r="F36" s="655"/>
      <c r="G36" s="655"/>
      <c r="H36" s="655"/>
      <c r="I36" s="654"/>
      <c r="J36" s="655"/>
      <c r="K36" s="655"/>
      <c r="L36" s="656"/>
    </row>
    <row r="37" spans="3:61">
      <c r="C37" s="661" t="s">
        <v>362</v>
      </c>
      <c r="D37" s="654"/>
      <c r="E37" s="654"/>
      <c r="F37" s="655"/>
      <c r="G37" s="655"/>
      <c r="H37" s="655"/>
      <c r="I37" s="654"/>
      <c r="J37" s="655"/>
      <c r="K37" s="655"/>
      <c r="L37" s="656"/>
      <c r="BA37" s="692"/>
      <c r="BB37" s="692"/>
      <c r="BC37" s="692"/>
      <c r="BD37" s="692"/>
      <c r="BE37" s="693"/>
      <c r="BF37" s="692"/>
      <c r="BG37" s="692"/>
      <c r="BH37" s="693"/>
      <c r="BI37" s="693"/>
    </row>
    <row r="38" spans="3:61">
      <c r="C38" s="661" t="s">
        <v>363</v>
      </c>
      <c r="D38" s="654"/>
      <c r="E38" s="654"/>
      <c r="F38" s="655"/>
      <c r="G38" s="655"/>
      <c r="H38" s="655"/>
      <c r="I38" s="654"/>
      <c r="J38" s="655"/>
      <c r="K38" s="655"/>
      <c r="L38" s="656"/>
      <c r="BA38" s="694"/>
      <c r="BB38" s="694"/>
      <c r="BC38" s="694"/>
      <c r="BD38" s="694"/>
      <c r="BE38" s="695"/>
      <c r="BF38" s="694"/>
      <c r="BG38" s="694"/>
      <c r="BH38" s="695"/>
      <c r="BI38" s="695"/>
    </row>
    <row r="39" spans="3:61">
      <c r="C39" s="661" t="s">
        <v>364</v>
      </c>
      <c r="D39" s="654"/>
      <c r="E39" s="654"/>
      <c r="F39" s="655"/>
      <c r="G39" s="655"/>
      <c r="H39" s="655"/>
      <c r="I39" s="654"/>
      <c r="J39" s="655"/>
      <c r="K39" s="655"/>
      <c r="L39" s="656"/>
      <c r="BA39" s="694"/>
      <c r="BB39" s="694"/>
      <c r="BC39" s="694"/>
      <c r="BD39" s="694"/>
      <c r="BE39" s="695"/>
      <c r="BF39" s="694"/>
      <c r="BG39" s="694"/>
      <c r="BH39" s="695"/>
      <c r="BI39" s="695"/>
    </row>
    <row r="40" spans="3:61">
      <c r="C40" s="661" t="s">
        <v>329</v>
      </c>
      <c r="D40" s="654"/>
      <c r="E40" s="654"/>
      <c r="F40" s="655"/>
      <c r="G40" s="655"/>
      <c r="H40" s="655"/>
      <c r="I40" s="654"/>
      <c r="J40" s="655"/>
      <c r="K40" s="655"/>
      <c r="L40" s="656"/>
      <c r="BA40" s="694"/>
      <c r="BB40" s="694"/>
      <c r="BC40" s="694"/>
      <c r="BD40" s="694"/>
      <c r="BE40" s="695"/>
      <c r="BF40" s="694"/>
      <c r="BG40" s="694"/>
      <c r="BH40" s="695"/>
      <c r="BI40" s="695"/>
    </row>
    <row r="41" spans="3:61">
      <c r="BA41" s="694"/>
      <c r="BB41" s="694"/>
      <c r="BC41" s="694"/>
      <c r="BD41" s="694"/>
      <c r="BE41" s="695"/>
      <c r="BF41" s="694"/>
      <c r="BG41" s="694"/>
      <c r="BH41" s="695"/>
      <c r="BI41" s="695"/>
    </row>
  </sheetData>
  <mergeCells count="169">
    <mergeCell ref="BJ13:CR13"/>
    <mergeCell ref="BA27:BI27"/>
    <mergeCell ref="BA28:BI28"/>
    <mergeCell ref="BA29:BI29"/>
    <mergeCell ref="BA30:BI30"/>
    <mergeCell ref="A13:B13"/>
    <mergeCell ref="C13:I13"/>
    <mergeCell ref="J13:P13"/>
    <mergeCell ref="Q13:W13"/>
    <mergeCell ref="X13:AA13"/>
    <mergeCell ref="AB13:AC13"/>
    <mergeCell ref="AD13:AE13"/>
    <mergeCell ref="AF13:AI13"/>
    <mergeCell ref="AJ13:AO13"/>
    <mergeCell ref="AP13:AZ13"/>
    <mergeCell ref="BA13:BI13"/>
    <mergeCell ref="BA17:BI17"/>
    <mergeCell ref="BA18:BI18"/>
    <mergeCell ref="BA19:BI19"/>
    <mergeCell ref="BA20:BI20"/>
    <mergeCell ref="BA21:BI21"/>
    <mergeCell ref="BA22:BI22"/>
    <mergeCell ref="BA23:BI23"/>
    <mergeCell ref="BA24:BI24"/>
    <mergeCell ref="BA3:BI4"/>
    <mergeCell ref="BA5:BI5"/>
    <mergeCell ref="BA6:BI6"/>
    <mergeCell ref="BA7:BI7"/>
    <mergeCell ref="BA8:BI8"/>
    <mergeCell ref="BA9:BI9"/>
    <mergeCell ref="BA10:BI10"/>
    <mergeCell ref="BA11:BI11"/>
    <mergeCell ref="BA12:BI12"/>
    <mergeCell ref="BJ5:CR5"/>
    <mergeCell ref="AP5:AZ5"/>
    <mergeCell ref="A5:B5"/>
    <mergeCell ref="A1:I1"/>
    <mergeCell ref="A2:AE2"/>
    <mergeCell ref="AF2:CR2"/>
    <mergeCell ref="A3:B4"/>
    <mergeCell ref="C3:P3"/>
    <mergeCell ref="Q3:W4"/>
    <mergeCell ref="X3:AA4"/>
    <mergeCell ref="AB3:AC4"/>
    <mergeCell ref="AD3:AE4"/>
    <mergeCell ref="C4:I4"/>
    <mergeCell ref="J4:P4"/>
    <mergeCell ref="AF3:AI4"/>
    <mergeCell ref="AJ3:AO4"/>
    <mergeCell ref="AP3:AZ4"/>
    <mergeCell ref="BJ3:CR4"/>
    <mergeCell ref="C5:I5"/>
    <mergeCell ref="J5:P5"/>
    <mergeCell ref="Q5:W5"/>
    <mergeCell ref="X5:AA5"/>
    <mergeCell ref="AB5:AC5"/>
    <mergeCell ref="AD5:AE5"/>
    <mergeCell ref="A6:B6"/>
    <mergeCell ref="C6:I6"/>
    <mergeCell ref="J6:P6"/>
    <mergeCell ref="A7:B7"/>
    <mergeCell ref="C7:I7"/>
    <mergeCell ref="J7:P7"/>
    <mergeCell ref="AJ7:AO7"/>
    <mergeCell ref="AP7:AZ7"/>
    <mergeCell ref="AD8:AE8"/>
    <mergeCell ref="AF8:AI8"/>
    <mergeCell ref="AJ8:AO8"/>
    <mergeCell ref="AP8:AZ8"/>
    <mergeCell ref="Q7:W7"/>
    <mergeCell ref="Q6:W6"/>
    <mergeCell ref="A8:B8"/>
    <mergeCell ref="C8:I8"/>
    <mergeCell ref="J8:P8"/>
    <mergeCell ref="Q8:W8"/>
    <mergeCell ref="X8:AA8"/>
    <mergeCell ref="AB8:AC8"/>
    <mergeCell ref="BJ6:CR6"/>
    <mergeCell ref="BJ7:CR7"/>
    <mergeCell ref="AJ6:AO6"/>
    <mergeCell ref="AP6:AZ6"/>
    <mergeCell ref="AF7:AI7"/>
    <mergeCell ref="AF6:AI6"/>
    <mergeCell ref="AD7:AE7"/>
    <mergeCell ref="AB7:AC7"/>
    <mergeCell ref="X7:AA7"/>
    <mergeCell ref="AD6:AE6"/>
    <mergeCell ref="AB6:AC6"/>
    <mergeCell ref="X6:AA6"/>
    <mergeCell ref="AF5:AI5"/>
    <mergeCell ref="AJ5:AO5"/>
    <mergeCell ref="BJ8:CR8"/>
    <mergeCell ref="A10:B10"/>
    <mergeCell ref="C10:I10"/>
    <mergeCell ref="J10:P10"/>
    <mergeCell ref="Q10:W10"/>
    <mergeCell ref="X10:AA10"/>
    <mergeCell ref="AD9:AE9"/>
    <mergeCell ref="AF9:AI9"/>
    <mergeCell ref="AJ9:AO9"/>
    <mergeCell ref="AP9:AZ9"/>
    <mergeCell ref="BJ9:CR9"/>
    <mergeCell ref="A9:B9"/>
    <mergeCell ref="C9:I9"/>
    <mergeCell ref="J9:P9"/>
    <mergeCell ref="Q9:W9"/>
    <mergeCell ref="X9:AA9"/>
    <mergeCell ref="AB9:AC9"/>
    <mergeCell ref="BJ10:CR10"/>
    <mergeCell ref="AB10:AC10"/>
    <mergeCell ref="AD10:AE10"/>
    <mergeCell ref="AF10:AI10"/>
    <mergeCell ref="AJ10:AO10"/>
    <mergeCell ref="AB12:AC12"/>
    <mergeCell ref="AD12:AE12"/>
    <mergeCell ref="AP12:AZ12"/>
    <mergeCell ref="AP10:AZ10"/>
    <mergeCell ref="AP11:AZ11"/>
    <mergeCell ref="BJ11:CR11"/>
    <mergeCell ref="A12:B12"/>
    <mergeCell ref="C12:I12"/>
    <mergeCell ref="J12:P12"/>
    <mergeCell ref="Q12:W12"/>
    <mergeCell ref="X12:AA12"/>
    <mergeCell ref="A11:B11"/>
    <mergeCell ref="J11:P11"/>
    <mergeCell ref="Q11:W11"/>
    <mergeCell ref="X11:AA11"/>
    <mergeCell ref="AB11:AC11"/>
    <mergeCell ref="AD11:AE11"/>
    <mergeCell ref="BJ12:CR12"/>
    <mergeCell ref="BJ14:CR14"/>
    <mergeCell ref="BJ15:CR15"/>
    <mergeCell ref="AB15:AC15"/>
    <mergeCell ref="AD15:AE15"/>
    <mergeCell ref="AF15:AI15"/>
    <mergeCell ref="AJ15:AO15"/>
    <mergeCell ref="AP15:AZ15"/>
    <mergeCell ref="A15:B15"/>
    <mergeCell ref="C15:I15"/>
    <mergeCell ref="J15:P15"/>
    <mergeCell ref="Q15:W15"/>
    <mergeCell ref="X15:AA15"/>
    <mergeCell ref="AD14:AE14"/>
    <mergeCell ref="AF14:AI14"/>
    <mergeCell ref="AJ14:AO14"/>
    <mergeCell ref="AP14:AZ14"/>
    <mergeCell ref="A14:B14"/>
    <mergeCell ref="C14:I14"/>
    <mergeCell ref="J14:P14"/>
    <mergeCell ref="Q14:W14"/>
    <mergeCell ref="X14:AA14"/>
    <mergeCell ref="AB14:AC14"/>
    <mergeCell ref="BA14:BI14"/>
    <mergeCell ref="BA15:BI15"/>
    <mergeCell ref="BA26:BI26"/>
    <mergeCell ref="BJ16:CR16"/>
    <mergeCell ref="A16:B16"/>
    <mergeCell ref="C16:I16"/>
    <mergeCell ref="K16:P16"/>
    <mergeCell ref="Q16:W16"/>
    <mergeCell ref="X16:AA16"/>
    <mergeCell ref="AB16:AC16"/>
    <mergeCell ref="AD16:AE16"/>
    <mergeCell ref="AF16:AI16"/>
    <mergeCell ref="AJ16:AO16"/>
    <mergeCell ref="AP16:AZ16"/>
    <mergeCell ref="BA16:BI16"/>
    <mergeCell ref="BA25:BI25"/>
  </mergeCells>
  <phoneticPr fontId="57"/>
  <conditionalFormatting sqref="AF6 AJ6 AP6 BJ6">
    <cfRule type="expression" dxfId="53" priority="35" stopIfTrue="1">
      <formula>FIND("○",$AD6:$AE16)</formula>
    </cfRule>
  </conditionalFormatting>
  <conditionalFormatting sqref="AF8:AI8">
    <cfRule type="expression" dxfId="52" priority="30" stopIfTrue="1">
      <formula>FIND("○",$AD8:$AE16)</formula>
    </cfRule>
  </conditionalFormatting>
  <conditionalFormatting sqref="AF7:AO7 BJ7">
    <cfRule type="expression" dxfId="51" priority="13" stopIfTrue="1">
      <formula>FIND("○",$AD7:$AE14)</formula>
    </cfRule>
  </conditionalFormatting>
  <conditionalFormatting sqref="AF11:AO11">
    <cfRule type="expression" dxfId="50" priority="15" stopIfTrue="1">
      <formula>FIND("○",$AD11:$AE12)</formula>
    </cfRule>
  </conditionalFormatting>
  <conditionalFormatting sqref="AF5:AP5 BJ5">
    <cfRule type="expression" dxfId="49" priority="39" stopIfTrue="1">
      <formula>FIND("○",$AD5:$AE16)</formula>
    </cfRule>
  </conditionalFormatting>
  <conditionalFormatting sqref="AF9:AP9 BJ9 BJ11">
    <cfRule type="expression" dxfId="48" priority="14" stopIfTrue="1">
      <formula>FIND("○",$AD9:$AE12)</formula>
    </cfRule>
  </conditionalFormatting>
  <conditionalFormatting sqref="AF10:AP10 BJ10 AF12:AO15">
    <cfRule type="expression" dxfId="47" priority="16" stopIfTrue="1">
      <formula>FIND("○",$AD10:$AE12)</formula>
    </cfRule>
  </conditionalFormatting>
  <conditionalFormatting sqref="AF16:AP16">
    <cfRule type="expression" dxfId="46" priority="18" stopIfTrue="1">
      <formula>FIND("○",$AD16:$AE35)</formula>
    </cfRule>
  </conditionalFormatting>
  <conditionalFormatting sqref="AJ8 BJ8 AP12">
    <cfRule type="expression" dxfId="45" priority="7" stopIfTrue="1">
      <formula>FIND("○",$AD8:$AE12)</formula>
    </cfRule>
  </conditionalFormatting>
  <conditionalFormatting sqref="AP7">
    <cfRule type="expression" dxfId="44" priority="4" stopIfTrue="1">
      <formula>FIND("○",$AD7:$AE12)</formula>
    </cfRule>
  </conditionalFormatting>
  <conditionalFormatting sqref="AP8">
    <cfRule type="expression" dxfId="43" priority="51" stopIfTrue="1">
      <formula>FIND("○",$AD8:$AE14)</formula>
    </cfRule>
  </conditionalFormatting>
  <conditionalFormatting sqref="AP11">
    <cfRule type="expression" dxfId="42" priority="8" stopIfTrue="1">
      <formula>FIND("○",$AD11:$AE14)</formula>
    </cfRule>
  </conditionalFormatting>
  <conditionalFormatting sqref="AP13:AP15 BJ13:BJ16">
    <cfRule type="expression" dxfId="41" priority="43" stopIfTrue="1">
      <formula>FIND("○",$AD13:$AE21)</formula>
    </cfRule>
  </conditionalFormatting>
  <conditionalFormatting sqref="BA5:BA30">
    <cfRule type="expression" dxfId="40" priority="1" stopIfTrue="1">
      <formula>FIND("○",#REF!)</formula>
    </cfRule>
  </conditionalFormatting>
  <conditionalFormatting sqref="BJ12">
    <cfRule type="expression" dxfId="39" priority="17" stopIfTrue="1">
      <formula>FIND("○",$AD12:$AE12)</formula>
    </cfRule>
  </conditionalFormatting>
  <dataValidations count="9">
    <dataValidation type="list" allowBlank="1" showInputMessage="1" showErrorMessage="1" sqref="AC5:AC7 AC12:AC16 AB5:AB16" xr:uid="{499F17A8-3406-407A-8B25-555E7CEFA76F}">
      <formula1>$U$20:$U$22</formula1>
    </dataValidation>
    <dataValidation type="list" allowBlank="1" showInputMessage="1" showErrorMessage="1" sqref="WLE983010:WLF983047 AD13:AE16 WVA983010:WVB983047 WBI983010:WBJ983047 VRM983010:VRN983047 VHQ983010:VHR983047 UXU983010:UXV983047 UNY983010:UNZ983047 UEC983010:UED983047 TUG983010:TUH983047 TKK983010:TKL983047 TAO983010:TAP983047 SQS983010:SQT983047 SGW983010:SGX983047 RXA983010:RXB983047 RNE983010:RNF983047 RDI983010:RDJ983047 QTM983010:QTN983047 QJQ983010:QJR983047 PZU983010:PZV983047 PPY983010:PPZ983047 PGC983010:PGD983047 OWG983010:OWH983047 OMK983010:OML983047 OCO983010:OCP983047 NSS983010:NST983047 NIW983010:NIX983047 MZA983010:MZB983047 MPE983010:MPF983047 MFI983010:MFJ983047 LVM983010:LVN983047 LLQ983010:LLR983047 LBU983010:LBV983047 KRY983010:KRZ983047 KIC983010:KID983047 JYG983010:JYH983047 JOK983010:JOL983047 JEO983010:JEP983047 IUS983010:IUT983047 IKW983010:IKX983047 IBA983010:IBB983047 HRE983010:HRF983047 HHI983010:HHJ983047 GXM983010:GXN983047 GNQ983010:GNR983047 GDU983010:GDV983047 FTY983010:FTZ983047 FKC983010:FKD983047 FAG983010:FAH983047 EQK983010:EQL983047 EGO983010:EGP983047 DWS983010:DWT983047 DMW983010:DMX983047 DDA983010:DDB983047 CTE983010:CTF983047 CJI983010:CJJ983047 BZM983010:BZN983047 BPQ983010:BPR983047 BFU983010:BFV983047 AVY983010:AVZ983047 AMC983010:AMD983047 ACG983010:ACH983047 SK983010:SL983047 IO983010:IP983047 AD983010:AE983047 WVA917474:WVB917511 WLE917474:WLF917511 WBI917474:WBJ917511 VRM917474:VRN917511 VHQ917474:VHR917511 UXU917474:UXV917511 UNY917474:UNZ917511 UEC917474:UED917511 TUG917474:TUH917511 TKK917474:TKL917511 TAO917474:TAP917511 SQS917474:SQT917511 SGW917474:SGX917511 RXA917474:RXB917511 RNE917474:RNF917511 RDI917474:RDJ917511 QTM917474:QTN917511 QJQ917474:QJR917511 PZU917474:PZV917511 PPY917474:PPZ917511 PGC917474:PGD917511 OWG917474:OWH917511 OMK917474:OML917511 OCO917474:OCP917511 NSS917474:NST917511 NIW917474:NIX917511 MZA917474:MZB917511 MPE917474:MPF917511 MFI917474:MFJ917511 LVM917474:LVN917511 LLQ917474:LLR917511 LBU917474:LBV917511 KRY917474:KRZ917511 KIC917474:KID917511 JYG917474:JYH917511 JOK917474:JOL917511 JEO917474:JEP917511 IUS917474:IUT917511 IKW917474:IKX917511 IBA917474:IBB917511 HRE917474:HRF917511 HHI917474:HHJ917511 GXM917474:GXN917511 GNQ917474:GNR917511 GDU917474:GDV917511 FTY917474:FTZ917511 FKC917474:FKD917511 FAG917474:FAH917511 EQK917474:EQL917511 EGO917474:EGP917511 DWS917474:DWT917511 DMW917474:DMX917511 DDA917474:DDB917511 CTE917474:CTF917511 CJI917474:CJJ917511 BZM917474:BZN917511 BPQ917474:BPR917511 BFU917474:BFV917511 AVY917474:AVZ917511 AMC917474:AMD917511 ACG917474:ACH917511 SK917474:SL917511 IO917474:IP917511 AD917474:AE917511 WVA851938:WVB851975 WLE851938:WLF851975 WBI851938:WBJ851975 VRM851938:VRN851975 VHQ851938:VHR851975 UXU851938:UXV851975 UNY851938:UNZ851975 UEC851938:UED851975 TUG851938:TUH851975 TKK851938:TKL851975 TAO851938:TAP851975 SQS851938:SQT851975 SGW851938:SGX851975 RXA851938:RXB851975 RNE851938:RNF851975 RDI851938:RDJ851975 QTM851938:QTN851975 QJQ851938:QJR851975 PZU851938:PZV851975 PPY851938:PPZ851975 PGC851938:PGD851975 OWG851938:OWH851975 OMK851938:OML851975 OCO851938:OCP851975 NSS851938:NST851975 NIW851938:NIX851975 MZA851938:MZB851975 MPE851938:MPF851975 MFI851938:MFJ851975 LVM851938:LVN851975 LLQ851938:LLR851975 LBU851938:LBV851975 KRY851938:KRZ851975 KIC851938:KID851975 JYG851938:JYH851975 JOK851938:JOL851975 JEO851938:JEP851975 IUS851938:IUT851975 IKW851938:IKX851975 IBA851938:IBB851975 HRE851938:HRF851975 HHI851938:HHJ851975 GXM851938:GXN851975 GNQ851938:GNR851975 GDU851938:GDV851975 FTY851938:FTZ851975 FKC851938:FKD851975 FAG851938:FAH851975 EQK851938:EQL851975 EGO851938:EGP851975 DWS851938:DWT851975 DMW851938:DMX851975 DDA851938:DDB851975 CTE851938:CTF851975 CJI851938:CJJ851975 BZM851938:BZN851975 BPQ851938:BPR851975 BFU851938:BFV851975 AVY851938:AVZ851975 AMC851938:AMD851975 ACG851938:ACH851975 SK851938:SL851975 IO851938:IP851975 AD851938:AE851975 WVA786402:WVB786439 WLE786402:WLF786439 WBI786402:WBJ786439 VRM786402:VRN786439 VHQ786402:VHR786439 UXU786402:UXV786439 UNY786402:UNZ786439 UEC786402:UED786439 TUG786402:TUH786439 TKK786402:TKL786439 TAO786402:TAP786439 SQS786402:SQT786439 SGW786402:SGX786439 RXA786402:RXB786439 RNE786402:RNF786439 RDI786402:RDJ786439 QTM786402:QTN786439 QJQ786402:QJR786439 PZU786402:PZV786439 PPY786402:PPZ786439 PGC786402:PGD786439 OWG786402:OWH786439 OMK786402:OML786439 OCO786402:OCP786439 NSS786402:NST786439 NIW786402:NIX786439 MZA786402:MZB786439 MPE786402:MPF786439 MFI786402:MFJ786439 LVM786402:LVN786439 LLQ786402:LLR786439 LBU786402:LBV786439 KRY786402:KRZ786439 KIC786402:KID786439 JYG786402:JYH786439 JOK786402:JOL786439 JEO786402:JEP786439 IUS786402:IUT786439 IKW786402:IKX786439 IBA786402:IBB786439 HRE786402:HRF786439 HHI786402:HHJ786439 GXM786402:GXN786439 GNQ786402:GNR786439 GDU786402:GDV786439 FTY786402:FTZ786439 FKC786402:FKD786439 FAG786402:FAH786439 EQK786402:EQL786439 EGO786402:EGP786439 DWS786402:DWT786439 DMW786402:DMX786439 DDA786402:DDB786439 CTE786402:CTF786439 CJI786402:CJJ786439 BZM786402:BZN786439 BPQ786402:BPR786439 BFU786402:BFV786439 AVY786402:AVZ786439 AMC786402:AMD786439 ACG786402:ACH786439 SK786402:SL786439 IO786402:IP786439 AD786402:AE786439 WVA720866:WVB720903 WLE720866:WLF720903 WBI720866:WBJ720903 VRM720866:VRN720903 VHQ720866:VHR720903 UXU720866:UXV720903 UNY720866:UNZ720903 UEC720866:UED720903 TUG720866:TUH720903 TKK720866:TKL720903 TAO720866:TAP720903 SQS720866:SQT720903 SGW720866:SGX720903 RXA720866:RXB720903 RNE720866:RNF720903 RDI720866:RDJ720903 QTM720866:QTN720903 QJQ720866:QJR720903 PZU720866:PZV720903 PPY720866:PPZ720903 PGC720866:PGD720903 OWG720866:OWH720903 OMK720866:OML720903 OCO720866:OCP720903 NSS720866:NST720903 NIW720866:NIX720903 MZA720866:MZB720903 MPE720866:MPF720903 MFI720866:MFJ720903 LVM720866:LVN720903 LLQ720866:LLR720903 LBU720866:LBV720903 KRY720866:KRZ720903 KIC720866:KID720903 JYG720866:JYH720903 JOK720866:JOL720903 JEO720866:JEP720903 IUS720866:IUT720903 IKW720866:IKX720903 IBA720866:IBB720903 HRE720866:HRF720903 HHI720866:HHJ720903 GXM720866:GXN720903 GNQ720866:GNR720903 GDU720866:GDV720903 FTY720866:FTZ720903 FKC720866:FKD720903 FAG720866:FAH720903 EQK720866:EQL720903 EGO720866:EGP720903 DWS720866:DWT720903 DMW720866:DMX720903 DDA720866:DDB720903 CTE720866:CTF720903 CJI720866:CJJ720903 BZM720866:BZN720903 BPQ720866:BPR720903 BFU720866:BFV720903 AVY720866:AVZ720903 AMC720866:AMD720903 ACG720866:ACH720903 SK720866:SL720903 IO720866:IP720903 AD720866:AE720903 WVA655330:WVB655367 WLE655330:WLF655367 WBI655330:WBJ655367 VRM655330:VRN655367 VHQ655330:VHR655367 UXU655330:UXV655367 UNY655330:UNZ655367 UEC655330:UED655367 TUG655330:TUH655367 TKK655330:TKL655367 TAO655330:TAP655367 SQS655330:SQT655367 SGW655330:SGX655367 RXA655330:RXB655367 RNE655330:RNF655367 RDI655330:RDJ655367 QTM655330:QTN655367 QJQ655330:QJR655367 PZU655330:PZV655367 PPY655330:PPZ655367 PGC655330:PGD655367 OWG655330:OWH655367 OMK655330:OML655367 OCO655330:OCP655367 NSS655330:NST655367 NIW655330:NIX655367 MZA655330:MZB655367 MPE655330:MPF655367 MFI655330:MFJ655367 LVM655330:LVN655367 LLQ655330:LLR655367 LBU655330:LBV655367 KRY655330:KRZ655367 KIC655330:KID655367 JYG655330:JYH655367 JOK655330:JOL655367 JEO655330:JEP655367 IUS655330:IUT655367 IKW655330:IKX655367 IBA655330:IBB655367 HRE655330:HRF655367 HHI655330:HHJ655367 GXM655330:GXN655367 GNQ655330:GNR655367 GDU655330:GDV655367 FTY655330:FTZ655367 FKC655330:FKD655367 FAG655330:FAH655367 EQK655330:EQL655367 EGO655330:EGP655367 DWS655330:DWT655367 DMW655330:DMX655367 DDA655330:DDB655367 CTE655330:CTF655367 CJI655330:CJJ655367 BZM655330:BZN655367 BPQ655330:BPR655367 BFU655330:BFV655367 AVY655330:AVZ655367 AMC655330:AMD655367 ACG655330:ACH655367 SK655330:SL655367 IO655330:IP655367 AD655330:AE655367 WVA589794:WVB589831 WLE589794:WLF589831 WBI589794:WBJ589831 VRM589794:VRN589831 VHQ589794:VHR589831 UXU589794:UXV589831 UNY589794:UNZ589831 UEC589794:UED589831 TUG589794:TUH589831 TKK589794:TKL589831 TAO589794:TAP589831 SQS589794:SQT589831 SGW589794:SGX589831 RXA589794:RXB589831 RNE589794:RNF589831 RDI589794:RDJ589831 QTM589794:QTN589831 QJQ589794:QJR589831 PZU589794:PZV589831 PPY589794:PPZ589831 PGC589794:PGD589831 OWG589794:OWH589831 OMK589794:OML589831 OCO589794:OCP589831 NSS589794:NST589831 NIW589794:NIX589831 MZA589794:MZB589831 MPE589794:MPF589831 MFI589794:MFJ589831 LVM589794:LVN589831 LLQ589794:LLR589831 LBU589794:LBV589831 KRY589794:KRZ589831 KIC589794:KID589831 JYG589794:JYH589831 JOK589794:JOL589831 JEO589794:JEP589831 IUS589794:IUT589831 IKW589794:IKX589831 IBA589794:IBB589831 HRE589794:HRF589831 HHI589794:HHJ589831 GXM589794:GXN589831 GNQ589794:GNR589831 GDU589794:GDV589831 FTY589794:FTZ589831 FKC589794:FKD589831 FAG589794:FAH589831 EQK589794:EQL589831 EGO589794:EGP589831 DWS589794:DWT589831 DMW589794:DMX589831 DDA589794:DDB589831 CTE589794:CTF589831 CJI589794:CJJ589831 BZM589794:BZN589831 BPQ589794:BPR589831 BFU589794:BFV589831 AVY589794:AVZ589831 AMC589794:AMD589831 ACG589794:ACH589831 SK589794:SL589831 IO589794:IP589831 AD589794:AE589831 WVA524258:WVB524295 WLE524258:WLF524295 WBI524258:WBJ524295 VRM524258:VRN524295 VHQ524258:VHR524295 UXU524258:UXV524295 UNY524258:UNZ524295 UEC524258:UED524295 TUG524258:TUH524295 TKK524258:TKL524295 TAO524258:TAP524295 SQS524258:SQT524295 SGW524258:SGX524295 RXA524258:RXB524295 RNE524258:RNF524295 RDI524258:RDJ524295 QTM524258:QTN524295 QJQ524258:QJR524295 PZU524258:PZV524295 PPY524258:PPZ524295 PGC524258:PGD524295 OWG524258:OWH524295 OMK524258:OML524295 OCO524258:OCP524295 NSS524258:NST524295 NIW524258:NIX524295 MZA524258:MZB524295 MPE524258:MPF524295 MFI524258:MFJ524295 LVM524258:LVN524295 LLQ524258:LLR524295 LBU524258:LBV524295 KRY524258:KRZ524295 KIC524258:KID524295 JYG524258:JYH524295 JOK524258:JOL524295 JEO524258:JEP524295 IUS524258:IUT524295 IKW524258:IKX524295 IBA524258:IBB524295 HRE524258:HRF524295 HHI524258:HHJ524295 GXM524258:GXN524295 GNQ524258:GNR524295 GDU524258:GDV524295 FTY524258:FTZ524295 FKC524258:FKD524295 FAG524258:FAH524295 EQK524258:EQL524295 EGO524258:EGP524295 DWS524258:DWT524295 DMW524258:DMX524295 DDA524258:DDB524295 CTE524258:CTF524295 CJI524258:CJJ524295 BZM524258:BZN524295 BPQ524258:BPR524295 BFU524258:BFV524295 AVY524258:AVZ524295 AMC524258:AMD524295 ACG524258:ACH524295 SK524258:SL524295 IO524258:IP524295 AD524258:AE524295 WVA458722:WVB458759 WLE458722:WLF458759 WBI458722:WBJ458759 VRM458722:VRN458759 VHQ458722:VHR458759 UXU458722:UXV458759 UNY458722:UNZ458759 UEC458722:UED458759 TUG458722:TUH458759 TKK458722:TKL458759 TAO458722:TAP458759 SQS458722:SQT458759 SGW458722:SGX458759 RXA458722:RXB458759 RNE458722:RNF458759 RDI458722:RDJ458759 QTM458722:QTN458759 QJQ458722:QJR458759 PZU458722:PZV458759 PPY458722:PPZ458759 PGC458722:PGD458759 OWG458722:OWH458759 OMK458722:OML458759 OCO458722:OCP458759 NSS458722:NST458759 NIW458722:NIX458759 MZA458722:MZB458759 MPE458722:MPF458759 MFI458722:MFJ458759 LVM458722:LVN458759 LLQ458722:LLR458759 LBU458722:LBV458759 KRY458722:KRZ458759 KIC458722:KID458759 JYG458722:JYH458759 JOK458722:JOL458759 JEO458722:JEP458759 IUS458722:IUT458759 IKW458722:IKX458759 IBA458722:IBB458759 HRE458722:HRF458759 HHI458722:HHJ458759 GXM458722:GXN458759 GNQ458722:GNR458759 GDU458722:GDV458759 FTY458722:FTZ458759 FKC458722:FKD458759 FAG458722:FAH458759 EQK458722:EQL458759 EGO458722:EGP458759 DWS458722:DWT458759 DMW458722:DMX458759 DDA458722:DDB458759 CTE458722:CTF458759 CJI458722:CJJ458759 BZM458722:BZN458759 BPQ458722:BPR458759 BFU458722:BFV458759 AVY458722:AVZ458759 AMC458722:AMD458759 ACG458722:ACH458759 SK458722:SL458759 IO458722:IP458759 AD458722:AE458759 WVA393186:WVB393223 WLE393186:WLF393223 WBI393186:WBJ393223 VRM393186:VRN393223 VHQ393186:VHR393223 UXU393186:UXV393223 UNY393186:UNZ393223 UEC393186:UED393223 TUG393186:TUH393223 TKK393186:TKL393223 TAO393186:TAP393223 SQS393186:SQT393223 SGW393186:SGX393223 RXA393186:RXB393223 RNE393186:RNF393223 RDI393186:RDJ393223 QTM393186:QTN393223 QJQ393186:QJR393223 PZU393186:PZV393223 PPY393186:PPZ393223 PGC393186:PGD393223 OWG393186:OWH393223 OMK393186:OML393223 OCO393186:OCP393223 NSS393186:NST393223 NIW393186:NIX393223 MZA393186:MZB393223 MPE393186:MPF393223 MFI393186:MFJ393223 LVM393186:LVN393223 LLQ393186:LLR393223 LBU393186:LBV393223 KRY393186:KRZ393223 KIC393186:KID393223 JYG393186:JYH393223 JOK393186:JOL393223 JEO393186:JEP393223 IUS393186:IUT393223 IKW393186:IKX393223 IBA393186:IBB393223 HRE393186:HRF393223 HHI393186:HHJ393223 GXM393186:GXN393223 GNQ393186:GNR393223 GDU393186:GDV393223 FTY393186:FTZ393223 FKC393186:FKD393223 FAG393186:FAH393223 EQK393186:EQL393223 EGO393186:EGP393223 DWS393186:DWT393223 DMW393186:DMX393223 DDA393186:DDB393223 CTE393186:CTF393223 CJI393186:CJJ393223 BZM393186:BZN393223 BPQ393186:BPR393223 BFU393186:BFV393223 AVY393186:AVZ393223 AMC393186:AMD393223 ACG393186:ACH393223 SK393186:SL393223 IO393186:IP393223 AD393186:AE393223 WVA327650:WVB327687 WLE327650:WLF327687 WBI327650:WBJ327687 VRM327650:VRN327687 VHQ327650:VHR327687 UXU327650:UXV327687 UNY327650:UNZ327687 UEC327650:UED327687 TUG327650:TUH327687 TKK327650:TKL327687 TAO327650:TAP327687 SQS327650:SQT327687 SGW327650:SGX327687 RXA327650:RXB327687 RNE327650:RNF327687 RDI327650:RDJ327687 QTM327650:QTN327687 QJQ327650:QJR327687 PZU327650:PZV327687 PPY327650:PPZ327687 PGC327650:PGD327687 OWG327650:OWH327687 OMK327650:OML327687 OCO327650:OCP327687 NSS327650:NST327687 NIW327650:NIX327687 MZA327650:MZB327687 MPE327650:MPF327687 MFI327650:MFJ327687 LVM327650:LVN327687 LLQ327650:LLR327687 LBU327650:LBV327687 KRY327650:KRZ327687 KIC327650:KID327687 JYG327650:JYH327687 JOK327650:JOL327687 JEO327650:JEP327687 IUS327650:IUT327687 IKW327650:IKX327687 IBA327650:IBB327687 HRE327650:HRF327687 HHI327650:HHJ327687 GXM327650:GXN327687 GNQ327650:GNR327687 GDU327650:GDV327687 FTY327650:FTZ327687 FKC327650:FKD327687 FAG327650:FAH327687 EQK327650:EQL327687 EGO327650:EGP327687 DWS327650:DWT327687 DMW327650:DMX327687 DDA327650:DDB327687 CTE327650:CTF327687 CJI327650:CJJ327687 BZM327650:BZN327687 BPQ327650:BPR327687 BFU327650:BFV327687 AVY327650:AVZ327687 AMC327650:AMD327687 ACG327650:ACH327687 SK327650:SL327687 IO327650:IP327687 AD327650:AE327687 WVA262114:WVB262151 WLE262114:WLF262151 WBI262114:WBJ262151 VRM262114:VRN262151 VHQ262114:VHR262151 UXU262114:UXV262151 UNY262114:UNZ262151 UEC262114:UED262151 TUG262114:TUH262151 TKK262114:TKL262151 TAO262114:TAP262151 SQS262114:SQT262151 SGW262114:SGX262151 RXA262114:RXB262151 RNE262114:RNF262151 RDI262114:RDJ262151 QTM262114:QTN262151 QJQ262114:QJR262151 PZU262114:PZV262151 PPY262114:PPZ262151 PGC262114:PGD262151 OWG262114:OWH262151 OMK262114:OML262151 OCO262114:OCP262151 NSS262114:NST262151 NIW262114:NIX262151 MZA262114:MZB262151 MPE262114:MPF262151 MFI262114:MFJ262151 LVM262114:LVN262151 LLQ262114:LLR262151 LBU262114:LBV262151 KRY262114:KRZ262151 KIC262114:KID262151 JYG262114:JYH262151 JOK262114:JOL262151 JEO262114:JEP262151 IUS262114:IUT262151 IKW262114:IKX262151 IBA262114:IBB262151 HRE262114:HRF262151 HHI262114:HHJ262151 GXM262114:GXN262151 GNQ262114:GNR262151 GDU262114:GDV262151 FTY262114:FTZ262151 FKC262114:FKD262151 FAG262114:FAH262151 EQK262114:EQL262151 EGO262114:EGP262151 DWS262114:DWT262151 DMW262114:DMX262151 DDA262114:DDB262151 CTE262114:CTF262151 CJI262114:CJJ262151 BZM262114:BZN262151 BPQ262114:BPR262151 BFU262114:BFV262151 AVY262114:AVZ262151 AMC262114:AMD262151 ACG262114:ACH262151 SK262114:SL262151 IO262114:IP262151 AD262114:AE262151 WVA196578:WVB196615 WLE196578:WLF196615 WBI196578:WBJ196615 VRM196578:VRN196615 VHQ196578:VHR196615 UXU196578:UXV196615 UNY196578:UNZ196615 UEC196578:UED196615 TUG196578:TUH196615 TKK196578:TKL196615 TAO196578:TAP196615 SQS196578:SQT196615 SGW196578:SGX196615 RXA196578:RXB196615 RNE196578:RNF196615 RDI196578:RDJ196615 QTM196578:QTN196615 QJQ196578:QJR196615 PZU196578:PZV196615 PPY196578:PPZ196615 PGC196578:PGD196615 OWG196578:OWH196615 OMK196578:OML196615 OCO196578:OCP196615 NSS196578:NST196615 NIW196578:NIX196615 MZA196578:MZB196615 MPE196578:MPF196615 MFI196578:MFJ196615 LVM196578:LVN196615 LLQ196578:LLR196615 LBU196578:LBV196615 KRY196578:KRZ196615 KIC196578:KID196615 JYG196578:JYH196615 JOK196578:JOL196615 JEO196578:JEP196615 IUS196578:IUT196615 IKW196578:IKX196615 IBA196578:IBB196615 HRE196578:HRF196615 HHI196578:HHJ196615 GXM196578:GXN196615 GNQ196578:GNR196615 GDU196578:GDV196615 FTY196578:FTZ196615 FKC196578:FKD196615 FAG196578:FAH196615 EQK196578:EQL196615 EGO196578:EGP196615 DWS196578:DWT196615 DMW196578:DMX196615 DDA196578:DDB196615 CTE196578:CTF196615 CJI196578:CJJ196615 BZM196578:BZN196615 BPQ196578:BPR196615 BFU196578:BFV196615 AVY196578:AVZ196615 AMC196578:AMD196615 ACG196578:ACH196615 SK196578:SL196615 IO196578:IP196615 AD196578:AE196615 WVA131042:WVB131079 WLE131042:WLF131079 WBI131042:WBJ131079 VRM131042:VRN131079 VHQ131042:VHR131079 UXU131042:UXV131079 UNY131042:UNZ131079 UEC131042:UED131079 TUG131042:TUH131079 TKK131042:TKL131079 TAO131042:TAP131079 SQS131042:SQT131079 SGW131042:SGX131079 RXA131042:RXB131079 RNE131042:RNF131079 RDI131042:RDJ131079 QTM131042:QTN131079 QJQ131042:QJR131079 PZU131042:PZV131079 PPY131042:PPZ131079 PGC131042:PGD131079 OWG131042:OWH131079 OMK131042:OML131079 OCO131042:OCP131079 NSS131042:NST131079 NIW131042:NIX131079 MZA131042:MZB131079 MPE131042:MPF131079 MFI131042:MFJ131079 LVM131042:LVN131079 LLQ131042:LLR131079 LBU131042:LBV131079 KRY131042:KRZ131079 KIC131042:KID131079 JYG131042:JYH131079 JOK131042:JOL131079 JEO131042:JEP131079 IUS131042:IUT131079 IKW131042:IKX131079 IBA131042:IBB131079 HRE131042:HRF131079 HHI131042:HHJ131079 GXM131042:GXN131079 GNQ131042:GNR131079 GDU131042:GDV131079 FTY131042:FTZ131079 FKC131042:FKD131079 FAG131042:FAH131079 EQK131042:EQL131079 EGO131042:EGP131079 DWS131042:DWT131079 DMW131042:DMX131079 DDA131042:DDB131079 CTE131042:CTF131079 CJI131042:CJJ131079 BZM131042:BZN131079 BPQ131042:BPR131079 BFU131042:BFV131079 AVY131042:AVZ131079 AMC131042:AMD131079 ACG131042:ACH131079 SK131042:SL131079 IO131042:IP131079 AD131042:AE131079 WVA65506:WVB65543 WLE65506:WLF65543 WBI65506:WBJ65543 VRM65506:VRN65543 VHQ65506:VHR65543 UXU65506:UXV65543 UNY65506:UNZ65543 UEC65506:UED65543 TUG65506:TUH65543 TKK65506:TKL65543 TAO65506:TAP65543 SQS65506:SQT65543 SGW65506:SGX65543 RXA65506:RXB65543 RNE65506:RNF65543 RDI65506:RDJ65543 QTM65506:QTN65543 QJQ65506:QJR65543 PZU65506:PZV65543 PPY65506:PPZ65543 PGC65506:PGD65543 OWG65506:OWH65543 OMK65506:OML65543 OCO65506:OCP65543 NSS65506:NST65543 NIW65506:NIX65543 MZA65506:MZB65543 MPE65506:MPF65543 MFI65506:MFJ65543 LVM65506:LVN65543 LLQ65506:LLR65543 LBU65506:LBV65543 KRY65506:KRZ65543 KIC65506:KID65543 JYG65506:JYH65543 JOK65506:JOL65543 JEO65506:JEP65543 IUS65506:IUT65543 IKW65506:IKX65543 IBA65506:IBB65543 HRE65506:HRF65543 HHI65506:HHJ65543 GXM65506:GXN65543 GNQ65506:GNR65543 GDU65506:GDV65543 FTY65506:FTZ65543 FKC65506:FKD65543 FAG65506:FAH65543 EQK65506:EQL65543 EGO65506:EGP65543 DWS65506:DWT65543 DMW65506:DMX65543 DDA65506:DDB65543 CTE65506:CTF65543 CJI65506:CJJ65543 BZM65506:BZN65543 BPQ65506:BPR65543 BFU65506:BFV65543 AVY65506:AVZ65543 AMC65506:AMD65543 ACG65506:ACH65543 SK65506:SL65543 IO65506:IP65543 AE5:AE7 AD65506:AE65543 WLE5:WLF16 WBI5:WBJ16 VRM5:VRN16 VHQ5:VHR16 UXU5:UXV16 UNY5:UNZ16 UEC5:UED16 TUG5:TUH16 TKK5:TKL16 TAO5:TAP16 SQS5:SQT16 SGW5:SGX16 RXA5:RXB16 RNE5:RNF16 RDI5:RDJ16 QTM5:QTN16 QJQ5:QJR16 PZU5:PZV16 PPY5:PPZ16 PGC5:PGD16 OWG5:OWH16 OMK5:OML16 OCO5:OCP16 NSS5:NST16 NIW5:NIX16 MZA5:MZB16 MPE5:MPF16 MFI5:MFJ16 LVM5:LVN16 LLQ5:LLR16 LBU5:LBV16 KRY5:KRZ16 KIC5:KID16 JYG5:JYH16 JOK5:JOL16 JEO5:JEP16 IUS5:IUT16 IKW5:IKX16 IBA5:IBB16 HRE5:HRF16 HHI5:HHJ16 GXM5:GXN16 GNQ5:GNR16 GDU5:GDV16 FTY5:FTZ16 FKC5:FKD16 FAG5:FAH16 EQK5:EQL16 EGO5:EGP16 DWS5:DWT16 DMW5:DMX16 DDA5:DDB16 CTE5:CTF16 CJI5:CJJ16 BZM5:BZN16 BPQ5:BPR16 BFU5:BFV16 AVY5:AVZ16 AMC5:AMD16 ACG5:ACH16 SK5:SL16 IO5:IP16 WVA5:WVB16 AD5:AD12" xr:uid="{C4ED132A-D8E6-4B24-B44A-430CE62F3BAA}">
      <formula1>$Y$20:$Y$22</formula1>
    </dataValidation>
    <dataValidation type="list" allowBlank="1" showInputMessage="1" showErrorMessage="1" sqref="AE983051:AL983056 IP983051:IW983056 SL983051:SS983056 ACH983051:ACO983056 AMD983051:AMK983056 AVZ983051:AWG983056 BFV983051:BGC983056 BPR983051:BPY983056 BZN983051:BZU983056 CJJ983051:CJQ983056 CTF983051:CTM983056 DDB983051:DDI983056 DMX983051:DNE983056 DWT983051:DXA983056 EGP983051:EGW983056 EQL983051:EQS983056 FAH983051:FAO983056 FKD983051:FKK983056 FTZ983051:FUG983056 GDV983051:GEC983056 GNR983051:GNY983056 GXN983051:GXU983056 HHJ983051:HHQ983056 HRF983051:HRM983056 IBB983051:IBI983056 IKX983051:ILE983056 IUT983051:IVA983056 JEP983051:JEW983056 JOL983051:JOS983056 JYH983051:JYO983056 KID983051:KIK983056 KRZ983051:KSG983056 LBV983051:LCC983056 LLR983051:LLY983056 LVN983051:LVU983056 MFJ983051:MFQ983056 MPF983051:MPM983056 MZB983051:MZI983056 NIX983051:NJE983056 NST983051:NTA983056 OCP983051:OCW983056 OML983051:OMS983056 OWH983051:OWO983056 PGD983051:PGK983056 PPZ983051:PQG983056 PZV983051:QAC983056 QJR983051:QJY983056 QTN983051:QTU983056 RDJ983051:RDQ983056 RNF983051:RNM983056 RXB983051:RXI983056 SGX983051:SHE983056 SQT983051:SRA983056 TAP983051:TAW983056 TKL983051:TKS983056 TUH983051:TUO983056 UED983051:UEK983056 UNZ983051:UOG983056 UXV983051:UYC983056 VHR983051:VHY983056 VRN983051:VRU983056 WBJ983051:WBQ983056 WLF983051:WLM983056 WVB983051:WVI983056 AE65547:AL65552 IP65547:IW65552 SL65547:SS65552 ACH65547:ACO65552 AMD65547:AMK65552 AVZ65547:AWG65552 BFV65547:BGC65552 BPR65547:BPY65552 BZN65547:BZU65552 CJJ65547:CJQ65552 CTF65547:CTM65552 DDB65547:DDI65552 DMX65547:DNE65552 DWT65547:DXA65552 EGP65547:EGW65552 EQL65547:EQS65552 FAH65547:FAO65552 FKD65547:FKK65552 FTZ65547:FUG65552 GDV65547:GEC65552 GNR65547:GNY65552 GXN65547:GXU65552 HHJ65547:HHQ65552 HRF65547:HRM65552 IBB65547:IBI65552 IKX65547:ILE65552 IUT65547:IVA65552 JEP65547:JEW65552 JOL65547:JOS65552 JYH65547:JYO65552 KID65547:KIK65552 KRZ65547:KSG65552 LBV65547:LCC65552 LLR65547:LLY65552 LVN65547:LVU65552 MFJ65547:MFQ65552 MPF65547:MPM65552 MZB65547:MZI65552 NIX65547:NJE65552 NST65547:NTA65552 OCP65547:OCW65552 OML65547:OMS65552 OWH65547:OWO65552 PGD65547:PGK65552 PPZ65547:PQG65552 PZV65547:QAC65552 QJR65547:QJY65552 QTN65547:QTU65552 RDJ65547:RDQ65552 RNF65547:RNM65552 RXB65547:RXI65552 SGX65547:SHE65552 SQT65547:SRA65552 TAP65547:TAW65552 TKL65547:TKS65552 TUH65547:TUO65552 UED65547:UEK65552 UNZ65547:UOG65552 UXV65547:UYC65552 VHR65547:VHY65552 VRN65547:VRU65552 WBJ65547:WBQ65552 WLF65547:WLM65552 WVB65547:WVI65552 AE131083:AL131088 IP131083:IW131088 SL131083:SS131088 ACH131083:ACO131088 AMD131083:AMK131088 AVZ131083:AWG131088 BFV131083:BGC131088 BPR131083:BPY131088 BZN131083:BZU131088 CJJ131083:CJQ131088 CTF131083:CTM131088 DDB131083:DDI131088 DMX131083:DNE131088 DWT131083:DXA131088 EGP131083:EGW131088 EQL131083:EQS131088 FAH131083:FAO131088 FKD131083:FKK131088 FTZ131083:FUG131088 GDV131083:GEC131088 GNR131083:GNY131088 GXN131083:GXU131088 HHJ131083:HHQ131088 HRF131083:HRM131088 IBB131083:IBI131088 IKX131083:ILE131088 IUT131083:IVA131088 JEP131083:JEW131088 JOL131083:JOS131088 JYH131083:JYO131088 KID131083:KIK131088 KRZ131083:KSG131088 LBV131083:LCC131088 LLR131083:LLY131088 LVN131083:LVU131088 MFJ131083:MFQ131088 MPF131083:MPM131088 MZB131083:MZI131088 NIX131083:NJE131088 NST131083:NTA131088 OCP131083:OCW131088 OML131083:OMS131088 OWH131083:OWO131088 PGD131083:PGK131088 PPZ131083:PQG131088 PZV131083:QAC131088 QJR131083:QJY131088 QTN131083:QTU131088 RDJ131083:RDQ131088 RNF131083:RNM131088 RXB131083:RXI131088 SGX131083:SHE131088 SQT131083:SRA131088 TAP131083:TAW131088 TKL131083:TKS131088 TUH131083:TUO131088 UED131083:UEK131088 UNZ131083:UOG131088 UXV131083:UYC131088 VHR131083:VHY131088 VRN131083:VRU131088 WBJ131083:WBQ131088 WLF131083:WLM131088 WVB131083:WVI131088 AE196619:AL196624 IP196619:IW196624 SL196619:SS196624 ACH196619:ACO196624 AMD196619:AMK196624 AVZ196619:AWG196624 BFV196619:BGC196624 BPR196619:BPY196624 BZN196619:BZU196624 CJJ196619:CJQ196624 CTF196619:CTM196624 DDB196619:DDI196624 DMX196619:DNE196624 DWT196619:DXA196624 EGP196619:EGW196624 EQL196619:EQS196624 FAH196619:FAO196624 FKD196619:FKK196624 FTZ196619:FUG196624 GDV196619:GEC196624 GNR196619:GNY196624 GXN196619:GXU196624 HHJ196619:HHQ196624 HRF196619:HRM196624 IBB196619:IBI196624 IKX196619:ILE196624 IUT196619:IVA196624 JEP196619:JEW196624 JOL196619:JOS196624 JYH196619:JYO196624 KID196619:KIK196624 KRZ196619:KSG196624 LBV196619:LCC196624 LLR196619:LLY196624 LVN196619:LVU196624 MFJ196619:MFQ196624 MPF196619:MPM196624 MZB196619:MZI196624 NIX196619:NJE196624 NST196619:NTA196624 OCP196619:OCW196624 OML196619:OMS196624 OWH196619:OWO196624 PGD196619:PGK196624 PPZ196619:PQG196624 PZV196619:QAC196624 QJR196619:QJY196624 QTN196619:QTU196624 RDJ196619:RDQ196624 RNF196619:RNM196624 RXB196619:RXI196624 SGX196619:SHE196624 SQT196619:SRA196624 TAP196619:TAW196624 TKL196619:TKS196624 TUH196619:TUO196624 UED196619:UEK196624 UNZ196619:UOG196624 UXV196619:UYC196624 VHR196619:VHY196624 VRN196619:VRU196624 WBJ196619:WBQ196624 WLF196619:WLM196624 WVB196619:WVI196624 AE262155:AL262160 IP262155:IW262160 SL262155:SS262160 ACH262155:ACO262160 AMD262155:AMK262160 AVZ262155:AWG262160 BFV262155:BGC262160 BPR262155:BPY262160 BZN262155:BZU262160 CJJ262155:CJQ262160 CTF262155:CTM262160 DDB262155:DDI262160 DMX262155:DNE262160 DWT262155:DXA262160 EGP262155:EGW262160 EQL262155:EQS262160 FAH262155:FAO262160 FKD262155:FKK262160 FTZ262155:FUG262160 GDV262155:GEC262160 GNR262155:GNY262160 GXN262155:GXU262160 HHJ262155:HHQ262160 HRF262155:HRM262160 IBB262155:IBI262160 IKX262155:ILE262160 IUT262155:IVA262160 JEP262155:JEW262160 JOL262155:JOS262160 JYH262155:JYO262160 KID262155:KIK262160 KRZ262155:KSG262160 LBV262155:LCC262160 LLR262155:LLY262160 LVN262155:LVU262160 MFJ262155:MFQ262160 MPF262155:MPM262160 MZB262155:MZI262160 NIX262155:NJE262160 NST262155:NTA262160 OCP262155:OCW262160 OML262155:OMS262160 OWH262155:OWO262160 PGD262155:PGK262160 PPZ262155:PQG262160 PZV262155:QAC262160 QJR262155:QJY262160 QTN262155:QTU262160 RDJ262155:RDQ262160 RNF262155:RNM262160 RXB262155:RXI262160 SGX262155:SHE262160 SQT262155:SRA262160 TAP262155:TAW262160 TKL262155:TKS262160 TUH262155:TUO262160 UED262155:UEK262160 UNZ262155:UOG262160 UXV262155:UYC262160 VHR262155:VHY262160 VRN262155:VRU262160 WBJ262155:WBQ262160 WLF262155:WLM262160 WVB262155:WVI262160 AE327691:AL327696 IP327691:IW327696 SL327691:SS327696 ACH327691:ACO327696 AMD327691:AMK327696 AVZ327691:AWG327696 BFV327691:BGC327696 BPR327691:BPY327696 BZN327691:BZU327696 CJJ327691:CJQ327696 CTF327691:CTM327696 DDB327691:DDI327696 DMX327691:DNE327696 DWT327691:DXA327696 EGP327691:EGW327696 EQL327691:EQS327696 FAH327691:FAO327696 FKD327691:FKK327696 FTZ327691:FUG327696 GDV327691:GEC327696 GNR327691:GNY327696 GXN327691:GXU327696 HHJ327691:HHQ327696 HRF327691:HRM327696 IBB327691:IBI327696 IKX327691:ILE327696 IUT327691:IVA327696 JEP327691:JEW327696 JOL327691:JOS327696 JYH327691:JYO327696 KID327691:KIK327696 KRZ327691:KSG327696 LBV327691:LCC327696 LLR327691:LLY327696 LVN327691:LVU327696 MFJ327691:MFQ327696 MPF327691:MPM327696 MZB327691:MZI327696 NIX327691:NJE327696 NST327691:NTA327696 OCP327691:OCW327696 OML327691:OMS327696 OWH327691:OWO327696 PGD327691:PGK327696 PPZ327691:PQG327696 PZV327691:QAC327696 QJR327691:QJY327696 QTN327691:QTU327696 RDJ327691:RDQ327696 RNF327691:RNM327696 RXB327691:RXI327696 SGX327691:SHE327696 SQT327691:SRA327696 TAP327691:TAW327696 TKL327691:TKS327696 TUH327691:TUO327696 UED327691:UEK327696 UNZ327691:UOG327696 UXV327691:UYC327696 VHR327691:VHY327696 VRN327691:VRU327696 WBJ327691:WBQ327696 WLF327691:WLM327696 WVB327691:WVI327696 AE393227:AL393232 IP393227:IW393232 SL393227:SS393232 ACH393227:ACO393232 AMD393227:AMK393232 AVZ393227:AWG393232 BFV393227:BGC393232 BPR393227:BPY393232 BZN393227:BZU393232 CJJ393227:CJQ393232 CTF393227:CTM393232 DDB393227:DDI393232 DMX393227:DNE393232 DWT393227:DXA393232 EGP393227:EGW393232 EQL393227:EQS393232 FAH393227:FAO393232 FKD393227:FKK393232 FTZ393227:FUG393232 GDV393227:GEC393232 GNR393227:GNY393232 GXN393227:GXU393232 HHJ393227:HHQ393232 HRF393227:HRM393232 IBB393227:IBI393232 IKX393227:ILE393232 IUT393227:IVA393232 JEP393227:JEW393232 JOL393227:JOS393232 JYH393227:JYO393232 KID393227:KIK393232 KRZ393227:KSG393232 LBV393227:LCC393232 LLR393227:LLY393232 LVN393227:LVU393232 MFJ393227:MFQ393232 MPF393227:MPM393232 MZB393227:MZI393232 NIX393227:NJE393232 NST393227:NTA393232 OCP393227:OCW393232 OML393227:OMS393232 OWH393227:OWO393232 PGD393227:PGK393232 PPZ393227:PQG393232 PZV393227:QAC393232 QJR393227:QJY393232 QTN393227:QTU393232 RDJ393227:RDQ393232 RNF393227:RNM393232 RXB393227:RXI393232 SGX393227:SHE393232 SQT393227:SRA393232 TAP393227:TAW393232 TKL393227:TKS393232 TUH393227:TUO393232 UED393227:UEK393232 UNZ393227:UOG393232 UXV393227:UYC393232 VHR393227:VHY393232 VRN393227:VRU393232 WBJ393227:WBQ393232 WLF393227:WLM393232 WVB393227:WVI393232 AE458763:AL458768 IP458763:IW458768 SL458763:SS458768 ACH458763:ACO458768 AMD458763:AMK458768 AVZ458763:AWG458768 BFV458763:BGC458768 BPR458763:BPY458768 BZN458763:BZU458768 CJJ458763:CJQ458768 CTF458763:CTM458768 DDB458763:DDI458768 DMX458763:DNE458768 DWT458763:DXA458768 EGP458763:EGW458768 EQL458763:EQS458768 FAH458763:FAO458768 FKD458763:FKK458768 FTZ458763:FUG458768 GDV458763:GEC458768 GNR458763:GNY458768 GXN458763:GXU458768 HHJ458763:HHQ458768 HRF458763:HRM458768 IBB458763:IBI458768 IKX458763:ILE458768 IUT458763:IVA458768 JEP458763:JEW458768 JOL458763:JOS458768 JYH458763:JYO458768 KID458763:KIK458768 KRZ458763:KSG458768 LBV458763:LCC458768 LLR458763:LLY458768 LVN458763:LVU458768 MFJ458763:MFQ458768 MPF458763:MPM458768 MZB458763:MZI458768 NIX458763:NJE458768 NST458763:NTA458768 OCP458763:OCW458768 OML458763:OMS458768 OWH458763:OWO458768 PGD458763:PGK458768 PPZ458763:PQG458768 PZV458763:QAC458768 QJR458763:QJY458768 QTN458763:QTU458768 RDJ458763:RDQ458768 RNF458763:RNM458768 RXB458763:RXI458768 SGX458763:SHE458768 SQT458763:SRA458768 TAP458763:TAW458768 TKL458763:TKS458768 TUH458763:TUO458768 UED458763:UEK458768 UNZ458763:UOG458768 UXV458763:UYC458768 VHR458763:VHY458768 VRN458763:VRU458768 WBJ458763:WBQ458768 WLF458763:WLM458768 WVB458763:WVI458768 AE524299:AL524304 IP524299:IW524304 SL524299:SS524304 ACH524299:ACO524304 AMD524299:AMK524304 AVZ524299:AWG524304 BFV524299:BGC524304 BPR524299:BPY524304 BZN524299:BZU524304 CJJ524299:CJQ524304 CTF524299:CTM524304 DDB524299:DDI524304 DMX524299:DNE524304 DWT524299:DXA524304 EGP524299:EGW524304 EQL524299:EQS524304 FAH524299:FAO524304 FKD524299:FKK524304 FTZ524299:FUG524304 GDV524299:GEC524304 GNR524299:GNY524304 GXN524299:GXU524304 HHJ524299:HHQ524304 HRF524299:HRM524304 IBB524299:IBI524304 IKX524299:ILE524304 IUT524299:IVA524304 JEP524299:JEW524304 JOL524299:JOS524304 JYH524299:JYO524304 KID524299:KIK524304 KRZ524299:KSG524304 LBV524299:LCC524304 LLR524299:LLY524304 LVN524299:LVU524304 MFJ524299:MFQ524304 MPF524299:MPM524304 MZB524299:MZI524304 NIX524299:NJE524304 NST524299:NTA524304 OCP524299:OCW524304 OML524299:OMS524304 OWH524299:OWO524304 PGD524299:PGK524304 PPZ524299:PQG524304 PZV524299:QAC524304 QJR524299:QJY524304 QTN524299:QTU524304 RDJ524299:RDQ524304 RNF524299:RNM524304 RXB524299:RXI524304 SGX524299:SHE524304 SQT524299:SRA524304 TAP524299:TAW524304 TKL524299:TKS524304 TUH524299:TUO524304 UED524299:UEK524304 UNZ524299:UOG524304 UXV524299:UYC524304 VHR524299:VHY524304 VRN524299:VRU524304 WBJ524299:WBQ524304 WLF524299:WLM524304 WVB524299:WVI524304 AE589835:AL589840 IP589835:IW589840 SL589835:SS589840 ACH589835:ACO589840 AMD589835:AMK589840 AVZ589835:AWG589840 BFV589835:BGC589840 BPR589835:BPY589840 BZN589835:BZU589840 CJJ589835:CJQ589840 CTF589835:CTM589840 DDB589835:DDI589840 DMX589835:DNE589840 DWT589835:DXA589840 EGP589835:EGW589840 EQL589835:EQS589840 FAH589835:FAO589840 FKD589835:FKK589840 FTZ589835:FUG589840 GDV589835:GEC589840 GNR589835:GNY589840 GXN589835:GXU589840 HHJ589835:HHQ589840 HRF589835:HRM589840 IBB589835:IBI589840 IKX589835:ILE589840 IUT589835:IVA589840 JEP589835:JEW589840 JOL589835:JOS589840 JYH589835:JYO589840 KID589835:KIK589840 KRZ589835:KSG589840 LBV589835:LCC589840 LLR589835:LLY589840 LVN589835:LVU589840 MFJ589835:MFQ589840 MPF589835:MPM589840 MZB589835:MZI589840 NIX589835:NJE589840 NST589835:NTA589840 OCP589835:OCW589840 OML589835:OMS589840 OWH589835:OWO589840 PGD589835:PGK589840 PPZ589835:PQG589840 PZV589835:QAC589840 QJR589835:QJY589840 QTN589835:QTU589840 RDJ589835:RDQ589840 RNF589835:RNM589840 RXB589835:RXI589840 SGX589835:SHE589840 SQT589835:SRA589840 TAP589835:TAW589840 TKL589835:TKS589840 TUH589835:TUO589840 UED589835:UEK589840 UNZ589835:UOG589840 UXV589835:UYC589840 VHR589835:VHY589840 VRN589835:VRU589840 WBJ589835:WBQ589840 WLF589835:WLM589840 WVB589835:WVI589840 AE655371:AL655376 IP655371:IW655376 SL655371:SS655376 ACH655371:ACO655376 AMD655371:AMK655376 AVZ655371:AWG655376 BFV655371:BGC655376 BPR655371:BPY655376 BZN655371:BZU655376 CJJ655371:CJQ655376 CTF655371:CTM655376 DDB655371:DDI655376 DMX655371:DNE655376 DWT655371:DXA655376 EGP655371:EGW655376 EQL655371:EQS655376 FAH655371:FAO655376 FKD655371:FKK655376 FTZ655371:FUG655376 GDV655371:GEC655376 GNR655371:GNY655376 GXN655371:GXU655376 HHJ655371:HHQ655376 HRF655371:HRM655376 IBB655371:IBI655376 IKX655371:ILE655376 IUT655371:IVA655376 JEP655371:JEW655376 JOL655371:JOS655376 JYH655371:JYO655376 KID655371:KIK655376 KRZ655371:KSG655376 LBV655371:LCC655376 LLR655371:LLY655376 LVN655371:LVU655376 MFJ655371:MFQ655376 MPF655371:MPM655376 MZB655371:MZI655376 NIX655371:NJE655376 NST655371:NTA655376 OCP655371:OCW655376 OML655371:OMS655376 OWH655371:OWO655376 PGD655371:PGK655376 PPZ655371:PQG655376 PZV655371:QAC655376 QJR655371:QJY655376 QTN655371:QTU655376 RDJ655371:RDQ655376 RNF655371:RNM655376 RXB655371:RXI655376 SGX655371:SHE655376 SQT655371:SRA655376 TAP655371:TAW655376 TKL655371:TKS655376 TUH655371:TUO655376 UED655371:UEK655376 UNZ655371:UOG655376 UXV655371:UYC655376 VHR655371:VHY655376 VRN655371:VRU655376 WBJ655371:WBQ655376 WLF655371:WLM655376 WVB655371:WVI655376 AE720907:AL720912 IP720907:IW720912 SL720907:SS720912 ACH720907:ACO720912 AMD720907:AMK720912 AVZ720907:AWG720912 BFV720907:BGC720912 BPR720907:BPY720912 BZN720907:BZU720912 CJJ720907:CJQ720912 CTF720907:CTM720912 DDB720907:DDI720912 DMX720907:DNE720912 DWT720907:DXA720912 EGP720907:EGW720912 EQL720907:EQS720912 FAH720907:FAO720912 FKD720907:FKK720912 FTZ720907:FUG720912 GDV720907:GEC720912 GNR720907:GNY720912 GXN720907:GXU720912 HHJ720907:HHQ720912 HRF720907:HRM720912 IBB720907:IBI720912 IKX720907:ILE720912 IUT720907:IVA720912 JEP720907:JEW720912 JOL720907:JOS720912 JYH720907:JYO720912 KID720907:KIK720912 KRZ720907:KSG720912 LBV720907:LCC720912 LLR720907:LLY720912 LVN720907:LVU720912 MFJ720907:MFQ720912 MPF720907:MPM720912 MZB720907:MZI720912 NIX720907:NJE720912 NST720907:NTA720912 OCP720907:OCW720912 OML720907:OMS720912 OWH720907:OWO720912 PGD720907:PGK720912 PPZ720907:PQG720912 PZV720907:QAC720912 QJR720907:QJY720912 QTN720907:QTU720912 RDJ720907:RDQ720912 RNF720907:RNM720912 RXB720907:RXI720912 SGX720907:SHE720912 SQT720907:SRA720912 TAP720907:TAW720912 TKL720907:TKS720912 TUH720907:TUO720912 UED720907:UEK720912 UNZ720907:UOG720912 UXV720907:UYC720912 VHR720907:VHY720912 VRN720907:VRU720912 WBJ720907:WBQ720912 WLF720907:WLM720912 WVB720907:WVI720912 AE786443:AL786448 IP786443:IW786448 SL786443:SS786448 ACH786443:ACO786448 AMD786443:AMK786448 AVZ786443:AWG786448 BFV786443:BGC786448 BPR786443:BPY786448 BZN786443:BZU786448 CJJ786443:CJQ786448 CTF786443:CTM786448 DDB786443:DDI786448 DMX786443:DNE786448 DWT786443:DXA786448 EGP786443:EGW786448 EQL786443:EQS786448 FAH786443:FAO786448 FKD786443:FKK786448 FTZ786443:FUG786448 GDV786443:GEC786448 GNR786443:GNY786448 GXN786443:GXU786448 HHJ786443:HHQ786448 HRF786443:HRM786448 IBB786443:IBI786448 IKX786443:ILE786448 IUT786443:IVA786448 JEP786443:JEW786448 JOL786443:JOS786448 JYH786443:JYO786448 KID786443:KIK786448 KRZ786443:KSG786448 LBV786443:LCC786448 LLR786443:LLY786448 LVN786443:LVU786448 MFJ786443:MFQ786448 MPF786443:MPM786448 MZB786443:MZI786448 NIX786443:NJE786448 NST786443:NTA786448 OCP786443:OCW786448 OML786443:OMS786448 OWH786443:OWO786448 PGD786443:PGK786448 PPZ786443:PQG786448 PZV786443:QAC786448 QJR786443:QJY786448 QTN786443:QTU786448 RDJ786443:RDQ786448 RNF786443:RNM786448 RXB786443:RXI786448 SGX786443:SHE786448 SQT786443:SRA786448 TAP786443:TAW786448 TKL786443:TKS786448 TUH786443:TUO786448 UED786443:UEK786448 UNZ786443:UOG786448 UXV786443:UYC786448 VHR786443:VHY786448 VRN786443:VRU786448 WBJ786443:WBQ786448 WLF786443:WLM786448 WVB786443:WVI786448 AE851979:AL851984 IP851979:IW851984 SL851979:SS851984 ACH851979:ACO851984 AMD851979:AMK851984 AVZ851979:AWG851984 BFV851979:BGC851984 BPR851979:BPY851984 BZN851979:BZU851984 CJJ851979:CJQ851984 CTF851979:CTM851984 DDB851979:DDI851984 DMX851979:DNE851984 DWT851979:DXA851984 EGP851979:EGW851984 EQL851979:EQS851984 FAH851979:FAO851984 FKD851979:FKK851984 FTZ851979:FUG851984 GDV851979:GEC851984 GNR851979:GNY851984 GXN851979:GXU851984 HHJ851979:HHQ851984 HRF851979:HRM851984 IBB851979:IBI851984 IKX851979:ILE851984 IUT851979:IVA851984 JEP851979:JEW851984 JOL851979:JOS851984 JYH851979:JYO851984 KID851979:KIK851984 KRZ851979:KSG851984 LBV851979:LCC851984 LLR851979:LLY851984 LVN851979:LVU851984 MFJ851979:MFQ851984 MPF851979:MPM851984 MZB851979:MZI851984 NIX851979:NJE851984 NST851979:NTA851984 OCP851979:OCW851984 OML851979:OMS851984 OWH851979:OWO851984 PGD851979:PGK851984 PPZ851979:PQG851984 PZV851979:QAC851984 QJR851979:QJY851984 QTN851979:QTU851984 RDJ851979:RDQ851984 RNF851979:RNM851984 RXB851979:RXI851984 SGX851979:SHE851984 SQT851979:SRA851984 TAP851979:TAW851984 TKL851979:TKS851984 TUH851979:TUO851984 UED851979:UEK851984 UNZ851979:UOG851984 UXV851979:UYC851984 VHR851979:VHY851984 VRN851979:VRU851984 WBJ851979:WBQ851984 WLF851979:WLM851984 WVB851979:WVI851984 AE917515:AL917520 IP917515:IW917520 SL917515:SS917520 ACH917515:ACO917520 AMD917515:AMK917520 AVZ917515:AWG917520 BFV917515:BGC917520 BPR917515:BPY917520 BZN917515:BZU917520 CJJ917515:CJQ917520 CTF917515:CTM917520 DDB917515:DDI917520 DMX917515:DNE917520 DWT917515:DXA917520 EGP917515:EGW917520 EQL917515:EQS917520 FAH917515:FAO917520 FKD917515:FKK917520 FTZ917515:FUG917520 GDV917515:GEC917520 GNR917515:GNY917520 GXN917515:GXU917520 HHJ917515:HHQ917520 HRF917515:HRM917520 IBB917515:IBI917520 IKX917515:ILE917520 IUT917515:IVA917520 JEP917515:JEW917520 JOL917515:JOS917520 JYH917515:JYO917520 KID917515:KIK917520 KRZ917515:KSG917520 LBV917515:LCC917520 LLR917515:LLY917520 LVN917515:LVU917520 MFJ917515:MFQ917520 MPF917515:MPM917520 MZB917515:MZI917520 NIX917515:NJE917520 NST917515:NTA917520 OCP917515:OCW917520 OML917515:OMS917520 OWH917515:OWO917520 PGD917515:PGK917520 PPZ917515:PQG917520 PZV917515:QAC917520 QJR917515:QJY917520 QTN917515:QTU917520 RDJ917515:RDQ917520 RNF917515:RNM917520 RXB917515:RXI917520 SGX917515:SHE917520 SQT917515:SRA917520 TAP917515:TAW917520 TKL917515:TKS917520 TUH917515:TUO917520 UED917515:UEK917520 UNZ917515:UOG917520 UXV917515:UYC917520 VHR917515:VHY917520 VRN917515:VRU917520 WBJ917515:WBQ917520 WLF917515:WLM917520 WVB917515:WVI917520" xr:uid="{38E70801-6EC0-4CA3-9454-EC0ABF5F9215}">
      <formula1>"サーバ,クライアント"</formula1>
    </dataValidation>
    <dataValidation type="list" allowBlank="1" showInputMessage="1" showErrorMessage="1" sqref="WUY983010:WUZ983013 WLC8:WLD12 VRK983010:VRL983013 VHO983010:VHP983013 UXS983010:UXT983013 UNW983010:UNX983013 UEA983010:UEB983013 TUE983010:TUF983013 TKI983010:TKJ983013 TAM983010:TAN983013 SQQ983010:SQR983013 SGU983010:SGV983013 RWY983010:RWZ983013 RNC983010:RND983013 RDG983010:RDH983013 QTK983010:QTL983013 QJO983010:QJP983013 PZS983010:PZT983013 PPW983010:PPX983013 PGA983010:PGB983013 OWE983010:OWF983013 OMI983010:OMJ983013 OCM983010:OCN983013 NSQ983010:NSR983013 NIU983010:NIV983013 MYY983010:MYZ983013 MPC983010:MPD983013 MFG983010:MFH983013 LVK983010:LVL983013 LLO983010:LLP983013 LBS983010:LBT983013 KRW983010:KRX983013 KIA983010:KIB983013 JYE983010:JYF983013 JOI983010:JOJ983013 JEM983010:JEN983013 IUQ983010:IUR983013 IKU983010:IKV983013 IAY983010:IAZ983013 HRC983010:HRD983013 HHG983010:HHH983013 GXK983010:GXL983013 GNO983010:GNP983013 GDS983010:GDT983013 FTW983010:FTX983013 FKA983010:FKB983013 FAE983010:FAF983013 EQI983010:EQJ983013 EGM983010:EGN983013 DWQ983010:DWR983013 DMU983010:DMV983013 DCY983010:DCZ983013 CTC983010:CTD983013 CJG983010:CJH983013 BZK983010:BZL983013 BPO983010:BPP983013 BFS983010:BFT983013 AVW983010:AVX983013 AMA983010:AMB983013 ACE983010:ACF983013 SI983010:SJ983013 IM983010:IN983013 AB983010:AC983013 WUY917474:WUZ917477 WLC917474:WLD917477 WBG917474:WBH917477 VRK917474:VRL917477 VHO917474:VHP917477 UXS917474:UXT917477 UNW917474:UNX917477 UEA917474:UEB917477 TUE917474:TUF917477 TKI917474:TKJ917477 TAM917474:TAN917477 SQQ917474:SQR917477 SGU917474:SGV917477 RWY917474:RWZ917477 RNC917474:RND917477 RDG917474:RDH917477 QTK917474:QTL917477 QJO917474:QJP917477 PZS917474:PZT917477 PPW917474:PPX917477 PGA917474:PGB917477 OWE917474:OWF917477 OMI917474:OMJ917477 OCM917474:OCN917477 NSQ917474:NSR917477 NIU917474:NIV917477 MYY917474:MYZ917477 MPC917474:MPD917477 MFG917474:MFH917477 LVK917474:LVL917477 LLO917474:LLP917477 LBS917474:LBT917477 KRW917474:KRX917477 KIA917474:KIB917477 JYE917474:JYF917477 JOI917474:JOJ917477 JEM917474:JEN917477 IUQ917474:IUR917477 IKU917474:IKV917477 IAY917474:IAZ917477 HRC917474:HRD917477 HHG917474:HHH917477 GXK917474:GXL917477 GNO917474:GNP917477 GDS917474:GDT917477 FTW917474:FTX917477 FKA917474:FKB917477 FAE917474:FAF917477 EQI917474:EQJ917477 EGM917474:EGN917477 DWQ917474:DWR917477 DMU917474:DMV917477 DCY917474:DCZ917477 CTC917474:CTD917477 CJG917474:CJH917477 BZK917474:BZL917477 BPO917474:BPP917477 BFS917474:BFT917477 AVW917474:AVX917477 AMA917474:AMB917477 ACE917474:ACF917477 SI917474:SJ917477 IM917474:IN917477 AB917474:AC917477 WUY851938:WUZ851941 WLC851938:WLD851941 WBG851938:WBH851941 VRK851938:VRL851941 VHO851938:VHP851941 UXS851938:UXT851941 UNW851938:UNX851941 UEA851938:UEB851941 TUE851938:TUF851941 TKI851938:TKJ851941 TAM851938:TAN851941 SQQ851938:SQR851941 SGU851938:SGV851941 RWY851938:RWZ851941 RNC851938:RND851941 RDG851938:RDH851941 QTK851938:QTL851941 QJO851938:QJP851941 PZS851938:PZT851941 PPW851938:PPX851941 PGA851938:PGB851941 OWE851938:OWF851941 OMI851938:OMJ851941 OCM851938:OCN851941 NSQ851938:NSR851941 NIU851938:NIV851941 MYY851938:MYZ851941 MPC851938:MPD851941 MFG851938:MFH851941 LVK851938:LVL851941 LLO851938:LLP851941 LBS851938:LBT851941 KRW851938:KRX851941 KIA851938:KIB851941 JYE851938:JYF851941 JOI851938:JOJ851941 JEM851938:JEN851941 IUQ851938:IUR851941 IKU851938:IKV851941 IAY851938:IAZ851941 HRC851938:HRD851941 HHG851938:HHH851941 GXK851938:GXL851941 GNO851938:GNP851941 GDS851938:GDT851941 FTW851938:FTX851941 FKA851938:FKB851941 FAE851938:FAF851941 EQI851938:EQJ851941 EGM851938:EGN851941 DWQ851938:DWR851941 DMU851938:DMV851941 DCY851938:DCZ851941 CTC851938:CTD851941 CJG851938:CJH851941 BZK851938:BZL851941 BPO851938:BPP851941 BFS851938:BFT851941 AVW851938:AVX851941 AMA851938:AMB851941 ACE851938:ACF851941 SI851938:SJ851941 IM851938:IN851941 AB851938:AC851941 WUY786402:WUZ786405 WLC786402:WLD786405 WBG786402:WBH786405 VRK786402:VRL786405 VHO786402:VHP786405 UXS786402:UXT786405 UNW786402:UNX786405 UEA786402:UEB786405 TUE786402:TUF786405 TKI786402:TKJ786405 TAM786402:TAN786405 SQQ786402:SQR786405 SGU786402:SGV786405 RWY786402:RWZ786405 RNC786402:RND786405 RDG786402:RDH786405 QTK786402:QTL786405 QJO786402:QJP786405 PZS786402:PZT786405 PPW786402:PPX786405 PGA786402:PGB786405 OWE786402:OWF786405 OMI786402:OMJ786405 OCM786402:OCN786405 NSQ786402:NSR786405 NIU786402:NIV786405 MYY786402:MYZ786405 MPC786402:MPD786405 MFG786402:MFH786405 LVK786402:LVL786405 LLO786402:LLP786405 LBS786402:LBT786405 KRW786402:KRX786405 KIA786402:KIB786405 JYE786402:JYF786405 JOI786402:JOJ786405 JEM786402:JEN786405 IUQ786402:IUR786405 IKU786402:IKV786405 IAY786402:IAZ786405 HRC786402:HRD786405 HHG786402:HHH786405 GXK786402:GXL786405 GNO786402:GNP786405 GDS786402:GDT786405 FTW786402:FTX786405 FKA786402:FKB786405 FAE786402:FAF786405 EQI786402:EQJ786405 EGM786402:EGN786405 DWQ786402:DWR786405 DMU786402:DMV786405 DCY786402:DCZ786405 CTC786402:CTD786405 CJG786402:CJH786405 BZK786402:BZL786405 BPO786402:BPP786405 BFS786402:BFT786405 AVW786402:AVX786405 AMA786402:AMB786405 ACE786402:ACF786405 SI786402:SJ786405 IM786402:IN786405 AB786402:AC786405 WUY720866:WUZ720869 WLC720866:WLD720869 WBG720866:WBH720869 VRK720866:VRL720869 VHO720866:VHP720869 UXS720866:UXT720869 UNW720866:UNX720869 UEA720866:UEB720869 TUE720866:TUF720869 TKI720866:TKJ720869 TAM720866:TAN720869 SQQ720866:SQR720869 SGU720866:SGV720869 RWY720866:RWZ720869 RNC720866:RND720869 RDG720866:RDH720869 QTK720866:QTL720869 QJO720866:QJP720869 PZS720866:PZT720869 PPW720866:PPX720869 PGA720866:PGB720869 OWE720866:OWF720869 OMI720866:OMJ720869 OCM720866:OCN720869 NSQ720866:NSR720869 NIU720866:NIV720869 MYY720866:MYZ720869 MPC720866:MPD720869 MFG720866:MFH720869 LVK720866:LVL720869 LLO720866:LLP720869 LBS720866:LBT720869 KRW720866:KRX720869 KIA720866:KIB720869 JYE720866:JYF720869 JOI720866:JOJ720869 JEM720866:JEN720869 IUQ720866:IUR720869 IKU720866:IKV720869 IAY720866:IAZ720869 HRC720866:HRD720869 HHG720866:HHH720869 GXK720866:GXL720869 GNO720866:GNP720869 GDS720866:GDT720869 FTW720866:FTX720869 FKA720866:FKB720869 FAE720866:FAF720869 EQI720866:EQJ720869 EGM720866:EGN720869 DWQ720866:DWR720869 DMU720866:DMV720869 DCY720866:DCZ720869 CTC720866:CTD720869 CJG720866:CJH720869 BZK720866:BZL720869 BPO720866:BPP720869 BFS720866:BFT720869 AVW720866:AVX720869 AMA720866:AMB720869 ACE720866:ACF720869 SI720866:SJ720869 IM720866:IN720869 AB720866:AC720869 WUY655330:WUZ655333 WLC655330:WLD655333 WBG655330:WBH655333 VRK655330:VRL655333 VHO655330:VHP655333 UXS655330:UXT655333 UNW655330:UNX655333 UEA655330:UEB655333 TUE655330:TUF655333 TKI655330:TKJ655333 TAM655330:TAN655333 SQQ655330:SQR655333 SGU655330:SGV655333 RWY655330:RWZ655333 RNC655330:RND655333 RDG655330:RDH655333 QTK655330:QTL655333 QJO655330:QJP655333 PZS655330:PZT655333 PPW655330:PPX655333 PGA655330:PGB655333 OWE655330:OWF655333 OMI655330:OMJ655333 OCM655330:OCN655333 NSQ655330:NSR655333 NIU655330:NIV655333 MYY655330:MYZ655333 MPC655330:MPD655333 MFG655330:MFH655333 LVK655330:LVL655333 LLO655330:LLP655333 LBS655330:LBT655333 KRW655330:KRX655333 KIA655330:KIB655333 JYE655330:JYF655333 JOI655330:JOJ655333 JEM655330:JEN655333 IUQ655330:IUR655333 IKU655330:IKV655333 IAY655330:IAZ655333 HRC655330:HRD655333 HHG655330:HHH655333 GXK655330:GXL655333 GNO655330:GNP655333 GDS655330:GDT655333 FTW655330:FTX655333 FKA655330:FKB655333 FAE655330:FAF655333 EQI655330:EQJ655333 EGM655330:EGN655333 DWQ655330:DWR655333 DMU655330:DMV655333 DCY655330:DCZ655333 CTC655330:CTD655333 CJG655330:CJH655333 BZK655330:BZL655333 BPO655330:BPP655333 BFS655330:BFT655333 AVW655330:AVX655333 AMA655330:AMB655333 ACE655330:ACF655333 SI655330:SJ655333 IM655330:IN655333 AB655330:AC655333 WUY589794:WUZ589797 WLC589794:WLD589797 WBG589794:WBH589797 VRK589794:VRL589797 VHO589794:VHP589797 UXS589794:UXT589797 UNW589794:UNX589797 UEA589794:UEB589797 TUE589794:TUF589797 TKI589794:TKJ589797 TAM589794:TAN589797 SQQ589794:SQR589797 SGU589794:SGV589797 RWY589794:RWZ589797 RNC589794:RND589797 RDG589794:RDH589797 QTK589794:QTL589797 QJO589794:QJP589797 PZS589794:PZT589797 PPW589794:PPX589797 PGA589794:PGB589797 OWE589794:OWF589797 OMI589794:OMJ589797 OCM589794:OCN589797 NSQ589794:NSR589797 NIU589794:NIV589797 MYY589794:MYZ589797 MPC589794:MPD589797 MFG589794:MFH589797 LVK589794:LVL589797 LLO589794:LLP589797 LBS589794:LBT589797 KRW589794:KRX589797 KIA589794:KIB589797 JYE589794:JYF589797 JOI589794:JOJ589797 JEM589794:JEN589797 IUQ589794:IUR589797 IKU589794:IKV589797 IAY589794:IAZ589797 HRC589794:HRD589797 HHG589794:HHH589797 GXK589794:GXL589797 GNO589794:GNP589797 GDS589794:GDT589797 FTW589794:FTX589797 FKA589794:FKB589797 FAE589794:FAF589797 EQI589794:EQJ589797 EGM589794:EGN589797 DWQ589794:DWR589797 DMU589794:DMV589797 DCY589794:DCZ589797 CTC589794:CTD589797 CJG589794:CJH589797 BZK589794:BZL589797 BPO589794:BPP589797 BFS589794:BFT589797 AVW589794:AVX589797 AMA589794:AMB589797 ACE589794:ACF589797 SI589794:SJ589797 IM589794:IN589797 AB589794:AC589797 WUY524258:WUZ524261 WLC524258:WLD524261 WBG524258:WBH524261 VRK524258:VRL524261 VHO524258:VHP524261 UXS524258:UXT524261 UNW524258:UNX524261 UEA524258:UEB524261 TUE524258:TUF524261 TKI524258:TKJ524261 TAM524258:TAN524261 SQQ524258:SQR524261 SGU524258:SGV524261 RWY524258:RWZ524261 RNC524258:RND524261 RDG524258:RDH524261 QTK524258:QTL524261 QJO524258:QJP524261 PZS524258:PZT524261 PPW524258:PPX524261 PGA524258:PGB524261 OWE524258:OWF524261 OMI524258:OMJ524261 OCM524258:OCN524261 NSQ524258:NSR524261 NIU524258:NIV524261 MYY524258:MYZ524261 MPC524258:MPD524261 MFG524258:MFH524261 LVK524258:LVL524261 LLO524258:LLP524261 LBS524258:LBT524261 KRW524258:KRX524261 KIA524258:KIB524261 JYE524258:JYF524261 JOI524258:JOJ524261 JEM524258:JEN524261 IUQ524258:IUR524261 IKU524258:IKV524261 IAY524258:IAZ524261 HRC524258:HRD524261 HHG524258:HHH524261 GXK524258:GXL524261 GNO524258:GNP524261 GDS524258:GDT524261 FTW524258:FTX524261 FKA524258:FKB524261 FAE524258:FAF524261 EQI524258:EQJ524261 EGM524258:EGN524261 DWQ524258:DWR524261 DMU524258:DMV524261 DCY524258:DCZ524261 CTC524258:CTD524261 CJG524258:CJH524261 BZK524258:BZL524261 BPO524258:BPP524261 BFS524258:BFT524261 AVW524258:AVX524261 AMA524258:AMB524261 ACE524258:ACF524261 SI524258:SJ524261 IM524258:IN524261 AB524258:AC524261 WUY458722:WUZ458725 WLC458722:WLD458725 WBG458722:WBH458725 VRK458722:VRL458725 VHO458722:VHP458725 UXS458722:UXT458725 UNW458722:UNX458725 UEA458722:UEB458725 TUE458722:TUF458725 TKI458722:TKJ458725 TAM458722:TAN458725 SQQ458722:SQR458725 SGU458722:SGV458725 RWY458722:RWZ458725 RNC458722:RND458725 RDG458722:RDH458725 QTK458722:QTL458725 QJO458722:QJP458725 PZS458722:PZT458725 PPW458722:PPX458725 PGA458722:PGB458725 OWE458722:OWF458725 OMI458722:OMJ458725 OCM458722:OCN458725 NSQ458722:NSR458725 NIU458722:NIV458725 MYY458722:MYZ458725 MPC458722:MPD458725 MFG458722:MFH458725 LVK458722:LVL458725 LLO458722:LLP458725 LBS458722:LBT458725 KRW458722:KRX458725 KIA458722:KIB458725 JYE458722:JYF458725 JOI458722:JOJ458725 JEM458722:JEN458725 IUQ458722:IUR458725 IKU458722:IKV458725 IAY458722:IAZ458725 HRC458722:HRD458725 HHG458722:HHH458725 GXK458722:GXL458725 GNO458722:GNP458725 GDS458722:GDT458725 FTW458722:FTX458725 FKA458722:FKB458725 FAE458722:FAF458725 EQI458722:EQJ458725 EGM458722:EGN458725 DWQ458722:DWR458725 DMU458722:DMV458725 DCY458722:DCZ458725 CTC458722:CTD458725 CJG458722:CJH458725 BZK458722:BZL458725 BPO458722:BPP458725 BFS458722:BFT458725 AVW458722:AVX458725 AMA458722:AMB458725 ACE458722:ACF458725 SI458722:SJ458725 IM458722:IN458725 AB458722:AC458725 WUY393186:WUZ393189 WLC393186:WLD393189 WBG393186:WBH393189 VRK393186:VRL393189 VHO393186:VHP393189 UXS393186:UXT393189 UNW393186:UNX393189 UEA393186:UEB393189 TUE393186:TUF393189 TKI393186:TKJ393189 TAM393186:TAN393189 SQQ393186:SQR393189 SGU393186:SGV393189 RWY393186:RWZ393189 RNC393186:RND393189 RDG393186:RDH393189 QTK393186:QTL393189 QJO393186:QJP393189 PZS393186:PZT393189 PPW393186:PPX393189 PGA393186:PGB393189 OWE393186:OWF393189 OMI393186:OMJ393189 OCM393186:OCN393189 NSQ393186:NSR393189 NIU393186:NIV393189 MYY393186:MYZ393189 MPC393186:MPD393189 MFG393186:MFH393189 LVK393186:LVL393189 LLO393186:LLP393189 LBS393186:LBT393189 KRW393186:KRX393189 KIA393186:KIB393189 JYE393186:JYF393189 JOI393186:JOJ393189 JEM393186:JEN393189 IUQ393186:IUR393189 IKU393186:IKV393189 IAY393186:IAZ393189 HRC393186:HRD393189 HHG393186:HHH393189 GXK393186:GXL393189 GNO393186:GNP393189 GDS393186:GDT393189 FTW393186:FTX393189 FKA393186:FKB393189 FAE393186:FAF393189 EQI393186:EQJ393189 EGM393186:EGN393189 DWQ393186:DWR393189 DMU393186:DMV393189 DCY393186:DCZ393189 CTC393186:CTD393189 CJG393186:CJH393189 BZK393186:BZL393189 BPO393186:BPP393189 BFS393186:BFT393189 AVW393186:AVX393189 AMA393186:AMB393189 ACE393186:ACF393189 SI393186:SJ393189 IM393186:IN393189 AB393186:AC393189 WUY327650:WUZ327653 WLC327650:WLD327653 WBG327650:WBH327653 VRK327650:VRL327653 VHO327650:VHP327653 UXS327650:UXT327653 UNW327650:UNX327653 UEA327650:UEB327653 TUE327650:TUF327653 TKI327650:TKJ327653 TAM327650:TAN327653 SQQ327650:SQR327653 SGU327650:SGV327653 RWY327650:RWZ327653 RNC327650:RND327653 RDG327650:RDH327653 QTK327650:QTL327653 QJO327650:QJP327653 PZS327650:PZT327653 PPW327650:PPX327653 PGA327650:PGB327653 OWE327650:OWF327653 OMI327650:OMJ327653 OCM327650:OCN327653 NSQ327650:NSR327653 NIU327650:NIV327653 MYY327650:MYZ327653 MPC327650:MPD327653 MFG327650:MFH327653 LVK327650:LVL327653 LLO327650:LLP327653 LBS327650:LBT327653 KRW327650:KRX327653 KIA327650:KIB327653 JYE327650:JYF327653 JOI327650:JOJ327653 JEM327650:JEN327653 IUQ327650:IUR327653 IKU327650:IKV327653 IAY327650:IAZ327653 HRC327650:HRD327653 HHG327650:HHH327653 GXK327650:GXL327653 GNO327650:GNP327653 GDS327650:GDT327653 FTW327650:FTX327653 FKA327650:FKB327653 FAE327650:FAF327653 EQI327650:EQJ327653 EGM327650:EGN327653 DWQ327650:DWR327653 DMU327650:DMV327653 DCY327650:DCZ327653 CTC327650:CTD327653 CJG327650:CJH327653 BZK327650:BZL327653 BPO327650:BPP327653 BFS327650:BFT327653 AVW327650:AVX327653 AMA327650:AMB327653 ACE327650:ACF327653 SI327650:SJ327653 IM327650:IN327653 AB327650:AC327653 WUY262114:WUZ262117 WLC262114:WLD262117 WBG262114:WBH262117 VRK262114:VRL262117 VHO262114:VHP262117 UXS262114:UXT262117 UNW262114:UNX262117 UEA262114:UEB262117 TUE262114:TUF262117 TKI262114:TKJ262117 TAM262114:TAN262117 SQQ262114:SQR262117 SGU262114:SGV262117 RWY262114:RWZ262117 RNC262114:RND262117 RDG262114:RDH262117 QTK262114:QTL262117 QJO262114:QJP262117 PZS262114:PZT262117 PPW262114:PPX262117 PGA262114:PGB262117 OWE262114:OWF262117 OMI262114:OMJ262117 OCM262114:OCN262117 NSQ262114:NSR262117 NIU262114:NIV262117 MYY262114:MYZ262117 MPC262114:MPD262117 MFG262114:MFH262117 LVK262114:LVL262117 LLO262114:LLP262117 LBS262114:LBT262117 KRW262114:KRX262117 KIA262114:KIB262117 JYE262114:JYF262117 JOI262114:JOJ262117 JEM262114:JEN262117 IUQ262114:IUR262117 IKU262114:IKV262117 IAY262114:IAZ262117 HRC262114:HRD262117 HHG262114:HHH262117 GXK262114:GXL262117 GNO262114:GNP262117 GDS262114:GDT262117 FTW262114:FTX262117 FKA262114:FKB262117 FAE262114:FAF262117 EQI262114:EQJ262117 EGM262114:EGN262117 DWQ262114:DWR262117 DMU262114:DMV262117 DCY262114:DCZ262117 CTC262114:CTD262117 CJG262114:CJH262117 BZK262114:BZL262117 BPO262114:BPP262117 BFS262114:BFT262117 AVW262114:AVX262117 AMA262114:AMB262117 ACE262114:ACF262117 SI262114:SJ262117 IM262114:IN262117 AB262114:AC262117 WUY196578:WUZ196581 WLC196578:WLD196581 WBG196578:WBH196581 VRK196578:VRL196581 VHO196578:VHP196581 UXS196578:UXT196581 UNW196578:UNX196581 UEA196578:UEB196581 TUE196578:TUF196581 TKI196578:TKJ196581 TAM196578:TAN196581 SQQ196578:SQR196581 SGU196578:SGV196581 RWY196578:RWZ196581 RNC196578:RND196581 RDG196578:RDH196581 QTK196578:QTL196581 QJO196578:QJP196581 PZS196578:PZT196581 PPW196578:PPX196581 PGA196578:PGB196581 OWE196578:OWF196581 OMI196578:OMJ196581 OCM196578:OCN196581 NSQ196578:NSR196581 NIU196578:NIV196581 MYY196578:MYZ196581 MPC196578:MPD196581 MFG196578:MFH196581 LVK196578:LVL196581 LLO196578:LLP196581 LBS196578:LBT196581 KRW196578:KRX196581 KIA196578:KIB196581 JYE196578:JYF196581 JOI196578:JOJ196581 JEM196578:JEN196581 IUQ196578:IUR196581 IKU196578:IKV196581 IAY196578:IAZ196581 HRC196578:HRD196581 HHG196578:HHH196581 GXK196578:GXL196581 GNO196578:GNP196581 GDS196578:GDT196581 FTW196578:FTX196581 FKA196578:FKB196581 FAE196578:FAF196581 EQI196578:EQJ196581 EGM196578:EGN196581 DWQ196578:DWR196581 DMU196578:DMV196581 DCY196578:DCZ196581 CTC196578:CTD196581 CJG196578:CJH196581 BZK196578:BZL196581 BPO196578:BPP196581 BFS196578:BFT196581 AVW196578:AVX196581 AMA196578:AMB196581 ACE196578:ACF196581 SI196578:SJ196581 IM196578:IN196581 AB196578:AC196581 WUY131042:WUZ131045 WLC131042:WLD131045 WBG131042:WBH131045 VRK131042:VRL131045 VHO131042:VHP131045 UXS131042:UXT131045 UNW131042:UNX131045 UEA131042:UEB131045 TUE131042:TUF131045 TKI131042:TKJ131045 TAM131042:TAN131045 SQQ131042:SQR131045 SGU131042:SGV131045 RWY131042:RWZ131045 RNC131042:RND131045 RDG131042:RDH131045 QTK131042:QTL131045 QJO131042:QJP131045 PZS131042:PZT131045 PPW131042:PPX131045 PGA131042:PGB131045 OWE131042:OWF131045 OMI131042:OMJ131045 OCM131042:OCN131045 NSQ131042:NSR131045 NIU131042:NIV131045 MYY131042:MYZ131045 MPC131042:MPD131045 MFG131042:MFH131045 LVK131042:LVL131045 LLO131042:LLP131045 LBS131042:LBT131045 KRW131042:KRX131045 KIA131042:KIB131045 JYE131042:JYF131045 JOI131042:JOJ131045 JEM131042:JEN131045 IUQ131042:IUR131045 IKU131042:IKV131045 IAY131042:IAZ131045 HRC131042:HRD131045 HHG131042:HHH131045 GXK131042:GXL131045 GNO131042:GNP131045 GDS131042:GDT131045 FTW131042:FTX131045 FKA131042:FKB131045 FAE131042:FAF131045 EQI131042:EQJ131045 EGM131042:EGN131045 DWQ131042:DWR131045 DMU131042:DMV131045 DCY131042:DCZ131045 CTC131042:CTD131045 CJG131042:CJH131045 BZK131042:BZL131045 BPO131042:BPP131045 BFS131042:BFT131045 AVW131042:AVX131045 AMA131042:AMB131045 ACE131042:ACF131045 SI131042:SJ131045 IM131042:IN131045 AB131042:AC131045 WUY65506:WUZ65509 WLC65506:WLD65509 WBG65506:WBH65509 VRK65506:VRL65509 VHO65506:VHP65509 UXS65506:UXT65509 UNW65506:UNX65509 UEA65506:UEB65509 TUE65506:TUF65509 TKI65506:TKJ65509 TAM65506:TAN65509 SQQ65506:SQR65509 SGU65506:SGV65509 RWY65506:RWZ65509 RNC65506:RND65509 RDG65506:RDH65509 QTK65506:QTL65509 QJO65506:QJP65509 PZS65506:PZT65509 PPW65506:PPX65509 PGA65506:PGB65509 OWE65506:OWF65509 OMI65506:OMJ65509 OCM65506:OCN65509 NSQ65506:NSR65509 NIU65506:NIV65509 MYY65506:MYZ65509 MPC65506:MPD65509 MFG65506:MFH65509 LVK65506:LVL65509 LLO65506:LLP65509 LBS65506:LBT65509 KRW65506:KRX65509 KIA65506:KIB65509 JYE65506:JYF65509 JOI65506:JOJ65509 JEM65506:JEN65509 IUQ65506:IUR65509 IKU65506:IKV65509 IAY65506:IAZ65509 HRC65506:HRD65509 HHG65506:HHH65509 GXK65506:GXL65509 GNO65506:GNP65509 GDS65506:GDT65509 FTW65506:FTX65509 FKA65506:FKB65509 FAE65506:FAF65509 EQI65506:EQJ65509 EGM65506:EGN65509 DWQ65506:DWR65509 DMU65506:DMV65509 DCY65506:DCZ65509 CTC65506:CTD65509 CJG65506:CJH65509 BZK65506:BZL65509 BPO65506:BPP65509 BFS65506:BFT65509 AVW65506:AVX65509 AMA65506:AMB65509 ACE65506:ACF65509 SI65506:SJ65509 IM65506:IN65509 AB65506:AC65509 WLC983010:WLD983013 WUY5:WUZ6 WLC5:WLD6 WBG5:WBH6 VRK5:VRL6 VHO5:VHP6 UXS5:UXT6 UNW5:UNX6 UEA5:UEB6 TUE5:TUF6 TKI5:TKJ6 TAM5:TAN6 SQQ5:SQR6 SGU5:SGV6 RWY5:RWZ6 RNC5:RND6 RDG5:RDH6 QTK5:QTL6 QJO5:QJP6 PZS5:PZT6 PPW5:PPX6 PGA5:PGB6 OWE5:OWF6 OMI5:OMJ6 OCM5:OCN6 NSQ5:NSR6 NIU5:NIV6 MYY5:MYZ6 MPC5:MPD6 MFG5:MFH6 LVK5:LVL6 LLO5:LLP6 LBS5:LBT6 KRW5:KRX6 KIA5:KIB6 JYE5:JYF6 JOI5:JOJ6 JEM5:JEN6 IUQ5:IUR6 IKU5:IKV6 IAY5:IAZ6 HRC5:HRD6 HHG5:HHH6 GXK5:GXL6 GNO5:GNP6 GDS5:GDT6 FTW5:FTX6 FKA5:FKB6 FAE5:FAF6 EQI5:EQJ6 EGM5:EGN6 DWQ5:DWR6 DMU5:DMV6 DCY5:DCZ6 CTC5:CTD6 CJG5:CJH6 BZK5:BZL6 BPO5:BPP6 BFS5:BFT6 AVW5:AVX6 AMA5:AMB6 ACE5:ACF6 SI5:SJ6 IM5:IN6 WBG983010:WBH983013 WUY8:WUZ12 IM8:IN12 SI8:SJ12 ACE8:ACF12 AMA8:AMB12 AVW8:AVX12 BFS8:BFT12 BPO8:BPP12 BZK8:BZL12 CJG8:CJH12 CTC8:CTD12 DCY8:DCZ12 DMU8:DMV12 DWQ8:DWR12 EGM8:EGN12 EQI8:EQJ12 FAE8:FAF12 FKA8:FKB12 FTW8:FTX12 GDS8:GDT12 GNO8:GNP12 GXK8:GXL12 HHG8:HHH12 HRC8:HRD12 IAY8:IAZ12 IKU8:IKV12 IUQ8:IUR12 JEM8:JEN12 JOI8:JOJ12 JYE8:JYF12 KIA8:KIB12 KRW8:KRX12 LBS8:LBT12 LLO8:LLP12 LVK8:LVL12 MFG8:MFH12 MPC8:MPD12 MYY8:MYZ12 NIU8:NIV12 NSQ8:NSR12 OCM8:OCN12 OMI8:OMJ12 OWE8:OWF12 PGA8:PGB12 PPW8:PPX12 PZS8:PZT12 QJO8:QJP12 QTK8:QTL12 RDG8:RDH12 RNC8:RND12 RWY8:RWZ12 SGU8:SGV12 SQQ8:SQR12 TAM8:TAN12 TKI8:TKJ12 TUE8:TUF12 UEA8:UEB12 UNW8:UNX12 UXS8:UXT12 VHO8:VHP12 VRK8:VRL12 WBG8:WBH12" xr:uid="{B1936DF7-8BB7-44A9-8B9A-67EF63B3A7B9}">
      <formula1>$U$29:$U$32</formula1>
    </dataValidation>
    <dataValidation type="list" allowBlank="1" showInputMessage="1" showErrorMessage="1" sqref="WUY983014:WUZ983047 WBG983014:WBH983047 VRK983014:VRL983047 VHO983014:VHP983047 UXS983014:UXT983047 UNW983014:UNX983047 UEA983014:UEB983047 TUE983014:TUF983047 TKI983014:TKJ983047 TAM983014:TAN983047 SQQ983014:SQR983047 SGU983014:SGV983047 RWY983014:RWZ983047 RNC983014:RND983047 RDG983014:RDH983047 QTK983014:QTL983047 QJO983014:QJP983047 PZS983014:PZT983047 PPW983014:PPX983047 PGA983014:PGB983047 OWE983014:OWF983047 OMI983014:OMJ983047 OCM983014:OCN983047 NSQ983014:NSR983047 NIU983014:NIV983047 MYY983014:MYZ983047 MPC983014:MPD983047 MFG983014:MFH983047 LVK983014:LVL983047 LLO983014:LLP983047 LBS983014:LBT983047 KRW983014:KRX983047 KIA983014:KIB983047 JYE983014:JYF983047 JOI983014:JOJ983047 JEM983014:JEN983047 IUQ983014:IUR983047 IKU983014:IKV983047 IAY983014:IAZ983047 HRC983014:HRD983047 HHG983014:HHH983047 GXK983014:GXL983047 GNO983014:GNP983047 GDS983014:GDT983047 FTW983014:FTX983047 FKA983014:FKB983047 FAE983014:FAF983047 EQI983014:EQJ983047 EGM983014:EGN983047 DWQ983014:DWR983047 DMU983014:DMV983047 DCY983014:DCZ983047 CTC983014:CTD983047 CJG983014:CJH983047 BZK983014:BZL983047 BPO983014:BPP983047 BFS983014:BFT983047 AVW983014:AVX983047 AMA983014:AMB983047 ACE983014:ACF983047 SI983014:SJ983047 IM983014:IN983047 AB983014:AC983047 WUY917478:WUZ917511 WLC917478:WLD917511 WBG917478:WBH917511 VRK917478:VRL917511 VHO917478:VHP917511 UXS917478:UXT917511 UNW917478:UNX917511 UEA917478:UEB917511 TUE917478:TUF917511 TKI917478:TKJ917511 TAM917478:TAN917511 SQQ917478:SQR917511 SGU917478:SGV917511 RWY917478:RWZ917511 RNC917478:RND917511 RDG917478:RDH917511 QTK917478:QTL917511 QJO917478:QJP917511 PZS917478:PZT917511 PPW917478:PPX917511 PGA917478:PGB917511 OWE917478:OWF917511 OMI917478:OMJ917511 OCM917478:OCN917511 NSQ917478:NSR917511 NIU917478:NIV917511 MYY917478:MYZ917511 MPC917478:MPD917511 MFG917478:MFH917511 LVK917478:LVL917511 LLO917478:LLP917511 LBS917478:LBT917511 KRW917478:KRX917511 KIA917478:KIB917511 JYE917478:JYF917511 JOI917478:JOJ917511 JEM917478:JEN917511 IUQ917478:IUR917511 IKU917478:IKV917511 IAY917478:IAZ917511 HRC917478:HRD917511 HHG917478:HHH917511 GXK917478:GXL917511 GNO917478:GNP917511 GDS917478:GDT917511 FTW917478:FTX917511 FKA917478:FKB917511 FAE917478:FAF917511 EQI917478:EQJ917511 EGM917478:EGN917511 DWQ917478:DWR917511 DMU917478:DMV917511 DCY917478:DCZ917511 CTC917478:CTD917511 CJG917478:CJH917511 BZK917478:BZL917511 BPO917478:BPP917511 BFS917478:BFT917511 AVW917478:AVX917511 AMA917478:AMB917511 ACE917478:ACF917511 SI917478:SJ917511 IM917478:IN917511 AB917478:AC917511 WUY851942:WUZ851975 WLC851942:WLD851975 WBG851942:WBH851975 VRK851942:VRL851975 VHO851942:VHP851975 UXS851942:UXT851975 UNW851942:UNX851975 UEA851942:UEB851975 TUE851942:TUF851975 TKI851942:TKJ851975 TAM851942:TAN851975 SQQ851942:SQR851975 SGU851942:SGV851975 RWY851942:RWZ851975 RNC851942:RND851975 RDG851942:RDH851975 QTK851942:QTL851975 QJO851942:QJP851975 PZS851942:PZT851975 PPW851942:PPX851975 PGA851942:PGB851975 OWE851942:OWF851975 OMI851942:OMJ851975 OCM851942:OCN851975 NSQ851942:NSR851975 NIU851942:NIV851975 MYY851942:MYZ851975 MPC851942:MPD851975 MFG851942:MFH851975 LVK851942:LVL851975 LLO851942:LLP851975 LBS851942:LBT851975 KRW851942:KRX851975 KIA851942:KIB851975 JYE851942:JYF851975 JOI851942:JOJ851975 JEM851942:JEN851975 IUQ851942:IUR851975 IKU851942:IKV851975 IAY851942:IAZ851975 HRC851942:HRD851975 HHG851942:HHH851975 GXK851942:GXL851975 GNO851942:GNP851975 GDS851942:GDT851975 FTW851942:FTX851975 FKA851942:FKB851975 FAE851942:FAF851975 EQI851942:EQJ851975 EGM851942:EGN851975 DWQ851942:DWR851975 DMU851942:DMV851975 DCY851942:DCZ851975 CTC851942:CTD851975 CJG851942:CJH851975 BZK851942:BZL851975 BPO851942:BPP851975 BFS851942:BFT851975 AVW851942:AVX851975 AMA851942:AMB851975 ACE851942:ACF851975 SI851942:SJ851975 IM851942:IN851975 AB851942:AC851975 WUY786406:WUZ786439 WLC786406:WLD786439 WBG786406:WBH786439 VRK786406:VRL786439 VHO786406:VHP786439 UXS786406:UXT786439 UNW786406:UNX786439 UEA786406:UEB786439 TUE786406:TUF786439 TKI786406:TKJ786439 TAM786406:TAN786439 SQQ786406:SQR786439 SGU786406:SGV786439 RWY786406:RWZ786439 RNC786406:RND786439 RDG786406:RDH786439 QTK786406:QTL786439 QJO786406:QJP786439 PZS786406:PZT786439 PPW786406:PPX786439 PGA786406:PGB786439 OWE786406:OWF786439 OMI786406:OMJ786439 OCM786406:OCN786439 NSQ786406:NSR786439 NIU786406:NIV786439 MYY786406:MYZ786439 MPC786406:MPD786439 MFG786406:MFH786439 LVK786406:LVL786439 LLO786406:LLP786439 LBS786406:LBT786439 KRW786406:KRX786439 KIA786406:KIB786439 JYE786406:JYF786439 JOI786406:JOJ786439 JEM786406:JEN786439 IUQ786406:IUR786439 IKU786406:IKV786439 IAY786406:IAZ786439 HRC786406:HRD786439 HHG786406:HHH786439 GXK786406:GXL786439 GNO786406:GNP786439 GDS786406:GDT786439 FTW786406:FTX786439 FKA786406:FKB786439 FAE786406:FAF786439 EQI786406:EQJ786439 EGM786406:EGN786439 DWQ786406:DWR786439 DMU786406:DMV786439 DCY786406:DCZ786439 CTC786406:CTD786439 CJG786406:CJH786439 BZK786406:BZL786439 BPO786406:BPP786439 BFS786406:BFT786439 AVW786406:AVX786439 AMA786406:AMB786439 ACE786406:ACF786439 SI786406:SJ786439 IM786406:IN786439 AB786406:AC786439 WUY720870:WUZ720903 WLC720870:WLD720903 WBG720870:WBH720903 VRK720870:VRL720903 VHO720870:VHP720903 UXS720870:UXT720903 UNW720870:UNX720903 UEA720870:UEB720903 TUE720870:TUF720903 TKI720870:TKJ720903 TAM720870:TAN720903 SQQ720870:SQR720903 SGU720870:SGV720903 RWY720870:RWZ720903 RNC720870:RND720903 RDG720870:RDH720903 QTK720870:QTL720903 QJO720870:QJP720903 PZS720870:PZT720903 PPW720870:PPX720903 PGA720870:PGB720903 OWE720870:OWF720903 OMI720870:OMJ720903 OCM720870:OCN720903 NSQ720870:NSR720903 NIU720870:NIV720903 MYY720870:MYZ720903 MPC720870:MPD720903 MFG720870:MFH720903 LVK720870:LVL720903 LLO720870:LLP720903 LBS720870:LBT720903 KRW720870:KRX720903 KIA720870:KIB720903 JYE720870:JYF720903 JOI720870:JOJ720903 JEM720870:JEN720903 IUQ720870:IUR720903 IKU720870:IKV720903 IAY720870:IAZ720903 HRC720870:HRD720903 HHG720870:HHH720903 GXK720870:GXL720903 GNO720870:GNP720903 GDS720870:GDT720903 FTW720870:FTX720903 FKA720870:FKB720903 FAE720870:FAF720903 EQI720870:EQJ720903 EGM720870:EGN720903 DWQ720870:DWR720903 DMU720870:DMV720903 DCY720870:DCZ720903 CTC720870:CTD720903 CJG720870:CJH720903 BZK720870:BZL720903 BPO720870:BPP720903 BFS720870:BFT720903 AVW720870:AVX720903 AMA720870:AMB720903 ACE720870:ACF720903 SI720870:SJ720903 IM720870:IN720903 AB720870:AC720903 WUY655334:WUZ655367 WLC655334:WLD655367 WBG655334:WBH655367 VRK655334:VRL655367 VHO655334:VHP655367 UXS655334:UXT655367 UNW655334:UNX655367 UEA655334:UEB655367 TUE655334:TUF655367 TKI655334:TKJ655367 TAM655334:TAN655367 SQQ655334:SQR655367 SGU655334:SGV655367 RWY655334:RWZ655367 RNC655334:RND655367 RDG655334:RDH655367 QTK655334:QTL655367 QJO655334:QJP655367 PZS655334:PZT655367 PPW655334:PPX655367 PGA655334:PGB655367 OWE655334:OWF655367 OMI655334:OMJ655367 OCM655334:OCN655367 NSQ655334:NSR655367 NIU655334:NIV655367 MYY655334:MYZ655367 MPC655334:MPD655367 MFG655334:MFH655367 LVK655334:LVL655367 LLO655334:LLP655367 LBS655334:LBT655367 KRW655334:KRX655367 KIA655334:KIB655367 JYE655334:JYF655367 JOI655334:JOJ655367 JEM655334:JEN655367 IUQ655334:IUR655367 IKU655334:IKV655367 IAY655334:IAZ655367 HRC655334:HRD655367 HHG655334:HHH655367 GXK655334:GXL655367 GNO655334:GNP655367 GDS655334:GDT655367 FTW655334:FTX655367 FKA655334:FKB655367 FAE655334:FAF655367 EQI655334:EQJ655367 EGM655334:EGN655367 DWQ655334:DWR655367 DMU655334:DMV655367 DCY655334:DCZ655367 CTC655334:CTD655367 CJG655334:CJH655367 BZK655334:BZL655367 BPO655334:BPP655367 BFS655334:BFT655367 AVW655334:AVX655367 AMA655334:AMB655367 ACE655334:ACF655367 SI655334:SJ655367 IM655334:IN655367 AB655334:AC655367 WUY589798:WUZ589831 WLC589798:WLD589831 WBG589798:WBH589831 VRK589798:VRL589831 VHO589798:VHP589831 UXS589798:UXT589831 UNW589798:UNX589831 UEA589798:UEB589831 TUE589798:TUF589831 TKI589798:TKJ589831 TAM589798:TAN589831 SQQ589798:SQR589831 SGU589798:SGV589831 RWY589798:RWZ589831 RNC589798:RND589831 RDG589798:RDH589831 QTK589798:QTL589831 QJO589798:QJP589831 PZS589798:PZT589831 PPW589798:PPX589831 PGA589798:PGB589831 OWE589798:OWF589831 OMI589798:OMJ589831 OCM589798:OCN589831 NSQ589798:NSR589831 NIU589798:NIV589831 MYY589798:MYZ589831 MPC589798:MPD589831 MFG589798:MFH589831 LVK589798:LVL589831 LLO589798:LLP589831 LBS589798:LBT589831 KRW589798:KRX589831 KIA589798:KIB589831 JYE589798:JYF589831 JOI589798:JOJ589831 JEM589798:JEN589831 IUQ589798:IUR589831 IKU589798:IKV589831 IAY589798:IAZ589831 HRC589798:HRD589831 HHG589798:HHH589831 GXK589798:GXL589831 GNO589798:GNP589831 GDS589798:GDT589831 FTW589798:FTX589831 FKA589798:FKB589831 FAE589798:FAF589831 EQI589798:EQJ589831 EGM589798:EGN589831 DWQ589798:DWR589831 DMU589798:DMV589831 DCY589798:DCZ589831 CTC589798:CTD589831 CJG589798:CJH589831 BZK589798:BZL589831 BPO589798:BPP589831 BFS589798:BFT589831 AVW589798:AVX589831 AMA589798:AMB589831 ACE589798:ACF589831 SI589798:SJ589831 IM589798:IN589831 AB589798:AC589831 WUY524262:WUZ524295 WLC524262:WLD524295 WBG524262:WBH524295 VRK524262:VRL524295 VHO524262:VHP524295 UXS524262:UXT524295 UNW524262:UNX524295 UEA524262:UEB524295 TUE524262:TUF524295 TKI524262:TKJ524295 TAM524262:TAN524295 SQQ524262:SQR524295 SGU524262:SGV524295 RWY524262:RWZ524295 RNC524262:RND524295 RDG524262:RDH524295 QTK524262:QTL524295 QJO524262:QJP524295 PZS524262:PZT524295 PPW524262:PPX524295 PGA524262:PGB524295 OWE524262:OWF524295 OMI524262:OMJ524295 OCM524262:OCN524295 NSQ524262:NSR524295 NIU524262:NIV524295 MYY524262:MYZ524295 MPC524262:MPD524295 MFG524262:MFH524295 LVK524262:LVL524295 LLO524262:LLP524295 LBS524262:LBT524295 KRW524262:KRX524295 KIA524262:KIB524295 JYE524262:JYF524295 JOI524262:JOJ524295 JEM524262:JEN524295 IUQ524262:IUR524295 IKU524262:IKV524295 IAY524262:IAZ524295 HRC524262:HRD524295 HHG524262:HHH524295 GXK524262:GXL524295 GNO524262:GNP524295 GDS524262:GDT524295 FTW524262:FTX524295 FKA524262:FKB524295 FAE524262:FAF524295 EQI524262:EQJ524295 EGM524262:EGN524295 DWQ524262:DWR524295 DMU524262:DMV524295 DCY524262:DCZ524295 CTC524262:CTD524295 CJG524262:CJH524295 BZK524262:BZL524295 BPO524262:BPP524295 BFS524262:BFT524295 AVW524262:AVX524295 AMA524262:AMB524295 ACE524262:ACF524295 SI524262:SJ524295 IM524262:IN524295 AB524262:AC524295 WUY458726:WUZ458759 WLC458726:WLD458759 WBG458726:WBH458759 VRK458726:VRL458759 VHO458726:VHP458759 UXS458726:UXT458759 UNW458726:UNX458759 UEA458726:UEB458759 TUE458726:TUF458759 TKI458726:TKJ458759 TAM458726:TAN458759 SQQ458726:SQR458759 SGU458726:SGV458759 RWY458726:RWZ458759 RNC458726:RND458759 RDG458726:RDH458759 QTK458726:QTL458759 QJO458726:QJP458759 PZS458726:PZT458759 PPW458726:PPX458759 PGA458726:PGB458759 OWE458726:OWF458759 OMI458726:OMJ458759 OCM458726:OCN458759 NSQ458726:NSR458759 NIU458726:NIV458759 MYY458726:MYZ458759 MPC458726:MPD458759 MFG458726:MFH458759 LVK458726:LVL458759 LLO458726:LLP458759 LBS458726:LBT458759 KRW458726:KRX458759 KIA458726:KIB458759 JYE458726:JYF458759 JOI458726:JOJ458759 JEM458726:JEN458759 IUQ458726:IUR458759 IKU458726:IKV458759 IAY458726:IAZ458759 HRC458726:HRD458759 HHG458726:HHH458759 GXK458726:GXL458759 GNO458726:GNP458759 GDS458726:GDT458759 FTW458726:FTX458759 FKA458726:FKB458759 FAE458726:FAF458759 EQI458726:EQJ458759 EGM458726:EGN458759 DWQ458726:DWR458759 DMU458726:DMV458759 DCY458726:DCZ458759 CTC458726:CTD458759 CJG458726:CJH458759 BZK458726:BZL458759 BPO458726:BPP458759 BFS458726:BFT458759 AVW458726:AVX458759 AMA458726:AMB458759 ACE458726:ACF458759 SI458726:SJ458759 IM458726:IN458759 AB458726:AC458759 WUY393190:WUZ393223 WLC393190:WLD393223 WBG393190:WBH393223 VRK393190:VRL393223 VHO393190:VHP393223 UXS393190:UXT393223 UNW393190:UNX393223 UEA393190:UEB393223 TUE393190:TUF393223 TKI393190:TKJ393223 TAM393190:TAN393223 SQQ393190:SQR393223 SGU393190:SGV393223 RWY393190:RWZ393223 RNC393190:RND393223 RDG393190:RDH393223 QTK393190:QTL393223 QJO393190:QJP393223 PZS393190:PZT393223 PPW393190:PPX393223 PGA393190:PGB393223 OWE393190:OWF393223 OMI393190:OMJ393223 OCM393190:OCN393223 NSQ393190:NSR393223 NIU393190:NIV393223 MYY393190:MYZ393223 MPC393190:MPD393223 MFG393190:MFH393223 LVK393190:LVL393223 LLO393190:LLP393223 LBS393190:LBT393223 KRW393190:KRX393223 KIA393190:KIB393223 JYE393190:JYF393223 JOI393190:JOJ393223 JEM393190:JEN393223 IUQ393190:IUR393223 IKU393190:IKV393223 IAY393190:IAZ393223 HRC393190:HRD393223 HHG393190:HHH393223 GXK393190:GXL393223 GNO393190:GNP393223 GDS393190:GDT393223 FTW393190:FTX393223 FKA393190:FKB393223 FAE393190:FAF393223 EQI393190:EQJ393223 EGM393190:EGN393223 DWQ393190:DWR393223 DMU393190:DMV393223 DCY393190:DCZ393223 CTC393190:CTD393223 CJG393190:CJH393223 BZK393190:BZL393223 BPO393190:BPP393223 BFS393190:BFT393223 AVW393190:AVX393223 AMA393190:AMB393223 ACE393190:ACF393223 SI393190:SJ393223 IM393190:IN393223 AB393190:AC393223 WUY327654:WUZ327687 WLC327654:WLD327687 WBG327654:WBH327687 VRK327654:VRL327687 VHO327654:VHP327687 UXS327654:UXT327687 UNW327654:UNX327687 UEA327654:UEB327687 TUE327654:TUF327687 TKI327654:TKJ327687 TAM327654:TAN327687 SQQ327654:SQR327687 SGU327654:SGV327687 RWY327654:RWZ327687 RNC327654:RND327687 RDG327654:RDH327687 QTK327654:QTL327687 QJO327654:QJP327687 PZS327654:PZT327687 PPW327654:PPX327687 PGA327654:PGB327687 OWE327654:OWF327687 OMI327654:OMJ327687 OCM327654:OCN327687 NSQ327654:NSR327687 NIU327654:NIV327687 MYY327654:MYZ327687 MPC327654:MPD327687 MFG327654:MFH327687 LVK327654:LVL327687 LLO327654:LLP327687 LBS327654:LBT327687 KRW327654:KRX327687 KIA327654:KIB327687 JYE327654:JYF327687 JOI327654:JOJ327687 JEM327654:JEN327687 IUQ327654:IUR327687 IKU327654:IKV327687 IAY327654:IAZ327687 HRC327654:HRD327687 HHG327654:HHH327687 GXK327654:GXL327687 GNO327654:GNP327687 GDS327654:GDT327687 FTW327654:FTX327687 FKA327654:FKB327687 FAE327654:FAF327687 EQI327654:EQJ327687 EGM327654:EGN327687 DWQ327654:DWR327687 DMU327654:DMV327687 DCY327654:DCZ327687 CTC327654:CTD327687 CJG327654:CJH327687 BZK327654:BZL327687 BPO327654:BPP327687 BFS327654:BFT327687 AVW327654:AVX327687 AMA327654:AMB327687 ACE327654:ACF327687 SI327654:SJ327687 IM327654:IN327687 AB327654:AC327687 WUY262118:WUZ262151 WLC262118:WLD262151 WBG262118:WBH262151 VRK262118:VRL262151 VHO262118:VHP262151 UXS262118:UXT262151 UNW262118:UNX262151 UEA262118:UEB262151 TUE262118:TUF262151 TKI262118:TKJ262151 TAM262118:TAN262151 SQQ262118:SQR262151 SGU262118:SGV262151 RWY262118:RWZ262151 RNC262118:RND262151 RDG262118:RDH262151 QTK262118:QTL262151 QJO262118:QJP262151 PZS262118:PZT262151 PPW262118:PPX262151 PGA262118:PGB262151 OWE262118:OWF262151 OMI262118:OMJ262151 OCM262118:OCN262151 NSQ262118:NSR262151 NIU262118:NIV262151 MYY262118:MYZ262151 MPC262118:MPD262151 MFG262118:MFH262151 LVK262118:LVL262151 LLO262118:LLP262151 LBS262118:LBT262151 KRW262118:KRX262151 KIA262118:KIB262151 JYE262118:JYF262151 JOI262118:JOJ262151 JEM262118:JEN262151 IUQ262118:IUR262151 IKU262118:IKV262151 IAY262118:IAZ262151 HRC262118:HRD262151 HHG262118:HHH262151 GXK262118:GXL262151 GNO262118:GNP262151 GDS262118:GDT262151 FTW262118:FTX262151 FKA262118:FKB262151 FAE262118:FAF262151 EQI262118:EQJ262151 EGM262118:EGN262151 DWQ262118:DWR262151 DMU262118:DMV262151 DCY262118:DCZ262151 CTC262118:CTD262151 CJG262118:CJH262151 BZK262118:BZL262151 BPO262118:BPP262151 BFS262118:BFT262151 AVW262118:AVX262151 AMA262118:AMB262151 ACE262118:ACF262151 SI262118:SJ262151 IM262118:IN262151 AB262118:AC262151 WUY196582:WUZ196615 WLC196582:WLD196615 WBG196582:WBH196615 VRK196582:VRL196615 VHO196582:VHP196615 UXS196582:UXT196615 UNW196582:UNX196615 UEA196582:UEB196615 TUE196582:TUF196615 TKI196582:TKJ196615 TAM196582:TAN196615 SQQ196582:SQR196615 SGU196582:SGV196615 RWY196582:RWZ196615 RNC196582:RND196615 RDG196582:RDH196615 QTK196582:QTL196615 QJO196582:QJP196615 PZS196582:PZT196615 PPW196582:PPX196615 PGA196582:PGB196615 OWE196582:OWF196615 OMI196582:OMJ196615 OCM196582:OCN196615 NSQ196582:NSR196615 NIU196582:NIV196615 MYY196582:MYZ196615 MPC196582:MPD196615 MFG196582:MFH196615 LVK196582:LVL196615 LLO196582:LLP196615 LBS196582:LBT196615 KRW196582:KRX196615 KIA196582:KIB196615 JYE196582:JYF196615 JOI196582:JOJ196615 JEM196582:JEN196615 IUQ196582:IUR196615 IKU196582:IKV196615 IAY196582:IAZ196615 HRC196582:HRD196615 HHG196582:HHH196615 GXK196582:GXL196615 GNO196582:GNP196615 GDS196582:GDT196615 FTW196582:FTX196615 FKA196582:FKB196615 FAE196582:FAF196615 EQI196582:EQJ196615 EGM196582:EGN196615 DWQ196582:DWR196615 DMU196582:DMV196615 DCY196582:DCZ196615 CTC196582:CTD196615 CJG196582:CJH196615 BZK196582:BZL196615 BPO196582:BPP196615 BFS196582:BFT196615 AVW196582:AVX196615 AMA196582:AMB196615 ACE196582:ACF196615 SI196582:SJ196615 IM196582:IN196615 AB196582:AC196615 WUY131046:WUZ131079 WLC131046:WLD131079 WBG131046:WBH131079 VRK131046:VRL131079 VHO131046:VHP131079 UXS131046:UXT131079 UNW131046:UNX131079 UEA131046:UEB131079 TUE131046:TUF131079 TKI131046:TKJ131079 TAM131046:TAN131079 SQQ131046:SQR131079 SGU131046:SGV131079 RWY131046:RWZ131079 RNC131046:RND131079 RDG131046:RDH131079 QTK131046:QTL131079 QJO131046:QJP131079 PZS131046:PZT131079 PPW131046:PPX131079 PGA131046:PGB131079 OWE131046:OWF131079 OMI131046:OMJ131079 OCM131046:OCN131079 NSQ131046:NSR131079 NIU131046:NIV131079 MYY131046:MYZ131079 MPC131046:MPD131079 MFG131046:MFH131079 LVK131046:LVL131079 LLO131046:LLP131079 LBS131046:LBT131079 KRW131046:KRX131079 KIA131046:KIB131079 JYE131046:JYF131079 JOI131046:JOJ131079 JEM131046:JEN131079 IUQ131046:IUR131079 IKU131046:IKV131079 IAY131046:IAZ131079 HRC131046:HRD131079 HHG131046:HHH131079 GXK131046:GXL131079 GNO131046:GNP131079 GDS131046:GDT131079 FTW131046:FTX131079 FKA131046:FKB131079 FAE131046:FAF131079 EQI131046:EQJ131079 EGM131046:EGN131079 DWQ131046:DWR131079 DMU131046:DMV131079 DCY131046:DCZ131079 CTC131046:CTD131079 CJG131046:CJH131079 BZK131046:BZL131079 BPO131046:BPP131079 BFS131046:BFT131079 AVW131046:AVX131079 AMA131046:AMB131079 ACE131046:ACF131079 SI131046:SJ131079 IM131046:IN131079 AB131046:AC131079 WUY65510:WUZ65543 WLC65510:WLD65543 WBG65510:WBH65543 VRK65510:VRL65543 VHO65510:VHP65543 UXS65510:UXT65543 UNW65510:UNX65543 UEA65510:UEB65543 TUE65510:TUF65543 TKI65510:TKJ65543 TAM65510:TAN65543 SQQ65510:SQR65543 SGU65510:SGV65543 RWY65510:RWZ65543 RNC65510:RND65543 RDG65510:RDH65543 QTK65510:QTL65543 QJO65510:QJP65543 PZS65510:PZT65543 PPW65510:PPX65543 PGA65510:PGB65543 OWE65510:OWF65543 OMI65510:OMJ65543 OCM65510:OCN65543 NSQ65510:NSR65543 NIU65510:NIV65543 MYY65510:MYZ65543 MPC65510:MPD65543 MFG65510:MFH65543 LVK65510:LVL65543 LLO65510:LLP65543 LBS65510:LBT65543 KRW65510:KRX65543 KIA65510:KIB65543 JYE65510:JYF65543 JOI65510:JOJ65543 JEM65510:JEN65543 IUQ65510:IUR65543 IKU65510:IKV65543 IAY65510:IAZ65543 HRC65510:HRD65543 HHG65510:HHH65543 GXK65510:GXL65543 GNO65510:GNP65543 GDS65510:GDT65543 FTW65510:FTX65543 FKA65510:FKB65543 FAE65510:FAF65543 EQI65510:EQJ65543 EGM65510:EGN65543 DWQ65510:DWR65543 DMU65510:DMV65543 DCY65510:DCZ65543 CTC65510:CTD65543 CJG65510:CJH65543 BZK65510:BZL65543 BPO65510:BPP65543 BFS65510:BFT65543 AVW65510:AVX65543 AMA65510:AMB65543 ACE65510:ACF65543 SI65510:SJ65543 IM65510:IN65543 AB65510:AC65543 WLC983014:WLD983047 WUY7:WUZ7 IM7:IN7 SI7:SJ7 ACE7:ACF7 AMA7:AMB7 AVW7:AVX7 BFS7:BFT7 BPO7:BPP7 BZK7:BZL7 CJG7:CJH7 CTC7:CTD7 DCY7:DCZ7 DMU7:DMV7 DWQ7:DWR7 EGM7:EGN7 EQI7:EQJ7 FAE7:FAF7 FKA7:FKB7 FTW7:FTX7 GDS7:GDT7 GNO7:GNP7 GXK7:GXL7 HHG7:HHH7 HRC7:HRD7 IAY7:IAZ7 IKU7:IKV7 IUQ7:IUR7 JEM7:JEN7 JOI7:JOJ7 JYE7:JYF7 KIA7:KIB7 KRW7:KRX7 LBS7:LBT7 LLO7:LLP7 LVK7:LVL7 MFG7:MFH7 MPC7:MPD7 MYY7:MYZ7 NIU7:NIV7 NSQ7:NSR7 OCM7:OCN7 OMI7:OMJ7 OWE7:OWF7 PGA7:PGB7 PPW7:PPX7 PZS7:PZT7 QJO7:QJP7 QTK7:QTL7 RDG7:RDH7 RNC7:RND7 RWY7:RWZ7 SGU7:SGV7 SQQ7:SQR7 TAM7:TAN7 TKI7:TKJ7 TUE7:TUF7 UEA7:UEB7 UNW7:UNX7 UXS7:UXT7 VHO7:VHP7 VRK7:VRL7 WBG7:WBH7 WLC7:WLD7 WBG13:WBH16 VRK13:VRL16 VHO13:VHP16 UXS13:UXT16 UNW13:UNX16 UEA13:UEB16 TUE13:TUF16 TKI13:TKJ16 TAM13:TAN16 SQQ13:SQR16 SGU13:SGV16 RWY13:RWZ16 RNC13:RND16 RDG13:RDH16 QTK13:QTL16 QJO13:QJP16 PZS13:PZT16 PPW13:PPX16 PGA13:PGB16 OWE13:OWF16 OMI13:OMJ16 OCM13:OCN16 NSQ13:NSR16 NIU13:NIV16 MYY13:MYZ16 MPC13:MPD16 MFG13:MFH16 LVK13:LVL16 LLO13:LLP16 LBS13:LBT16 KRW13:KRX16 KIA13:KIB16 JYE13:JYF16 JOI13:JOJ16 JEM13:JEN16 IUQ13:IUR16 IKU13:IKV16 IAY13:IAZ16 HRC13:HRD16 HHG13:HHH16 GXK13:GXL16 GNO13:GNP16 GDS13:GDT16 FTW13:FTX16 FKA13:FKB16 FAE13:FAF16 EQI13:EQJ16 EGM13:EGN16 DWQ13:DWR16 DMU13:DMV16 DCY13:DCZ16 CTC13:CTD16 CJG13:CJH16 BZK13:BZL16 BPO13:BPP16 BFS13:BFT16 AVW13:AVX16 AMA13:AMB16 ACE13:ACF16 SI13:SJ16 IM13:IN16 WUY13:WUZ16 WLC13:WLD16" xr:uid="{330D16A3-89D8-42A7-8866-82CF763BCEA5}">
      <formula1>$U$20:$U$23</formula1>
    </dataValidation>
    <dataValidation type="list" allowBlank="1" showInputMessage="1" showErrorMessage="1" sqref="WUN983010:WUX983047 Q65506:AA65543 WKR983010:WLB983047 WAV983010:WBF983047 VQZ983010:VRJ983047 VHD983010:VHN983047 UXH983010:UXR983047 UNL983010:UNV983047 UDP983010:UDZ983047 TTT983010:TUD983047 TJX983010:TKH983047 TAB983010:TAL983047 SQF983010:SQP983047 SGJ983010:SGT983047 RWN983010:RWX983047 RMR983010:RNB983047 RCV983010:RDF983047 QSZ983010:QTJ983047 QJD983010:QJN983047 PZH983010:PZR983047 PPL983010:PPV983047 PFP983010:PFZ983047 OVT983010:OWD983047 OLX983010:OMH983047 OCB983010:OCL983047 NSF983010:NSP983047 NIJ983010:NIT983047 MYN983010:MYX983047 MOR983010:MPB983047 MEV983010:MFF983047 LUZ983010:LVJ983047 LLD983010:LLN983047 LBH983010:LBR983047 KRL983010:KRV983047 KHP983010:KHZ983047 JXT983010:JYD983047 JNX983010:JOH983047 JEB983010:JEL983047 IUF983010:IUP983047 IKJ983010:IKT983047 IAN983010:IAX983047 HQR983010:HRB983047 HGV983010:HHF983047 GWZ983010:GXJ983047 GND983010:GNN983047 GDH983010:GDR983047 FTL983010:FTV983047 FJP983010:FJZ983047 EZT983010:FAD983047 EPX983010:EQH983047 EGB983010:EGL983047 DWF983010:DWP983047 DMJ983010:DMT983047 DCN983010:DCX983047 CSR983010:CTB983047 CIV983010:CJF983047 BYZ983010:BZJ983047 BPD983010:BPN983047 BFH983010:BFR983047 AVL983010:AVV983047 ALP983010:ALZ983047 ABT983010:ACD983047 RX983010:SH983047 IB983010:IL983047 Q983010:AA983047 WUN917474:WUX917511 WKR917474:WLB917511 WAV917474:WBF917511 VQZ917474:VRJ917511 VHD917474:VHN917511 UXH917474:UXR917511 UNL917474:UNV917511 UDP917474:UDZ917511 TTT917474:TUD917511 TJX917474:TKH917511 TAB917474:TAL917511 SQF917474:SQP917511 SGJ917474:SGT917511 RWN917474:RWX917511 RMR917474:RNB917511 RCV917474:RDF917511 QSZ917474:QTJ917511 QJD917474:QJN917511 PZH917474:PZR917511 PPL917474:PPV917511 PFP917474:PFZ917511 OVT917474:OWD917511 OLX917474:OMH917511 OCB917474:OCL917511 NSF917474:NSP917511 NIJ917474:NIT917511 MYN917474:MYX917511 MOR917474:MPB917511 MEV917474:MFF917511 LUZ917474:LVJ917511 LLD917474:LLN917511 LBH917474:LBR917511 KRL917474:KRV917511 KHP917474:KHZ917511 JXT917474:JYD917511 JNX917474:JOH917511 JEB917474:JEL917511 IUF917474:IUP917511 IKJ917474:IKT917511 IAN917474:IAX917511 HQR917474:HRB917511 HGV917474:HHF917511 GWZ917474:GXJ917511 GND917474:GNN917511 GDH917474:GDR917511 FTL917474:FTV917511 FJP917474:FJZ917511 EZT917474:FAD917511 EPX917474:EQH917511 EGB917474:EGL917511 DWF917474:DWP917511 DMJ917474:DMT917511 DCN917474:DCX917511 CSR917474:CTB917511 CIV917474:CJF917511 BYZ917474:BZJ917511 BPD917474:BPN917511 BFH917474:BFR917511 AVL917474:AVV917511 ALP917474:ALZ917511 ABT917474:ACD917511 RX917474:SH917511 IB917474:IL917511 Q917474:AA917511 WUN851938:WUX851975 WKR851938:WLB851975 WAV851938:WBF851975 VQZ851938:VRJ851975 VHD851938:VHN851975 UXH851938:UXR851975 UNL851938:UNV851975 UDP851938:UDZ851975 TTT851938:TUD851975 TJX851938:TKH851975 TAB851938:TAL851975 SQF851938:SQP851975 SGJ851938:SGT851975 RWN851938:RWX851975 RMR851938:RNB851975 RCV851938:RDF851975 QSZ851938:QTJ851975 QJD851938:QJN851975 PZH851938:PZR851975 PPL851938:PPV851975 PFP851938:PFZ851975 OVT851938:OWD851975 OLX851938:OMH851975 OCB851938:OCL851975 NSF851938:NSP851975 NIJ851938:NIT851975 MYN851938:MYX851975 MOR851938:MPB851975 MEV851938:MFF851975 LUZ851938:LVJ851975 LLD851938:LLN851975 LBH851938:LBR851975 KRL851938:KRV851975 KHP851938:KHZ851975 JXT851938:JYD851975 JNX851938:JOH851975 JEB851938:JEL851975 IUF851938:IUP851975 IKJ851938:IKT851975 IAN851938:IAX851975 HQR851938:HRB851975 HGV851938:HHF851975 GWZ851938:GXJ851975 GND851938:GNN851975 GDH851938:GDR851975 FTL851938:FTV851975 FJP851938:FJZ851975 EZT851938:FAD851975 EPX851938:EQH851975 EGB851938:EGL851975 DWF851938:DWP851975 DMJ851938:DMT851975 DCN851938:DCX851975 CSR851938:CTB851975 CIV851938:CJF851975 BYZ851938:BZJ851975 BPD851938:BPN851975 BFH851938:BFR851975 AVL851938:AVV851975 ALP851938:ALZ851975 ABT851938:ACD851975 RX851938:SH851975 IB851938:IL851975 Q851938:AA851975 WUN786402:WUX786439 WKR786402:WLB786439 WAV786402:WBF786439 VQZ786402:VRJ786439 VHD786402:VHN786439 UXH786402:UXR786439 UNL786402:UNV786439 UDP786402:UDZ786439 TTT786402:TUD786439 TJX786402:TKH786439 TAB786402:TAL786439 SQF786402:SQP786439 SGJ786402:SGT786439 RWN786402:RWX786439 RMR786402:RNB786439 RCV786402:RDF786439 QSZ786402:QTJ786439 QJD786402:QJN786439 PZH786402:PZR786439 PPL786402:PPV786439 PFP786402:PFZ786439 OVT786402:OWD786439 OLX786402:OMH786439 OCB786402:OCL786439 NSF786402:NSP786439 NIJ786402:NIT786439 MYN786402:MYX786439 MOR786402:MPB786439 MEV786402:MFF786439 LUZ786402:LVJ786439 LLD786402:LLN786439 LBH786402:LBR786439 KRL786402:KRV786439 KHP786402:KHZ786439 JXT786402:JYD786439 JNX786402:JOH786439 JEB786402:JEL786439 IUF786402:IUP786439 IKJ786402:IKT786439 IAN786402:IAX786439 HQR786402:HRB786439 HGV786402:HHF786439 GWZ786402:GXJ786439 GND786402:GNN786439 GDH786402:GDR786439 FTL786402:FTV786439 FJP786402:FJZ786439 EZT786402:FAD786439 EPX786402:EQH786439 EGB786402:EGL786439 DWF786402:DWP786439 DMJ786402:DMT786439 DCN786402:DCX786439 CSR786402:CTB786439 CIV786402:CJF786439 BYZ786402:BZJ786439 BPD786402:BPN786439 BFH786402:BFR786439 AVL786402:AVV786439 ALP786402:ALZ786439 ABT786402:ACD786439 RX786402:SH786439 IB786402:IL786439 Q786402:AA786439 WUN720866:WUX720903 WKR720866:WLB720903 WAV720866:WBF720903 VQZ720866:VRJ720903 VHD720866:VHN720903 UXH720866:UXR720903 UNL720866:UNV720903 UDP720866:UDZ720903 TTT720866:TUD720903 TJX720866:TKH720903 TAB720866:TAL720903 SQF720866:SQP720903 SGJ720866:SGT720903 RWN720866:RWX720903 RMR720866:RNB720903 RCV720866:RDF720903 QSZ720866:QTJ720903 QJD720866:QJN720903 PZH720866:PZR720903 PPL720866:PPV720903 PFP720866:PFZ720903 OVT720866:OWD720903 OLX720866:OMH720903 OCB720866:OCL720903 NSF720866:NSP720903 NIJ720866:NIT720903 MYN720866:MYX720903 MOR720866:MPB720903 MEV720866:MFF720903 LUZ720866:LVJ720903 LLD720866:LLN720903 LBH720866:LBR720903 KRL720866:KRV720903 KHP720866:KHZ720903 JXT720866:JYD720903 JNX720866:JOH720903 JEB720866:JEL720903 IUF720866:IUP720903 IKJ720866:IKT720903 IAN720866:IAX720903 HQR720866:HRB720903 HGV720866:HHF720903 GWZ720866:GXJ720903 GND720866:GNN720903 GDH720866:GDR720903 FTL720866:FTV720903 FJP720866:FJZ720903 EZT720866:FAD720903 EPX720866:EQH720903 EGB720866:EGL720903 DWF720866:DWP720903 DMJ720866:DMT720903 DCN720866:DCX720903 CSR720866:CTB720903 CIV720866:CJF720903 BYZ720866:BZJ720903 BPD720866:BPN720903 BFH720866:BFR720903 AVL720866:AVV720903 ALP720866:ALZ720903 ABT720866:ACD720903 RX720866:SH720903 IB720866:IL720903 Q720866:AA720903 WUN655330:WUX655367 WKR655330:WLB655367 WAV655330:WBF655367 VQZ655330:VRJ655367 VHD655330:VHN655367 UXH655330:UXR655367 UNL655330:UNV655367 UDP655330:UDZ655367 TTT655330:TUD655367 TJX655330:TKH655367 TAB655330:TAL655367 SQF655330:SQP655367 SGJ655330:SGT655367 RWN655330:RWX655367 RMR655330:RNB655367 RCV655330:RDF655367 QSZ655330:QTJ655367 QJD655330:QJN655367 PZH655330:PZR655367 PPL655330:PPV655367 PFP655330:PFZ655367 OVT655330:OWD655367 OLX655330:OMH655367 OCB655330:OCL655367 NSF655330:NSP655367 NIJ655330:NIT655367 MYN655330:MYX655367 MOR655330:MPB655367 MEV655330:MFF655367 LUZ655330:LVJ655367 LLD655330:LLN655367 LBH655330:LBR655367 KRL655330:KRV655367 KHP655330:KHZ655367 JXT655330:JYD655367 JNX655330:JOH655367 JEB655330:JEL655367 IUF655330:IUP655367 IKJ655330:IKT655367 IAN655330:IAX655367 HQR655330:HRB655367 HGV655330:HHF655367 GWZ655330:GXJ655367 GND655330:GNN655367 GDH655330:GDR655367 FTL655330:FTV655367 FJP655330:FJZ655367 EZT655330:FAD655367 EPX655330:EQH655367 EGB655330:EGL655367 DWF655330:DWP655367 DMJ655330:DMT655367 DCN655330:DCX655367 CSR655330:CTB655367 CIV655330:CJF655367 BYZ655330:BZJ655367 BPD655330:BPN655367 BFH655330:BFR655367 AVL655330:AVV655367 ALP655330:ALZ655367 ABT655330:ACD655367 RX655330:SH655367 IB655330:IL655367 Q655330:AA655367 WUN589794:WUX589831 WKR589794:WLB589831 WAV589794:WBF589831 VQZ589794:VRJ589831 VHD589794:VHN589831 UXH589794:UXR589831 UNL589794:UNV589831 UDP589794:UDZ589831 TTT589794:TUD589831 TJX589794:TKH589831 TAB589794:TAL589831 SQF589794:SQP589831 SGJ589794:SGT589831 RWN589794:RWX589831 RMR589794:RNB589831 RCV589794:RDF589831 QSZ589794:QTJ589831 QJD589794:QJN589831 PZH589794:PZR589831 PPL589794:PPV589831 PFP589794:PFZ589831 OVT589794:OWD589831 OLX589794:OMH589831 OCB589794:OCL589831 NSF589794:NSP589831 NIJ589794:NIT589831 MYN589794:MYX589831 MOR589794:MPB589831 MEV589794:MFF589831 LUZ589794:LVJ589831 LLD589794:LLN589831 LBH589794:LBR589831 KRL589794:KRV589831 KHP589794:KHZ589831 JXT589794:JYD589831 JNX589794:JOH589831 JEB589794:JEL589831 IUF589794:IUP589831 IKJ589794:IKT589831 IAN589794:IAX589831 HQR589794:HRB589831 HGV589794:HHF589831 GWZ589794:GXJ589831 GND589794:GNN589831 GDH589794:GDR589831 FTL589794:FTV589831 FJP589794:FJZ589831 EZT589794:FAD589831 EPX589794:EQH589831 EGB589794:EGL589831 DWF589794:DWP589831 DMJ589794:DMT589831 DCN589794:DCX589831 CSR589794:CTB589831 CIV589794:CJF589831 BYZ589794:BZJ589831 BPD589794:BPN589831 BFH589794:BFR589831 AVL589794:AVV589831 ALP589794:ALZ589831 ABT589794:ACD589831 RX589794:SH589831 IB589794:IL589831 Q589794:AA589831 WUN524258:WUX524295 WKR524258:WLB524295 WAV524258:WBF524295 VQZ524258:VRJ524295 VHD524258:VHN524295 UXH524258:UXR524295 UNL524258:UNV524295 UDP524258:UDZ524295 TTT524258:TUD524295 TJX524258:TKH524295 TAB524258:TAL524295 SQF524258:SQP524295 SGJ524258:SGT524295 RWN524258:RWX524295 RMR524258:RNB524295 RCV524258:RDF524295 QSZ524258:QTJ524295 QJD524258:QJN524295 PZH524258:PZR524295 PPL524258:PPV524295 PFP524258:PFZ524295 OVT524258:OWD524295 OLX524258:OMH524295 OCB524258:OCL524295 NSF524258:NSP524295 NIJ524258:NIT524295 MYN524258:MYX524295 MOR524258:MPB524295 MEV524258:MFF524295 LUZ524258:LVJ524295 LLD524258:LLN524295 LBH524258:LBR524295 KRL524258:KRV524295 KHP524258:KHZ524295 JXT524258:JYD524295 JNX524258:JOH524295 JEB524258:JEL524295 IUF524258:IUP524295 IKJ524258:IKT524295 IAN524258:IAX524295 HQR524258:HRB524295 HGV524258:HHF524295 GWZ524258:GXJ524295 GND524258:GNN524295 GDH524258:GDR524295 FTL524258:FTV524295 FJP524258:FJZ524295 EZT524258:FAD524295 EPX524258:EQH524295 EGB524258:EGL524295 DWF524258:DWP524295 DMJ524258:DMT524295 DCN524258:DCX524295 CSR524258:CTB524295 CIV524258:CJF524295 BYZ524258:BZJ524295 BPD524258:BPN524295 BFH524258:BFR524295 AVL524258:AVV524295 ALP524258:ALZ524295 ABT524258:ACD524295 RX524258:SH524295 IB524258:IL524295 Q524258:AA524295 WUN458722:WUX458759 WKR458722:WLB458759 WAV458722:WBF458759 VQZ458722:VRJ458759 VHD458722:VHN458759 UXH458722:UXR458759 UNL458722:UNV458759 UDP458722:UDZ458759 TTT458722:TUD458759 TJX458722:TKH458759 TAB458722:TAL458759 SQF458722:SQP458759 SGJ458722:SGT458759 RWN458722:RWX458759 RMR458722:RNB458759 RCV458722:RDF458759 QSZ458722:QTJ458759 QJD458722:QJN458759 PZH458722:PZR458759 PPL458722:PPV458759 PFP458722:PFZ458759 OVT458722:OWD458759 OLX458722:OMH458759 OCB458722:OCL458759 NSF458722:NSP458759 NIJ458722:NIT458759 MYN458722:MYX458759 MOR458722:MPB458759 MEV458722:MFF458759 LUZ458722:LVJ458759 LLD458722:LLN458759 LBH458722:LBR458759 KRL458722:KRV458759 KHP458722:KHZ458759 JXT458722:JYD458759 JNX458722:JOH458759 JEB458722:JEL458759 IUF458722:IUP458759 IKJ458722:IKT458759 IAN458722:IAX458759 HQR458722:HRB458759 HGV458722:HHF458759 GWZ458722:GXJ458759 GND458722:GNN458759 GDH458722:GDR458759 FTL458722:FTV458759 FJP458722:FJZ458759 EZT458722:FAD458759 EPX458722:EQH458759 EGB458722:EGL458759 DWF458722:DWP458759 DMJ458722:DMT458759 DCN458722:DCX458759 CSR458722:CTB458759 CIV458722:CJF458759 BYZ458722:BZJ458759 BPD458722:BPN458759 BFH458722:BFR458759 AVL458722:AVV458759 ALP458722:ALZ458759 ABT458722:ACD458759 RX458722:SH458759 IB458722:IL458759 Q458722:AA458759 WUN393186:WUX393223 WKR393186:WLB393223 WAV393186:WBF393223 VQZ393186:VRJ393223 VHD393186:VHN393223 UXH393186:UXR393223 UNL393186:UNV393223 UDP393186:UDZ393223 TTT393186:TUD393223 TJX393186:TKH393223 TAB393186:TAL393223 SQF393186:SQP393223 SGJ393186:SGT393223 RWN393186:RWX393223 RMR393186:RNB393223 RCV393186:RDF393223 QSZ393186:QTJ393223 QJD393186:QJN393223 PZH393186:PZR393223 PPL393186:PPV393223 PFP393186:PFZ393223 OVT393186:OWD393223 OLX393186:OMH393223 OCB393186:OCL393223 NSF393186:NSP393223 NIJ393186:NIT393223 MYN393186:MYX393223 MOR393186:MPB393223 MEV393186:MFF393223 LUZ393186:LVJ393223 LLD393186:LLN393223 LBH393186:LBR393223 KRL393186:KRV393223 KHP393186:KHZ393223 JXT393186:JYD393223 JNX393186:JOH393223 JEB393186:JEL393223 IUF393186:IUP393223 IKJ393186:IKT393223 IAN393186:IAX393223 HQR393186:HRB393223 HGV393186:HHF393223 GWZ393186:GXJ393223 GND393186:GNN393223 GDH393186:GDR393223 FTL393186:FTV393223 FJP393186:FJZ393223 EZT393186:FAD393223 EPX393186:EQH393223 EGB393186:EGL393223 DWF393186:DWP393223 DMJ393186:DMT393223 DCN393186:DCX393223 CSR393186:CTB393223 CIV393186:CJF393223 BYZ393186:BZJ393223 BPD393186:BPN393223 BFH393186:BFR393223 AVL393186:AVV393223 ALP393186:ALZ393223 ABT393186:ACD393223 RX393186:SH393223 IB393186:IL393223 Q393186:AA393223 WUN327650:WUX327687 WKR327650:WLB327687 WAV327650:WBF327687 VQZ327650:VRJ327687 VHD327650:VHN327687 UXH327650:UXR327687 UNL327650:UNV327687 UDP327650:UDZ327687 TTT327650:TUD327687 TJX327650:TKH327687 TAB327650:TAL327687 SQF327650:SQP327687 SGJ327650:SGT327687 RWN327650:RWX327687 RMR327650:RNB327687 RCV327650:RDF327687 QSZ327650:QTJ327687 QJD327650:QJN327687 PZH327650:PZR327687 PPL327650:PPV327687 PFP327650:PFZ327687 OVT327650:OWD327687 OLX327650:OMH327687 OCB327650:OCL327687 NSF327650:NSP327687 NIJ327650:NIT327687 MYN327650:MYX327687 MOR327650:MPB327687 MEV327650:MFF327687 LUZ327650:LVJ327687 LLD327650:LLN327687 LBH327650:LBR327687 KRL327650:KRV327687 KHP327650:KHZ327687 JXT327650:JYD327687 JNX327650:JOH327687 JEB327650:JEL327687 IUF327650:IUP327687 IKJ327650:IKT327687 IAN327650:IAX327687 HQR327650:HRB327687 HGV327650:HHF327687 GWZ327650:GXJ327687 GND327650:GNN327687 GDH327650:GDR327687 FTL327650:FTV327687 FJP327650:FJZ327687 EZT327650:FAD327687 EPX327650:EQH327687 EGB327650:EGL327687 DWF327650:DWP327687 DMJ327650:DMT327687 DCN327650:DCX327687 CSR327650:CTB327687 CIV327650:CJF327687 BYZ327650:BZJ327687 BPD327650:BPN327687 BFH327650:BFR327687 AVL327650:AVV327687 ALP327650:ALZ327687 ABT327650:ACD327687 RX327650:SH327687 IB327650:IL327687 Q327650:AA327687 WUN262114:WUX262151 WKR262114:WLB262151 WAV262114:WBF262151 VQZ262114:VRJ262151 VHD262114:VHN262151 UXH262114:UXR262151 UNL262114:UNV262151 UDP262114:UDZ262151 TTT262114:TUD262151 TJX262114:TKH262151 TAB262114:TAL262151 SQF262114:SQP262151 SGJ262114:SGT262151 RWN262114:RWX262151 RMR262114:RNB262151 RCV262114:RDF262151 QSZ262114:QTJ262151 QJD262114:QJN262151 PZH262114:PZR262151 PPL262114:PPV262151 PFP262114:PFZ262151 OVT262114:OWD262151 OLX262114:OMH262151 OCB262114:OCL262151 NSF262114:NSP262151 NIJ262114:NIT262151 MYN262114:MYX262151 MOR262114:MPB262151 MEV262114:MFF262151 LUZ262114:LVJ262151 LLD262114:LLN262151 LBH262114:LBR262151 KRL262114:KRV262151 KHP262114:KHZ262151 JXT262114:JYD262151 JNX262114:JOH262151 JEB262114:JEL262151 IUF262114:IUP262151 IKJ262114:IKT262151 IAN262114:IAX262151 HQR262114:HRB262151 HGV262114:HHF262151 GWZ262114:GXJ262151 GND262114:GNN262151 GDH262114:GDR262151 FTL262114:FTV262151 FJP262114:FJZ262151 EZT262114:FAD262151 EPX262114:EQH262151 EGB262114:EGL262151 DWF262114:DWP262151 DMJ262114:DMT262151 DCN262114:DCX262151 CSR262114:CTB262151 CIV262114:CJF262151 BYZ262114:BZJ262151 BPD262114:BPN262151 BFH262114:BFR262151 AVL262114:AVV262151 ALP262114:ALZ262151 ABT262114:ACD262151 RX262114:SH262151 IB262114:IL262151 Q262114:AA262151 WUN196578:WUX196615 WKR196578:WLB196615 WAV196578:WBF196615 VQZ196578:VRJ196615 VHD196578:VHN196615 UXH196578:UXR196615 UNL196578:UNV196615 UDP196578:UDZ196615 TTT196578:TUD196615 TJX196578:TKH196615 TAB196578:TAL196615 SQF196578:SQP196615 SGJ196578:SGT196615 RWN196578:RWX196615 RMR196578:RNB196615 RCV196578:RDF196615 QSZ196578:QTJ196615 QJD196578:QJN196615 PZH196578:PZR196615 PPL196578:PPV196615 PFP196578:PFZ196615 OVT196578:OWD196615 OLX196578:OMH196615 OCB196578:OCL196615 NSF196578:NSP196615 NIJ196578:NIT196615 MYN196578:MYX196615 MOR196578:MPB196615 MEV196578:MFF196615 LUZ196578:LVJ196615 LLD196578:LLN196615 LBH196578:LBR196615 KRL196578:KRV196615 KHP196578:KHZ196615 JXT196578:JYD196615 JNX196578:JOH196615 JEB196578:JEL196615 IUF196578:IUP196615 IKJ196578:IKT196615 IAN196578:IAX196615 HQR196578:HRB196615 HGV196578:HHF196615 GWZ196578:GXJ196615 GND196578:GNN196615 GDH196578:GDR196615 FTL196578:FTV196615 FJP196578:FJZ196615 EZT196578:FAD196615 EPX196578:EQH196615 EGB196578:EGL196615 DWF196578:DWP196615 DMJ196578:DMT196615 DCN196578:DCX196615 CSR196578:CTB196615 CIV196578:CJF196615 BYZ196578:BZJ196615 BPD196578:BPN196615 BFH196578:BFR196615 AVL196578:AVV196615 ALP196578:ALZ196615 ABT196578:ACD196615 RX196578:SH196615 IB196578:IL196615 Q196578:AA196615 WUN131042:WUX131079 WKR131042:WLB131079 WAV131042:WBF131079 VQZ131042:VRJ131079 VHD131042:VHN131079 UXH131042:UXR131079 UNL131042:UNV131079 UDP131042:UDZ131079 TTT131042:TUD131079 TJX131042:TKH131079 TAB131042:TAL131079 SQF131042:SQP131079 SGJ131042:SGT131079 RWN131042:RWX131079 RMR131042:RNB131079 RCV131042:RDF131079 QSZ131042:QTJ131079 QJD131042:QJN131079 PZH131042:PZR131079 PPL131042:PPV131079 PFP131042:PFZ131079 OVT131042:OWD131079 OLX131042:OMH131079 OCB131042:OCL131079 NSF131042:NSP131079 NIJ131042:NIT131079 MYN131042:MYX131079 MOR131042:MPB131079 MEV131042:MFF131079 LUZ131042:LVJ131079 LLD131042:LLN131079 LBH131042:LBR131079 KRL131042:KRV131079 KHP131042:KHZ131079 JXT131042:JYD131079 JNX131042:JOH131079 JEB131042:JEL131079 IUF131042:IUP131079 IKJ131042:IKT131079 IAN131042:IAX131079 HQR131042:HRB131079 HGV131042:HHF131079 GWZ131042:GXJ131079 GND131042:GNN131079 GDH131042:GDR131079 FTL131042:FTV131079 FJP131042:FJZ131079 EZT131042:FAD131079 EPX131042:EQH131079 EGB131042:EGL131079 DWF131042:DWP131079 DMJ131042:DMT131079 DCN131042:DCX131079 CSR131042:CTB131079 CIV131042:CJF131079 BYZ131042:BZJ131079 BPD131042:BPN131079 BFH131042:BFR131079 AVL131042:AVV131079 ALP131042:ALZ131079 ABT131042:ACD131079 RX131042:SH131079 IB131042:IL131079 Q131042:AA131079 WUN65506:WUX65543 WKR65506:WLB65543 WAV65506:WBF65543 VQZ65506:VRJ65543 VHD65506:VHN65543 UXH65506:UXR65543 UNL65506:UNV65543 UDP65506:UDZ65543 TTT65506:TUD65543 TJX65506:TKH65543 TAB65506:TAL65543 SQF65506:SQP65543 SGJ65506:SGT65543 RWN65506:RWX65543 RMR65506:RNB65543 RCV65506:RDF65543 QSZ65506:QTJ65543 QJD65506:QJN65543 PZH65506:PZR65543 PPL65506:PPV65543 PFP65506:PFZ65543 OVT65506:OWD65543 OLX65506:OMH65543 OCB65506:OCL65543 NSF65506:NSP65543 NIJ65506:NIT65543 MYN65506:MYX65543 MOR65506:MPB65543 MEV65506:MFF65543 LUZ65506:LVJ65543 LLD65506:LLN65543 LBH65506:LBR65543 KRL65506:KRV65543 KHP65506:KHZ65543 JXT65506:JYD65543 JNX65506:JOH65543 JEB65506:JEL65543 IUF65506:IUP65543 IKJ65506:IKT65543 IAN65506:IAX65543 HQR65506:HRB65543 HGV65506:HHF65543 GWZ65506:GXJ65543 GND65506:GNN65543 GDH65506:GDR65543 FTL65506:FTV65543 FJP65506:FJZ65543 EZT65506:FAD65543 EPX65506:EQH65543 EGB65506:EGL65543 DWF65506:DWP65543 DMJ65506:DMT65543 DCN65506:DCX65543 CSR65506:CTB65543 CIV65506:CJF65543 BYZ65506:BZJ65543 BPD65506:BPN65543 BFH65506:BFR65543 AVL65506:AVV65543 ALP65506:ALZ65543 ABT65506:ACD65543 RX65506:SH65543 IB65506:IL65543 WKR5:WLB16 WAV5:WBF16 VQZ5:VRJ16 VHD5:VHN16 UXH5:UXR16 UNL5:UNV16 UDP5:UDZ16 TTT5:TUD16 TJX5:TKH16 TAB5:TAL16 SQF5:SQP16 SGJ5:SGT16 RWN5:RWX16 RMR5:RNB16 RCV5:RDF16 QSZ5:QTJ16 QJD5:QJN16 PZH5:PZR16 PPL5:PPV16 PFP5:PFZ16 OVT5:OWD16 OLX5:OMH16 OCB5:OCL16 NSF5:NSP16 NIJ5:NIT16 MYN5:MYX16 MOR5:MPB16 MEV5:MFF16 LUZ5:LVJ16 LLD5:LLN16 LBH5:LBR16 KRL5:KRV16 KHP5:KHZ16 JXT5:JYD16 JNX5:JOH16 JEB5:JEL16 IUF5:IUP16 IKJ5:IKT16 IAN5:IAX16 HQR5:HRB16 HGV5:HHF16 GWZ5:GXJ16 GND5:GNN16 GDH5:GDR16 FTL5:FTV16 FJP5:FJZ16 EZT5:FAD16 EPX5:EQH16 EGB5:EGL16 DWF5:DWP16 DMJ5:DMT16 DCN5:DCX16 CSR5:CTB16 CIV5:CJF16 BYZ5:BZJ16 BPD5:BPN16 BFH5:BFR16 AVL5:AVV16 ALP5:ALZ16 ABT5:ACD16 RX5:SH16 IB5:IL16 WUN5:WUX16 Q5:W16" xr:uid="{0B01900A-E2C7-4D0E-B710-82D8D2EFFFCE}">
      <formula1>$C$20:$C$40</formula1>
    </dataValidation>
    <dataValidation type="list" allowBlank="1" showInputMessage="1" showErrorMessage="1" sqref="AU24:AX27 JF24:JI27 TB24:TE27 ACX24:ADA27 AMT24:AMW27 AWP24:AWS27 BGL24:BGO27 BQH24:BQK27 CAD24:CAG27 CJZ24:CKC27 CTV24:CTY27 DDR24:DDU27 DNN24:DNQ27 DXJ24:DXM27 EHF24:EHI27 ERB24:ERE27 FAX24:FBA27 FKT24:FKW27 FUP24:FUS27 GEL24:GEO27 GOH24:GOK27 GYD24:GYG27 HHZ24:HIC27 HRV24:HRY27 IBR24:IBU27 ILN24:ILQ27 IVJ24:IVM27 JFF24:JFI27 JPB24:JPE27 JYX24:JZA27 KIT24:KIW27 KSP24:KSS27 LCL24:LCO27 LMH24:LMK27 LWD24:LWG27 MFZ24:MGC27 MPV24:MPY27 MZR24:MZU27 NJN24:NJQ27 NTJ24:NTM27 ODF24:ODI27 ONB24:ONE27 OWX24:OXA27 PGT24:PGW27 PQP24:PQS27 QAL24:QAO27 QKH24:QKK27 QUD24:QUG27 RDZ24:REC27 RNV24:RNY27 RXR24:RXU27 SHN24:SHQ27 SRJ24:SRM27 TBF24:TBI27 TLB24:TLE27 TUX24:TVA27 UET24:UEW27 UOP24:UOS27 UYL24:UYO27 VIH24:VIK27 VSD24:VSG27 WBZ24:WCC27 WLV24:WLY27 WVR24:WVU27 AU65560:AX65563 JF65560:JI65563 TB65560:TE65563 ACX65560:ADA65563 AMT65560:AMW65563 AWP65560:AWS65563 BGL65560:BGO65563 BQH65560:BQK65563 CAD65560:CAG65563 CJZ65560:CKC65563 CTV65560:CTY65563 DDR65560:DDU65563 DNN65560:DNQ65563 DXJ65560:DXM65563 EHF65560:EHI65563 ERB65560:ERE65563 FAX65560:FBA65563 FKT65560:FKW65563 FUP65560:FUS65563 GEL65560:GEO65563 GOH65560:GOK65563 GYD65560:GYG65563 HHZ65560:HIC65563 HRV65560:HRY65563 IBR65560:IBU65563 ILN65560:ILQ65563 IVJ65560:IVM65563 JFF65560:JFI65563 JPB65560:JPE65563 JYX65560:JZA65563 KIT65560:KIW65563 KSP65560:KSS65563 LCL65560:LCO65563 LMH65560:LMK65563 LWD65560:LWG65563 MFZ65560:MGC65563 MPV65560:MPY65563 MZR65560:MZU65563 NJN65560:NJQ65563 NTJ65560:NTM65563 ODF65560:ODI65563 ONB65560:ONE65563 OWX65560:OXA65563 PGT65560:PGW65563 PQP65560:PQS65563 QAL65560:QAO65563 QKH65560:QKK65563 QUD65560:QUG65563 RDZ65560:REC65563 RNV65560:RNY65563 RXR65560:RXU65563 SHN65560:SHQ65563 SRJ65560:SRM65563 TBF65560:TBI65563 TLB65560:TLE65563 TUX65560:TVA65563 UET65560:UEW65563 UOP65560:UOS65563 UYL65560:UYO65563 VIH65560:VIK65563 VSD65560:VSG65563 WBZ65560:WCC65563 WLV65560:WLY65563 WVR65560:WVU65563 AU131096:AX131099 JF131096:JI131099 TB131096:TE131099 ACX131096:ADA131099 AMT131096:AMW131099 AWP131096:AWS131099 BGL131096:BGO131099 BQH131096:BQK131099 CAD131096:CAG131099 CJZ131096:CKC131099 CTV131096:CTY131099 DDR131096:DDU131099 DNN131096:DNQ131099 DXJ131096:DXM131099 EHF131096:EHI131099 ERB131096:ERE131099 FAX131096:FBA131099 FKT131096:FKW131099 FUP131096:FUS131099 GEL131096:GEO131099 GOH131096:GOK131099 GYD131096:GYG131099 HHZ131096:HIC131099 HRV131096:HRY131099 IBR131096:IBU131099 ILN131096:ILQ131099 IVJ131096:IVM131099 JFF131096:JFI131099 JPB131096:JPE131099 JYX131096:JZA131099 KIT131096:KIW131099 KSP131096:KSS131099 LCL131096:LCO131099 LMH131096:LMK131099 LWD131096:LWG131099 MFZ131096:MGC131099 MPV131096:MPY131099 MZR131096:MZU131099 NJN131096:NJQ131099 NTJ131096:NTM131099 ODF131096:ODI131099 ONB131096:ONE131099 OWX131096:OXA131099 PGT131096:PGW131099 PQP131096:PQS131099 QAL131096:QAO131099 QKH131096:QKK131099 QUD131096:QUG131099 RDZ131096:REC131099 RNV131096:RNY131099 RXR131096:RXU131099 SHN131096:SHQ131099 SRJ131096:SRM131099 TBF131096:TBI131099 TLB131096:TLE131099 TUX131096:TVA131099 UET131096:UEW131099 UOP131096:UOS131099 UYL131096:UYO131099 VIH131096:VIK131099 VSD131096:VSG131099 WBZ131096:WCC131099 WLV131096:WLY131099 WVR131096:WVU131099 AU196632:AX196635 JF196632:JI196635 TB196632:TE196635 ACX196632:ADA196635 AMT196632:AMW196635 AWP196632:AWS196635 BGL196632:BGO196635 BQH196632:BQK196635 CAD196632:CAG196635 CJZ196632:CKC196635 CTV196632:CTY196635 DDR196632:DDU196635 DNN196632:DNQ196635 DXJ196632:DXM196635 EHF196632:EHI196635 ERB196632:ERE196635 FAX196632:FBA196635 FKT196632:FKW196635 FUP196632:FUS196635 GEL196632:GEO196635 GOH196632:GOK196635 GYD196632:GYG196635 HHZ196632:HIC196635 HRV196632:HRY196635 IBR196632:IBU196635 ILN196632:ILQ196635 IVJ196632:IVM196635 JFF196632:JFI196635 JPB196632:JPE196635 JYX196632:JZA196635 KIT196632:KIW196635 KSP196632:KSS196635 LCL196632:LCO196635 LMH196632:LMK196635 LWD196632:LWG196635 MFZ196632:MGC196635 MPV196632:MPY196635 MZR196632:MZU196635 NJN196632:NJQ196635 NTJ196632:NTM196635 ODF196632:ODI196635 ONB196632:ONE196635 OWX196632:OXA196635 PGT196632:PGW196635 PQP196632:PQS196635 QAL196632:QAO196635 QKH196632:QKK196635 QUD196632:QUG196635 RDZ196632:REC196635 RNV196632:RNY196635 RXR196632:RXU196635 SHN196632:SHQ196635 SRJ196632:SRM196635 TBF196632:TBI196635 TLB196632:TLE196635 TUX196632:TVA196635 UET196632:UEW196635 UOP196632:UOS196635 UYL196632:UYO196635 VIH196632:VIK196635 VSD196632:VSG196635 WBZ196632:WCC196635 WLV196632:WLY196635 WVR196632:WVU196635 AU262168:AX262171 JF262168:JI262171 TB262168:TE262171 ACX262168:ADA262171 AMT262168:AMW262171 AWP262168:AWS262171 BGL262168:BGO262171 BQH262168:BQK262171 CAD262168:CAG262171 CJZ262168:CKC262171 CTV262168:CTY262171 DDR262168:DDU262171 DNN262168:DNQ262171 DXJ262168:DXM262171 EHF262168:EHI262171 ERB262168:ERE262171 FAX262168:FBA262171 FKT262168:FKW262171 FUP262168:FUS262171 GEL262168:GEO262171 GOH262168:GOK262171 GYD262168:GYG262171 HHZ262168:HIC262171 HRV262168:HRY262171 IBR262168:IBU262171 ILN262168:ILQ262171 IVJ262168:IVM262171 JFF262168:JFI262171 JPB262168:JPE262171 JYX262168:JZA262171 KIT262168:KIW262171 KSP262168:KSS262171 LCL262168:LCO262171 LMH262168:LMK262171 LWD262168:LWG262171 MFZ262168:MGC262171 MPV262168:MPY262171 MZR262168:MZU262171 NJN262168:NJQ262171 NTJ262168:NTM262171 ODF262168:ODI262171 ONB262168:ONE262171 OWX262168:OXA262171 PGT262168:PGW262171 PQP262168:PQS262171 QAL262168:QAO262171 QKH262168:QKK262171 QUD262168:QUG262171 RDZ262168:REC262171 RNV262168:RNY262171 RXR262168:RXU262171 SHN262168:SHQ262171 SRJ262168:SRM262171 TBF262168:TBI262171 TLB262168:TLE262171 TUX262168:TVA262171 UET262168:UEW262171 UOP262168:UOS262171 UYL262168:UYO262171 VIH262168:VIK262171 VSD262168:VSG262171 WBZ262168:WCC262171 WLV262168:WLY262171 WVR262168:WVU262171 AU327704:AX327707 JF327704:JI327707 TB327704:TE327707 ACX327704:ADA327707 AMT327704:AMW327707 AWP327704:AWS327707 BGL327704:BGO327707 BQH327704:BQK327707 CAD327704:CAG327707 CJZ327704:CKC327707 CTV327704:CTY327707 DDR327704:DDU327707 DNN327704:DNQ327707 DXJ327704:DXM327707 EHF327704:EHI327707 ERB327704:ERE327707 FAX327704:FBA327707 FKT327704:FKW327707 FUP327704:FUS327707 GEL327704:GEO327707 GOH327704:GOK327707 GYD327704:GYG327707 HHZ327704:HIC327707 HRV327704:HRY327707 IBR327704:IBU327707 ILN327704:ILQ327707 IVJ327704:IVM327707 JFF327704:JFI327707 JPB327704:JPE327707 JYX327704:JZA327707 KIT327704:KIW327707 KSP327704:KSS327707 LCL327704:LCO327707 LMH327704:LMK327707 LWD327704:LWG327707 MFZ327704:MGC327707 MPV327704:MPY327707 MZR327704:MZU327707 NJN327704:NJQ327707 NTJ327704:NTM327707 ODF327704:ODI327707 ONB327704:ONE327707 OWX327704:OXA327707 PGT327704:PGW327707 PQP327704:PQS327707 QAL327704:QAO327707 QKH327704:QKK327707 QUD327704:QUG327707 RDZ327704:REC327707 RNV327704:RNY327707 RXR327704:RXU327707 SHN327704:SHQ327707 SRJ327704:SRM327707 TBF327704:TBI327707 TLB327704:TLE327707 TUX327704:TVA327707 UET327704:UEW327707 UOP327704:UOS327707 UYL327704:UYO327707 VIH327704:VIK327707 VSD327704:VSG327707 WBZ327704:WCC327707 WLV327704:WLY327707 WVR327704:WVU327707 AU393240:AX393243 JF393240:JI393243 TB393240:TE393243 ACX393240:ADA393243 AMT393240:AMW393243 AWP393240:AWS393243 BGL393240:BGO393243 BQH393240:BQK393243 CAD393240:CAG393243 CJZ393240:CKC393243 CTV393240:CTY393243 DDR393240:DDU393243 DNN393240:DNQ393243 DXJ393240:DXM393243 EHF393240:EHI393243 ERB393240:ERE393243 FAX393240:FBA393243 FKT393240:FKW393243 FUP393240:FUS393243 GEL393240:GEO393243 GOH393240:GOK393243 GYD393240:GYG393243 HHZ393240:HIC393243 HRV393240:HRY393243 IBR393240:IBU393243 ILN393240:ILQ393243 IVJ393240:IVM393243 JFF393240:JFI393243 JPB393240:JPE393243 JYX393240:JZA393243 KIT393240:KIW393243 KSP393240:KSS393243 LCL393240:LCO393243 LMH393240:LMK393243 LWD393240:LWG393243 MFZ393240:MGC393243 MPV393240:MPY393243 MZR393240:MZU393243 NJN393240:NJQ393243 NTJ393240:NTM393243 ODF393240:ODI393243 ONB393240:ONE393243 OWX393240:OXA393243 PGT393240:PGW393243 PQP393240:PQS393243 QAL393240:QAO393243 QKH393240:QKK393243 QUD393240:QUG393243 RDZ393240:REC393243 RNV393240:RNY393243 RXR393240:RXU393243 SHN393240:SHQ393243 SRJ393240:SRM393243 TBF393240:TBI393243 TLB393240:TLE393243 TUX393240:TVA393243 UET393240:UEW393243 UOP393240:UOS393243 UYL393240:UYO393243 VIH393240:VIK393243 VSD393240:VSG393243 WBZ393240:WCC393243 WLV393240:WLY393243 WVR393240:WVU393243 AU458776:AX458779 JF458776:JI458779 TB458776:TE458779 ACX458776:ADA458779 AMT458776:AMW458779 AWP458776:AWS458779 BGL458776:BGO458779 BQH458776:BQK458779 CAD458776:CAG458779 CJZ458776:CKC458779 CTV458776:CTY458779 DDR458776:DDU458779 DNN458776:DNQ458779 DXJ458776:DXM458779 EHF458776:EHI458779 ERB458776:ERE458779 FAX458776:FBA458779 FKT458776:FKW458779 FUP458776:FUS458779 GEL458776:GEO458779 GOH458776:GOK458779 GYD458776:GYG458779 HHZ458776:HIC458779 HRV458776:HRY458779 IBR458776:IBU458779 ILN458776:ILQ458779 IVJ458776:IVM458779 JFF458776:JFI458779 JPB458776:JPE458779 JYX458776:JZA458779 KIT458776:KIW458779 KSP458776:KSS458779 LCL458776:LCO458779 LMH458776:LMK458779 LWD458776:LWG458779 MFZ458776:MGC458779 MPV458776:MPY458779 MZR458776:MZU458779 NJN458776:NJQ458779 NTJ458776:NTM458779 ODF458776:ODI458779 ONB458776:ONE458779 OWX458776:OXA458779 PGT458776:PGW458779 PQP458776:PQS458779 QAL458776:QAO458779 QKH458776:QKK458779 QUD458776:QUG458779 RDZ458776:REC458779 RNV458776:RNY458779 RXR458776:RXU458779 SHN458776:SHQ458779 SRJ458776:SRM458779 TBF458776:TBI458779 TLB458776:TLE458779 TUX458776:TVA458779 UET458776:UEW458779 UOP458776:UOS458779 UYL458776:UYO458779 VIH458776:VIK458779 VSD458776:VSG458779 WBZ458776:WCC458779 WLV458776:WLY458779 WVR458776:WVU458779 AU524312:AX524315 JF524312:JI524315 TB524312:TE524315 ACX524312:ADA524315 AMT524312:AMW524315 AWP524312:AWS524315 BGL524312:BGO524315 BQH524312:BQK524315 CAD524312:CAG524315 CJZ524312:CKC524315 CTV524312:CTY524315 DDR524312:DDU524315 DNN524312:DNQ524315 DXJ524312:DXM524315 EHF524312:EHI524315 ERB524312:ERE524315 FAX524312:FBA524315 FKT524312:FKW524315 FUP524312:FUS524315 GEL524312:GEO524315 GOH524312:GOK524315 GYD524312:GYG524315 HHZ524312:HIC524315 HRV524312:HRY524315 IBR524312:IBU524315 ILN524312:ILQ524315 IVJ524312:IVM524315 JFF524312:JFI524315 JPB524312:JPE524315 JYX524312:JZA524315 KIT524312:KIW524315 KSP524312:KSS524315 LCL524312:LCO524315 LMH524312:LMK524315 LWD524312:LWG524315 MFZ524312:MGC524315 MPV524312:MPY524315 MZR524312:MZU524315 NJN524312:NJQ524315 NTJ524312:NTM524315 ODF524312:ODI524315 ONB524312:ONE524315 OWX524312:OXA524315 PGT524312:PGW524315 PQP524312:PQS524315 QAL524312:QAO524315 QKH524312:QKK524315 QUD524312:QUG524315 RDZ524312:REC524315 RNV524312:RNY524315 RXR524312:RXU524315 SHN524312:SHQ524315 SRJ524312:SRM524315 TBF524312:TBI524315 TLB524312:TLE524315 TUX524312:TVA524315 UET524312:UEW524315 UOP524312:UOS524315 UYL524312:UYO524315 VIH524312:VIK524315 VSD524312:VSG524315 WBZ524312:WCC524315 WLV524312:WLY524315 WVR524312:WVU524315 AU589848:AX589851 JF589848:JI589851 TB589848:TE589851 ACX589848:ADA589851 AMT589848:AMW589851 AWP589848:AWS589851 BGL589848:BGO589851 BQH589848:BQK589851 CAD589848:CAG589851 CJZ589848:CKC589851 CTV589848:CTY589851 DDR589848:DDU589851 DNN589848:DNQ589851 DXJ589848:DXM589851 EHF589848:EHI589851 ERB589848:ERE589851 FAX589848:FBA589851 FKT589848:FKW589851 FUP589848:FUS589851 GEL589848:GEO589851 GOH589848:GOK589851 GYD589848:GYG589851 HHZ589848:HIC589851 HRV589848:HRY589851 IBR589848:IBU589851 ILN589848:ILQ589851 IVJ589848:IVM589851 JFF589848:JFI589851 JPB589848:JPE589851 JYX589848:JZA589851 KIT589848:KIW589851 KSP589848:KSS589851 LCL589848:LCO589851 LMH589848:LMK589851 LWD589848:LWG589851 MFZ589848:MGC589851 MPV589848:MPY589851 MZR589848:MZU589851 NJN589848:NJQ589851 NTJ589848:NTM589851 ODF589848:ODI589851 ONB589848:ONE589851 OWX589848:OXA589851 PGT589848:PGW589851 PQP589848:PQS589851 QAL589848:QAO589851 QKH589848:QKK589851 QUD589848:QUG589851 RDZ589848:REC589851 RNV589848:RNY589851 RXR589848:RXU589851 SHN589848:SHQ589851 SRJ589848:SRM589851 TBF589848:TBI589851 TLB589848:TLE589851 TUX589848:TVA589851 UET589848:UEW589851 UOP589848:UOS589851 UYL589848:UYO589851 VIH589848:VIK589851 VSD589848:VSG589851 WBZ589848:WCC589851 WLV589848:WLY589851 WVR589848:WVU589851 AU655384:AX655387 JF655384:JI655387 TB655384:TE655387 ACX655384:ADA655387 AMT655384:AMW655387 AWP655384:AWS655387 BGL655384:BGO655387 BQH655384:BQK655387 CAD655384:CAG655387 CJZ655384:CKC655387 CTV655384:CTY655387 DDR655384:DDU655387 DNN655384:DNQ655387 DXJ655384:DXM655387 EHF655384:EHI655387 ERB655384:ERE655387 FAX655384:FBA655387 FKT655384:FKW655387 FUP655384:FUS655387 GEL655384:GEO655387 GOH655384:GOK655387 GYD655384:GYG655387 HHZ655384:HIC655387 HRV655384:HRY655387 IBR655384:IBU655387 ILN655384:ILQ655387 IVJ655384:IVM655387 JFF655384:JFI655387 JPB655384:JPE655387 JYX655384:JZA655387 KIT655384:KIW655387 KSP655384:KSS655387 LCL655384:LCO655387 LMH655384:LMK655387 LWD655384:LWG655387 MFZ655384:MGC655387 MPV655384:MPY655387 MZR655384:MZU655387 NJN655384:NJQ655387 NTJ655384:NTM655387 ODF655384:ODI655387 ONB655384:ONE655387 OWX655384:OXA655387 PGT655384:PGW655387 PQP655384:PQS655387 QAL655384:QAO655387 QKH655384:QKK655387 QUD655384:QUG655387 RDZ655384:REC655387 RNV655384:RNY655387 RXR655384:RXU655387 SHN655384:SHQ655387 SRJ655384:SRM655387 TBF655384:TBI655387 TLB655384:TLE655387 TUX655384:TVA655387 UET655384:UEW655387 UOP655384:UOS655387 UYL655384:UYO655387 VIH655384:VIK655387 VSD655384:VSG655387 WBZ655384:WCC655387 WLV655384:WLY655387 WVR655384:WVU655387 AU720920:AX720923 JF720920:JI720923 TB720920:TE720923 ACX720920:ADA720923 AMT720920:AMW720923 AWP720920:AWS720923 BGL720920:BGO720923 BQH720920:BQK720923 CAD720920:CAG720923 CJZ720920:CKC720923 CTV720920:CTY720923 DDR720920:DDU720923 DNN720920:DNQ720923 DXJ720920:DXM720923 EHF720920:EHI720923 ERB720920:ERE720923 FAX720920:FBA720923 FKT720920:FKW720923 FUP720920:FUS720923 GEL720920:GEO720923 GOH720920:GOK720923 GYD720920:GYG720923 HHZ720920:HIC720923 HRV720920:HRY720923 IBR720920:IBU720923 ILN720920:ILQ720923 IVJ720920:IVM720923 JFF720920:JFI720923 JPB720920:JPE720923 JYX720920:JZA720923 KIT720920:KIW720923 KSP720920:KSS720923 LCL720920:LCO720923 LMH720920:LMK720923 LWD720920:LWG720923 MFZ720920:MGC720923 MPV720920:MPY720923 MZR720920:MZU720923 NJN720920:NJQ720923 NTJ720920:NTM720923 ODF720920:ODI720923 ONB720920:ONE720923 OWX720920:OXA720923 PGT720920:PGW720923 PQP720920:PQS720923 QAL720920:QAO720923 QKH720920:QKK720923 QUD720920:QUG720923 RDZ720920:REC720923 RNV720920:RNY720923 RXR720920:RXU720923 SHN720920:SHQ720923 SRJ720920:SRM720923 TBF720920:TBI720923 TLB720920:TLE720923 TUX720920:TVA720923 UET720920:UEW720923 UOP720920:UOS720923 UYL720920:UYO720923 VIH720920:VIK720923 VSD720920:VSG720923 WBZ720920:WCC720923 WLV720920:WLY720923 WVR720920:WVU720923 AU786456:AX786459 JF786456:JI786459 TB786456:TE786459 ACX786456:ADA786459 AMT786456:AMW786459 AWP786456:AWS786459 BGL786456:BGO786459 BQH786456:BQK786459 CAD786456:CAG786459 CJZ786456:CKC786459 CTV786456:CTY786459 DDR786456:DDU786459 DNN786456:DNQ786459 DXJ786456:DXM786459 EHF786456:EHI786459 ERB786456:ERE786459 FAX786456:FBA786459 FKT786456:FKW786459 FUP786456:FUS786459 GEL786456:GEO786459 GOH786456:GOK786459 GYD786456:GYG786459 HHZ786456:HIC786459 HRV786456:HRY786459 IBR786456:IBU786459 ILN786456:ILQ786459 IVJ786456:IVM786459 JFF786456:JFI786459 JPB786456:JPE786459 JYX786456:JZA786459 KIT786456:KIW786459 KSP786456:KSS786459 LCL786456:LCO786459 LMH786456:LMK786459 LWD786456:LWG786459 MFZ786456:MGC786459 MPV786456:MPY786459 MZR786456:MZU786459 NJN786456:NJQ786459 NTJ786456:NTM786459 ODF786456:ODI786459 ONB786456:ONE786459 OWX786456:OXA786459 PGT786456:PGW786459 PQP786456:PQS786459 QAL786456:QAO786459 QKH786456:QKK786459 QUD786456:QUG786459 RDZ786456:REC786459 RNV786456:RNY786459 RXR786456:RXU786459 SHN786456:SHQ786459 SRJ786456:SRM786459 TBF786456:TBI786459 TLB786456:TLE786459 TUX786456:TVA786459 UET786456:UEW786459 UOP786456:UOS786459 UYL786456:UYO786459 VIH786456:VIK786459 VSD786456:VSG786459 WBZ786456:WCC786459 WLV786456:WLY786459 WVR786456:WVU786459 AU851992:AX851995 JF851992:JI851995 TB851992:TE851995 ACX851992:ADA851995 AMT851992:AMW851995 AWP851992:AWS851995 BGL851992:BGO851995 BQH851992:BQK851995 CAD851992:CAG851995 CJZ851992:CKC851995 CTV851992:CTY851995 DDR851992:DDU851995 DNN851992:DNQ851995 DXJ851992:DXM851995 EHF851992:EHI851995 ERB851992:ERE851995 FAX851992:FBA851995 FKT851992:FKW851995 FUP851992:FUS851995 GEL851992:GEO851995 GOH851992:GOK851995 GYD851992:GYG851995 HHZ851992:HIC851995 HRV851992:HRY851995 IBR851992:IBU851995 ILN851992:ILQ851995 IVJ851992:IVM851995 JFF851992:JFI851995 JPB851992:JPE851995 JYX851992:JZA851995 KIT851992:KIW851995 KSP851992:KSS851995 LCL851992:LCO851995 LMH851992:LMK851995 LWD851992:LWG851995 MFZ851992:MGC851995 MPV851992:MPY851995 MZR851992:MZU851995 NJN851992:NJQ851995 NTJ851992:NTM851995 ODF851992:ODI851995 ONB851992:ONE851995 OWX851992:OXA851995 PGT851992:PGW851995 PQP851992:PQS851995 QAL851992:QAO851995 QKH851992:QKK851995 QUD851992:QUG851995 RDZ851992:REC851995 RNV851992:RNY851995 RXR851992:RXU851995 SHN851992:SHQ851995 SRJ851992:SRM851995 TBF851992:TBI851995 TLB851992:TLE851995 TUX851992:TVA851995 UET851992:UEW851995 UOP851992:UOS851995 UYL851992:UYO851995 VIH851992:VIK851995 VSD851992:VSG851995 WBZ851992:WCC851995 WLV851992:WLY851995 WVR851992:WVU851995 AU917528:AX917531 JF917528:JI917531 TB917528:TE917531 ACX917528:ADA917531 AMT917528:AMW917531 AWP917528:AWS917531 BGL917528:BGO917531 BQH917528:BQK917531 CAD917528:CAG917531 CJZ917528:CKC917531 CTV917528:CTY917531 DDR917528:DDU917531 DNN917528:DNQ917531 DXJ917528:DXM917531 EHF917528:EHI917531 ERB917528:ERE917531 FAX917528:FBA917531 FKT917528:FKW917531 FUP917528:FUS917531 GEL917528:GEO917531 GOH917528:GOK917531 GYD917528:GYG917531 HHZ917528:HIC917531 HRV917528:HRY917531 IBR917528:IBU917531 ILN917528:ILQ917531 IVJ917528:IVM917531 JFF917528:JFI917531 JPB917528:JPE917531 JYX917528:JZA917531 KIT917528:KIW917531 KSP917528:KSS917531 LCL917528:LCO917531 LMH917528:LMK917531 LWD917528:LWG917531 MFZ917528:MGC917531 MPV917528:MPY917531 MZR917528:MZU917531 NJN917528:NJQ917531 NTJ917528:NTM917531 ODF917528:ODI917531 ONB917528:ONE917531 OWX917528:OXA917531 PGT917528:PGW917531 PQP917528:PQS917531 QAL917528:QAO917531 QKH917528:QKK917531 QUD917528:QUG917531 RDZ917528:REC917531 RNV917528:RNY917531 RXR917528:RXU917531 SHN917528:SHQ917531 SRJ917528:SRM917531 TBF917528:TBI917531 TLB917528:TLE917531 TUX917528:TVA917531 UET917528:UEW917531 UOP917528:UOS917531 UYL917528:UYO917531 VIH917528:VIK917531 VSD917528:VSG917531 WBZ917528:WCC917531 WLV917528:WLY917531 WVR917528:WVU917531 AU983064:AX983067 JF983064:JI983067 TB983064:TE983067 ACX983064:ADA983067 AMT983064:AMW983067 AWP983064:AWS983067 BGL983064:BGO983067 BQH983064:BQK983067 CAD983064:CAG983067 CJZ983064:CKC983067 CTV983064:CTY983067 DDR983064:DDU983067 DNN983064:DNQ983067 DXJ983064:DXM983067 EHF983064:EHI983067 ERB983064:ERE983067 FAX983064:FBA983067 FKT983064:FKW983067 FUP983064:FUS983067 GEL983064:GEO983067 GOH983064:GOK983067 GYD983064:GYG983067 HHZ983064:HIC983067 HRV983064:HRY983067 IBR983064:IBU983067 ILN983064:ILQ983067 IVJ983064:IVM983067 JFF983064:JFI983067 JPB983064:JPE983067 JYX983064:JZA983067 KIT983064:KIW983067 KSP983064:KSS983067 LCL983064:LCO983067 LMH983064:LMK983067 LWD983064:LWG983067 MFZ983064:MGC983067 MPV983064:MPY983067 MZR983064:MZU983067 NJN983064:NJQ983067 NTJ983064:NTM983067 ODF983064:ODI983067 ONB983064:ONE983067 OWX983064:OXA983067 PGT983064:PGW983067 PQP983064:PQS983067 QAL983064:QAO983067 QKH983064:QKK983067 QUD983064:QUG983067 RDZ983064:REC983067 RNV983064:RNY983067 RXR983064:RXU983067 SHN983064:SHQ983067 SRJ983064:SRM983067 TBF983064:TBI983067 TLB983064:TLE983067 TUX983064:TVA983067 UET983064:UEW983067 UOP983064:UOS983067 UYL983064:UYO983067 VIH983064:VIK983067 VSD983064:VSG983067 WBZ983064:WCC983067 WLV983064:WLY983067 WVR983064:WVU983067 AP65554:AS65554 JA65554:JD65554 SW65554:SZ65554 ACS65554:ACV65554 AMO65554:AMR65554 AWK65554:AWN65554 BGG65554:BGJ65554 BQC65554:BQF65554 BZY65554:CAB65554 CJU65554:CJX65554 CTQ65554:CTT65554 DDM65554:DDP65554 DNI65554:DNL65554 DXE65554:DXH65554 EHA65554:EHD65554 EQW65554:EQZ65554 FAS65554:FAV65554 FKO65554:FKR65554 FUK65554:FUN65554 GEG65554:GEJ65554 GOC65554:GOF65554 GXY65554:GYB65554 HHU65554:HHX65554 HRQ65554:HRT65554 IBM65554:IBP65554 ILI65554:ILL65554 IVE65554:IVH65554 JFA65554:JFD65554 JOW65554:JOZ65554 JYS65554:JYV65554 KIO65554:KIR65554 KSK65554:KSN65554 LCG65554:LCJ65554 LMC65554:LMF65554 LVY65554:LWB65554 MFU65554:MFX65554 MPQ65554:MPT65554 MZM65554:MZP65554 NJI65554:NJL65554 NTE65554:NTH65554 ODA65554:ODD65554 OMW65554:OMZ65554 OWS65554:OWV65554 PGO65554:PGR65554 PQK65554:PQN65554 QAG65554:QAJ65554 QKC65554:QKF65554 QTY65554:QUB65554 RDU65554:RDX65554 RNQ65554:RNT65554 RXM65554:RXP65554 SHI65554:SHL65554 SRE65554:SRH65554 TBA65554:TBD65554 TKW65554:TKZ65554 TUS65554:TUV65554 UEO65554:UER65554 UOK65554:UON65554 UYG65554:UYJ65554 VIC65554:VIF65554 VRY65554:VSB65554 WBU65554:WBX65554 WLQ65554:WLT65554 WVM65554:WVP65554 AP131090:AS131090 JA131090:JD131090 SW131090:SZ131090 ACS131090:ACV131090 AMO131090:AMR131090 AWK131090:AWN131090 BGG131090:BGJ131090 BQC131090:BQF131090 BZY131090:CAB131090 CJU131090:CJX131090 CTQ131090:CTT131090 DDM131090:DDP131090 DNI131090:DNL131090 DXE131090:DXH131090 EHA131090:EHD131090 EQW131090:EQZ131090 FAS131090:FAV131090 FKO131090:FKR131090 FUK131090:FUN131090 GEG131090:GEJ131090 GOC131090:GOF131090 GXY131090:GYB131090 HHU131090:HHX131090 HRQ131090:HRT131090 IBM131090:IBP131090 ILI131090:ILL131090 IVE131090:IVH131090 JFA131090:JFD131090 JOW131090:JOZ131090 JYS131090:JYV131090 KIO131090:KIR131090 KSK131090:KSN131090 LCG131090:LCJ131090 LMC131090:LMF131090 LVY131090:LWB131090 MFU131090:MFX131090 MPQ131090:MPT131090 MZM131090:MZP131090 NJI131090:NJL131090 NTE131090:NTH131090 ODA131090:ODD131090 OMW131090:OMZ131090 OWS131090:OWV131090 PGO131090:PGR131090 PQK131090:PQN131090 QAG131090:QAJ131090 QKC131090:QKF131090 QTY131090:QUB131090 RDU131090:RDX131090 RNQ131090:RNT131090 RXM131090:RXP131090 SHI131090:SHL131090 SRE131090:SRH131090 TBA131090:TBD131090 TKW131090:TKZ131090 TUS131090:TUV131090 UEO131090:UER131090 UOK131090:UON131090 UYG131090:UYJ131090 VIC131090:VIF131090 VRY131090:VSB131090 WBU131090:WBX131090 WLQ131090:WLT131090 WVM131090:WVP131090 AP196626:AS196626 JA196626:JD196626 SW196626:SZ196626 ACS196626:ACV196626 AMO196626:AMR196626 AWK196626:AWN196626 BGG196626:BGJ196626 BQC196626:BQF196626 BZY196626:CAB196626 CJU196626:CJX196626 CTQ196626:CTT196626 DDM196626:DDP196626 DNI196626:DNL196626 DXE196626:DXH196626 EHA196626:EHD196626 EQW196626:EQZ196626 FAS196626:FAV196626 FKO196626:FKR196626 FUK196626:FUN196626 GEG196626:GEJ196626 GOC196626:GOF196626 GXY196626:GYB196626 HHU196626:HHX196626 HRQ196626:HRT196626 IBM196626:IBP196626 ILI196626:ILL196626 IVE196626:IVH196626 JFA196626:JFD196626 JOW196626:JOZ196626 JYS196626:JYV196626 KIO196626:KIR196626 KSK196626:KSN196626 LCG196626:LCJ196626 LMC196626:LMF196626 LVY196626:LWB196626 MFU196626:MFX196626 MPQ196626:MPT196626 MZM196626:MZP196626 NJI196626:NJL196626 NTE196626:NTH196626 ODA196626:ODD196626 OMW196626:OMZ196626 OWS196626:OWV196626 PGO196626:PGR196626 PQK196626:PQN196626 QAG196626:QAJ196626 QKC196626:QKF196626 QTY196626:QUB196626 RDU196626:RDX196626 RNQ196626:RNT196626 RXM196626:RXP196626 SHI196626:SHL196626 SRE196626:SRH196626 TBA196626:TBD196626 TKW196626:TKZ196626 TUS196626:TUV196626 UEO196626:UER196626 UOK196626:UON196626 UYG196626:UYJ196626 VIC196626:VIF196626 VRY196626:VSB196626 WBU196626:WBX196626 WLQ196626:WLT196626 WVM196626:WVP196626 AP262162:AS262162 JA262162:JD262162 SW262162:SZ262162 ACS262162:ACV262162 AMO262162:AMR262162 AWK262162:AWN262162 BGG262162:BGJ262162 BQC262162:BQF262162 BZY262162:CAB262162 CJU262162:CJX262162 CTQ262162:CTT262162 DDM262162:DDP262162 DNI262162:DNL262162 DXE262162:DXH262162 EHA262162:EHD262162 EQW262162:EQZ262162 FAS262162:FAV262162 FKO262162:FKR262162 FUK262162:FUN262162 GEG262162:GEJ262162 GOC262162:GOF262162 GXY262162:GYB262162 HHU262162:HHX262162 HRQ262162:HRT262162 IBM262162:IBP262162 ILI262162:ILL262162 IVE262162:IVH262162 JFA262162:JFD262162 JOW262162:JOZ262162 JYS262162:JYV262162 KIO262162:KIR262162 KSK262162:KSN262162 LCG262162:LCJ262162 LMC262162:LMF262162 LVY262162:LWB262162 MFU262162:MFX262162 MPQ262162:MPT262162 MZM262162:MZP262162 NJI262162:NJL262162 NTE262162:NTH262162 ODA262162:ODD262162 OMW262162:OMZ262162 OWS262162:OWV262162 PGO262162:PGR262162 PQK262162:PQN262162 QAG262162:QAJ262162 QKC262162:QKF262162 QTY262162:QUB262162 RDU262162:RDX262162 RNQ262162:RNT262162 RXM262162:RXP262162 SHI262162:SHL262162 SRE262162:SRH262162 TBA262162:TBD262162 TKW262162:TKZ262162 TUS262162:TUV262162 UEO262162:UER262162 UOK262162:UON262162 UYG262162:UYJ262162 VIC262162:VIF262162 VRY262162:VSB262162 WBU262162:WBX262162 WLQ262162:WLT262162 WVM262162:WVP262162 AP327698:AS327698 JA327698:JD327698 SW327698:SZ327698 ACS327698:ACV327698 AMO327698:AMR327698 AWK327698:AWN327698 BGG327698:BGJ327698 BQC327698:BQF327698 BZY327698:CAB327698 CJU327698:CJX327698 CTQ327698:CTT327698 DDM327698:DDP327698 DNI327698:DNL327698 DXE327698:DXH327698 EHA327698:EHD327698 EQW327698:EQZ327698 FAS327698:FAV327698 FKO327698:FKR327698 FUK327698:FUN327698 GEG327698:GEJ327698 GOC327698:GOF327698 GXY327698:GYB327698 HHU327698:HHX327698 HRQ327698:HRT327698 IBM327698:IBP327698 ILI327698:ILL327698 IVE327698:IVH327698 JFA327698:JFD327698 JOW327698:JOZ327698 JYS327698:JYV327698 KIO327698:KIR327698 KSK327698:KSN327698 LCG327698:LCJ327698 LMC327698:LMF327698 LVY327698:LWB327698 MFU327698:MFX327698 MPQ327698:MPT327698 MZM327698:MZP327698 NJI327698:NJL327698 NTE327698:NTH327698 ODA327698:ODD327698 OMW327698:OMZ327698 OWS327698:OWV327698 PGO327698:PGR327698 PQK327698:PQN327698 QAG327698:QAJ327698 QKC327698:QKF327698 QTY327698:QUB327698 RDU327698:RDX327698 RNQ327698:RNT327698 RXM327698:RXP327698 SHI327698:SHL327698 SRE327698:SRH327698 TBA327698:TBD327698 TKW327698:TKZ327698 TUS327698:TUV327698 UEO327698:UER327698 UOK327698:UON327698 UYG327698:UYJ327698 VIC327698:VIF327698 VRY327698:VSB327698 WBU327698:WBX327698 WLQ327698:WLT327698 WVM327698:WVP327698 AP393234:AS393234 JA393234:JD393234 SW393234:SZ393234 ACS393234:ACV393234 AMO393234:AMR393234 AWK393234:AWN393234 BGG393234:BGJ393234 BQC393234:BQF393234 BZY393234:CAB393234 CJU393234:CJX393234 CTQ393234:CTT393234 DDM393234:DDP393234 DNI393234:DNL393234 DXE393234:DXH393234 EHA393234:EHD393234 EQW393234:EQZ393234 FAS393234:FAV393234 FKO393234:FKR393234 FUK393234:FUN393234 GEG393234:GEJ393234 GOC393234:GOF393234 GXY393234:GYB393234 HHU393234:HHX393234 HRQ393234:HRT393234 IBM393234:IBP393234 ILI393234:ILL393234 IVE393234:IVH393234 JFA393234:JFD393234 JOW393234:JOZ393234 JYS393234:JYV393234 KIO393234:KIR393234 KSK393234:KSN393234 LCG393234:LCJ393234 LMC393234:LMF393234 LVY393234:LWB393234 MFU393234:MFX393234 MPQ393234:MPT393234 MZM393234:MZP393234 NJI393234:NJL393234 NTE393234:NTH393234 ODA393234:ODD393234 OMW393234:OMZ393234 OWS393234:OWV393234 PGO393234:PGR393234 PQK393234:PQN393234 QAG393234:QAJ393234 QKC393234:QKF393234 QTY393234:QUB393234 RDU393234:RDX393234 RNQ393234:RNT393234 RXM393234:RXP393234 SHI393234:SHL393234 SRE393234:SRH393234 TBA393234:TBD393234 TKW393234:TKZ393234 TUS393234:TUV393234 UEO393234:UER393234 UOK393234:UON393234 UYG393234:UYJ393234 VIC393234:VIF393234 VRY393234:VSB393234 WBU393234:WBX393234 WLQ393234:WLT393234 WVM393234:WVP393234 AP458770:AS458770 JA458770:JD458770 SW458770:SZ458770 ACS458770:ACV458770 AMO458770:AMR458770 AWK458770:AWN458770 BGG458770:BGJ458770 BQC458770:BQF458770 BZY458770:CAB458770 CJU458770:CJX458770 CTQ458770:CTT458770 DDM458770:DDP458770 DNI458770:DNL458770 DXE458770:DXH458770 EHA458770:EHD458770 EQW458770:EQZ458770 FAS458770:FAV458770 FKO458770:FKR458770 FUK458770:FUN458770 GEG458770:GEJ458770 GOC458770:GOF458770 GXY458770:GYB458770 HHU458770:HHX458770 HRQ458770:HRT458770 IBM458770:IBP458770 ILI458770:ILL458770 IVE458770:IVH458770 JFA458770:JFD458770 JOW458770:JOZ458770 JYS458770:JYV458770 KIO458770:KIR458770 KSK458770:KSN458770 LCG458770:LCJ458770 LMC458770:LMF458770 LVY458770:LWB458770 MFU458770:MFX458770 MPQ458770:MPT458770 MZM458770:MZP458770 NJI458770:NJL458770 NTE458770:NTH458770 ODA458770:ODD458770 OMW458770:OMZ458770 OWS458770:OWV458770 PGO458770:PGR458770 PQK458770:PQN458770 QAG458770:QAJ458770 QKC458770:QKF458770 QTY458770:QUB458770 RDU458770:RDX458770 RNQ458770:RNT458770 RXM458770:RXP458770 SHI458770:SHL458770 SRE458770:SRH458770 TBA458770:TBD458770 TKW458770:TKZ458770 TUS458770:TUV458770 UEO458770:UER458770 UOK458770:UON458770 UYG458770:UYJ458770 VIC458770:VIF458770 VRY458770:VSB458770 WBU458770:WBX458770 WLQ458770:WLT458770 WVM458770:WVP458770 AP524306:AS524306 JA524306:JD524306 SW524306:SZ524306 ACS524306:ACV524306 AMO524306:AMR524306 AWK524306:AWN524306 BGG524306:BGJ524306 BQC524306:BQF524306 BZY524306:CAB524306 CJU524306:CJX524306 CTQ524306:CTT524306 DDM524306:DDP524306 DNI524306:DNL524306 DXE524306:DXH524306 EHA524306:EHD524306 EQW524306:EQZ524306 FAS524306:FAV524306 FKO524306:FKR524306 FUK524306:FUN524306 GEG524306:GEJ524306 GOC524306:GOF524306 GXY524306:GYB524306 HHU524306:HHX524306 HRQ524306:HRT524306 IBM524306:IBP524306 ILI524306:ILL524306 IVE524306:IVH524306 JFA524306:JFD524306 JOW524306:JOZ524306 JYS524306:JYV524306 KIO524306:KIR524306 KSK524306:KSN524306 LCG524306:LCJ524306 LMC524306:LMF524306 LVY524306:LWB524306 MFU524306:MFX524306 MPQ524306:MPT524306 MZM524306:MZP524306 NJI524306:NJL524306 NTE524306:NTH524306 ODA524306:ODD524306 OMW524306:OMZ524306 OWS524306:OWV524306 PGO524306:PGR524306 PQK524306:PQN524306 QAG524306:QAJ524306 QKC524306:QKF524306 QTY524306:QUB524306 RDU524306:RDX524306 RNQ524306:RNT524306 RXM524306:RXP524306 SHI524306:SHL524306 SRE524306:SRH524306 TBA524306:TBD524306 TKW524306:TKZ524306 TUS524306:TUV524306 UEO524306:UER524306 UOK524306:UON524306 UYG524306:UYJ524306 VIC524306:VIF524306 VRY524306:VSB524306 WBU524306:WBX524306 WLQ524306:WLT524306 WVM524306:WVP524306 AP589842:AS589842 JA589842:JD589842 SW589842:SZ589842 ACS589842:ACV589842 AMO589842:AMR589842 AWK589842:AWN589842 BGG589842:BGJ589842 BQC589842:BQF589842 BZY589842:CAB589842 CJU589842:CJX589842 CTQ589842:CTT589842 DDM589842:DDP589842 DNI589842:DNL589842 DXE589842:DXH589842 EHA589842:EHD589842 EQW589842:EQZ589842 FAS589842:FAV589842 FKO589842:FKR589842 FUK589842:FUN589842 GEG589842:GEJ589842 GOC589842:GOF589842 GXY589842:GYB589842 HHU589842:HHX589842 HRQ589842:HRT589842 IBM589842:IBP589842 ILI589842:ILL589842 IVE589842:IVH589842 JFA589842:JFD589842 JOW589842:JOZ589842 JYS589842:JYV589842 KIO589842:KIR589842 KSK589842:KSN589842 LCG589842:LCJ589842 LMC589842:LMF589842 LVY589842:LWB589842 MFU589842:MFX589842 MPQ589842:MPT589842 MZM589842:MZP589842 NJI589842:NJL589842 NTE589842:NTH589842 ODA589842:ODD589842 OMW589842:OMZ589842 OWS589842:OWV589842 PGO589842:PGR589842 PQK589842:PQN589842 QAG589842:QAJ589842 QKC589842:QKF589842 QTY589842:QUB589842 RDU589842:RDX589842 RNQ589842:RNT589842 RXM589842:RXP589842 SHI589842:SHL589842 SRE589842:SRH589842 TBA589842:TBD589842 TKW589842:TKZ589842 TUS589842:TUV589842 UEO589842:UER589842 UOK589842:UON589842 UYG589842:UYJ589842 VIC589842:VIF589842 VRY589842:VSB589842 WBU589842:WBX589842 WLQ589842:WLT589842 WVM589842:WVP589842 AP655378:AS655378 JA655378:JD655378 SW655378:SZ655378 ACS655378:ACV655378 AMO655378:AMR655378 AWK655378:AWN655378 BGG655378:BGJ655378 BQC655378:BQF655378 BZY655378:CAB655378 CJU655378:CJX655378 CTQ655378:CTT655378 DDM655378:DDP655378 DNI655378:DNL655378 DXE655378:DXH655378 EHA655378:EHD655378 EQW655378:EQZ655378 FAS655378:FAV655378 FKO655378:FKR655378 FUK655378:FUN655378 GEG655378:GEJ655378 GOC655378:GOF655378 GXY655378:GYB655378 HHU655378:HHX655378 HRQ655378:HRT655378 IBM655378:IBP655378 ILI655378:ILL655378 IVE655378:IVH655378 JFA655378:JFD655378 JOW655378:JOZ655378 JYS655378:JYV655378 KIO655378:KIR655378 KSK655378:KSN655378 LCG655378:LCJ655378 LMC655378:LMF655378 LVY655378:LWB655378 MFU655378:MFX655378 MPQ655378:MPT655378 MZM655378:MZP655378 NJI655378:NJL655378 NTE655378:NTH655378 ODA655378:ODD655378 OMW655378:OMZ655378 OWS655378:OWV655378 PGO655378:PGR655378 PQK655378:PQN655378 QAG655378:QAJ655378 QKC655378:QKF655378 QTY655378:QUB655378 RDU655378:RDX655378 RNQ655378:RNT655378 RXM655378:RXP655378 SHI655378:SHL655378 SRE655378:SRH655378 TBA655378:TBD655378 TKW655378:TKZ655378 TUS655378:TUV655378 UEO655378:UER655378 UOK655378:UON655378 UYG655378:UYJ655378 VIC655378:VIF655378 VRY655378:VSB655378 WBU655378:WBX655378 WLQ655378:WLT655378 WVM655378:WVP655378 AP720914:AS720914 JA720914:JD720914 SW720914:SZ720914 ACS720914:ACV720914 AMO720914:AMR720914 AWK720914:AWN720914 BGG720914:BGJ720914 BQC720914:BQF720914 BZY720914:CAB720914 CJU720914:CJX720914 CTQ720914:CTT720914 DDM720914:DDP720914 DNI720914:DNL720914 DXE720914:DXH720914 EHA720914:EHD720914 EQW720914:EQZ720914 FAS720914:FAV720914 FKO720914:FKR720914 FUK720914:FUN720914 GEG720914:GEJ720914 GOC720914:GOF720914 GXY720914:GYB720914 HHU720914:HHX720914 HRQ720914:HRT720914 IBM720914:IBP720914 ILI720914:ILL720914 IVE720914:IVH720914 JFA720914:JFD720914 JOW720914:JOZ720914 JYS720914:JYV720914 KIO720914:KIR720914 KSK720914:KSN720914 LCG720914:LCJ720914 LMC720914:LMF720914 LVY720914:LWB720914 MFU720914:MFX720914 MPQ720914:MPT720914 MZM720914:MZP720914 NJI720914:NJL720914 NTE720914:NTH720914 ODA720914:ODD720914 OMW720914:OMZ720914 OWS720914:OWV720914 PGO720914:PGR720914 PQK720914:PQN720914 QAG720914:QAJ720914 QKC720914:QKF720914 QTY720914:QUB720914 RDU720914:RDX720914 RNQ720914:RNT720914 RXM720914:RXP720914 SHI720914:SHL720914 SRE720914:SRH720914 TBA720914:TBD720914 TKW720914:TKZ720914 TUS720914:TUV720914 UEO720914:UER720914 UOK720914:UON720914 UYG720914:UYJ720914 VIC720914:VIF720914 VRY720914:VSB720914 WBU720914:WBX720914 WLQ720914:WLT720914 WVM720914:WVP720914 AP786450:AS786450 JA786450:JD786450 SW786450:SZ786450 ACS786450:ACV786450 AMO786450:AMR786450 AWK786450:AWN786450 BGG786450:BGJ786450 BQC786450:BQF786450 BZY786450:CAB786450 CJU786450:CJX786450 CTQ786450:CTT786450 DDM786450:DDP786450 DNI786450:DNL786450 DXE786450:DXH786450 EHA786450:EHD786450 EQW786450:EQZ786450 FAS786450:FAV786450 FKO786450:FKR786450 FUK786450:FUN786450 GEG786450:GEJ786450 GOC786450:GOF786450 GXY786450:GYB786450 HHU786450:HHX786450 HRQ786450:HRT786450 IBM786450:IBP786450 ILI786450:ILL786450 IVE786450:IVH786450 JFA786450:JFD786450 JOW786450:JOZ786450 JYS786450:JYV786450 KIO786450:KIR786450 KSK786450:KSN786450 LCG786450:LCJ786450 LMC786450:LMF786450 LVY786450:LWB786450 MFU786450:MFX786450 MPQ786450:MPT786450 MZM786450:MZP786450 NJI786450:NJL786450 NTE786450:NTH786450 ODA786450:ODD786450 OMW786450:OMZ786450 OWS786450:OWV786450 PGO786450:PGR786450 PQK786450:PQN786450 QAG786450:QAJ786450 QKC786450:QKF786450 QTY786450:QUB786450 RDU786450:RDX786450 RNQ786450:RNT786450 RXM786450:RXP786450 SHI786450:SHL786450 SRE786450:SRH786450 TBA786450:TBD786450 TKW786450:TKZ786450 TUS786450:TUV786450 UEO786450:UER786450 UOK786450:UON786450 UYG786450:UYJ786450 VIC786450:VIF786450 VRY786450:VSB786450 WBU786450:WBX786450 WLQ786450:WLT786450 WVM786450:WVP786450 AP851986:AS851986 JA851986:JD851986 SW851986:SZ851986 ACS851986:ACV851986 AMO851986:AMR851986 AWK851986:AWN851986 BGG851986:BGJ851986 BQC851986:BQF851986 BZY851986:CAB851986 CJU851986:CJX851986 CTQ851986:CTT851986 DDM851986:DDP851986 DNI851986:DNL851986 DXE851986:DXH851986 EHA851986:EHD851986 EQW851986:EQZ851986 FAS851986:FAV851986 FKO851986:FKR851986 FUK851986:FUN851986 GEG851986:GEJ851986 GOC851986:GOF851986 GXY851986:GYB851986 HHU851986:HHX851986 HRQ851986:HRT851986 IBM851986:IBP851986 ILI851986:ILL851986 IVE851986:IVH851986 JFA851986:JFD851986 JOW851986:JOZ851986 JYS851986:JYV851986 KIO851986:KIR851986 KSK851986:KSN851986 LCG851986:LCJ851986 LMC851986:LMF851986 LVY851986:LWB851986 MFU851986:MFX851986 MPQ851986:MPT851986 MZM851986:MZP851986 NJI851986:NJL851986 NTE851986:NTH851986 ODA851986:ODD851986 OMW851986:OMZ851986 OWS851986:OWV851986 PGO851986:PGR851986 PQK851986:PQN851986 QAG851986:QAJ851986 QKC851986:QKF851986 QTY851986:QUB851986 RDU851986:RDX851986 RNQ851986:RNT851986 RXM851986:RXP851986 SHI851986:SHL851986 SRE851986:SRH851986 TBA851986:TBD851986 TKW851986:TKZ851986 TUS851986:TUV851986 UEO851986:UER851986 UOK851986:UON851986 UYG851986:UYJ851986 VIC851986:VIF851986 VRY851986:VSB851986 WBU851986:WBX851986 WLQ851986:WLT851986 WVM851986:WVP851986 AP917522:AS917522 JA917522:JD917522 SW917522:SZ917522 ACS917522:ACV917522 AMO917522:AMR917522 AWK917522:AWN917522 BGG917522:BGJ917522 BQC917522:BQF917522 BZY917522:CAB917522 CJU917522:CJX917522 CTQ917522:CTT917522 DDM917522:DDP917522 DNI917522:DNL917522 DXE917522:DXH917522 EHA917522:EHD917522 EQW917522:EQZ917522 FAS917522:FAV917522 FKO917522:FKR917522 FUK917522:FUN917522 GEG917522:GEJ917522 GOC917522:GOF917522 GXY917522:GYB917522 HHU917522:HHX917522 HRQ917522:HRT917522 IBM917522:IBP917522 ILI917522:ILL917522 IVE917522:IVH917522 JFA917522:JFD917522 JOW917522:JOZ917522 JYS917522:JYV917522 KIO917522:KIR917522 KSK917522:KSN917522 LCG917522:LCJ917522 LMC917522:LMF917522 LVY917522:LWB917522 MFU917522:MFX917522 MPQ917522:MPT917522 MZM917522:MZP917522 NJI917522:NJL917522 NTE917522:NTH917522 ODA917522:ODD917522 OMW917522:OMZ917522 OWS917522:OWV917522 PGO917522:PGR917522 PQK917522:PQN917522 QAG917522:QAJ917522 QKC917522:QKF917522 QTY917522:QUB917522 RDU917522:RDX917522 RNQ917522:RNT917522 RXM917522:RXP917522 SHI917522:SHL917522 SRE917522:SRH917522 TBA917522:TBD917522 TKW917522:TKZ917522 TUS917522:TUV917522 UEO917522:UER917522 UOK917522:UON917522 UYG917522:UYJ917522 VIC917522:VIF917522 VRY917522:VSB917522 WBU917522:WBX917522 WLQ917522:WLT917522 WVM917522:WVP917522 AP983058:AS983058 JA983058:JD983058 SW983058:SZ983058 ACS983058:ACV983058 AMO983058:AMR983058 AWK983058:AWN983058 BGG983058:BGJ983058 BQC983058:BQF983058 BZY983058:CAB983058 CJU983058:CJX983058 CTQ983058:CTT983058 DDM983058:DDP983058 DNI983058:DNL983058 DXE983058:DXH983058 EHA983058:EHD983058 EQW983058:EQZ983058 FAS983058:FAV983058 FKO983058:FKR983058 FUK983058:FUN983058 GEG983058:GEJ983058 GOC983058:GOF983058 GXY983058:GYB983058 HHU983058:HHX983058 HRQ983058:HRT983058 IBM983058:IBP983058 ILI983058:ILL983058 IVE983058:IVH983058 JFA983058:JFD983058 JOW983058:JOZ983058 JYS983058:JYV983058 KIO983058:KIR983058 KSK983058:KSN983058 LCG983058:LCJ983058 LMC983058:LMF983058 LVY983058:LWB983058 MFU983058:MFX983058 MPQ983058:MPT983058 MZM983058:MZP983058 NJI983058:NJL983058 NTE983058:NTH983058 ODA983058:ODD983058 OMW983058:OMZ983058 OWS983058:OWV983058 PGO983058:PGR983058 PQK983058:PQN983058 QAG983058:QAJ983058 QKC983058:QKF983058 QTY983058:QUB983058 RDU983058:RDX983058 RNQ983058:RNT983058 RXM983058:RXP983058 SHI983058:SHL983058 SRE983058:SRH983058 TBA983058:TBD983058 TKW983058:TKZ983058 TUS983058:TUV983058 UEO983058:UER983058 UOK983058:UON983058 UYG983058:UYJ983058 VIC983058:VIF983058 VRY983058:VSB983058 WBU983058:WBX983058 WLQ983058:WLT983058 WVM983058:WVP983058 AK983057:AN983057 IV983057:IY983057 SR983057:SU983057 ACN983057:ACQ983057 AMJ983057:AMM983057 AWF983057:AWI983057 BGB983057:BGE983057 BPX983057:BQA983057 BZT983057:BZW983057 CJP983057:CJS983057 CTL983057:CTO983057 DDH983057:DDK983057 DND983057:DNG983057 DWZ983057:DXC983057 EGV983057:EGY983057 EQR983057:EQU983057 FAN983057:FAQ983057 FKJ983057:FKM983057 FUF983057:FUI983057 GEB983057:GEE983057 GNX983057:GOA983057 GXT983057:GXW983057 HHP983057:HHS983057 HRL983057:HRO983057 IBH983057:IBK983057 ILD983057:ILG983057 IUZ983057:IVC983057 JEV983057:JEY983057 JOR983057:JOU983057 JYN983057:JYQ983057 KIJ983057:KIM983057 KSF983057:KSI983057 LCB983057:LCE983057 LLX983057:LMA983057 LVT983057:LVW983057 MFP983057:MFS983057 MPL983057:MPO983057 MZH983057:MZK983057 NJD983057:NJG983057 NSZ983057:NTC983057 OCV983057:OCY983057 OMR983057:OMU983057 OWN983057:OWQ983057 PGJ983057:PGM983057 PQF983057:PQI983057 QAB983057:QAE983057 QJX983057:QKA983057 QTT983057:QTW983057 RDP983057:RDS983057 RNL983057:RNO983057 RXH983057:RXK983057 SHD983057:SHG983057 SQZ983057:SRC983057 TAV983057:TAY983057 TKR983057:TKU983057 TUN983057:TUQ983057 UEJ983057:UEM983057 UOF983057:UOI983057 UYB983057:UYE983057 VHX983057:VIA983057 VRT983057:VRW983057 WBP983057:WBS983057 WLL983057:WLO983057 WVH983057:WVK983057 AK65553:AN65553 IV65553:IY65553 SR65553:SU65553 ACN65553:ACQ65553 AMJ65553:AMM65553 AWF65553:AWI65553 BGB65553:BGE65553 BPX65553:BQA65553 BZT65553:BZW65553 CJP65553:CJS65553 CTL65553:CTO65553 DDH65553:DDK65553 DND65553:DNG65553 DWZ65553:DXC65553 EGV65553:EGY65553 EQR65553:EQU65553 FAN65553:FAQ65553 FKJ65553:FKM65553 FUF65553:FUI65553 GEB65553:GEE65553 GNX65553:GOA65553 GXT65553:GXW65553 HHP65553:HHS65553 HRL65553:HRO65553 IBH65553:IBK65553 ILD65553:ILG65553 IUZ65553:IVC65553 JEV65553:JEY65553 JOR65553:JOU65553 JYN65553:JYQ65553 KIJ65553:KIM65553 KSF65553:KSI65553 LCB65553:LCE65553 LLX65553:LMA65553 LVT65553:LVW65553 MFP65553:MFS65553 MPL65553:MPO65553 MZH65553:MZK65553 NJD65553:NJG65553 NSZ65553:NTC65553 OCV65553:OCY65553 OMR65553:OMU65553 OWN65553:OWQ65553 PGJ65553:PGM65553 PQF65553:PQI65553 QAB65553:QAE65553 QJX65553:QKA65553 QTT65553:QTW65553 RDP65553:RDS65553 RNL65553:RNO65553 RXH65553:RXK65553 SHD65553:SHG65553 SQZ65553:SRC65553 TAV65553:TAY65553 TKR65553:TKU65553 TUN65553:TUQ65553 UEJ65553:UEM65553 UOF65553:UOI65553 UYB65553:UYE65553 VHX65553:VIA65553 VRT65553:VRW65553 WBP65553:WBS65553 WLL65553:WLO65553 WVH65553:WVK65553 AK131089:AN131089 IV131089:IY131089 SR131089:SU131089 ACN131089:ACQ131089 AMJ131089:AMM131089 AWF131089:AWI131089 BGB131089:BGE131089 BPX131089:BQA131089 BZT131089:BZW131089 CJP131089:CJS131089 CTL131089:CTO131089 DDH131089:DDK131089 DND131089:DNG131089 DWZ131089:DXC131089 EGV131089:EGY131089 EQR131089:EQU131089 FAN131089:FAQ131089 FKJ131089:FKM131089 FUF131089:FUI131089 GEB131089:GEE131089 GNX131089:GOA131089 GXT131089:GXW131089 HHP131089:HHS131089 HRL131089:HRO131089 IBH131089:IBK131089 ILD131089:ILG131089 IUZ131089:IVC131089 JEV131089:JEY131089 JOR131089:JOU131089 JYN131089:JYQ131089 KIJ131089:KIM131089 KSF131089:KSI131089 LCB131089:LCE131089 LLX131089:LMA131089 LVT131089:LVW131089 MFP131089:MFS131089 MPL131089:MPO131089 MZH131089:MZK131089 NJD131089:NJG131089 NSZ131089:NTC131089 OCV131089:OCY131089 OMR131089:OMU131089 OWN131089:OWQ131089 PGJ131089:PGM131089 PQF131089:PQI131089 QAB131089:QAE131089 QJX131089:QKA131089 QTT131089:QTW131089 RDP131089:RDS131089 RNL131089:RNO131089 RXH131089:RXK131089 SHD131089:SHG131089 SQZ131089:SRC131089 TAV131089:TAY131089 TKR131089:TKU131089 TUN131089:TUQ131089 UEJ131089:UEM131089 UOF131089:UOI131089 UYB131089:UYE131089 VHX131089:VIA131089 VRT131089:VRW131089 WBP131089:WBS131089 WLL131089:WLO131089 WVH131089:WVK131089 AK196625:AN196625 IV196625:IY196625 SR196625:SU196625 ACN196625:ACQ196625 AMJ196625:AMM196625 AWF196625:AWI196625 BGB196625:BGE196625 BPX196625:BQA196625 BZT196625:BZW196625 CJP196625:CJS196625 CTL196625:CTO196625 DDH196625:DDK196625 DND196625:DNG196625 DWZ196625:DXC196625 EGV196625:EGY196625 EQR196625:EQU196625 FAN196625:FAQ196625 FKJ196625:FKM196625 FUF196625:FUI196625 GEB196625:GEE196625 GNX196625:GOA196625 GXT196625:GXW196625 HHP196625:HHS196625 HRL196625:HRO196625 IBH196625:IBK196625 ILD196625:ILG196625 IUZ196625:IVC196625 JEV196625:JEY196625 JOR196625:JOU196625 JYN196625:JYQ196625 KIJ196625:KIM196625 KSF196625:KSI196625 LCB196625:LCE196625 LLX196625:LMA196625 LVT196625:LVW196625 MFP196625:MFS196625 MPL196625:MPO196625 MZH196625:MZK196625 NJD196625:NJG196625 NSZ196625:NTC196625 OCV196625:OCY196625 OMR196625:OMU196625 OWN196625:OWQ196625 PGJ196625:PGM196625 PQF196625:PQI196625 QAB196625:QAE196625 QJX196625:QKA196625 QTT196625:QTW196625 RDP196625:RDS196625 RNL196625:RNO196625 RXH196625:RXK196625 SHD196625:SHG196625 SQZ196625:SRC196625 TAV196625:TAY196625 TKR196625:TKU196625 TUN196625:TUQ196625 UEJ196625:UEM196625 UOF196625:UOI196625 UYB196625:UYE196625 VHX196625:VIA196625 VRT196625:VRW196625 WBP196625:WBS196625 WLL196625:WLO196625 WVH196625:WVK196625 AK262161:AN262161 IV262161:IY262161 SR262161:SU262161 ACN262161:ACQ262161 AMJ262161:AMM262161 AWF262161:AWI262161 BGB262161:BGE262161 BPX262161:BQA262161 BZT262161:BZW262161 CJP262161:CJS262161 CTL262161:CTO262161 DDH262161:DDK262161 DND262161:DNG262161 DWZ262161:DXC262161 EGV262161:EGY262161 EQR262161:EQU262161 FAN262161:FAQ262161 FKJ262161:FKM262161 FUF262161:FUI262161 GEB262161:GEE262161 GNX262161:GOA262161 GXT262161:GXW262161 HHP262161:HHS262161 HRL262161:HRO262161 IBH262161:IBK262161 ILD262161:ILG262161 IUZ262161:IVC262161 JEV262161:JEY262161 JOR262161:JOU262161 JYN262161:JYQ262161 KIJ262161:KIM262161 KSF262161:KSI262161 LCB262161:LCE262161 LLX262161:LMA262161 LVT262161:LVW262161 MFP262161:MFS262161 MPL262161:MPO262161 MZH262161:MZK262161 NJD262161:NJG262161 NSZ262161:NTC262161 OCV262161:OCY262161 OMR262161:OMU262161 OWN262161:OWQ262161 PGJ262161:PGM262161 PQF262161:PQI262161 QAB262161:QAE262161 QJX262161:QKA262161 QTT262161:QTW262161 RDP262161:RDS262161 RNL262161:RNO262161 RXH262161:RXK262161 SHD262161:SHG262161 SQZ262161:SRC262161 TAV262161:TAY262161 TKR262161:TKU262161 TUN262161:TUQ262161 UEJ262161:UEM262161 UOF262161:UOI262161 UYB262161:UYE262161 VHX262161:VIA262161 VRT262161:VRW262161 WBP262161:WBS262161 WLL262161:WLO262161 WVH262161:WVK262161 AK327697:AN327697 IV327697:IY327697 SR327697:SU327697 ACN327697:ACQ327697 AMJ327697:AMM327697 AWF327697:AWI327697 BGB327697:BGE327697 BPX327697:BQA327697 BZT327697:BZW327697 CJP327697:CJS327697 CTL327697:CTO327697 DDH327697:DDK327697 DND327697:DNG327697 DWZ327697:DXC327697 EGV327697:EGY327697 EQR327697:EQU327697 FAN327697:FAQ327697 FKJ327697:FKM327697 FUF327697:FUI327697 GEB327697:GEE327697 GNX327697:GOA327697 GXT327697:GXW327697 HHP327697:HHS327697 HRL327697:HRO327697 IBH327697:IBK327697 ILD327697:ILG327697 IUZ327697:IVC327697 JEV327697:JEY327697 JOR327697:JOU327697 JYN327697:JYQ327697 KIJ327697:KIM327697 KSF327697:KSI327697 LCB327697:LCE327697 LLX327697:LMA327697 LVT327697:LVW327697 MFP327697:MFS327697 MPL327697:MPO327697 MZH327697:MZK327697 NJD327697:NJG327697 NSZ327697:NTC327697 OCV327697:OCY327697 OMR327697:OMU327697 OWN327697:OWQ327697 PGJ327697:PGM327697 PQF327697:PQI327697 QAB327697:QAE327697 QJX327697:QKA327697 QTT327697:QTW327697 RDP327697:RDS327697 RNL327697:RNO327697 RXH327697:RXK327697 SHD327697:SHG327697 SQZ327697:SRC327697 TAV327697:TAY327697 TKR327697:TKU327697 TUN327697:TUQ327697 UEJ327697:UEM327697 UOF327697:UOI327697 UYB327697:UYE327697 VHX327697:VIA327697 VRT327697:VRW327697 WBP327697:WBS327697 WLL327697:WLO327697 WVH327697:WVK327697 AK393233:AN393233 IV393233:IY393233 SR393233:SU393233 ACN393233:ACQ393233 AMJ393233:AMM393233 AWF393233:AWI393233 BGB393233:BGE393233 BPX393233:BQA393233 BZT393233:BZW393233 CJP393233:CJS393233 CTL393233:CTO393233 DDH393233:DDK393233 DND393233:DNG393233 DWZ393233:DXC393233 EGV393233:EGY393233 EQR393233:EQU393233 FAN393233:FAQ393233 FKJ393233:FKM393233 FUF393233:FUI393233 GEB393233:GEE393233 GNX393233:GOA393233 GXT393233:GXW393233 HHP393233:HHS393233 HRL393233:HRO393233 IBH393233:IBK393233 ILD393233:ILG393233 IUZ393233:IVC393233 JEV393233:JEY393233 JOR393233:JOU393233 JYN393233:JYQ393233 KIJ393233:KIM393233 KSF393233:KSI393233 LCB393233:LCE393233 LLX393233:LMA393233 LVT393233:LVW393233 MFP393233:MFS393233 MPL393233:MPO393233 MZH393233:MZK393233 NJD393233:NJG393233 NSZ393233:NTC393233 OCV393233:OCY393233 OMR393233:OMU393233 OWN393233:OWQ393233 PGJ393233:PGM393233 PQF393233:PQI393233 QAB393233:QAE393233 QJX393233:QKA393233 QTT393233:QTW393233 RDP393233:RDS393233 RNL393233:RNO393233 RXH393233:RXK393233 SHD393233:SHG393233 SQZ393233:SRC393233 TAV393233:TAY393233 TKR393233:TKU393233 TUN393233:TUQ393233 UEJ393233:UEM393233 UOF393233:UOI393233 UYB393233:UYE393233 VHX393233:VIA393233 VRT393233:VRW393233 WBP393233:WBS393233 WLL393233:WLO393233 WVH393233:WVK393233 AK458769:AN458769 IV458769:IY458769 SR458769:SU458769 ACN458769:ACQ458769 AMJ458769:AMM458769 AWF458769:AWI458769 BGB458769:BGE458769 BPX458769:BQA458769 BZT458769:BZW458769 CJP458769:CJS458769 CTL458769:CTO458769 DDH458769:DDK458769 DND458769:DNG458769 DWZ458769:DXC458769 EGV458769:EGY458769 EQR458769:EQU458769 FAN458769:FAQ458769 FKJ458769:FKM458769 FUF458769:FUI458769 GEB458769:GEE458769 GNX458769:GOA458769 GXT458769:GXW458769 HHP458769:HHS458769 HRL458769:HRO458769 IBH458769:IBK458769 ILD458769:ILG458769 IUZ458769:IVC458769 JEV458769:JEY458769 JOR458769:JOU458769 JYN458769:JYQ458769 KIJ458769:KIM458769 KSF458769:KSI458769 LCB458769:LCE458769 LLX458769:LMA458769 LVT458769:LVW458769 MFP458769:MFS458769 MPL458769:MPO458769 MZH458769:MZK458769 NJD458769:NJG458769 NSZ458769:NTC458769 OCV458769:OCY458769 OMR458769:OMU458769 OWN458769:OWQ458769 PGJ458769:PGM458769 PQF458769:PQI458769 QAB458769:QAE458769 QJX458769:QKA458769 QTT458769:QTW458769 RDP458769:RDS458769 RNL458769:RNO458769 RXH458769:RXK458769 SHD458769:SHG458769 SQZ458769:SRC458769 TAV458769:TAY458769 TKR458769:TKU458769 TUN458769:TUQ458769 UEJ458769:UEM458769 UOF458769:UOI458769 UYB458769:UYE458769 VHX458769:VIA458769 VRT458769:VRW458769 WBP458769:WBS458769 WLL458769:WLO458769 WVH458769:WVK458769 AK524305:AN524305 IV524305:IY524305 SR524305:SU524305 ACN524305:ACQ524305 AMJ524305:AMM524305 AWF524305:AWI524305 BGB524305:BGE524305 BPX524305:BQA524305 BZT524305:BZW524305 CJP524305:CJS524305 CTL524305:CTO524305 DDH524305:DDK524305 DND524305:DNG524305 DWZ524305:DXC524305 EGV524305:EGY524305 EQR524305:EQU524305 FAN524305:FAQ524305 FKJ524305:FKM524305 FUF524305:FUI524305 GEB524305:GEE524305 GNX524305:GOA524305 GXT524305:GXW524305 HHP524305:HHS524305 HRL524305:HRO524305 IBH524305:IBK524305 ILD524305:ILG524305 IUZ524305:IVC524305 JEV524305:JEY524305 JOR524305:JOU524305 JYN524305:JYQ524305 KIJ524305:KIM524305 KSF524305:KSI524305 LCB524305:LCE524305 LLX524305:LMA524305 LVT524305:LVW524305 MFP524305:MFS524305 MPL524305:MPO524305 MZH524305:MZK524305 NJD524305:NJG524305 NSZ524305:NTC524305 OCV524305:OCY524305 OMR524305:OMU524305 OWN524305:OWQ524305 PGJ524305:PGM524305 PQF524305:PQI524305 QAB524305:QAE524305 QJX524305:QKA524305 QTT524305:QTW524305 RDP524305:RDS524305 RNL524305:RNO524305 RXH524305:RXK524305 SHD524305:SHG524305 SQZ524305:SRC524305 TAV524305:TAY524305 TKR524305:TKU524305 TUN524305:TUQ524305 UEJ524305:UEM524305 UOF524305:UOI524305 UYB524305:UYE524305 VHX524305:VIA524305 VRT524305:VRW524305 WBP524305:WBS524305 WLL524305:WLO524305 WVH524305:WVK524305 AK589841:AN589841 IV589841:IY589841 SR589841:SU589841 ACN589841:ACQ589841 AMJ589841:AMM589841 AWF589841:AWI589841 BGB589841:BGE589841 BPX589841:BQA589841 BZT589841:BZW589841 CJP589841:CJS589841 CTL589841:CTO589841 DDH589841:DDK589841 DND589841:DNG589841 DWZ589841:DXC589841 EGV589841:EGY589841 EQR589841:EQU589841 FAN589841:FAQ589841 FKJ589841:FKM589841 FUF589841:FUI589841 GEB589841:GEE589841 GNX589841:GOA589841 GXT589841:GXW589841 HHP589841:HHS589841 HRL589841:HRO589841 IBH589841:IBK589841 ILD589841:ILG589841 IUZ589841:IVC589841 JEV589841:JEY589841 JOR589841:JOU589841 JYN589841:JYQ589841 KIJ589841:KIM589841 KSF589841:KSI589841 LCB589841:LCE589841 LLX589841:LMA589841 LVT589841:LVW589841 MFP589841:MFS589841 MPL589841:MPO589841 MZH589841:MZK589841 NJD589841:NJG589841 NSZ589841:NTC589841 OCV589841:OCY589841 OMR589841:OMU589841 OWN589841:OWQ589841 PGJ589841:PGM589841 PQF589841:PQI589841 QAB589841:QAE589841 QJX589841:QKA589841 QTT589841:QTW589841 RDP589841:RDS589841 RNL589841:RNO589841 RXH589841:RXK589841 SHD589841:SHG589841 SQZ589841:SRC589841 TAV589841:TAY589841 TKR589841:TKU589841 TUN589841:TUQ589841 UEJ589841:UEM589841 UOF589841:UOI589841 UYB589841:UYE589841 VHX589841:VIA589841 VRT589841:VRW589841 WBP589841:WBS589841 WLL589841:WLO589841 WVH589841:WVK589841 AK655377:AN655377 IV655377:IY655377 SR655377:SU655377 ACN655377:ACQ655377 AMJ655377:AMM655377 AWF655377:AWI655377 BGB655377:BGE655377 BPX655377:BQA655377 BZT655377:BZW655377 CJP655377:CJS655377 CTL655377:CTO655377 DDH655377:DDK655377 DND655377:DNG655377 DWZ655377:DXC655377 EGV655377:EGY655377 EQR655377:EQU655377 FAN655377:FAQ655377 FKJ655377:FKM655377 FUF655377:FUI655377 GEB655377:GEE655377 GNX655377:GOA655377 GXT655377:GXW655377 HHP655377:HHS655377 HRL655377:HRO655377 IBH655377:IBK655377 ILD655377:ILG655377 IUZ655377:IVC655377 JEV655377:JEY655377 JOR655377:JOU655377 JYN655377:JYQ655377 KIJ655377:KIM655377 KSF655377:KSI655377 LCB655377:LCE655377 LLX655377:LMA655377 LVT655377:LVW655377 MFP655377:MFS655377 MPL655377:MPO655377 MZH655377:MZK655377 NJD655377:NJG655377 NSZ655377:NTC655377 OCV655377:OCY655377 OMR655377:OMU655377 OWN655377:OWQ655377 PGJ655377:PGM655377 PQF655377:PQI655377 QAB655377:QAE655377 QJX655377:QKA655377 QTT655377:QTW655377 RDP655377:RDS655377 RNL655377:RNO655377 RXH655377:RXK655377 SHD655377:SHG655377 SQZ655377:SRC655377 TAV655377:TAY655377 TKR655377:TKU655377 TUN655377:TUQ655377 UEJ655377:UEM655377 UOF655377:UOI655377 UYB655377:UYE655377 VHX655377:VIA655377 VRT655377:VRW655377 WBP655377:WBS655377 WLL655377:WLO655377 WVH655377:WVK655377 AK720913:AN720913 IV720913:IY720913 SR720913:SU720913 ACN720913:ACQ720913 AMJ720913:AMM720913 AWF720913:AWI720913 BGB720913:BGE720913 BPX720913:BQA720913 BZT720913:BZW720913 CJP720913:CJS720913 CTL720913:CTO720913 DDH720913:DDK720913 DND720913:DNG720913 DWZ720913:DXC720913 EGV720913:EGY720913 EQR720913:EQU720913 FAN720913:FAQ720913 FKJ720913:FKM720913 FUF720913:FUI720913 GEB720913:GEE720913 GNX720913:GOA720913 GXT720913:GXW720913 HHP720913:HHS720913 HRL720913:HRO720913 IBH720913:IBK720913 ILD720913:ILG720913 IUZ720913:IVC720913 JEV720913:JEY720913 JOR720913:JOU720913 JYN720913:JYQ720913 KIJ720913:KIM720913 KSF720913:KSI720913 LCB720913:LCE720913 LLX720913:LMA720913 LVT720913:LVW720913 MFP720913:MFS720913 MPL720913:MPO720913 MZH720913:MZK720913 NJD720913:NJG720913 NSZ720913:NTC720913 OCV720913:OCY720913 OMR720913:OMU720913 OWN720913:OWQ720913 PGJ720913:PGM720913 PQF720913:PQI720913 QAB720913:QAE720913 QJX720913:QKA720913 QTT720913:QTW720913 RDP720913:RDS720913 RNL720913:RNO720913 RXH720913:RXK720913 SHD720913:SHG720913 SQZ720913:SRC720913 TAV720913:TAY720913 TKR720913:TKU720913 TUN720913:TUQ720913 UEJ720913:UEM720913 UOF720913:UOI720913 UYB720913:UYE720913 VHX720913:VIA720913 VRT720913:VRW720913 WBP720913:WBS720913 WLL720913:WLO720913 WVH720913:WVK720913 AK786449:AN786449 IV786449:IY786449 SR786449:SU786449 ACN786449:ACQ786449 AMJ786449:AMM786449 AWF786449:AWI786449 BGB786449:BGE786449 BPX786449:BQA786449 BZT786449:BZW786449 CJP786449:CJS786449 CTL786449:CTO786449 DDH786449:DDK786449 DND786449:DNG786449 DWZ786449:DXC786449 EGV786449:EGY786449 EQR786449:EQU786449 FAN786449:FAQ786449 FKJ786449:FKM786449 FUF786449:FUI786449 GEB786449:GEE786449 GNX786449:GOA786449 GXT786449:GXW786449 HHP786449:HHS786449 HRL786449:HRO786449 IBH786449:IBK786449 ILD786449:ILG786449 IUZ786449:IVC786449 JEV786449:JEY786449 JOR786449:JOU786449 JYN786449:JYQ786449 KIJ786449:KIM786449 KSF786449:KSI786449 LCB786449:LCE786449 LLX786449:LMA786449 LVT786449:LVW786449 MFP786449:MFS786449 MPL786449:MPO786449 MZH786449:MZK786449 NJD786449:NJG786449 NSZ786449:NTC786449 OCV786449:OCY786449 OMR786449:OMU786449 OWN786449:OWQ786449 PGJ786449:PGM786449 PQF786449:PQI786449 QAB786449:QAE786449 QJX786449:QKA786449 QTT786449:QTW786449 RDP786449:RDS786449 RNL786449:RNO786449 RXH786449:RXK786449 SHD786449:SHG786449 SQZ786449:SRC786449 TAV786449:TAY786449 TKR786449:TKU786449 TUN786449:TUQ786449 UEJ786449:UEM786449 UOF786449:UOI786449 UYB786449:UYE786449 VHX786449:VIA786449 VRT786449:VRW786449 WBP786449:WBS786449 WLL786449:WLO786449 WVH786449:WVK786449 AK851985:AN851985 IV851985:IY851985 SR851985:SU851985 ACN851985:ACQ851985 AMJ851985:AMM851985 AWF851985:AWI851985 BGB851985:BGE851985 BPX851985:BQA851985 BZT851985:BZW851985 CJP851985:CJS851985 CTL851985:CTO851985 DDH851985:DDK851985 DND851985:DNG851985 DWZ851985:DXC851985 EGV851985:EGY851985 EQR851985:EQU851985 FAN851985:FAQ851985 FKJ851985:FKM851985 FUF851985:FUI851985 GEB851985:GEE851985 GNX851985:GOA851985 GXT851985:GXW851985 HHP851985:HHS851985 HRL851985:HRO851985 IBH851985:IBK851985 ILD851985:ILG851985 IUZ851985:IVC851985 JEV851985:JEY851985 JOR851985:JOU851985 JYN851985:JYQ851985 KIJ851985:KIM851985 KSF851985:KSI851985 LCB851985:LCE851985 LLX851985:LMA851985 LVT851985:LVW851985 MFP851985:MFS851985 MPL851985:MPO851985 MZH851985:MZK851985 NJD851985:NJG851985 NSZ851985:NTC851985 OCV851985:OCY851985 OMR851985:OMU851985 OWN851985:OWQ851985 PGJ851985:PGM851985 PQF851985:PQI851985 QAB851985:QAE851985 QJX851985:QKA851985 QTT851985:QTW851985 RDP851985:RDS851985 RNL851985:RNO851985 RXH851985:RXK851985 SHD851985:SHG851985 SQZ851985:SRC851985 TAV851985:TAY851985 TKR851985:TKU851985 TUN851985:TUQ851985 UEJ851985:UEM851985 UOF851985:UOI851985 UYB851985:UYE851985 VHX851985:VIA851985 VRT851985:VRW851985 WBP851985:WBS851985 WLL851985:WLO851985 WVH851985:WVK851985 AK917521:AN917521 IV917521:IY917521 SR917521:SU917521 ACN917521:ACQ917521 AMJ917521:AMM917521 AWF917521:AWI917521 BGB917521:BGE917521 BPX917521:BQA917521 BZT917521:BZW917521 CJP917521:CJS917521 CTL917521:CTO917521 DDH917521:DDK917521 DND917521:DNG917521 DWZ917521:DXC917521 EGV917521:EGY917521 EQR917521:EQU917521 FAN917521:FAQ917521 FKJ917521:FKM917521 FUF917521:FUI917521 GEB917521:GEE917521 GNX917521:GOA917521 GXT917521:GXW917521 HHP917521:HHS917521 HRL917521:HRO917521 IBH917521:IBK917521 ILD917521:ILG917521 IUZ917521:IVC917521 JEV917521:JEY917521 JOR917521:JOU917521 JYN917521:JYQ917521 KIJ917521:KIM917521 KSF917521:KSI917521 LCB917521:LCE917521 LLX917521:LMA917521 LVT917521:LVW917521 MFP917521:MFS917521 MPL917521:MPO917521 MZH917521:MZK917521 NJD917521:NJG917521 NSZ917521:NTC917521 OCV917521:OCY917521 OMR917521:OMU917521 OWN917521:OWQ917521 PGJ917521:PGM917521 PQF917521:PQI917521 QAB917521:QAE917521 QJX917521:QKA917521 QTT917521:QTW917521 RDP917521:RDS917521 RNL917521:RNO917521 RXH917521:RXK917521 SHD917521:SHG917521 SQZ917521:SRC917521 TAV917521:TAY917521 TKR917521:TKU917521 TUN917521:TUQ917521 UEJ917521:UEM917521 UOF917521:UOI917521 UYB917521:UYE917521 VHX917521:VIA917521 VRT917521:VRW917521 WBP917521:WBS917521 WLL917521:WLO917521 WVH917521:WVK917521 BH65574:BI65577 BH131110:BI131113 BH196646:BI196649 BH262182:BI262185 BH327718:BI327721 BH393254:BI393257 BH458790:BI458793 BH524326:BI524329 BH589862:BI589865 BH655398:BI655401 BH720934:BI720937 BH786470:BI786473 BH852006:BI852009 BH917542:BI917545 BH983078:BI983081 BF65568 BF131104 BF196640 BF262176 BF327712 BF393248 BF458784 BF524320 BF589856 BF655392 BF720928 BF786464 BF852000 BF917536 BH38:BI41 BA917536:BC917536 BA852000:BC852000 BA786464:BC786464 BA720928:BC720928 BA655392:BC655392 BA589856:BC589856 BA524320:BC524320 BA458784:BC458784 BA393248:BC393248 BA327712:BC327712 BA262176:BC262176 BA196640:BC196640 BA131104:BC131104 BA65568:BC65568 BA983072:BC983072 BF983072 BE65574:BE65577 BE131110:BE131113 BE196646:BE196649 BE262182:BE262185 BE327718:BE327721 BE393254:BE393257 BE458790:BE458793 BE524326:BE524329 BE589862:BE589865 BE655398:BE655401 BE720934:BE720937 BE786470:BE786473 BE852006:BE852009 BE917542:BE917545 BE983078:BE983081 BE38:BE41" xr:uid="{BBC32FCA-F27E-4303-BEB1-085300B4CFF2}">
      <formula1>"○"</formula1>
    </dataValidation>
    <dataValidation type="list" allowBlank="1" showInputMessage="1" showErrorMessage="1" sqref="AT65554:AW65554 JE65554:JH65554 TA65554:TD65554 ACW65554:ACZ65554 AMS65554:AMV65554 AWO65554:AWR65554 BGK65554:BGN65554 BQG65554:BQJ65554 CAC65554:CAF65554 CJY65554:CKB65554 CTU65554:CTX65554 DDQ65554:DDT65554 DNM65554:DNP65554 DXI65554:DXL65554 EHE65554:EHH65554 ERA65554:ERD65554 FAW65554:FAZ65554 FKS65554:FKV65554 FUO65554:FUR65554 GEK65554:GEN65554 GOG65554:GOJ65554 GYC65554:GYF65554 HHY65554:HIB65554 HRU65554:HRX65554 IBQ65554:IBT65554 ILM65554:ILP65554 IVI65554:IVL65554 JFE65554:JFH65554 JPA65554:JPD65554 JYW65554:JYZ65554 KIS65554:KIV65554 KSO65554:KSR65554 LCK65554:LCN65554 LMG65554:LMJ65554 LWC65554:LWF65554 MFY65554:MGB65554 MPU65554:MPX65554 MZQ65554:MZT65554 NJM65554:NJP65554 NTI65554:NTL65554 ODE65554:ODH65554 ONA65554:OND65554 OWW65554:OWZ65554 PGS65554:PGV65554 PQO65554:PQR65554 QAK65554:QAN65554 QKG65554:QKJ65554 QUC65554:QUF65554 RDY65554:REB65554 RNU65554:RNX65554 RXQ65554:RXT65554 SHM65554:SHP65554 SRI65554:SRL65554 TBE65554:TBH65554 TLA65554:TLD65554 TUW65554:TUZ65554 UES65554:UEV65554 UOO65554:UOR65554 UYK65554:UYN65554 VIG65554:VIJ65554 VSC65554:VSF65554 WBY65554:WCB65554 WLU65554:WLX65554 WVQ65554:WVT65554 AT131090:AW131090 JE131090:JH131090 TA131090:TD131090 ACW131090:ACZ131090 AMS131090:AMV131090 AWO131090:AWR131090 BGK131090:BGN131090 BQG131090:BQJ131090 CAC131090:CAF131090 CJY131090:CKB131090 CTU131090:CTX131090 DDQ131090:DDT131090 DNM131090:DNP131090 DXI131090:DXL131090 EHE131090:EHH131090 ERA131090:ERD131090 FAW131090:FAZ131090 FKS131090:FKV131090 FUO131090:FUR131090 GEK131090:GEN131090 GOG131090:GOJ131090 GYC131090:GYF131090 HHY131090:HIB131090 HRU131090:HRX131090 IBQ131090:IBT131090 ILM131090:ILP131090 IVI131090:IVL131090 JFE131090:JFH131090 JPA131090:JPD131090 JYW131090:JYZ131090 KIS131090:KIV131090 KSO131090:KSR131090 LCK131090:LCN131090 LMG131090:LMJ131090 LWC131090:LWF131090 MFY131090:MGB131090 MPU131090:MPX131090 MZQ131090:MZT131090 NJM131090:NJP131090 NTI131090:NTL131090 ODE131090:ODH131090 ONA131090:OND131090 OWW131090:OWZ131090 PGS131090:PGV131090 PQO131090:PQR131090 QAK131090:QAN131090 QKG131090:QKJ131090 QUC131090:QUF131090 RDY131090:REB131090 RNU131090:RNX131090 RXQ131090:RXT131090 SHM131090:SHP131090 SRI131090:SRL131090 TBE131090:TBH131090 TLA131090:TLD131090 TUW131090:TUZ131090 UES131090:UEV131090 UOO131090:UOR131090 UYK131090:UYN131090 VIG131090:VIJ131090 VSC131090:VSF131090 WBY131090:WCB131090 WLU131090:WLX131090 WVQ131090:WVT131090 AT196626:AW196626 JE196626:JH196626 TA196626:TD196626 ACW196626:ACZ196626 AMS196626:AMV196626 AWO196626:AWR196626 BGK196626:BGN196626 BQG196626:BQJ196626 CAC196626:CAF196626 CJY196626:CKB196626 CTU196626:CTX196626 DDQ196626:DDT196626 DNM196626:DNP196626 DXI196626:DXL196626 EHE196626:EHH196626 ERA196626:ERD196626 FAW196626:FAZ196626 FKS196626:FKV196626 FUO196626:FUR196626 GEK196626:GEN196626 GOG196626:GOJ196626 GYC196626:GYF196626 HHY196626:HIB196626 HRU196626:HRX196626 IBQ196626:IBT196626 ILM196626:ILP196626 IVI196626:IVL196626 JFE196626:JFH196626 JPA196626:JPD196626 JYW196626:JYZ196626 KIS196626:KIV196626 KSO196626:KSR196626 LCK196626:LCN196626 LMG196626:LMJ196626 LWC196626:LWF196626 MFY196626:MGB196626 MPU196626:MPX196626 MZQ196626:MZT196626 NJM196626:NJP196626 NTI196626:NTL196626 ODE196626:ODH196626 ONA196626:OND196626 OWW196626:OWZ196626 PGS196626:PGV196626 PQO196626:PQR196626 QAK196626:QAN196626 QKG196626:QKJ196626 QUC196626:QUF196626 RDY196626:REB196626 RNU196626:RNX196626 RXQ196626:RXT196626 SHM196626:SHP196626 SRI196626:SRL196626 TBE196626:TBH196626 TLA196626:TLD196626 TUW196626:TUZ196626 UES196626:UEV196626 UOO196626:UOR196626 UYK196626:UYN196626 VIG196626:VIJ196626 VSC196626:VSF196626 WBY196626:WCB196626 WLU196626:WLX196626 WVQ196626:WVT196626 AT262162:AW262162 JE262162:JH262162 TA262162:TD262162 ACW262162:ACZ262162 AMS262162:AMV262162 AWO262162:AWR262162 BGK262162:BGN262162 BQG262162:BQJ262162 CAC262162:CAF262162 CJY262162:CKB262162 CTU262162:CTX262162 DDQ262162:DDT262162 DNM262162:DNP262162 DXI262162:DXL262162 EHE262162:EHH262162 ERA262162:ERD262162 FAW262162:FAZ262162 FKS262162:FKV262162 FUO262162:FUR262162 GEK262162:GEN262162 GOG262162:GOJ262162 GYC262162:GYF262162 HHY262162:HIB262162 HRU262162:HRX262162 IBQ262162:IBT262162 ILM262162:ILP262162 IVI262162:IVL262162 JFE262162:JFH262162 JPA262162:JPD262162 JYW262162:JYZ262162 KIS262162:KIV262162 KSO262162:KSR262162 LCK262162:LCN262162 LMG262162:LMJ262162 LWC262162:LWF262162 MFY262162:MGB262162 MPU262162:MPX262162 MZQ262162:MZT262162 NJM262162:NJP262162 NTI262162:NTL262162 ODE262162:ODH262162 ONA262162:OND262162 OWW262162:OWZ262162 PGS262162:PGV262162 PQO262162:PQR262162 QAK262162:QAN262162 QKG262162:QKJ262162 QUC262162:QUF262162 RDY262162:REB262162 RNU262162:RNX262162 RXQ262162:RXT262162 SHM262162:SHP262162 SRI262162:SRL262162 TBE262162:TBH262162 TLA262162:TLD262162 TUW262162:TUZ262162 UES262162:UEV262162 UOO262162:UOR262162 UYK262162:UYN262162 VIG262162:VIJ262162 VSC262162:VSF262162 WBY262162:WCB262162 WLU262162:WLX262162 WVQ262162:WVT262162 AT327698:AW327698 JE327698:JH327698 TA327698:TD327698 ACW327698:ACZ327698 AMS327698:AMV327698 AWO327698:AWR327698 BGK327698:BGN327698 BQG327698:BQJ327698 CAC327698:CAF327698 CJY327698:CKB327698 CTU327698:CTX327698 DDQ327698:DDT327698 DNM327698:DNP327698 DXI327698:DXL327698 EHE327698:EHH327698 ERA327698:ERD327698 FAW327698:FAZ327698 FKS327698:FKV327698 FUO327698:FUR327698 GEK327698:GEN327698 GOG327698:GOJ327698 GYC327698:GYF327698 HHY327698:HIB327698 HRU327698:HRX327698 IBQ327698:IBT327698 ILM327698:ILP327698 IVI327698:IVL327698 JFE327698:JFH327698 JPA327698:JPD327698 JYW327698:JYZ327698 KIS327698:KIV327698 KSO327698:KSR327698 LCK327698:LCN327698 LMG327698:LMJ327698 LWC327698:LWF327698 MFY327698:MGB327698 MPU327698:MPX327698 MZQ327698:MZT327698 NJM327698:NJP327698 NTI327698:NTL327698 ODE327698:ODH327698 ONA327698:OND327698 OWW327698:OWZ327698 PGS327698:PGV327698 PQO327698:PQR327698 QAK327698:QAN327698 QKG327698:QKJ327698 QUC327698:QUF327698 RDY327698:REB327698 RNU327698:RNX327698 RXQ327698:RXT327698 SHM327698:SHP327698 SRI327698:SRL327698 TBE327698:TBH327698 TLA327698:TLD327698 TUW327698:TUZ327698 UES327698:UEV327698 UOO327698:UOR327698 UYK327698:UYN327698 VIG327698:VIJ327698 VSC327698:VSF327698 WBY327698:WCB327698 WLU327698:WLX327698 WVQ327698:WVT327698 AT393234:AW393234 JE393234:JH393234 TA393234:TD393234 ACW393234:ACZ393234 AMS393234:AMV393234 AWO393234:AWR393234 BGK393234:BGN393234 BQG393234:BQJ393234 CAC393234:CAF393234 CJY393234:CKB393234 CTU393234:CTX393234 DDQ393234:DDT393234 DNM393234:DNP393234 DXI393234:DXL393234 EHE393234:EHH393234 ERA393234:ERD393234 FAW393234:FAZ393234 FKS393234:FKV393234 FUO393234:FUR393234 GEK393234:GEN393234 GOG393234:GOJ393234 GYC393234:GYF393234 HHY393234:HIB393234 HRU393234:HRX393234 IBQ393234:IBT393234 ILM393234:ILP393234 IVI393234:IVL393234 JFE393234:JFH393234 JPA393234:JPD393234 JYW393234:JYZ393234 KIS393234:KIV393234 KSO393234:KSR393234 LCK393234:LCN393234 LMG393234:LMJ393234 LWC393234:LWF393234 MFY393234:MGB393234 MPU393234:MPX393234 MZQ393234:MZT393234 NJM393234:NJP393234 NTI393234:NTL393234 ODE393234:ODH393234 ONA393234:OND393234 OWW393234:OWZ393234 PGS393234:PGV393234 PQO393234:PQR393234 QAK393234:QAN393234 QKG393234:QKJ393234 QUC393234:QUF393234 RDY393234:REB393234 RNU393234:RNX393234 RXQ393234:RXT393234 SHM393234:SHP393234 SRI393234:SRL393234 TBE393234:TBH393234 TLA393234:TLD393234 TUW393234:TUZ393234 UES393234:UEV393234 UOO393234:UOR393234 UYK393234:UYN393234 VIG393234:VIJ393234 VSC393234:VSF393234 WBY393234:WCB393234 WLU393234:WLX393234 WVQ393234:WVT393234 AT458770:AW458770 JE458770:JH458770 TA458770:TD458770 ACW458770:ACZ458770 AMS458770:AMV458770 AWO458770:AWR458770 BGK458770:BGN458770 BQG458770:BQJ458770 CAC458770:CAF458770 CJY458770:CKB458770 CTU458770:CTX458770 DDQ458770:DDT458770 DNM458770:DNP458770 DXI458770:DXL458770 EHE458770:EHH458770 ERA458770:ERD458770 FAW458770:FAZ458770 FKS458770:FKV458770 FUO458770:FUR458770 GEK458770:GEN458770 GOG458770:GOJ458770 GYC458770:GYF458770 HHY458770:HIB458770 HRU458770:HRX458770 IBQ458770:IBT458770 ILM458770:ILP458770 IVI458770:IVL458770 JFE458770:JFH458770 JPA458770:JPD458770 JYW458770:JYZ458770 KIS458770:KIV458770 KSO458770:KSR458770 LCK458770:LCN458770 LMG458770:LMJ458770 LWC458770:LWF458770 MFY458770:MGB458770 MPU458770:MPX458770 MZQ458770:MZT458770 NJM458770:NJP458770 NTI458770:NTL458770 ODE458770:ODH458770 ONA458770:OND458770 OWW458770:OWZ458770 PGS458770:PGV458770 PQO458770:PQR458770 QAK458770:QAN458770 QKG458770:QKJ458770 QUC458770:QUF458770 RDY458770:REB458770 RNU458770:RNX458770 RXQ458770:RXT458770 SHM458770:SHP458770 SRI458770:SRL458770 TBE458770:TBH458770 TLA458770:TLD458770 TUW458770:TUZ458770 UES458770:UEV458770 UOO458770:UOR458770 UYK458770:UYN458770 VIG458770:VIJ458770 VSC458770:VSF458770 WBY458770:WCB458770 WLU458770:WLX458770 WVQ458770:WVT458770 AT524306:AW524306 JE524306:JH524306 TA524306:TD524306 ACW524306:ACZ524306 AMS524306:AMV524306 AWO524306:AWR524306 BGK524306:BGN524306 BQG524306:BQJ524306 CAC524306:CAF524306 CJY524306:CKB524306 CTU524306:CTX524306 DDQ524306:DDT524306 DNM524306:DNP524306 DXI524306:DXL524306 EHE524306:EHH524306 ERA524306:ERD524306 FAW524306:FAZ524306 FKS524306:FKV524306 FUO524306:FUR524306 GEK524306:GEN524306 GOG524306:GOJ524306 GYC524306:GYF524306 HHY524306:HIB524306 HRU524306:HRX524306 IBQ524306:IBT524306 ILM524306:ILP524306 IVI524306:IVL524306 JFE524306:JFH524306 JPA524306:JPD524306 JYW524306:JYZ524306 KIS524306:KIV524306 KSO524306:KSR524306 LCK524306:LCN524306 LMG524306:LMJ524306 LWC524306:LWF524306 MFY524306:MGB524306 MPU524306:MPX524306 MZQ524306:MZT524306 NJM524306:NJP524306 NTI524306:NTL524306 ODE524306:ODH524306 ONA524306:OND524306 OWW524306:OWZ524306 PGS524306:PGV524306 PQO524306:PQR524306 QAK524306:QAN524306 QKG524306:QKJ524306 QUC524306:QUF524306 RDY524306:REB524306 RNU524306:RNX524306 RXQ524306:RXT524306 SHM524306:SHP524306 SRI524306:SRL524306 TBE524306:TBH524306 TLA524306:TLD524306 TUW524306:TUZ524306 UES524306:UEV524306 UOO524306:UOR524306 UYK524306:UYN524306 VIG524306:VIJ524306 VSC524306:VSF524306 WBY524306:WCB524306 WLU524306:WLX524306 WVQ524306:WVT524306 AT589842:AW589842 JE589842:JH589842 TA589842:TD589842 ACW589842:ACZ589842 AMS589842:AMV589842 AWO589842:AWR589842 BGK589842:BGN589842 BQG589842:BQJ589842 CAC589842:CAF589842 CJY589842:CKB589842 CTU589842:CTX589842 DDQ589842:DDT589842 DNM589842:DNP589842 DXI589842:DXL589842 EHE589842:EHH589842 ERA589842:ERD589842 FAW589842:FAZ589842 FKS589842:FKV589842 FUO589842:FUR589842 GEK589842:GEN589842 GOG589842:GOJ589842 GYC589842:GYF589842 HHY589842:HIB589842 HRU589842:HRX589842 IBQ589842:IBT589842 ILM589842:ILP589842 IVI589842:IVL589842 JFE589842:JFH589842 JPA589842:JPD589842 JYW589842:JYZ589842 KIS589842:KIV589842 KSO589842:KSR589842 LCK589842:LCN589842 LMG589842:LMJ589842 LWC589842:LWF589842 MFY589842:MGB589842 MPU589842:MPX589842 MZQ589842:MZT589842 NJM589842:NJP589842 NTI589842:NTL589842 ODE589842:ODH589842 ONA589842:OND589842 OWW589842:OWZ589842 PGS589842:PGV589842 PQO589842:PQR589842 QAK589842:QAN589842 QKG589842:QKJ589842 QUC589842:QUF589842 RDY589842:REB589842 RNU589842:RNX589842 RXQ589842:RXT589842 SHM589842:SHP589842 SRI589842:SRL589842 TBE589842:TBH589842 TLA589842:TLD589842 TUW589842:TUZ589842 UES589842:UEV589842 UOO589842:UOR589842 UYK589842:UYN589842 VIG589842:VIJ589842 VSC589842:VSF589842 WBY589842:WCB589842 WLU589842:WLX589842 WVQ589842:WVT589842 AT655378:AW655378 JE655378:JH655378 TA655378:TD655378 ACW655378:ACZ655378 AMS655378:AMV655378 AWO655378:AWR655378 BGK655378:BGN655378 BQG655378:BQJ655378 CAC655378:CAF655378 CJY655378:CKB655378 CTU655378:CTX655378 DDQ655378:DDT655378 DNM655378:DNP655378 DXI655378:DXL655378 EHE655378:EHH655378 ERA655378:ERD655378 FAW655378:FAZ655378 FKS655378:FKV655378 FUO655378:FUR655378 GEK655378:GEN655378 GOG655378:GOJ655378 GYC655378:GYF655378 HHY655378:HIB655378 HRU655378:HRX655378 IBQ655378:IBT655378 ILM655378:ILP655378 IVI655378:IVL655378 JFE655378:JFH655378 JPA655378:JPD655378 JYW655378:JYZ655378 KIS655378:KIV655378 KSO655378:KSR655378 LCK655378:LCN655378 LMG655378:LMJ655378 LWC655378:LWF655378 MFY655378:MGB655378 MPU655378:MPX655378 MZQ655378:MZT655378 NJM655378:NJP655378 NTI655378:NTL655378 ODE655378:ODH655378 ONA655378:OND655378 OWW655378:OWZ655378 PGS655378:PGV655378 PQO655378:PQR655378 QAK655378:QAN655378 QKG655378:QKJ655378 QUC655378:QUF655378 RDY655378:REB655378 RNU655378:RNX655378 RXQ655378:RXT655378 SHM655378:SHP655378 SRI655378:SRL655378 TBE655378:TBH655378 TLA655378:TLD655378 TUW655378:TUZ655378 UES655378:UEV655378 UOO655378:UOR655378 UYK655378:UYN655378 VIG655378:VIJ655378 VSC655378:VSF655378 WBY655378:WCB655378 WLU655378:WLX655378 WVQ655378:WVT655378 AT720914:AW720914 JE720914:JH720914 TA720914:TD720914 ACW720914:ACZ720914 AMS720914:AMV720914 AWO720914:AWR720914 BGK720914:BGN720914 BQG720914:BQJ720914 CAC720914:CAF720914 CJY720914:CKB720914 CTU720914:CTX720914 DDQ720914:DDT720914 DNM720914:DNP720914 DXI720914:DXL720914 EHE720914:EHH720914 ERA720914:ERD720914 FAW720914:FAZ720914 FKS720914:FKV720914 FUO720914:FUR720914 GEK720914:GEN720914 GOG720914:GOJ720914 GYC720914:GYF720914 HHY720914:HIB720914 HRU720914:HRX720914 IBQ720914:IBT720914 ILM720914:ILP720914 IVI720914:IVL720914 JFE720914:JFH720914 JPA720914:JPD720914 JYW720914:JYZ720914 KIS720914:KIV720914 KSO720914:KSR720914 LCK720914:LCN720914 LMG720914:LMJ720914 LWC720914:LWF720914 MFY720914:MGB720914 MPU720914:MPX720914 MZQ720914:MZT720914 NJM720914:NJP720914 NTI720914:NTL720914 ODE720914:ODH720914 ONA720914:OND720914 OWW720914:OWZ720914 PGS720914:PGV720914 PQO720914:PQR720914 QAK720914:QAN720914 QKG720914:QKJ720914 QUC720914:QUF720914 RDY720914:REB720914 RNU720914:RNX720914 RXQ720914:RXT720914 SHM720914:SHP720914 SRI720914:SRL720914 TBE720914:TBH720914 TLA720914:TLD720914 TUW720914:TUZ720914 UES720914:UEV720914 UOO720914:UOR720914 UYK720914:UYN720914 VIG720914:VIJ720914 VSC720914:VSF720914 WBY720914:WCB720914 WLU720914:WLX720914 WVQ720914:WVT720914 AT786450:AW786450 JE786450:JH786450 TA786450:TD786450 ACW786450:ACZ786450 AMS786450:AMV786450 AWO786450:AWR786450 BGK786450:BGN786450 BQG786450:BQJ786450 CAC786450:CAF786450 CJY786450:CKB786450 CTU786450:CTX786450 DDQ786450:DDT786450 DNM786450:DNP786450 DXI786450:DXL786450 EHE786450:EHH786450 ERA786450:ERD786450 FAW786450:FAZ786450 FKS786450:FKV786450 FUO786450:FUR786450 GEK786450:GEN786450 GOG786450:GOJ786450 GYC786450:GYF786450 HHY786450:HIB786450 HRU786450:HRX786450 IBQ786450:IBT786450 ILM786450:ILP786450 IVI786450:IVL786450 JFE786450:JFH786450 JPA786450:JPD786450 JYW786450:JYZ786450 KIS786450:KIV786450 KSO786450:KSR786450 LCK786450:LCN786450 LMG786450:LMJ786450 LWC786450:LWF786450 MFY786450:MGB786450 MPU786450:MPX786450 MZQ786450:MZT786450 NJM786450:NJP786450 NTI786450:NTL786450 ODE786450:ODH786450 ONA786450:OND786450 OWW786450:OWZ786450 PGS786450:PGV786450 PQO786450:PQR786450 QAK786450:QAN786450 QKG786450:QKJ786450 QUC786450:QUF786450 RDY786450:REB786450 RNU786450:RNX786450 RXQ786450:RXT786450 SHM786450:SHP786450 SRI786450:SRL786450 TBE786450:TBH786450 TLA786450:TLD786450 TUW786450:TUZ786450 UES786450:UEV786450 UOO786450:UOR786450 UYK786450:UYN786450 VIG786450:VIJ786450 VSC786450:VSF786450 WBY786450:WCB786450 WLU786450:WLX786450 WVQ786450:WVT786450 AT851986:AW851986 JE851986:JH851986 TA851986:TD851986 ACW851986:ACZ851986 AMS851986:AMV851986 AWO851986:AWR851986 BGK851986:BGN851986 BQG851986:BQJ851986 CAC851986:CAF851986 CJY851986:CKB851986 CTU851986:CTX851986 DDQ851986:DDT851986 DNM851986:DNP851986 DXI851986:DXL851986 EHE851986:EHH851986 ERA851986:ERD851986 FAW851986:FAZ851986 FKS851986:FKV851986 FUO851986:FUR851986 GEK851986:GEN851986 GOG851986:GOJ851986 GYC851986:GYF851986 HHY851986:HIB851986 HRU851986:HRX851986 IBQ851986:IBT851986 ILM851986:ILP851986 IVI851986:IVL851986 JFE851986:JFH851986 JPA851986:JPD851986 JYW851986:JYZ851986 KIS851986:KIV851986 KSO851986:KSR851986 LCK851986:LCN851986 LMG851986:LMJ851986 LWC851986:LWF851986 MFY851986:MGB851986 MPU851986:MPX851986 MZQ851986:MZT851986 NJM851986:NJP851986 NTI851986:NTL851986 ODE851986:ODH851986 ONA851986:OND851986 OWW851986:OWZ851986 PGS851986:PGV851986 PQO851986:PQR851986 QAK851986:QAN851986 QKG851986:QKJ851986 QUC851986:QUF851986 RDY851986:REB851986 RNU851986:RNX851986 RXQ851986:RXT851986 SHM851986:SHP851986 SRI851986:SRL851986 TBE851986:TBH851986 TLA851986:TLD851986 TUW851986:TUZ851986 UES851986:UEV851986 UOO851986:UOR851986 UYK851986:UYN851986 VIG851986:VIJ851986 VSC851986:VSF851986 WBY851986:WCB851986 WLU851986:WLX851986 WVQ851986:WVT851986 AT917522:AW917522 JE917522:JH917522 TA917522:TD917522 ACW917522:ACZ917522 AMS917522:AMV917522 AWO917522:AWR917522 BGK917522:BGN917522 BQG917522:BQJ917522 CAC917522:CAF917522 CJY917522:CKB917522 CTU917522:CTX917522 DDQ917522:DDT917522 DNM917522:DNP917522 DXI917522:DXL917522 EHE917522:EHH917522 ERA917522:ERD917522 FAW917522:FAZ917522 FKS917522:FKV917522 FUO917522:FUR917522 GEK917522:GEN917522 GOG917522:GOJ917522 GYC917522:GYF917522 HHY917522:HIB917522 HRU917522:HRX917522 IBQ917522:IBT917522 ILM917522:ILP917522 IVI917522:IVL917522 JFE917522:JFH917522 JPA917522:JPD917522 JYW917522:JYZ917522 KIS917522:KIV917522 KSO917522:KSR917522 LCK917522:LCN917522 LMG917522:LMJ917522 LWC917522:LWF917522 MFY917522:MGB917522 MPU917522:MPX917522 MZQ917522:MZT917522 NJM917522:NJP917522 NTI917522:NTL917522 ODE917522:ODH917522 ONA917522:OND917522 OWW917522:OWZ917522 PGS917522:PGV917522 PQO917522:PQR917522 QAK917522:QAN917522 QKG917522:QKJ917522 QUC917522:QUF917522 RDY917522:REB917522 RNU917522:RNX917522 RXQ917522:RXT917522 SHM917522:SHP917522 SRI917522:SRL917522 TBE917522:TBH917522 TLA917522:TLD917522 TUW917522:TUZ917522 UES917522:UEV917522 UOO917522:UOR917522 UYK917522:UYN917522 VIG917522:VIJ917522 VSC917522:VSF917522 WBY917522:WCB917522 WLU917522:WLX917522 WVQ917522:WVT917522 AT983058:AW983058 JE983058:JH983058 TA983058:TD983058 ACW983058:ACZ983058 AMS983058:AMV983058 AWO983058:AWR983058 BGK983058:BGN983058 BQG983058:BQJ983058 CAC983058:CAF983058 CJY983058:CKB983058 CTU983058:CTX983058 DDQ983058:DDT983058 DNM983058:DNP983058 DXI983058:DXL983058 EHE983058:EHH983058 ERA983058:ERD983058 FAW983058:FAZ983058 FKS983058:FKV983058 FUO983058:FUR983058 GEK983058:GEN983058 GOG983058:GOJ983058 GYC983058:GYF983058 HHY983058:HIB983058 HRU983058:HRX983058 IBQ983058:IBT983058 ILM983058:ILP983058 IVI983058:IVL983058 JFE983058:JFH983058 JPA983058:JPD983058 JYW983058:JYZ983058 KIS983058:KIV983058 KSO983058:KSR983058 LCK983058:LCN983058 LMG983058:LMJ983058 LWC983058:LWF983058 MFY983058:MGB983058 MPU983058:MPX983058 MZQ983058:MZT983058 NJM983058:NJP983058 NTI983058:NTL983058 ODE983058:ODH983058 ONA983058:OND983058 OWW983058:OWZ983058 PGS983058:PGV983058 PQO983058:PQR983058 QAK983058:QAN983058 QKG983058:QKJ983058 QUC983058:QUF983058 RDY983058:REB983058 RNU983058:RNX983058 RXQ983058:RXT983058 SHM983058:SHP983058 SRI983058:SRL983058 TBE983058:TBH983058 TLA983058:TLD983058 TUW983058:TUZ983058 UES983058:UEV983058 UOO983058:UOR983058 UYK983058:UYN983058 VIG983058:VIJ983058 VSC983058:VSF983058 WBY983058:WCB983058 WLU983058:WLX983058 WVQ983058:WVT983058 AO983057:AR983057 IZ983057:JC983057 SV983057:SY983057 ACR983057:ACU983057 AMN983057:AMQ983057 AWJ983057:AWM983057 BGF983057:BGI983057 BQB983057:BQE983057 BZX983057:CAA983057 CJT983057:CJW983057 CTP983057:CTS983057 DDL983057:DDO983057 DNH983057:DNK983057 DXD983057:DXG983057 EGZ983057:EHC983057 EQV983057:EQY983057 FAR983057:FAU983057 FKN983057:FKQ983057 FUJ983057:FUM983057 GEF983057:GEI983057 GOB983057:GOE983057 GXX983057:GYA983057 HHT983057:HHW983057 HRP983057:HRS983057 IBL983057:IBO983057 ILH983057:ILK983057 IVD983057:IVG983057 JEZ983057:JFC983057 JOV983057:JOY983057 JYR983057:JYU983057 KIN983057:KIQ983057 KSJ983057:KSM983057 LCF983057:LCI983057 LMB983057:LME983057 LVX983057:LWA983057 MFT983057:MFW983057 MPP983057:MPS983057 MZL983057:MZO983057 NJH983057:NJK983057 NTD983057:NTG983057 OCZ983057:ODC983057 OMV983057:OMY983057 OWR983057:OWU983057 PGN983057:PGQ983057 PQJ983057:PQM983057 QAF983057:QAI983057 QKB983057:QKE983057 QTX983057:QUA983057 RDT983057:RDW983057 RNP983057:RNS983057 RXL983057:RXO983057 SHH983057:SHK983057 SRD983057:SRG983057 TAZ983057:TBC983057 TKV983057:TKY983057 TUR983057:TUU983057 UEN983057:UEQ983057 UOJ983057:UOM983057 UYF983057:UYI983057 VIB983057:VIE983057 VRX983057:VSA983057 WBT983057:WBW983057 WLP983057:WLS983057 WVL983057:WVO983057 AO65553:AR65553 IZ65553:JC65553 SV65553:SY65553 ACR65553:ACU65553 AMN65553:AMQ65553 AWJ65553:AWM65553 BGF65553:BGI65553 BQB65553:BQE65553 BZX65553:CAA65553 CJT65553:CJW65553 CTP65553:CTS65553 DDL65553:DDO65553 DNH65553:DNK65553 DXD65553:DXG65553 EGZ65553:EHC65553 EQV65553:EQY65553 FAR65553:FAU65553 FKN65553:FKQ65553 FUJ65553:FUM65553 GEF65553:GEI65553 GOB65553:GOE65553 GXX65553:GYA65553 HHT65553:HHW65553 HRP65553:HRS65553 IBL65553:IBO65553 ILH65553:ILK65553 IVD65553:IVG65553 JEZ65553:JFC65553 JOV65553:JOY65553 JYR65553:JYU65553 KIN65553:KIQ65553 KSJ65553:KSM65553 LCF65553:LCI65553 LMB65553:LME65553 LVX65553:LWA65553 MFT65553:MFW65553 MPP65553:MPS65553 MZL65553:MZO65553 NJH65553:NJK65553 NTD65553:NTG65553 OCZ65553:ODC65553 OMV65553:OMY65553 OWR65553:OWU65553 PGN65553:PGQ65553 PQJ65553:PQM65553 QAF65553:QAI65553 QKB65553:QKE65553 QTX65553:QUA65553 RDT65553:RDW65553 RNP65553:RNS65553 RXL65553:RXO65553 SHH65553:SHK65553 SRD65553:SRG65553 TAZ65553:TBC65553 TKV65553:TKY65553 TUR65553:TUU65553 UEN65553:UEQ65553 UOJ65553:UOM65553 UYF65553:UYI65553 VIB65553:VIE65553 VRX65553:VSA65553 WBT65553:WBW65553 WLP65553:WLS65553 WVL65553:WVO65553 AO131089:AR131089 IZ131089:JC131089 SV131089:SY131089 ACR131089:ACU131089 AMN131089:AMQ131089 AWJ131089:AWM131089 BGF131089:BGI131089 BQB131089:BQE131089 BZX131089:CAA131089 CJT131089:CJW131089 CTP131089:CTS131089 DDL131089:DDO131089 DNH131089:DNK131089 DXD131089:DXG131089 EGZ131089:EHC131089 EQV131089:EQY131089 FAR131089:FAU131089 FKN131089:FKQ131089 FUJ131089:FUM131089 GEF131089:GEI131089 GOB131089:GOE131089 GXX131089:GYA131089 HHT131089:HHW131089 HRP131089:HRS131089 IBL131089:IBO131089 ILH131089:ILK131089 IVD131089:IVG131089 JEZ131089:JFC131089 JOV131089:JOY131089 JYR131089:JYU131089 KIN131089:KIQ131089 KSJ131089:KSM131089 LCF131089:LCI131089 LMB131089:LME131089 LVX131089:LWA131089 MFT131089:MFW131089 MPP131089:MPS131089 MZL131089:MZO131089 NJH131089:NJK131089 NTD131089:NTG131089 OCZ131089:ODC131089 OMV131089:OMY131089 OWR131089:OWU131089 PGN131089:PGQ131089 PQJ131089:PQM131089 QAF131089:QAI131089 QKB131089:QKE131089 QTX131089:QUA131089 RDT131089:RDW131089 RNP131089:RNS131089 RXL131089:RXO131089 SHH131089:SHK131089 SRD131089:SRG131089 TAZ131089:TBC131089 TKV131089:TKY131089 TUR131089:TUU131089 UEN131089:UEQ131089 UOJ131089:UOM131089 UYF131089:UYI131089 VIB131089:VIE131089 VRX131089:VSA131089 WBT131089:WBW131089 WLP131089:WLS131089 WVL131089:WVO131089 AO196625:AR196625 IZ196625:JC196625 SV196625:SY196625 ACR196625:ACU196625 AMN196625:AMQ196625 AWJ196625:AWM196625 BGF196625:BGI196625 BQB196625:BQE196625 BZX196625:CAA196625 CJT196625:CJW196625 CTP196625:CTS196625 DDL196625:DDO196625 DNH196625:DNK196625 DXD196625:DXG196625 EGZ196625:EHC196625 EQV196625:EQY196625 FAR196625:FAU196625 FKN196625:FKQ196625 FUJ196625:FUM196625 GEF196625:GEI196625 GOB196625:GOE196625 GXX196625:GYA196625 HHT196625:HHW196625 HRP196625:HRS196625 IBL196625:IBO196625 ILH196625:ILK196625 IVD196625:IVG196625 JEZ196625:JFC196625 JOV196625:JOY196625 JYR196625:JYU196625 KIN196625:KIQ196625 KSJ196625:KSM196625 LCF196625:LCI196625 LMB196625:LME196625 LVX196625:LWA196625 MFT196625:MFW196625 MPP196625:MPS196625 MZL196625:MZO196625 NJH196625:NJK196625 NTD196625:NTG196625 OCZ196625:ODC196625 OMV196625:OMY196625 OWR196625:OWU196625 PGN196625:PGQ196625 PQJ196625:PQM196625 QAF196625:QAI196625 QKB196625:QKE196625 QTX196625:QUA196625 RDT196625:RDW196625 RNP196625:RNS196625 RXL196625:RXO196625 SHH196625:SHK196625 SRD196625:SRG196625 TAZ196625:TBC196625 TKV196625:TKY196625 TUR196625:TUU196625 UEN196625:UEQ196625 UOJ196625:UOM196625 UYF196625:UYI196625 VIB196625:VIE196625 VRX196625:VSA196625 WBT196625:WBW196625 WLP196625:WLS196625 WVL196625:WVO196625 AO262161:AR262161 IZ262161:JC262161 SV262161:SY262161 ACR262161:ACU262161 AMN262161:AMQ262161 AWJ262161:AWM262161 BGF262161:BGI262161 BQB262161:BQE262161 BZX262161:CAA262161 CJT262161:CJW262161 CTP262161:CTS262161 DDL262161:DDO262161 DNH262161:DNK262161 DXD262161:DXG262161 EGZ262161:EHC262161 EQV262161:EQY262161 FAR262161:FAU262161 FKN262161:FKQ262161 FUJ262161:FUM262161 GEF262161:GEI262161 GOB262161:GOE262161 GXX262161:GYA262161 HHT262161:HHW262161 HRP262161:HRS262161 IBL262161:IBO262161 ILH262161:ILK262161 IVD262161:IVG262161 JEZ262161:JFC262161 JOV262161:JOY262161 JYR262161:JYU262161 KIN262161:KIQ262161 KSJ262161:KSM262161 LCF262161:LCI262161 LMB262161:LME262161 LVX262161:LWA262161 MFT262161:MFW262161 MPP262161:MPS262161 MZL262161:MZO262161 NJH262161:NJK262161 NTD262161:NTG262161 OCZ262161:ODC262161 OMV262161:OMY262161 OWR262161:OWU262161 PGN262161:PGQ262161 PQJ262161:PQM262161 QAF262161:QAI262161 QKB262161:QKE262161 QTX262161:QUA262161 RDT262161:RDW262161 RNP262161:RNS262161 RXL262161:RXO262161 SHH262161:SHK262161 SRD262161:SRG262161 TAZ262161:TBC262161 TKV262161:TKY262161 TUR262161:TUU262161 UEN262161:UEQ262161 UOJ262161:UOM262161 UYF262161:UYI262161 VIB262161:VIE262161 VRX262161:VSA262161 WBT262161:WBW262161 WLP262161:WLS262161 WVL262161:WVO262161 AO327697:AR327697 IZ327697:JC327697 SV327697:SY327697 ACR327697:ACU327697 AMN327697:AMQ327697 AWJ327697:AWM327697 BGF327697:BGI327697 BQB327697:BQE327697 BZX327697:CAA327697 CJT327697:CJW327697 CTP327697:CTS327697 DDL327697:DDO327697 DNH327697:DNK327697 DXD327697:DXG327697 EGZ327697:EHC327697 EQV327697:EQY327697 FAR327697:FAU327697 FKN327697:FKQ327697 FUJ327697:FUM327697 GEF327697:GEI327697 GOB327697:GOE327697 GXX327697:GYA327697 HHT327697:HHW327697 HRP327697:HRS327697 IBL327697:IBO327697 ILH327697:ILK327697 IVD327697:IVG327697 JEZ327697:JFC327697 JOV327697:JOY327697 JYR327697:JYU327697 KIN327697:KIQ327697 KSJ327697:KSM327697 LCF327697:LCI327697 LMB327697:LME327697 LVX327697:LWA327697 MFT327697:MFW327697 MPP327697:MPS327697 MZL327697:MZO327697 NJH327697:NJK327697 NTD327697:NTG327697 OCZ327697:ODC327697 OMV327697:OMY327697 OWR327697:OWU327697 PGN327697:PGQ327697 PQJ327697:PQM327697 QAF327697:QAI327697 QKB327697:QKE327697 QTX327697:QUA327697 RDT327697:RDW327697 RNP327697:RNS327697 RXL327697:RXO327697 SHH327697:SHK327697 SRD327697:SRG327697 TAZ327697:TBC327697 TKV327697:TKY327697 TUR327697:TUU327697 UEN327697:UEQ327697 UOJ327697:UOM327697 UYF327697:UYI327697 VIB327697:VIE327697 VRX327697:VSA327697 WBT327697:WBW327697 WLP327697:WLS327697 WVL327697:WVO327697 AO393233:AR393233 IZ393233:JC393233 SV393233:SY393233 ACR393233:ACU393233 AMN393233:AMQ393233 AWJ393233:AWM393233 BGF393233:BGI393233 BQB393233:BQE393233 BZX393233:CAA393233 CJT393233:CJW393233 CTP393233:CTS393233 DDL393233:DDO393233 DNH393233:DNK393233 DXD393233:DXG393233 EGZ393233:EHC393233 EQV393233:EQY393233 FAR393233:FAU393233 FKN393233:FKQ393233 FUJ393233:FUM393233 GEF393233:GEI393233 GOB393233:GOE393233 GXX393233:GYA393233 HHT393233:HHW393233 HRP393233:HRS393233 IBL393233:IBO393233 ILH393233:ILK393233 IVD393233:IVG393233 JEZ393233:JFC393233 JOV393233:JOY393233 JYR393233:JYU393233 KIN393233:KIQ393233 KSJ393233:KSM393233 LCF393233:LCI393233 LMB393233:LME393233 LVX393233:LWA393233 MFT393233:MFW393233 MPP393233:MPS393233 MZL393233:MZO393233 NJH393233:NJK393233 NTD393233:NTG393233 OCZ393233:ODC393233 OMV393233:OMY393233 OWR393233:OWU393233 PGN393233:PGQ393233 PQJ393233:PQM393233 QAF393233:QAI393233 QKB393233:QKE393233 QTX393233:QUA393233 RDT393233:RDW393233 RNP393233:RNS393233 RXL393233:RXO393233 SHH393233:SHK393233 SRD393233:SRG393233 TAZ393233:TBC393233 TKV393233:TKY393233 TUR393233:TUU393233 UEN393233:UEQ393233 UOJ393233:UOM393233 UYF393233:UYI393233 VIB393233:VIE393233 VRX393233:VSA393233 WBT393233:WBW393233 WLP393233:WLS393233 WVL393233:WVO393233 AO458769:AR458769 IZ458769:JC458769 SV458769:SY458769 ACR458769:ACU458769 AMN458769:AMQ458769 AWJ458769:AWM458769 BGF458769:BGI458769 BQB458769:BQE458769 BZX458769:CAA458769 CJT458769:CJW458769 CTP458769:CTS458769 DDL458769:DDO458769 DNH458769:DNK458769 DXD458769:DXG458769 EGZ458769:EHC458769 EQV458769:EQY458769 FAR458769:FAU458769 FKN458769:FKQ458769 FUJ458769:FUM458769 GEF458769:GEI458769 GOB458769:GOE458769 GXX458769:GYA458769 HHT458769:HHW458769 HRP458769:HRS458769 IBL458769:IBO458769 ILH458769:ILK458769 IVD458769:IVG458769 JEZ458769:JFC458769 JOV458769:JOY458769 JYR458769:JYU458769 KIN458769:KIQ458769 KSJ458769:KSM458769 LCF458769:LCI458769 LMB458769:LME458769 LVX458769:LWA458769 MFT458769:MFW458769 MPP458769:MPS458769 MZL458769:MZO458769 NJH458769:NJK458769 NTD458769:NTG458769 OCZ458769:ODC458769 OMV458769:OMY458769 OWR458769:OWU458769 PGN458769:PGQ458769 PQJ458769:PQM458769 QAF458769:QAI458769 QKB458769:QKE458769 QTX458769:QUA458769 RDT458769:RDW458769 RNP458769:RNS458769 RXL458769:RXO458769 SHH458769:SHK458769 SRD458769:SRG458769 TAZ458769:TBC458769 TKV458769:TKY458769 TUR458769:TUU458769 UEN458769:UEQ458769 UOJ458769:UOM458769 UYF458769:UYI458769 VIB458769:VIE458769 VRX458769:VSA458769 WBT458769:WBW458769 WLP458769:WLS458769 WVL458769:WVO458769 AO524305:AR524305 IZ524305:JC524305 SV524305:SY524305 ACR524305:ACU524305 AMN524305:AMQ524305 AWJ524305:AWM524305 BGF524305:BGI524305 BQB524305:BQE524305 BZX524305:CAA524305 CJT524305:CJW524305 CTP524305:CTS524305 DDL524305:DDO524305 DNH524305:DNK524305 DXD524305:DXG524305 EGZ524305:EHC524305 EQV524305:EQY524305 FAR524305:FAU524305 FKN524305:FKQ524305 FUJ524305:FUM524305 GEF524305:GEI524305 GOB524305:GOE524305 GXX524305:GYA524305 HHT524305:HHW524305 HRP524305:HRS524305 IBL524305:IBO524305 ILH524305:ILK524305 IVD524305:IVG524305 JEZ524305:JFC524305 JOV524305:JOY524305 JYR524305:JYU524305 KIN524305:KIQ524305 KSJ524305:KSM524305 LCF524305:LCI524305 LMB524305:LME524305 LVX524305:LWA524305 MFT524305:MFW524305 MPP524305:MPS524305 MZL524305:MZO524305 NJH524305:NJK524305 NTD524305:NTG524305 OCZ524305:ODC524305 OMV524305:OMY524305 OWR524305:OWU524305 PGN524305:PGQ524305 PQJ524305:PQM524305 QAF524305:QAI524305 QKB524305:QKE524305 QTX524305:QUA524305 RDT524305:RDW524305 RNP524305:RNS524305 RXL524305:RXO524305 SHH524305:SHK524305 SRD524305:SRG524305 TAZ524305:TBC524305 TKV524305:TKY524305 TUR524305:TUU524305 UEN524305:UEQ524305 UOJ524305:UOM524305 UYF524305:UYI524305 VIB524305:VIE524305 VRX524305:VSA524305 WBT524305:WBW524305 WLP524305:WLS524305 WVL524305:WVO524305 AO589841:AR589841 IZ589841:JC589841 SV589841:SY589841 ACR589841:ACU589841 AMN589841:AMQ589841 AWJ589841:AWM589841 BGF589841:BGI589841 BQB589841:BQE589841 BZX589841:CAA589841 CJT589841:CJW589841 CTP589841:CTS589841 DDL589841:DDO589841 DNH589841:DNK589841 DXD589841:DXG589841 EGZ589841:EHC589841 EQV589841:EQY589841 FAR589841:FAU589841 FKN589841:FKQ589841 FUJ589841:FUM589841 GEF589841:GEI589841 GOB589841:GOE589841 GXX589841:GYA589841 HHT589841:HHW589841 HRP589841:HRS589841 IBL589841:IBO589841 ILH589841:ILK589841 IVD589841:IVG589841 JEZ589841:JFC589841 JOV589841:JOY589841 JYR589841:JYU589841 KIN589841:KIQ589841 KSJ589841:KSM589841 LCF589841:LCI589841 LMB589841:LME589841 LVX589841:LWA589841 MFT589841:MFW589841 MPP589841:MPS589841 MZL589841:MZO589841 NJH589841:NJK589841 NTD589841:NTG589841 OCZ589841:ODC589841 OMV589841:OMY589841 OWR589841:OWU589841 PGN589841:PGQ589841 PQJ589841:PQM589841 QAF589841:QAI589841 QKB589841:QKE589841 QTX589841:QUA589841 RDT589841:RDW589841 RNP589841:RNS589841 RXL589841:RXO589841 SHH589841:SHK589841 SRD589841:SRG589841 TAZ589841:TBC589841 TKV589841:TKY589841 TUR589841:TUU589841 UEN589841:UEQ589841 UOJ589841:UOM589841 UYF589841:UYI589841 VIB589841:VIE589841 VRX589841:VSA589841 WBT589841:WBW589841 WLP589841:WLS589841 WVL589841:WVO589841 AO655377:AR655377 IZ655377:JC655377 SV655377:SY655377 ACR655377:ACU655377 AMN655377:AMQ655377 AWJ655377:AWM655377 BGF655377:BGI655377 BQB655377:BQE655377 BZX655377:CAA655377 CJT655377:CJW655377 CTP655377:CTS655377 DDL655377:DDO655377 DNH655377:DNK655377 DXD655377:DXG655377 EGZ655377:EHC655377 EQV655377:EQY655377 FAR655377:FAU655377 FKN655377:FKQ655377 FUJ655377:FUM655377 GEF655377:GEI655377 GOB655377:GOE655377 GXX655377:GYA655377 HHT655377:HHW655377 HRP655377:HRS655377 IBL655377:IBO655377 ILH655377:ILK655377 IVD655377:IVG655377 JEZ655377:JFC655377 JOV655377:JOY655377 JYR655377:JYU655377 KIN655377:KIQ655377 KSJ655377:KSM655377 LCF655377:LCI655377 LMB655377:LME655377 LVX655377:LWA655377 MFT655377:MFW655377 MPP655377:MPS655377 MZL655377:MZO655377 NJH655377:NJK655377 NTD655377:NTG655377 OCZ655377:ODC655377 OMV655377:OMY655377 OWR655377:OWU655377 PGN655377:PGQ655377 PQJ655377:PQM655377 QAF655377:QAI655377 QKB655377:QKE655377 QTX655377:QUA655377 RDT655377:RDW655377 RNP655377:RNS655377 RXL655377:RXO655377 SHH655377:SHK655377 SRD655377:SRG655377 TAZ655377:TBC655377 TKV655377:TKY655377 TUR655377:TUU655377 UEN655377:UEQ655377 UOJ655377:UOM655377 UYF655377:UYI655377 VIB655377:VIE655377 VRX655377:VSA655377 WBT655377:WBW655377 WLP655377:WLS655377 WVL655377:WVO655377 AO720913:AR720913 IZ720913:JC720913 SV720913:SY720913 ACR720913:ACU720913 AMN720913:AMQ720913 AWJ720913:AWM720913 BGF720913:BGI720913 BQB720913:BQE720913 BZX720913:CAA720913 CJT720913:CJW720913 CTP720913:CTS720913 DDL720913:DDO720913 DNH720913:DNK720913 DXD720913:DXG720913 EGZ720913:EHC720913 EQV720913:EQY720913 FAR720913:FAU720913 FKN720913:FKQ720913 FUJ720913:FUM720913 GEF720913:GEI720913 GOB720913:GOE720913 GXX720913:GYA720913 HHT720913:HHW720913 HRP720913:HRS720913 IBL720913:IBO720913 ILH720913:ILK720913 IVD720913:IVG720913 JEZ720913:JFC720913 JOV720913:JOY720913 JYR720913:JYU720913 KIN720913:KIQ720913 KSJ720913:KSM720913 LCF720913:LCI720913 LMB720913:LME720913 LVX720913:LWA720913 MFT720913:MFW720913 MPP720913:MPS720913 MZL720913:MZO720913 NJH720913:NJK720913 NTD720913:NTG720913 OCZ720913:ODC720913 OMV720913:OMY720913 OWR720913:OWU720913 PGN720913:PGQ720913 PQJ720913:PQM720913 QAF720913:QAI720913 QKB720913:QKE720913 QTX720913:QUA720913 RDT720913:RDW720913 RNP720913:RNS720913 RXL720913:RXO720913 SHH720913:SHK720913 SRD720913:SRG720913 TAZ720913:TBC720913 TKV720913:TKY720913 TUR720913:TUU720913 UEN720913:UEQ720913 UOJ720913:UOM720913 UYF720913:UYI720913 VIB720913:VIE720913 VRX720913:VSA720913 WBT720913:WBW720913 WLP720913:WLS720913 WVL720913:WVO720913 AO786449:AR786449 IZ786449:JC786449 SV786449:SY786449 ACR786449:ACU786449 AMN786449:AMQ786449 AWJ786449:AWM786449 BGF786449:BGI786449 BQB786449:BQE786449 BZX786449:CAA786449 CJT786449:CJW786449 CTP786449:CTS786449 DDL786449:DDO786449 DNH786449:DNK786449 DXD786449:DXG786449 EGZ786449:EHC786449 EQV786449:EQY786449 FAR786449:FAU786449 FKN786449:FKQ786449 FUJ786449:FUM786449 GEF786449:GEI786449 GOB786449:GOE786449 GXX786449:GYA786449 HHT786449:HHW786449 HRP786449:HRS786449 IBL786449:IBO786449 ILH786449:ILK786449 IVD786449:IVG786449 JEZ786449:JFC786449 JOV786449:JOY786449 JYR786449:JYU786449 KIN786449:KIQ786449 KSJ786449:KSM786449 LCF786449:LCI786449 LMB786449:LME786449 LVX786449:LWA786449 MFT786449:MFW786449 MPP786449:MPS786449 MZL786449:MZO786449 NJH786449:NJK786449 NTD786449:NTG786449 OCZ786449:ODC786449 OMV786449:OMY786449 OWR786449:OWU786449 PGN786449:PGQ786449 PQJ786449:PQM786449 QAF786449:QAI786449 QKB786449:QKE786449 QTX786449:QUA786449 RDT786449:RDW786449 RNP786449:RNS786449 RXL786449:RXO786449 SHH786449:SHK786449 SRD786449:SRG786449 TAZ786449:TBC786449 TKV786449:TKY786449 TUR786449:TUU786449 UEN786449:UEQ786449 UOJ786449:UOM786449 UYF786449:UYI786449 VIB786449:VIE786449 VRX786449:VSA786449 WBT786449:WBW786449 WLP786449:WLS786449 WVL786449:WVO786449 AO851985:AR851985 IZ851985:JC851985 SV851985:SY851985 ACR851985:ACU851985 AMN851985:AMQ851985 AWJ851985:AWM851985 BGF851985:BGI851985 BQB851985:BQE851985 BZX851985:CAA851985 CJT851985:CJW851985 CTP851985:CTS851985 DDL851985:DDO851985 DNH851985:DNK851985 DXD851985:DXG851985 EGZ851985:EHC851985 EQV851985:EQY851985 FAR851985:FAU851985 FKN851985:FKQ851985 FUJ851985:FUM851985 GEF851985:GEI851985 GOB851985:GOE851985 GXX851985:GYA851985 HHT851985:HHW851985 HRP851985:HRS851985 IBL851985:IBO851985 ILH851985:ILK851985 IVD851985:IVG851985 JEZ851985:JFC851985 JOV851985:JOY851985 JYR851985:JYU851985 KIN851985:KIQ851985 KSJ851985:KSM851985 LCF851985:LCI851985 LMB851985:LME851985 LVX851985:LWA851985 MFT851985:MFW851985 MPP851985:MPS851985 MZL851985:MZO851985 NJH851985:NJK851985 NTD851985:NTG851985 OCZ851985:ODC851985 OMV851985:OMY851985 OWR851985:OWU851985 PGN851985:PGQ851985 PQJ851985:PQM851985 QAF851985:QAI851985 QKB851985:QKE851985 QTX851985:QUA851985 RDT851985:RDW851985 RNP851985:RNS851985 RXL851985:RXO851985 SHH851985:SHK851985 SRD851985:SRG851985 TAZ851985:TBC851985 TKV851985:TKY851985 TUR851985:TUU851985 UEN851985:UEQ851985 UOJ851985:UOM851985 UYF851985:UYI851985 VIB851985:VIE851985 VRX851985:VSA851985 WBT851985:WBW851985 WLP851985:WLS851985 WVL851985:WVO851985 AO917521:AR917521 IZ917521:JC917521 SV917521:SY917521 ACR917521:ACU917521 AMN917521:AMQ917521 AWJ917521:AWM917521 BGF917521:BGI917521 BQB917521:BQE917521 BZX917521:CAA917521 CJT917521:CJW917521 CTP917521:CTS917521 DDL917521:DDO917521 DNH917521:DNK917521 DXD917521:DXG917521 EGZ917521:EHC917521 EQV917521:EQY917521 FAR917521:FAU917521 FKN917521:FKQ917521 FUJ917521:FUM917521 GEF917521:GEI917521 GOB917521:GOE917521 GXX917521:GYA917521 HHT917521:HHW917521 HRP917521:HRS917521 IBL917521:IBO917521 ILH917521:ILK917521 IVD917521:IVG917521 JEZ917521:JFC917521 JOV917521:JOY917521 JYR917521:JYU917521 KIN917521:KIQ917521 KSJ917521:KSM917521 LCF917521:LCI917521 LMB917521:LME917521 LVX917521:LWA917521 MFT917521:MFW917521 MPP917521:MPS917521 MZL917521:MZO917521 NJH917521:NJK917521 NTD917521:NTG917521 OCZ917521:ODC917521 OMV917521:OMY917521 OWR917521:OWU917521 PGN917521:PGQ917521 PQJ917521:PQM917521 QAF917521:QAI917521 QKB917521:QKE917521 QTX917521:QUA917521 RDT917521:RDW917521 RNP917521:RNS917521 RXL917521:RXO917521 SHH917521:SHK917521 SRD917521:SRG917521 TAZ917521:TBC917521 TKV917521:TKY917521 TUR917521:TUU917521 UEN917521:UEQ917521 UOJ917521:UOM917521 UYF917521:UYI917521 VIB917521:VIE917521 VRX917521:VSA917521 WBT917521:WBW917521 WLP917521:WLS917521 WVL917521:WVO917521 BG131104:BI131104 BG196640:BI196640 BG262176:BI262176 BG327712:BI327712 BG393248:BI393248 BG458784:BI458784 BG524320:BI524320 BG589856:BI589856 BG655392:BI655392 BG720928:BI720928 BG786464:BI786464 BG852000:BI852000 BG917536:BI917536 BG983072:BI983072 BA917535:BC917535 BA851999:BC851999 BA786463:BC786463 BA720927:BC720927 BA655391:BC655391 BA589855:BC589855 BA524319:BC524319 BA458783:BC458783 BA393247:BC393247 BA327711:BC327711 BA262175:BC262175 BA196639:BC196639 BA131103:BC131103 BA65567:BC65567 BG65568:BI65568 BA983071:BC983071 BD131104:BE131104 BD196640:BE196640 BD262176:BE262176 BD327712:BE327712 BD393248:BE393248 BD458784:BE458784 BD524320:BE524320 BD589856:BE589856 BD655392:BE655392 BD720928:BE720928 BD786464:BE786464 BD852000:BE852000 BD917536:BE917536 BD983072:BE983072 BD65568:BE65568" xr:uid="{53C29DC1-0999-47B9-9B02-82B124C1E4C2}">
      <formula1>"○, ○（オンライン処理設計書なし）"</formula1>
    </dataValidation>
    <dataValidation type="list" allowBlank="1" showInputMessage="1" showErrorMessage="1" sqref="X5:AA16" xr:uid="{83B9C60B-DBB6-46B3-92F5-B801B43DA58A}">
      <formula1>$P$20:$P$21</formula1>
    </dataValidation>
  </dataValidations>
  <pageMargins left="0.7" right="0.7" top="0.75" bottom="0.75" header="0.3" footer="0.3"/>
  <pageSetup paperSize="9" scale="53" fitToHeight="0" orientation="landscape"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47BED-4071-465F-A10C-2814D315EAF4}">
  <sheetPr>
    <pageSetUpPr fitToPage="1"/>
  </sheetPr>
  <dimension ref="A1:DZ65"/>
  <sheetViews>
    <sheetView showGridLines="0" view="pageBreakPreview" zoomScale="80" zoomScaleNormal="70" zoomScaleSheetLayoutView="80" workbookViewId="0">
      <selection sqref="A1:G1"/>
    </sheetView>
  </sheetViews>
  <sheetFormatPr defaultColWidth="2.54296875" defaultRowHeight="15"/>
  <cols>
    <col min="1" max="1" width="2.54296875" style="683"/>
    <col min="2" max="2" width="2.54296875" style="683" customWidth="1"/>
    <col min="3" max="10" width="2.54296875" style="683"/>
    <col min="11" max="16" width="3.26953125" style="683" customWidth="1"/>
    <col min="17" max="16384" width="2.54296875" style="683"/>
  </cols>
  <sheetData>
    <row r="1" spans="1:130" ht="13.75" customHeight="1">
      <c r="A1" s="873" t="s">
        <v>438</v>
      </c>
      <c r="B1" s="873"/>
      <c r="C1" s="873"/>
      <c r="D1" s="873"/>
      <c r="E1" s="873"/>
      <c r="F1" s="873"/>
      <c r="G1" s="873"/>
      <c r="H1" s="681"/>
      <c r="I1" s="681"/>
      <c r="J1" s="681"/>
      <c r="K1" s="681"/>
      <c r="L1" s="681"/>
      <c r="M1" s="681"/>
      <c r="N1" s="681"/>
      <c r="O1" s="681"/>
      <c r="P1" s="681"/>
      <c r="Q1" s="681"/>
      <c r="R1" s="681"/>
      <c r="S1" s="681"/>
      <c r="T1" s="681"/>
      <c r="U1" s="681"/>
      <c r="V1" s="681"/>
      <c r="W1" s="681"/>
      <c r="X1" s="681"/>
      <c r="Y1" s="681"/>
      <c r="Z1" s="681"/>
      <c r="AA1" s="681"/>
      <c r="AB1" s="681"/>
      <c r="AC1" s="681"/>
      <c r="AD1" s="681"/>
      <c r="AE1" s="681"/>
      <c r="AF1" s="681"/>
      <c r="AG1" s="681"/>
      <c r="AH1" s="681"/>
      <c r="AI1" s="681"/>
      <c r="AJ1" s="681"/>
      <c r="AK1" s="681"/>
      <c r="AL1" s="681"/>
      <c r="AM1" s="681"/>
      <c r="AN1" s="681"/>
      <c r="AO1" s="681"/>
      <c r="AP1" s="681"/>
      <c r="AQ1" s="681"/>
      <c r="AR1" s="681"/>
      <c r="AS1" s="681"/>
      <c r="AT1" s="681"/>
      <c r="AU1" s="681"/>
      <c r="AV1" s="681"/>
      <c r="AW1" s="681"/>
      <c r="AX1" s="681"/>
      <c r="AY1" s="681"/>
      <c r="AZ1" s="681"/>
      <c r="BA1" s="681"/>
      <c r="BB1" s="681"/>
      <c r="BC1" s="681"/>
      <c r="BD1" s="681"/>
      <c r="BE1" s="681"/>
      <c r="BF1" s="681"/>
      <c r="BG1" s="681"/>
      <c r="BH1" s="681"/>
      <c r="BI1" s="681"/>
      <c r="BJ1" s="681"/>
      <c r="BK1" s="681"/>
      <c r="BL1" s="681"/>
      <c r="BM1" s="681"/>
      <c r="BN1" s="681"/>
      <c r="BO1" s="681"/>
      <c r="BP1" s="681"/>
      <c r="BQ1" s="681"/>
      <c r="BR1" s="681"/>
      <c r="BS1" s="681"/>
      <c r="BT1" s="681"/>
      <c r="BU1" s="681"/>
      <c r="BV1" s="681"/>
      <c r="BW1" s="681"/>
      <c r="BX1" s="681"/>
      <c r="BY1" s="681"/>
      <c r="BZ1" s="681"/>
      <c r="CA1" s="681"/>
      <c r="CB1" s="681"/>
      <c r="CC1" s="681"/>
      <c r="CD1" s="681"/>
      <c r="CE1" s="681"/>
      <c r="CF1" s="681"/>
      <c r="CG1" s="681"/>
      <c r="CH1" s="681"/>
      <c r="CI1" s="681"/>
      <c r="CJ1" s="681"/>
      <c r="CK1" s="681"/>
      <c r="CL1" s="681"/>
      <c r="CM1" s="681"/>
      <c r="CN1" s="681"/>
      <c r="CO1" s="681"/>
      <c r="CP1" s="681"/>
      <c r="CQ1" s="681"/>
      <c r="CR1" s="681"/>
      <c r="CS1" s="681"/>
      <c r="CT1" s="681"/>
      <c r="CU1" s="681"/>
      <c r="CV1" s="681"/>
      <c r="CW1" s="681"/>
      <c r="CX1" s="681"/>
      <c r="CY1" s="681"/>
      <c r="CZ1" s="681"/>
      <c r="DA1" s="681"/>
      <c r="DB1" s="681"/>
      <c r="DC1" s="681"/>
      <c r="DD1" s="681"/>
      <c r="DE1" s="681"/>
      <c r="DF1" s="681"/>
      <c r="DG1" s="681"/>
      <c r="DH1" s="681"/>
      <c r="DI1" s="681"/>
      <c r="DJ1" s="681"/>
      <c r="DK1" s="681"/>
      <c r="DL1" s="681"/>
      <c r="DM1" s="682"/>
      <c r="DN1" s="682"/>
      <c r="DO1" s="682"/>
      <c r="DP1" s="682"/>
      <c r="DQ1" s="682"/>
      <c r="DR1" s="682"/>
      <c r="DS1" s="682"/>
      <c r="DT1" s="682"/>
      <c r="DU1" s="682"/>
      <c r="DV1" s="682"/>
      <c r="DW1" s="682"/>
      <c r="DX1" s="682"/>
      <c r="DY1" s="682"/>
      <c r="DZ1" s="682"/>
    </row>
    <row r="2" spans="1:130" ht="13.75" customHeight="1">
      <c r="A2" s="867" t="s">
        <v>334</v>
      </c>
      <c r="B2" s="868"/>
      <c r="C2" s="874" t="s">
        <v>439</v>
      </c>
      <c r="D2" s="875"/>
      <c r="E2" s="875"/>
      <c r="F2" s="875"/>
      <c r="G2" s="875"/>
      <c r="H2" s="875"/>
      <c r="I2" s="876"/>
      <c r="J2" s="867" t="s">
        <v>440</v>
      </c>
      <c r="K2" s="868"/>
      <c r="L2" s="868"/>
      <c r="M2" s="868"/>
      <c r="N2" s="868"/>
      <c r="O2" s="868"/>
      <c r="P2" s="867" t="s">
        <v>441</v>
      </c>
      <c r="Q2" s="868"/>
      <c r="R2" s="868"/>
      <c r="S2" s="868"/>
      <c r="T2" s="868"/>
      <c r="U2" s="868"/>
      <c r="V2" s="868"/>
      <c r="W2" s="868"/>
      <c r="X2" s="867" t="s">
        <v>442</v>
      </c>
      <c r="Y2" s="868"/>
      <c r="Z2" s="868"/>
      <c r="AA2" s="868"/>
      <c r="AB2" s="868"/>
      <c r="AC2" s="868"/>
      <c r="AD2" s="868"/>
      <c r="AE2" s="868"/>
      <c r="AF2" s="874" t="s">
        <v>443</v>
      </c>
      <c r="AG2" s="875"/>
      <c r="AH2" s="875"/>
      <c r="AI2" s="875"/>
      <c r="AJ2" s="875"/>
      <c r="AK2" s="875"/>
      <c r="AL2" s="875"/>
      <c r="AM2" s="875"/>
      <c r="AN2" s="876"/>
      <c r="AO2" s="890" t="s">
        <v>444</v>
      </c>
      <c r="AP2" s="891"/>
      <c r="AQ2" s="891"/>
      <c r="AR2" s="891"/>
      <c r="AS2" s="891"/>
      <c r="AT2" s="891"/>
      <c r="AU2" s="891"/>
      <c r="AV2" s="891"/>
      <c r="AW2" s="891"/>
      <c r="AX2" s="891"/>
      <c r="AY2" s="891"/>
      <c r="AZ2" s="891"/>
      <c r="BA2" s="891"/>
      <c r="BB2" s="891"/>
      <c r="BC2" s="891"/>
      <c r="BD2" s="891"/>
      <c r="BE2" s="891"/>
      <c r="BF2" s="891"/>
      <c r="BG2" s="891"/>
      <c r="BH2" s="891"/>
      <c r="BI2" s="891"/>
      <c r="BJ2" s="891"/>
      <c r="BK2" s="891"/>
      <c r="BL2" s="891"/>
      <c r="BM2" s="891"/>
      <c r="BN2" s="891"/>
      <c r="BO2" s="891"/>
      <c r="BP2" s="891"/>
      <c r="BQ2" s="891"/>
      <c r="BR2" s="891"/>
      <c r="BS2" s="891"/>
      <c r="BT2" s="891"/>
      <c r="BU2" s="891"/>
      <c r="BV2" s="891"/>
      <c r="BW2" s="891"/>
      <c r="BX2" s="891"/>
      <c r="BY2" s="891"/>
      <c r="BZ2" s="891"/>
      <c r="CA2" s="891"/>
      <c r="CB2" s="891"/>
      <c r="CC2" s="891"/>
      <c r="CD2" s="891"/>
      <c r="CE2" s="891"/>
      <c r="CF2" s="891"/>
      <c r="CG2" s="892"/>
      <c r="CH2" s="867" t="s">
        <v>315</v>
      </c>
      <c r="CI2" s="868"/>
      <c r="CJ2" s="868"/>
      <c r="CK2" s="868"/>
      <c r="CL2" s="868"/>
      <c r="CM2" s="868"/>
      <c r="CN2" s="868"/>
      <c r="CO2" s="868"/>
      <c r="CP2" s="682"/>
      <c r="CQ2" s="682"/>
      <c r="CR2" s="682"/>
      <c r="CS2" s="682"/>
      <c r="CT2" s="682"/>
      <c r="CU2" s="682"/>
      <c r="CV2" s="682"/>
      <c r="CW2" s="682"/>
      <c r="CX2" s="682"/>
      <c r="CY2" s="682"/>
      <c r="CZ2" s="682"/>
      <c r="DA2" s="682"/>
      <c r="DB2" s="682"/>
      <c r="DC2" s="682"/>
      <c r="DD2" s="682"/>
      <c r="DE2" s="682"/>
      <c r="DF2" s="682"/>
      <c r="DG2" s="682"/>
      <c r="DH2" s="682"/>
      <c r="DI2" s="682"/>
      <c r="DJ2" s="682"/>
      <c r="DK2" s="682"/>
      <c r="DL2" s="682"/>
      <c r="DM2" s="682"/>
      <c r="DN2" s="682"/>
      <c r="DO2" s="682"/>
      <c r="DP2" s="682"/>
      <c r="DQ2" s="682"/>
      <c r="DR2" s="682"/>
      <c r="DS2" s="682"/>
      <c r="DT2" s="682"/>
      <c r="DU2" s="682"/>
      <c r="DV2" s="682"/>
      <c r="DW2" s="682"/>
      <c r="DX2" s="682"/>
      <c r="DY2" s="682"/>
      <c r="DZ2" s="682"/>
    </row>
    <row r="3" spans="1:130" ht="48.75" customHeight="1">
      <c r="A3" s="868"/>
      <c r="B3" s="868"/>
      <c r="C3" s="877"/>
      <c r="D3" s="878"/>
      <c r="E3" s="878"/>
      <c r="F3" s="878"/>
      <c r="G3" s="878"/>
      <c r="H3" s="878"/>
      <c r="I3" s="879"/>
      <c r="J3" s="868"/>
      <c r="K3" s="868"/>
      <c r="L3" s="868"/>
      <c r="M3" s="868"/>
      <c r="N3" s="868"/>
      <c r="O3" s="868"/>
      <c r="P3" s="868"/>
      <c r="Q3" s="868"/>
      <c r="R3" s="868"/>
      <c r="S3" s="868"/>
      <c r="T3" s="868"/>
      <c r="U3" s="868"/>
      <c r="V3" s="868"/>
      <c r="W3" s="868"/>
      <c r="X3" s="868"/>
      <c r="Y3" s="868"/>
      <c r="Z3" s="868"/>
      <c r="AA3" s="868"/>
      <c r="AB3" s="868"/>
      <c r="AC3" s="868"/>
      <c r="AD3" s="868"/>
      <c r="AE3" s="868"/>
      <c r="AF3" s="877"/>
      <c r="AG3" s="878"/>
      <c r="AH3" s="878"/>
      <c r="AI3" s="878"/>
      <c r="AJ3" s="878"/>
      <c r="AK3" s="878"/>
      <c r="AL3" s="878"/>
      <c r="AM3" s="878"/>
      <c r="AN3" s="879"/>
      <c r="AO3" s="869" t="s">
        <v>445</v>
      </c>
      <c r="AP3" s="870"/>
      <c r="AQ3" s="870"/>
      <c r="AR3" s="870"/>
      <c r="AS3" s="871"/>
      <c r="AT3" s="869" t="s">
        <v>446</v>
      </c>
      <c r="AU3" s="870"/>
      <c r="AV3" s="870"/>
      <c r="AW3" s="870"/>
      <c r="AX3" s="871"/>
      <c r="AY3" s="872"/>
      <c r="AZ3" s="872"/>
      <c r="BA3" s="872"/>
      <c r="BB3" s="872"/>
      <c r="BC3" s="872"/>
      <c r="BD3" s="872"/>
      <c r="BE3" s="872"/>
      <c r="BF3" s="872"/>
      <c r="BG3" s="872"/>
      <c r="BH3" s="872"/>
      <c r="BI3" s="872"/>
      <c r="BJ3" s="872"/>
      <c r="BK3" s="872"/>
      <c r="BL3" s="872"/>
      <c r="BM3" s="872"/>
      <c r="BN3" s="872" t="s">
        <v>30</v>
      </c>
      <c r="BO3" s="872"/>
      <c r="BP3" s="872"/>
      <c r="BQ3" s="872"/>
      <c r="BR3" s="872"/>
      <c r="BS3" s="872" t="s">
        <v>30</v>
      </c>
      <c r="BT3" s="872"/>
      <c r="BU3" s="872"/>
      <c r="BV3" s="872"/>
      <c r="BW3" s="872"/>
      <c r="BX3" s="872" t="s">
        <v>30</v>
      </c>
      <c r="BY3" s="872"/>
      <c r="BZ3" s="872"/>
      <c r="CA3" s="872"/>
      <c r="CB3" s="872"/>
      <c r="CC3" s="872" t="s">
        <v>30</v>
      </c>
      <c r="CD3" s="872"/>
      <c r="CE3" s="872"/>
      <c r="CF3" s="872"/>
      <c r="CG3" s="872"/>
      <c r="CH3" s="868"/>
      <c r="CI3" s="868"/>
      <c r="CJ3" s="868"/>
      <c r="CK3" s="868"/>
      <c r="CL3" s="868"/>
      <c r="CM3" s="868"/>
      <c r="CN3" s="868"/>
      <c r="CO3" s="868"/>
      <c r="CP3" s="682"/>
      <c r="CQ3" s="682"/>
      <c r="CR3" s="682"/>
      <c r="CS3" s="682"/>
      <c r="CT3" s="682"/>
      <c r="CU3" s="682"/>
      <c r="CV3" s="682"/>
      <c r="CW3" s="682"/>
      <c r="CX3" s="682"/>
      <c r="CY3" s="682"/>
      <c r="CZ3" s="682"/>
      <c r="DA3" s="682"/>
      <c r="DB3" s="682"/>
      <c r="DC3" s="682"/>
      <c r="DD3" s="682"/>
      <c r="DE3" s="682"/>
      <c r="DF3" s="682"/>
      <c r="DG3" s="682"/>
      <c r="DH3" s="682"/>
      <c r="DI3" s="682"/>
      <c r="DJ3" s="682"/>
      <c r="DK3" s="682"/>
      <c r="DL3" s="682"/>
      <c r="DM3" s="682"/>
      <c r="DN3" s="682"/>
      <c r="DO3" s="682"/>
      <c r="DP3" s="682"/>
      <c r="DQ3" s="682"/>
      <c r="DR3" s="682"/>
      <c r="DS3" s="682"/>
      <c r="DT3" s="682"/>
      <c r="DU3" s="682"/>
      <c r="DV3" s="682"/>
      <c r="DW3" s="682"/>
      <c r="DX3" s="682"/>
      <c r="DY3" s="682"/>
      <c r="DZ3" s="682"/>
    </row>
    <row r="4" spans="1:130" s="685" customFormat="1" ht="30.25" customHeight="1">
      <c r="A4" s="872">
        <v>1</v>
      </c>
      <c r="B4" s="872"/>
      <c r="C4" s="895" t="s">
        <v>333</v>
      </c>
      <c r="D4" s="896"/>
      <c r="E4" s="896"/>
      <c r="F4" s="896"/>
      <c r="G4" s="896"/>
      <c r="H4" s="896"/>
      <c r="I4" s="897"/>
      <c r="J4" s="898" t="s">
        <v>447</v>
      </c>
      <c r="K4" s="898"/>
      <c r="L4" s="898"/>
      <c r="M4" s="898"/>
      <c r="N4" s="898"/>
      <c r="O4" s="898"/>
      <c r="P4" s="880" t="s">
        <v>302</v>
      </c>
      <c r="Q4" s="880"/>
      <c r="R4" s="880"/>
      <c r="S4" s="880"/>
      <c r="T4" s="880"/>
      <c r="U4" s="881" t="s">
        <v>302</v>
      </c>
      <c r="V4" s="881"/>
      <c r="W4" s="881"/>
      <c r="X4" s="882" t="s">
        <v>448</v>
      </c>
      <c r="Y4" s="799"/>
      <c r="Z4" s="799"/>
      <c r="AA4" s="799"/>
      <c r="AB4" s="799"/>
      <c r="AC4" s="799"/>
      <c r="AD4" s="799"/>
      <c r="AE4" s="883"/>
      <c r="AF4" s="884"/>
      <c r="AG4" s="885"/>
      <c r="AH4" s="885"/>
      <c r="AI4" s="885"/>
      <c r="AJ4" s="885"/>
      <c r="AK4" s="885"/>
      <c r="AL4" s="885"/>
      <c r="AM4" s="885"/>
      <c r="AN4" s="886"/>
      <c r="AO4" s="887" t="s">
        <v>449</v>
      </c>
      <c r="AP4" s="888"/>
      <c r="AQ4" s="888"/>
      <c r="AR4" s="888"/>
      <c r="AS4" s="889"/>
      <c r="AT4" s="887" t="s">
        <v>449</v>
      </c>
      <c r="AU4" s="888"/>
      <c r="AV4" s="888"/>
      <c r="AW4" s="888"/>
      <c r="AX4" s="889"/>
      <c r="AY4" s="898"/>
      <c r="AZ4" s="898"/>
      <c r="BA4" s="898"/>
      <c r="BB4" s="898"/>
      <c r="BC4" s="898"/>
      <c r="BD4" s="898"/>
      <c r="BE4" s="898"/>
      <c r="BF4" s="898"/>
      <c r="BG4" s="898"/>
      <c r="BH4" s="898"/>
      <c r="BI4" s="893"/>
      <c r="BJ4" s="893"/>
      <c r="BK4" s="893"/>
      <c r="BL4" s="893"/>
      <c r="BM4" s="893"/>
      <c r="BN4" s="893"/>
      <c r="BO4" s="893"/>
      <c r="BP4" s="893"/>
      <c r="BQ4" s="893"/>
      <c r="BR4" s="893"/>
      <c r="BS4" s="893"/>
      <c r="BT4" s="893"/>
      <c r="BU4" s="893"/>
      <c r="BV4" s="893"/>
      <c r="BW4" s="893"/>
      <c r="BX4" s="893"/>
      <c r="BY4" s="893"/>
      <c r="BZ4" s="893"/>
      <c r="CA4" s="893"/>
      <c r="CB4" s="893"/>
      <c r="CC4" s="893"/>
      <c r="CD4" s="893"/>
      <c r="CE4" s="893"/>
      <c r="CF4" s="893"/>
      <c r="CG4" s="893"/>
      <c r="CH4" s="894"/>
      <c r="CI4" s="894"/>
      <c r="CJ4" s="894"/>
      <c r="CK4" s="894"/>
      <c r="CL4" s="894"/>
      <c r="CM4" s="894"/>
      <c r="CN4" s="894"/>
      <c r="CO4" s="894"/>
      <c r="CP4" s="684"/>
      <c r="CQ4" s="684"/>
      <c r="CR4" s="684"/>
      <c r="CS4" s="684"/>
      <c r="CT4" s="684"/>
      <c r="CU4" s="684"/>
      <c r="CV4" s="684"/>
      <c r="CW4" s="684"/>
      <c r="CX4" s="684"/>
      <c r="CY4" s="684"/>
      <c r="CZ4" s="684"/>
      <c r="DA4" s="684"/>
      <c r="DB4" s="684"/>
      <c r="DC4" s="684"/>
      <c r="DD4" s="684"/>
      <c r="DE4" s="684"/>
      <c r="DF4" s="684"/>
      <c r="DG4" s="684"/>
      <c r="DH4" s="684"/>
      <c r="DI4" s="684"/>
      <c r="DJ4" s="684"/>
      <c r="DK4" s="684"/>
      <c r="DL4" s="684"/>
      <c r="DM4" s="684"/>
      <c r="DN4" s="684"/>
      <c r="DO4" s="684"/>
      <c r="DP4" s="684"/>
      <c r="DQ4" s="684"/>
      <c r="DR4" s="684"/>
      <c r="DS4" s="684"/>
      <c r="DT4" s="684"/>
      <c r="DU4" s="684"/>
      <c r="DV4" s="684"/>
      <c r="DW4" s="684"/>
      <c r="DX4" s="684"/>
      <c r="DY4" s="684"/>
      <c r="DZ4" s="684"/>
    </row>
    <row r="5" spans="1:130" s="685" customFormat="1" ht="30.25" customHeight="1">
      <c r="A5" s="872">
        <v>2</v>
      </c>
      <c r="B5" s="872"/>
      <c r="C5" s="895" t="s">
        <v>333</v>
      </c>
      <c r="D5" s="896"/>
      <c r="E5" s="896"/>
      <c r="F5" s="896"/>
      <c r="G5" s="896"/>
      <c r="H5" s="896"/>
      <c r="I5" s="897"/>
      <c r="J5" s="898" t="s">
        <v>453</v>
      </c>
      <c r="K5" s="898"/>
      <c r="L5" s="898"/>
      <c r="M5" s="898"/>
      <c r="N5" s="898"/>
      <c r="O5" s="898"/>
      <c r="P5" s="899" t="s">
        <v>454</v>
      </c>
      <c r="Q5" s="899"/>
      <c r="R5" s="899"/>
      <c r="S5" s="899"/>
      <c r="T5" s="899"/>
      <c r="U5" s="900">
        <v>255</v>
      </c>
      <c r="V5" s="900"/>
      <c r="W5" s="900"/>
      <c r="X5" s="882" t="s">
        <v>455</v>
      </c>
      <c r="Y5" s="799"/>
      <c r="Z5" s="799"/>
      <c r="AA5" s="799"/>
      <c r="AB5" s="799"/>
      <c r="AC5" s="799"/>
      <c r="AD5" s="799"/>
      <c r="AE5" s="883"/>
      <c r="AF5" s="884"/>
      <c r="AG5" s="885"/>
      <c r="AH5" s="885"/>
      <c r="AI5" s="885"/>
      <c r="AJ5" s="885"/>
      <c r="AK5" s="885"/>
      <c r="AL5" s="885"/>
      <c r="AM5" s="885"/>
      <c r="AN5" s="886"/>
      <c r="AO5" s="887" t="s">
        <v>449</v>
      </c>
      <c r="AP5" s="888"/>
      <c r="AQ5" s="888"/>
      <c r="AR5" s="888"/>
      <c r="AS5" s="889"/>
      <c r="AT5" s="887" t="s">
        <v>449</v>
      </c>
      <c r="AU5" s="888"/>
      <c r="AV5" s="888"/>
      <c r="AW5" s="888"/>
      <c r="AX5" s="889"/>
      <c r="AY5" s="898"/>
      <c r="AZ5" s="898"/>
      <c r="BA5" s="898"/>
      <c r="BB5" s="898"/>
      <c r="BC5" s="898"/>
      <c r="BD5" s="898"/>
      <c r="BE5" s="898"/>
      <c r="BF5" s="898"/>
      <c r="BG5" s="898"/>
      <c r="BH5" s="898"/>
      <c r="BI5" s="893"/>
      <c r="BJ5" s="893"/>
      <c r="BK5" s="893"/>
      <c r="BL5" s="893"/>
      <c r="BM5" s="893"/>
      <c r="BN5" s="893"/>
      <c r="BO5" s="893"/>
      <c r="BP5" s="893"/>
      <c r="BQ5" s="893"/>
      <c r="BR5" s="893"/>
      <c r="BS5" s="893"/>
      <c r="BT5" s="893"/>
      <c r="BU5" s="893"/>
      <c r="BV5" s="893"/>
      <c r="BW5" s="893"/>
      <c r="BX5" s="893"/>
      <c r="BY5" s="893"/>
      <c r="BZ5" s="893"/>
      <c r="CA5" s="893"/>
      <c r="CB5" s="893"/>
      <c r="CC5" s="893"/>
      <c r="CD5" s="893"/>
      <c r="CE5" s="893"/>
      <c r="CF5" s="893"/>
      <c r="CG5" s="893"/>
      <c r="CH5" s="894"/>
      <c r="CI5" s="894"/>
      <c r="CJ5" s="894"/>
      <c r="CK5" s="894"/>
      <c r="CL5" s="894"/>
      <c r="CM5" s="894"/>
      <c r="CN5" s="894"/>
      <c r="CO5" s="894"/>
      <c r="CP5" s="684"/>
      <c r="CQ5" s="684"/>
      <c r="CR5" s="684"/>
      <c r="CS5" s="684"/>
      <c r="CT5" s="684"/>
      <c r="CU5" s="684"/>
      <c r="CV5" s="684"/>
      <c r="CW5" s="684"/>
      <c r="CX5" s="684"/>
      <c r="CY5" s="684"/>
      <c r="CZ5" s="684"/>
      <c r="DA5" s="684"/>
      <c r="DB5" s="684"/>
      <c r="DC5" s="684"/>
      <c r="DD5" s="684"/>
      <c r="DE5" s="684"/>
      <c r="DF5" s="684"/>
      <c r="DG5" s="684"/>
      <c r="DH5" s="684"/>
      <c r="DI5" s="684"/>
      <c r="DJ5" s="684"/>
      <c r="DK5" s="684"/>
      <c r="DL5" s="684"/>
      <c r="DM5" s="684"/>
      <c r="DN5" s="684"/>
      <c r="DO5" s="684"/>
      <c r="DP5" s="684"/>
      <c r="DQ5" s="684"/>
      <c r="DR5" s="684"/>
      <c r="DS5" s="684"/>
      <c r="DT5" s="684"/>
      <c r="DU5" s="684"/>
      <c r="DV5" s="684"/>
      <c r="DW5" s="684"/>
      <c r="DX5" s="684"/>
      <c r="DY5" s="684"/>
      <c r="DZ5" s="684"/>
    </row>
    <row r="6" spans="1:130" ht="91.5" customHeight="1">
      <c r="A6" s="872">
        <v>3</v>
      </c>
      <c r="B6" s="872"/>
      <c r="C6" s="884" t="s">
        <v>330</v>
      </c>
      <c r="D6" s="885"/>
      <c r="E6" s="885"/>
      <c r="F6" s="885"/>
      <c r="G6" s="885"/>
      <c r="H6" s="885"/>
      <c r="I6" s="886"/>
      <c r="J6" s="898" t="s">
        <v>453</v>
      </c>
      <c r="K6" s="898"/>
      <c r="L6" s="898"/>
      <c r="M6" s="898"/>
      <c r="N6" s="898"/>
      <c r="O6" s="898"/>
      <c r="P6" s="899" t="s">
        <v>454</v>
      </c>
      <c r="Q6" s="899"/>
      <c r="R6" s="899"/>
      <c r="S6" s="899"/>
      <c r="T6" s="899"/>
      <c r="U6" s="901">
        <v>100</v>
      </c>
      <c r="V6" s="901"/>
      <c r="W6" s="901"/>
      <c r="X6" s="882" t="s">
        <v>455</v>
      </c>
      <c r="Y6" s="799"/>
      <c r="Z6" s="799"/>
      <c r="AA6" s="799"/>
      <c r="AB6" s="799"/>
      <c r="AC6" s="799"/>
      <c r="AD6" s="799"/>
      <c r="AE6" s="883"/>
      <c r="AF6" s="884"/>
      <c r="AG6" s="885"/>
      <c r="AH6" s="885"/>
      <c r="AI6" s="885"/>
      <c r="AJ6" s="885"/>
      <c r="AK6" s="885"/>
      <c r="AL6" s="885"/>
      <c r="AM6" s="885"/>
      <c r="AN6" s="886"/>
      <c r="AO6" s="887" t="s">
        <v>449</v>
      </c>
      <c r="AP6" s="888"/>
      <c r="AQ6" s="888"/>
      <c r="AR6" s="888"/>
      <c r="AS6" s="889"/>
      <c r="AT6" s="887" t="s">
        <v>449</v>
      </c>
      <c r="AU6" s="888"/>
      <c r="AV6" s="888"/>
      <c r="AW6" s="888"/>
      <c r="AX6" s="889"/>
      <c r="AY6" s="903"/>
      <c r="AZ6" s="904"/>
      <c r="BA6" s="904"/>
      <c r="BB6" s="904"/>
      <c r="BC6" s="905"/>
      <c r="BD6" s="902"/>
      <c r="BE6" s="902"/>
      <c r="BF6" s="902"/>
      <c r="BG6" s="902"/>
      <c r="BH6" s="902"/>
      <c r="BI6" s="902"/>
      <c r="BJ6" s="902"/>
      <c r="BK6" s="902"/>
      <c r="BL6" s="902"/>
      <c r="BM6" s="902"/>
      <c r="BN6" s="902"/>
      <c r="BO6" s="902"/>
      <c r="BP6" s="902"/>
      <c r="BQ6" s="902"/>
      <c r="BR6" s="902"/>
      <c r="BS6" s="902"/>
      <c r="BT6" s="902"/>
      <c r="BU6" s="902"/>
      <c r="BV6" s="902"/>
      <c r="BW6" s="902"/>
      <c r="BX6" s="902"/>
      <c r="BY6" s="902"/>
      <c r="BZ6" s="902"/>
      <c r="CA6" s="902"/>
      <c r="CB6" s="902"/>
      <c r="CC6" s="902"/>
      <c r="CD6" s="902"/>
      <c r="CE6" s="902"/>
      <c r="CF6" s="902"/>
      <c r="CG6" s="902"/>
      <c r="CH6" s="872"/>
      <c r="CI6" s="872"/>
      <c r="CJ6" s="872"/>
      <c r="CK6" s="872"/>
      <c r="CL6" s="872"/>
      <c r="CM6" s="872"/>
      <c r="CN6" s="872"/>
      <c r="CO6" s="872"/>
      <c r="CP6" s="682"/>
      <c r="CQ6" s="682"/>
      <c r="CR6" s="682"/>
      <c r="CS6" s="682"/>
      <c r="CT6" s="682"/>
      <c r="CU6" s="682"/>
      <c r="CV6" s="682"/>
      <c r="CW6" s="682"/>
      <c r="CX6" s="682"/>
      <c r="CY6" s="682"/>
      <c r="CZ6" s="682"/>
      <c r="DA6" s="682"/>
      <c r="DB6" s="682"/>
      <c r="DC6" s="682"/>
      <c r="DD6" s="682"/>
      <c r="DE6" s="682"/>
      <c r="DF6" s="682"/>
      <c r="DG6" s="682"/>
      <c r="DH6" s="682"/>
      <c r="DI6" s="682"/>
      <c r="DJ6" s="682"/>
      <c r="DK6" s="682"/>
      <c r="DL6" s="682"/>
      <c r="DM6" s="682"/>
      <c r="DN6" s="682"/>
      <c r="DO6" s="682"/>
      <c r="DP6" s="682"/>
      <c r="DQ6" s="682"/>
      <c r="DR6" s="682"/>
      <c r="DS6" s="682"/>
      <c r="DT6" s="682"/>
      <c r="DU6" s="682"/>
      <c r="DV6" s="682"/>
      <c r="DW6" s="682"/>
      <c r="DX6" s="682"/>
      <c r="DY6" s="682"/>
      <c r="DZ6" s="682"/>
    </row>
    <row r="7" spans="1:130" s="685" customFormat="1" ht="30.25" customHeight="1">
      <c r="A7" s="872">
        <v>4</v>
      </c>
      <c r="B7" s="872"/>
      <c r="C7" s="884" t="s">
        <v>427</v>
      </c>
      <c r="D7" s="885"/>
      <c r="E7" s="885"/>
      <c r="F7" s="885"/>
      <c r="G7" s="885"/>
      <c r="H7" s="885"/>
      <c r="I7" s="886"/>
      <c r="J7" s="898" t="s">
        <v>447</v>
      </c>
      <c r="K7" s="898"/>
      <c r="L7" s="898"/>
      <c r="M7" s="898"/>
      <c r="N7" s="898"/>
      <c r="O7" s="898"/>
      <c r="P7" s="880" t="s">
        <v>302</v>
      </c>
      <c r="Q7" s="880"/>
      <c r="R7" s="880"/>
      <c r="S7" s="880"/>
      <c r="T7" s="880"/>
      <c r="U7" s="881" t="s">
        <v>302</v>
      </c>
      <c r="V7" s="881"/>
      <c r="W7" s="881"/>
      <c r="X7" s="882" t="s">
        <v>448</v>
      </c>
      <c r="Y7" s="799"/>
      <c r="Z7" s="799"/>
      <c r="AA7" s="799"/>
      <c r="AB7" s="799"/>
      <c r="AC7" s="799"/>
      <c r="AD7" s="799"/>
      <c r="AE7" s="883"/>
      <c r="AF7" s="884"/>
      <c r="AG7" s="885"/>
      <c r="AH7" s="885"/>
      <c r="AI7" s="885"/>
      <c r="AJ7" s="885"/>
      <c r="AK7" s="885"/>
      <c r="AL7" s="885"/>
      <c r="AM7" s="885"/>
      <c r="AN7" s="886"/>
      <c r="AO7" s="907" t="s">
        <v>302</v>
      </c>
      <c r="AP7" s="888"/>
      <c r="AQ7" s="888"/>
      <c r="AR7" s="888"/>
      <c r="AS7" s="889"/>
      <c r="AT7" s="887" t="s">
        <v>449</v>
      </c>
      <c r="AU7" s="888"/>
      <c r="AV7" s="888"/>
      <c r="AW7" s="888"/>
      <c r="AX7" s="889"/>
      <c r="AY7" s="898"/>
      <c r="AZ7" s="898"/>
      <c r="BA7" s="898"/>
      <c r="BB7" s="898"/>
      <c r="BC7" s="898"/>
      <c r="BD7" s="898"/>
      <c r="BE7" s="898"/>
      <c r="BF7" s="898"/>
      <c r="BG7" s="898"/>
      <c r="BH7" s="898"/>
      <c r="BI7" s="902"/>
      <c r="BJ7" s="902"/>
      <c r="BK7" s="902"/>
      <c r="BL7" s="902"/>
      <c r="BM7" s="902"/>
      <c r="BN7" s="902"/>
      <c r="BO7" s="902"/>
      <c r="BP7" s="902"/>
      <c r="BQ7" s="902"/>
      <c r="BR7" s="902"/>
      <c r="BS7" s="902"/>
      <c r="BT7" s="902"/>
      <c r="BU7" s="902"/>
      <c r="BV7" s="902"/>
      <c r="BW7" s="902"/>
      <c r="BX7" s="902"/>
      <c r="BY7" s="902"/>
      <c r="BZ7" s="902"/>
      <c r="CA7" s="902"/>
      <c r="CB7" s="902"/>
      <c r="CC7" s="902"/>
      <c r="CD7" s="902"/>
      <c r="CE7" s="902"/>
      <c r="CF7" s="902"/>
      <c r="CG7" s="902"/>
      <c r="CH7" s="906"/>
      <c r="CI7" s="906"/>
      <c r="CJ7" s="906"/>
      <c r="CK7" s="906"/>
      <c r="CL7" s="906"/>
      <c r="CM7" s="906"/>
      <c r="CN7" s="906"/>
      <c r="CO7" s="906"/>
      <c r="CP7" s="686"/>
      <c r="CQ7" s="686"/>
      <c r="CR7" s="686"/>
      <c r="CS7" s="686"/>
      <c r="CT7" s="686"/>
      <c r="CU7" s="686"/>
      <c r="CV7" s="686"/>
      <c r="CW7" s="686"/>
      <c r="CX7" s="686"/>
      <c r="CY7" s="686"/>
      <c r="CZ7" s="686"/>
      <c r="DA7" s="686"/>
      <c r="DB7" s="686"/>
      <c r="DC7" s="686"/>
      <c r="DD7" s="686"/>
      <c r="DE7" s="686"/>
      <c r="DF7" s="686"/>
      <c r="DG7" s="686"/>
      <c r="DH7" s="686"/>
      <c r="DI7" s="686"/>
      <c r="DJ7" s="686"/>
      <c r="DK7" s="686"/>
      <c r="DL7" s="686"/>
      <c r="DM7" s="686"/>
      <c r="DN7" s="686"/>
      <c r="DO7" s="686"/>
      <c r="DP7" s="686"/>
      <c r="DQ7" s="686"/>
      <c r="DR7" s="686"/>
      <c r="DS7" s="686"/>
      <c r="DT7" s="686"/>
      <c r="DU7" s="684"/>
      <c r="DV7" s="684"/>
      <c r="DW7" s="684"/>
      <c r="DX7" s="684"/>
      <c r="DY7" s="684"/>
      <c r="DZ7" s="684"/>
    </row>
    <row r="8" spans="1:130" s="685" customFormat="1" ht="131.25" customHeight="1">
      <c r="A8" s="872">
        <v>5</v>
      </c>
      <c r="B8" s="872"/>
      <c r="C8" s="884" t="s">
        <v>427</v>
      </c>
      <c r="D8" s="885"/>
      <c r="E8" s="885"/>
      <c r="F8" s="885"/>
      <c r="G8" s="885"/>
      <c r="H8" s="885"/>
      <c r="I8" s="886"/>
      <c r="J8" s="898" t="s">
        <v>458</v>
      </c>
      <c r="K8" s="898"/>
      <c r="L8" s="898"/>
      <c r="M8" s="898"/>
      <c r="N8" s="898"/>
      <c r="O8" s="898"/>
      <c r="P8" s="899" t="s">
        <v>451</v>
      </c>
      <c r="Q8" s="899"/>
      <c r="R8" s="899"/>
      <c r="S8" s="899"/>
      <c r="T8" s="899"/>
      <c r="U8" s="881" t="s">
        <v>302</v>
      </c>
      <c r="V8" s="881"/>
      <c r="W8" s="881"/>
      <c r="X8" s="882" t="s">
        <v>459</v>
      </c>
      <c r="Y8" s="799"/>
      <c r="Z8" s="799"/>
      <c r="AA8" s="799"/>
      <c r="AB8" s="799"/>
      <c r="AC8" s="799"/>
      <c r="AD8" s="799"/>
      <c r="AE8" s="883"/>
      <c r="AF8" s="884"/>
      <c r="AG8" s="885"/>
      <c r="AH8" s="885"/>
      <c r="AI8" s="885"/>
      <c r="AJ8" s="885"/>
      <c r="AK8" s="885"/>
      <c r="AL8" s="885"/>
      <c r="AM8" s="885"/>
      <c r="AN8" s="886"/>
      <c r="AO8" s="907" t="s">
        <v>302</v>
      </c>
      <c r="AP8" s="888"/>
      <c r="AQ8" s="888"/>
      <c r="AR8" s="888"/>
      <c r="AS8" s="889"/>
      <c r="AT8" s="887" t="s">
        <v>449</v>
      </c>
      <c r="AU8" s="888"/>
      <c r="AV8" s="888"/>
      <c r="AW8" s="888"/>
      <c r="AX8" s="889"/>
      <c r="AY8" s="898"/>
      <c r="AZ8" s="898"/>
      <c r="BA8" s="898"/>
      <c r="BB8" s="898"/>
      <c r="BC8" s="898"/>
      <c r="BD8" s="898"/>
      <c r="BE8" s="898"/>
      <c r="BF8" s="898"/>
      <c r="BG8" s="898"/>
      <c r="BH8" s="898"/>
      <c r="BI8" s="902"/>
      <c r="BJ8" s="902"/>
      <c r="BK8" s="902"/>
      <c r="BL8" s="902"/>
      <c r="BM8" s="902"/>
      <c r="BN8" s="902"/>
      <c r="BO8" s="902"/>
      <c r="BP8" s="902"/>
      <c r="BQ8" s="902"/>
      <c r="BR8" s="902"/>
      <c r="BS8" s="902"/>
      <c r="BT8" s="902"/>
      <c r="BU8" s="902"/>
      <c r="BV8" s="902"/>
      <c r="BW8" s="902"/>
      <c r="BX8" s="902"/>
      <c r="BY8" s="902"/>
      <c r="BZ8" s="902"/>
      <c r="CA8" s="902"/>
      <c r="CB8" s="902"/>
      <c r="CC8" s="902"/>
      <c r="CD8" s="902"/>
      <c r="CE8" s="902"/>
      <c r="CF8" s="902"/>
      <c r="CG8" s="902"/>
      <c r="CH8" s="872" t="s">
        <v>460</v>
      </c>
      <c r="CI8" s="906"/>
      <c r="CJ8" s="906"/>
      <c r="CK8" s="906"/>
      <c r="CL8" s="906"/>
      <c r="CM8" s="906"/>
      <c r="CN8" s="906"/>
      <c r="CO8" s="906"/>
      <c r="CP8" s="686"/>
      <c r="CQ8" s="686"/>
      <c r="CR8" s="686"/>
      <c r="CS8" s="686"/>
      <c r="CT8" s="686"/>
      <c r="CU8" s="686"/>
      <c r="CV8" s="686"/>
      <c r="CW8" s="686"/>
      <c r="CX8" s="686"/>
      <c r="CY8" s="686"/>
      <c r="CZ8" s="686"/>
      <c r="DA8" s="686"/>
      <c r="DB8" s="686"/>
      <c r="DC8" s="686"/>
      <c r="DD8" s="686"/>
      <c r="DE8" s="686"/>
      <c r="DF8" s="686"/>
      <c r="DG8" s="686"/>
      <c r="DH8" s="686"/>
      <c r="DI8" s="686"/>
      <c r="DJ8" s="686"/>
      <c r="DK8" s="686"/>
      <c r="DL8" s="686"/>
      <c r="DM8" s="686"/>
      <c r="DN8" s="686"/>
      <c r="DO8" s="686"/>
      <c r="DP8" s="686"/>
      <c r="DQ8" s="686"/>
      <c r="DR8" s="686"/>
      <c r="DS8" s="686"/>
      <c r="DT8" s="686"/>
      <c r="DU8" s="684"/>
      <c r="DV8" s="684"/>
      <c r="DW8" s="684"/>
      <c r="DX8" s="684"/>
      <c r="DY8" s="684"/>
      <c r="DZ8" s="684"/>
    </row>
    <row r="9" spans="1:130" s="685" customFormat="1" ht="30.25" customHeight="1">
      <c r="A9" s="872">
        <v>6</v>
      </c>
      <c r="B9" s="872"/>
      <c r="C9" s="884" t="s">
        <v>427</v>
      </c>
      <c r="D9" s="885"/>
      <c r="E9" s="885"/>
      <c r="F9" s="885"/>
      <c r="G9" s="885"/>
      <c r="H9" s="885"/>
      <c r="I9" s="886"/>
      <c r="J9" s="898" t="s">
        <v>453</v>
      </c>
      <c r="K9" s="898"/>
      <c r="L9" s="898"/>
      <c r="M9" s="898"/>
      <c r="N9" s="898"/>
      <c r="O9" s="898"/>
      <c r="P9" s="899" t="s">
        <v>454</v>
      </c>
      <c r="Q9" s="899"/>
      <c r="R9" s="899"/>
      <c r="S9" s="899"/>
      <c r="T9" s="899"/>
      <c r="U9" s="908">
        <v>3000</v>
      </c>
      <c r="V9" s="908"/>
      <c r="W9" s="908"/>
      <c r="X9" s="882" t="s">
        <v>455</v>
      </c>
      <c r="Y9" s="799"/>
      <c r="Z9" s="799"/>
      <c r="AA9" s="799"/>
      <c r="AB9" s="799"/>
      <c r="AC9" s="799"/>
      <c r="AD9" s="799"/>
      <c r="AE9" s="883"/>
      <c r="AF9" s="884"/>
      <c r="AG9" s="885"/>
      <c r="AH9" s="885"/>
      <c r="AI9" s="885"/>
      <c r="AJ9" s="885"/>
      <c r="AK9" s="885"/>
      <c r="AL9" s="885"/>
      <c r="AM9" s="885"/>
      <c r="AN9" s="886"/>
      <c r="AO9" s="907" t="s">
        <v>302</v>
      </c>
      <c r="AP9" s="888"/>
      <c r="AQ9" s="888"/>
      <c r="AR9" s="888"/>
      <c r="AS9" s="889"/>
      <c r="AT9" s="887" t="s">
        <v>449</v>
      </c>
      <c r="AU9" s="888"/>
      <c r="AV9" s="888"/>
      <c r="AW9" s="888"/>
      <c r="AX9" s="889"/>
      <c r="AY9" s="898"/>
      <c r="AZ9" s="898"/>
      <c r="BA9" s="898"/>
      <c r="BB9" s="898"/>
      <c r="BC9" s="898"/>
      <c r="BD9" s="898"/>
      <c r="BE9" s="898"/>
      <c r="BF9" s="898"/>
      <c r="BG9" s="898"/>
      <c r="BH9" s="898"/>
      <c r="BI9" s="902"/>
      <c r="BJ9" s="902"/>
      <c r="BK9" s="902"/>
      <c r="BL9" s="902"/>
      <c r="BM9" s="902"/>
      <c r="BN9" s="902"/>
      <c r="BO9" s="902"/>
      <c r="BP9" s="902"/>
      <c r="BQ9" s="902"/>
      <c r="BR9" s="902"/>
      <c r="BS9" s="902"/>
      <c r="BT9" s="902"/>
      <c r="BU9" s="902"/>
      <c r="BV9" s="902"/>
      <c r="BW9" s="902"/>
      <c r="BX9" s="902"/>
      <c r="BY9" s="902"/>
      <c r="BZ9" s="902"/>
      <c r="CA9" s="902"/>
      <c r="CB9" s="902"/>
      <c r="CC9" s="902"/>
      <c r="CD9" s="902"/>
      <c r="CE9" s="902"/>
      <c r="CF9" s="902"/>
      <c r="CG9" s="902"/>
      <c r="CH9" s="906"/>
      <c r="CI9" s="906"/>
      <c r="CJ9" s="906"/>
      <c r="CK9" s="906"/>
      <c r="CL9" s="906"/>
      <c r="CM9" s="906"/>
      <c r="CN9" s="906"/>
      <c r="CO9" s="906"/>
      <c r="CP9" s="686"/>
      <c r="CQ9" s="686"/>
      <c r="CR9" s="686"/>
      <c r="CS9" s="686"/>
      <c r="CT9" s="686"/>
      <c r="CU9" s="686"/>
      <c r="CV9" s="686"/>
      <c r="CW9" s="686"/>
      <c r="CX9" s="686"/>
      <c r="CY9" s="686"/>
      <c r="CZ9" s="686"/>
      <c r="DA9" s="686"/>
      <c r="DB9" s="686"/>
      <c r="DC9" s="686"/>
      <c r="DD9" s="686"/>
      <c r="DE9" s="686"/>
      <c r="DF9" s="686"/>
      <c r="DG9" s="686"/>
      <c r="DH9" s="686"/>
      <c r="DI9" s="686"/>
      <c r="DJ9" s="686"/>
      <c r="DK9" s="686"/>
      <c r="DL9" s="686"/>
      <c r="DM9" s="686"/>
      <c r="DN9" s="686"/>
      <c r="DO9" s="686"/>
      <c r="DP9" s="686"/>
      <c r="DQ9" s="686"/>
      <c r="DR9" s="686"/>
      <c r="DS9" s="686"/>
      <c r="DT9" s="686"/>
      <c r="DU9" s="684"/>
      <c r="DV9" s="684"/>
      <c r="DW9" s="684"/>
      <c r="DX9" s="684"/>
      <c r="DY9" s="684"/>
      <c r="DZ9" s="684"/>
    </row>
    <row r="10" spans="1:130" ht="81" customHeight="1">
      <c r="A10" s="872">
        <v>7</v>
      </c>
      <c r="B10" s="872"/>
      <c r="C10" s="884" t="s">
        <v>429</v>
      </c>
      <c r="D10" s="885"/>
      <c r="E10" s="885"/>
      <c r="F10" s="885"/>
      <c r="G10" s="885"/>
      <c r="H10" s="885"/>
      <c r="I10" s="886"/>
      <c r="J10" s="910" t="s">
        <v>461</v>
      </c>
      <c r="K10" s="911"/>
      <c r="L10" s="911"/>
      <c r="M10" s="911"/>
      <c r="N10" s="911"/>
      <c r="O10" s="912"/>
      <c r="P10" s="899" t="s">
        <v>462</v>
      </c>
      <c r="Q10" s="899"/>
      <c r="R10" s="899"/>
      <c r="S10" s="899"/>
      <c r="T10" s="899"/>
      <c r="U10" s="881" t="s">
        <v>302</v>
      </c>
      <c r="V10" s="881"/>
      <c r="W10" s="881"/>
      <c r="X10" s="882" t="s">
        <v>448</v>
      </c>
      <c r="Y10" s="799"/>
      <c r="Z10" s="799"/>
      <c r="AA10" s="799"/>
      <c r="AB10" s="799"/>
      <c r="AC10" s="799"/>
      <c r="AD10" s="799"/>
      <c r="AE10" s="883"/>
      <c r="AF10" s="884"/>
      <c r="AG10" s="885"/>
      <c r="AH10" s="885"/>
      <c r="AI10" s="885"/>
      <c r="AJ10" s="885"/>
      <c r="AK10" s="885"/>
      <c r="AL10" s="885"/>
      <c r="AM10" s="885"/>
      <c r="AN10" s="886"/>
      <c r="AO10" s="887" t="s">
        <v>449</v>
      </c>
      <c r="AP10" s="888"/>
      <c r="AQ10" s="888"/>
      <c r="AR10" s="888"/>
      <c r="AS10" s="889"/>
      <c r="AT10" s="887" t="s">
        <v>449</v>
      </c>
      <c r="AU10" s="888"/>
      <c r="AV10" s="888"/>
      <c r="AW10" s="888"/>
      <c r="AX10" s="889"/>
      <c r="AY10" s="903"/>
      <c r="AZ10" s="904"/>
      <c r="BA10" s="904"/>
      <c r="BB10" s="904"/>
      <c r="BC10" s="905"/>
      <c r="BD10" s="902"/>
      <c r="BE10" s="902"/>
      <c r="BF10" s="902"/>
      <c r="BG10" s="902"/>
      <c r="BH10" s="902"/>
      <c r="BI10" s="902"/>
      <c r="BJ10" s="902"/>
      <c r="BK10" s="902"/>
      <c r="BL10" s="902"/>
      <c r="BM10" s="902"/>
      <c r="BN10" s="902"/>
      <c r="BO10" s="902"/>
      <c r="BP10" s="902"/>
      <c r="BQ10" s="902"/>
      <c r="BR10" s="902"/>
      <c r="BS10" s="902"/>
      <c r="BT10" s="902"/>
      <c r="BU10" s="902"/>
      <c r="BV10" s="902"/>
      <c r="BW10" s="902"/>
      <c r="BX10" s="902"/>
      <c r="BY10" s="902"/>
      <c r="BZ10" s="902"/>
      <c r="CA10" s="902"/>
      <c r="CB10" s="902"/>
      <c r="CC10" s="902"/>
      <c r="CD10" s="902"/>
      <c r="CE10" s="902"/>
      <c r="CF10" s="902"/>
      <c r="CG10" s="902"/>
      <c r="CH10" s="872" t="s">
        <v>463</v>
      </c>
      <c r="CI10" s="872"/>
      <c r="CJ10" s="872"/>
      <c r="CK10" s="872"/>
      <c r="CL10" s="872"/>
      <c r="CM10" s="872"/>
      <c r="CN10" s="872"/>
      <c r="CO10" s="872"/>
      <c r="CP10" s="682"/>
      <c r="CQ10" s="682"/>
      <c r="CR10" s="682"/>
      <c r="CS10" s="682"/>
      <c r="CT10" s="682"/>
      <c r="CU10" s="682"/>
      <c r="CV10" s="682"/>
      <c r="CW10" s="682"/>
      <c r="CX10" s="682"/>
      <c r="CY10" s="682"/>
      <c r="CZ10" s="682"/>
      <c r="DA10" s="682"/>
      <c r="DB10" s="682"/>
      <c r="DC10" s="682"/>
      <c r="DD10" s="682"/>
      <c r="DE10" s="682"/>
      <c r="DF10" s="682"/>
      <c r="DG10" s="682"/>
      <c r="DH10" s="682"/>
      <c r="DI10" s="682"/>
      <c r="DJ10" s="682"/>
      <c r="DK10" s="682"/>
      <c r="DL10" s="682"/>
      <c r="DM10" s="682"/>
      <c r="DN10" s="682"/>
      <c r="DO10" s="682"/>
      <c r="DP10" s="682"/>
      <c r="DQ10" s="682"/>
      <c r="DR10" s="682"/>
      <c r="DS10" s="682"/>
      <c r="DT10" s="682"/>
      <c r="DU10" s="682"/>
      <c r="DV10" s="682"/>
      <c r="DW10" s="682"/>
      <c r="DX10" s="682"/>
      <c r="DY10" s="682"/>
      <c r="DZ10" s="682"/>
    </row>
    <row r="11" spans="1:130" ht="27.75" customHeight="1">
      <c r="A11" s="909"/>
      <c r="B11" s="872"/>
      <c r="C11" s="884"/>
      <c r="D11" s="885"/>
      <c r="E11" s="885"/>
      <c r="F11" s="885"/>
      <c r="G11" s="885"/>
      <c r="H11" s="885"/>
      <c r="I11" s="886"/>
      <c r="J11" s="898"/>
      <c r="K11" s="898"/>
      <c r="L11" s="898"/>
      <c r="M11" s="898"/>
      <c r="N11" s="898"/>
      <c r="O11" s="898"/>
      <c r="P11" s="899"/>
      <c r="Q11" s="899"/>
      <c r="R11" s="899"/>
      <c r="S11" s="899"/>
      <c r="T11" s="899"/>
      <c r="U11" s="901"/>
      <c r="V11" s="901"/>
      <c r="W11" s="901"/>
      <c r="X11" s="882"/>
      <c r="Y11" s="799"/>
      <c r="Z11" s="799"/>
      <c r="AA11" s="799"/>
      <c r="AB11" s="799"/>
      <c r="AC11" s="799"/>
      <c r="AD11" s="799"/>
      <c r="AE11" s="883"/>
      <c r="AF11" s="884"/>
      <c r="AG11" s="885"/>
      <c r="AH11" s="885"/>
      <c r="AI11" s="885"/>
      <c r="AJ11" s="885"/>
      <c r="AK11" s="885"/>
      <c r="AL11" s="885"/>
      <c r="AM11" s="885"/>
      <c r="AN11" s="886"/>
      <c r="AO11" s="887"/>
      <c r="AP11" s="888"/>
      <c r="AQ11" s="888"/>
      <c r="AR11" s="888"/>
      <c r="AS11" s="889"/>
      <c r="AT11" s="887"/>
      <c r="AU11" s="888"/>
      <c r="AV11" s="888"/>
      <c r="AW11" s="888"/>
      <c r="AX11" s="889"/>
      <c r="AY11" s="903"/>
      <c r="AZ11" s="904"/>
      <c r="BA11" s="904"/>
      <c r="BB11" s="904"/>
      <c r="BC11" s="905"/>
      <c r="BD11" s="902"/>
      <c r="BE11" s="902"/>
      <c r="BF11" s="902"/>
      <c r="BG11" s="902"/>
      <c r="BH11" s="902"/>
      <c r="BI11" s="902"/>
      <c r="BJ11" s="902"/>
      <c r="BK11" s="902"/>
      <c r="BL11" s="902"/>
      <c r="BM11" s="902"/>
      <c r="BN11" s="902"/>
      <c r="BO11" s="902"/>
      <c r="BP11" s="902"/>
      <c r="BQ11" s="902"/>
      <c r="BR11" s="902"/>
      <c r="BS11" s="902"/>
      <c r="BT11" s="902"/>
      <c r="BU11" s="902"/>
      <c r="BV11" s="902"/>
      <c r="BW11" s="902"/>
      <c r="BX11" s="902"/>
      <c r="BY11" s="902"/>
      <c r="BZ11" s="902"/>
      <c r="CA11" s="902"/>
      <c r="CB11" s="902"/>
      <c r="CC11" s="902"/>
      <c r="CD11" s="902"/>
      <c r="CE11" s="902"/>
      <c r="CF11" s="902"/>
      <c r="CG11" s="902"/>
      <c r="CH11" s="872"/>
      <c r="CI11" s="872"/>
      <c r="CJ11" s="872"/>
      <c r="CK11" s="872"/>
      <c r="CL11" s="872"/>
      <c r="CM11" s="872"/>
      <c r="CN11" s="872"/>
      <c r="CO11" s="872"/>
      <c r="CP11" s="682"/>
      <c r="CQ11" s="682"/>
      <c r="CR11" s="682"/>
      <c r="CS11" s="682"/>
      <c r="CT11" s="682"/>
      <c r="CU11" s="682"/>
      <c r="CV11" s="682"/>
      <c r="CW11" s="682"/>
      <c r="CX11" s="682"/>
      <c r="CY11" s="682"/>
      <c r="CZ11" s="682"/>
      <c r="DA11" s="682"/>
      <c r="DB11" s="682"/>
      <c r="DC11" s="682"/>
      <c r="DD11" s="682"/>
      <c r="DE11" s="682"/>
      <c r="DF11" s="682"/>
      <c r="DG11" s="682"/>
      <c r="DH11" s="682"/>
      <c r="DI11" s="682"/>
      <c r="DJ11" s="682"/>
      <c r="DK11" s="682"/>
      <c r="DL11" s="682"/>
      <c r="DM11" s="682"/>
      <c r="DN11" s="682"/>
      <c r="DO11" s="682"/>
      <c r="DP11" s="682"/>
      <c r="DQ11" s="682"/>
      <c r="DR11" s="682"/>
      <c r="DS11" s="682"/>
      <c r="DT11" s="682"/>
      <c r="DU11" s="682"/>
      <c r="DV11" s="682"/>
      <c r="DW11" s="682"/>
      <c r="DX11" s="682"/>
      <c r="DY11" s="682"/>
      <c r="DZ11" s="682"/>
    </row>
    <row r="12" spans="1:130" ht="27.75" customHeight="1">
      <c r="A12" s="909"/>
      <c r="B12" s="872"/>
      <c r="C12" s="884"/>
      <c r="D12" s="885"/>
      <c r="E12" s="885"/>
      <c r="F12" s="885"/>
      <c r="G12" s="885"/>
      <c r="H12" s="885"/>
      <c r="I12" s="886"/>
      <c r="J12" s="898"/>
      <c r="K12" s="898"/>
      <c r="L12" s="898"/>
      <c r="M12" s="898"/>
      <c r="N12" s="898"/>
      <c r="O12" s="898"/>
      <c r="P12" s="899"/>
      <c r="Q12" s="899"/>
      <c r="R12" s="899"/>
      <c r="S12" s="899"/>
      <c r="T12" s="899"/>
      <c r="U12" s="901"/>
      <c r="V12" s="901"/>
      <c r="W12" s="901"/>
      <c r="X12" s="882"/>
      <c r="Y12" s="799"/>
      <c r="Z12" s="799"/>
      <c r="AA12" s="799"/>
      <c r="AB12" s="799"/>
      <c r="AC12" s="799"/>
      <c r="AD12" s="799"/>
      <c r="AE12" s="883"/>
      <c r="AF12" s="884"/>
      <c r="AG12" s="885"/>
      <c r="AH12" s="885"/>
      <c r="AI12" s="885"/>
      <c r="AJ12" s="885"/>
      <c r="AK12" s="885"/>
      <c r="AL12" s="885"/>
      <c r="AM12" s="885"/>
      <c r="AN12" s="886"/>
      <c r="AO12" s="887"/>
      <c r="AP12" s="888"/>
      <c r="AQ12" s="888"/>
      <c r="AR12" s="888"/>
      <c r="AS12" s="889"/>
      <c r="AT12" s="887"/>
      <c r="AU12" s="888"/>
      <c r="AV12" s="888"/>
      <c r="AW12" s="888"/>
      <c r="AX12" s="889"/>
      <c r="AY12" s="903"/>
      <c r="AZ12" s="904"/>
      <c r="BA12" s="904"/>
      <c r="BB12" s="904"/>
      <c r="BC12" s="905"/>
      <c r="BD12" s="902"/>
      <c r="BE12" s="902"/>
      <c r="BF12" s="902"/>
      <c r="BG12" s="902"/>
      <c r="BH12" s="902"/>
      <c r="BI12" s="902"/>
      <c r="BJ12" s="902"/>
      <c r="BK12" s="902"/>
      <c r="BL12" s="902"/>
      <c r="BM12" s="902"/>
      <c r="BN12" s="902"/>
      <c r="BO12" s="902"/>
      <c r="BP12" s="902"/>
      <c r="BQ12" s="902"/>
      <c r="BR12" s="902"/>
      <c r="BS12" s="902"/>
      <c r="BT12" s="902"/>
      <c r="BU12" s="902"/>
      <c r="BV12" s="902"/>
      <c r="BW12" s="902"/>
      <c r="BX12" s="902"/>
      <c r="BY12" s="902"/>
      <c r="BZ12" s="902"/>
      <c r="CA12" s="902"/>
      <c r="CB12" s="902"/>
      <c r="CC12" s="902"/>
      <c r="CD12" s="902"/>
      <c r="CE12" s="902"/>
      <c r="CF12" s="902"/>
      <c r="CG12" s="902"/>
      <c r="CH12" s="872"/>
      <c r="CI12" s="872"/>
      <c r="CJ12" s="872"/>
      <c r="CK12" s="872"/>
      <c r="CL12" s="872"/>
      <c r="CM12" s="872"/>
      <c r="CN12" s="872"/>
      <c r="CO12" s="872"/>
      <c r="CP12" s="682"/>
      <c r="CQ12" s="682"/>
      <c r="CR12" s="682"/>
      <c r="CS12" s="682"/>
      <c r="CT12" s="682"/>
      <c r="CU12" s="682"/>
      <c r="CV12" s="682"/>
      <c r="CW12" s="682"/>
      <c r="CX12" s="682"/>
      <c r="CY12" s="682"/>
      <c r="CZ12" s="682"/>
      <c r="DA12" s="682"/>
      <c r="DB12" s="682"/>
      <c r="DC12" s="682"/>
      <c r="DD12" s="682"/>
      <c r="DE12" s="682"/>
      <c r="DF12" s="682"/>
      <c r="DG12" s="682"/>
      <c r="DH12" s="682"/>
      <c r="DI12" s="682"/>
      <c r="DJ12" s="682"/>
      <c r="DK12" s="682"/>
      <c r="DL12" s="682"/>
      <c r="DM12" s="682"/>
      <c r="DN12" s="682"/>
      <c r="DO12" s="682"/>
      <c r="DP12" s="682"/>
      <c r="DQ12" s="682"/>
      <c r="DR12" s="682"/>
      <c r="DS12" s="682"/>
      <c r="DT12" s="682"/>
      <c r="DU12" s="682"/>
      <c r="DV12" s="682"/>
      <c r="DW12" s="682"/>
      <c r="DX12" s="682"/>
      <c r="DY12" s="682"/>
      <c r="DZ12" s="682"/>
    </row>
    <row r="13" spans="1:130" ht="13.75" customHeight="1">
      <c r="A13" s="681"/>
      <c r="B13" s="681"/>
      <c r="C13" s="681"/>
      <c r="D13" s="681"/>
      <c r="E13" s="681"/>
      <c r="F13" s="681"/>
      <c r="G13" s="681"/>
      <c r="H13" s="681"/>
      <c r="I13" s="681"/>
      <c r="J13" s="681"/>
      <c r="K13" s="681"/>
      <c r="L13" s="681"/>
      <c r="M13" s="681"/>
      <c r="N13" s="681"/>
      <c r="O13" s="681"/>
      <c r="P13" s="681"/>
      <c r="Q13" s="681"/>
      <c r="R13" s="681"/>
      <c r="S13" s="681"/>
      <c r="T13" s="681"/>
      <c r="U13" s="681"/>
      <c r="V13" s="681"/>
      <c r="W13" s="681"/>
      <c r="X13" s="681"/>
      <c r="Y13" s="681"/>
      <c r="Z13" s="681"/>
      <c r="AA13" s="681"/>
      <c r="AB13" s="681"/>
      <c r="AC13" s="681"/>
      <c r="AD13" s="681"/>
      <c r="AE13" s="681"/>
      <c r="AF13" s="681"/>
      <c r="AG13" s="681"/>
      <c r="AH13" s="681"/>
      <c r="AI13" s="681"/>
      <c r="AJ13" s="681"/>
      <c r="AK13" s="681"/>
      <c r="AL13" s="681"/>
      <c r="AM13" s="681"/>
      <c r="AN13" s="681"/>
      <c r="AO13" s="681"/>
      <c r="AP13" s="681"/>
      <c r="AQ13" s="681"/>
      <c r="AR13" s="681"/>
      <c r="AS13" s="681"/>
      <c r="AT13" s="681"/>
      <c r="AU13" s="681"/>
      <c r="AV13" s="681"/>
      <c r="AW13" s="681"/>
      <c r="AX13" s="681"/>
      <c r="AY13" s="681"/>
      <c r="AZ13" s="681"/>
      <c r="BA13" s="681"/>
      <c r="BB13" s="681"/>
      <c r="BC13" s="681"/>
      <c r="BD13" s="681"/>
      <c r="BE13" s="681"/>
      <c r="BF13" s="681"/>
      <c r="BG13" s="681"/>
      <c r="BH13" s="681"/>
      <c r="BI13" s="681"/>
      <c r="BJ13" s="681"/>
      <c r="BK13" s="681"/>
      <c r="BL13" s="681"/>
      <c r="BM13" s="681"/>
      <c r="BN13" s="681"/>
      <c r="BO13" s="681"/>
      <c r="BP13" s="681"/>
      <c r="BQ13" s="681"/>
      <c r="BR13" s="681"/>
      <c r="BS13" s="681"/>
      <c r="BT13" s="681"/>
      <c r="BU13" s="681"/>
      <c r="BV13" s="681"/>
      <c r="BW13" s="681"/>
      <c r="BX13" s="681"/>
      <c r="BY13" s="681"/>
      <c r="BZ13" s="681"/>
      <c r="CA13" s="681"/>
      <c r="CB13" s="681"/>
      <c r="CC13" s="681"/>
      <c r="CD13" s="681"/>
      <c r="CE13" s="681"/>
      <c r="CF13" s="681"/>
      <c r="CG13" s="681"/>
      <c r="CH13" s="681"/>
      <c r="CI13" s="681"/>
      <c r="CJ13" s="681"/>
      <c r="CK13" s="681"/>
      <c r="CL13" s="681"/>
      <c r="CM13" s="681"/>
      <c r="CN13" s="681"/>
      <c r="CO13" s="681"/>
      <c r="CP13" s="681"/>
      <c r="CQ13" s="681"/>
      <c r="CR13" s="681"/>
      <c r="CS13" s="681"/>
      <c r="CT13" s="681"/>
      <c r="CU13" s="681"/>
      <c r="CV13" s="681"/>
      <c r="CW13" s="681"/>
      <c r="CX13" s="681"/>
      <c r="CY13" s="681"/>
      <c r="CZ13" s="681"/>
      <c r="DA13" s="681"/>
      <c r="DB13" s="681"/>
      <c r="DC13" s="681"/>
      <c r="DD13" s="681"/>
      <c r="DE13" s="681"/>
      <c r="DF13" s="681"/>
      <c r="DG13" s="681"/>
      <c r="DH13" s="681"/>
      <c r="DI13" s="681"/>
      <c r="DJ13" s="681"/>
      <c r="DK13" s="681"/>
      <c r="DL13" s="681"/>
      <c r="DM13" s="682"/>
      <c r="DN13" s="682"/>
      <c r="DO13" s="682"/>
      <c r="DP13" s="682"/>
      <c r="DQ13" s="682"/>
      <c r="DR13" s="682"/>
      <c r="DS13" s="682"/>
      <c r="DT13" s="682"/>
      <c r="DU13" s="682"/>
      <c r="DV13" s="682"/>
      <c r="DW13" s="682"/>
      <c r="DX13" s="682"/>
      <c r="DY13" s="682"/>
      <c r="DZ13" s="682"/>
    </row>
    <row r="14" spans="1:130" ht="13.75" customHeight="1">
      <c r="A14" s="873" t="s">
        <v>590</v>
      </c>
      <c r="B14" s="873"/>
      <c r="C14" s="873"/>
      <c r="D14" s="873"/>
      <c r="E14" s="873"/>
      <c r="F14" s="873"/>
      <c r="G14" s="873"/>
      <c r="H14" s="873"/>
      <c r="I14" s="873"/>
      <c r="J14" s="681"/>
      <c r="K14" s="681"/>
      <c r="L14" s="681"/>
      <c r="M14" s="681"/>
      <c r="N14" s="681"/>
      <c r="O14" s="681"/>
      <c r="P14" s="681"/>
      <c r="Q14" s="681"/>
      <c r="R14" s="681"/>
      <c r="S14" s="681"/>
      <c r="T14" s="681"/>
      <c r="U14" s="681"/>
      <c r="V14" s="681"/>
      <c r="W14" s="681"/>
      <c r="X14" s="681"/>
      <c r="Y14" s="681"/>
      <c r="Z14" s="681"/>
      <c r="AA14" s="681"/>
      <c r="AB14" s="681"/>
      <c r="AC14" s="681"/>
      <c r="AD14" s="681"/>
      <c r="AE14" s="681"/>
      <c r="AF14" s="681"/>
      <c r="AG14" s="681"/>
      <c r="AH14" s="681"/>
      <c r="AI14" s="681"/>
      <c r="AJ14" s="681"/>
      <c r="AK14" s="681"/>
      <c r="AL14" s="681"/>
      <c r="AM14" s="681"/>
      <c r="AN14" s="681"/>
      <c r="AO14" s="681"/>
      <c r="AP14" s="681"/>
      <c r="AQ14" s="681"/>
      <c r="AR14" s="681"/>
      <c r="AS14" s="681"/>
      <c r="AT14" s="681"/>
      <c r="AU14" s="681"/>
      <c r="AV14" s="681"/>
      <c r="AW14" s="681"/>
      <c r="AX14" s="681"/>
      <c r="AY14" s="681"/>
      <c r="AZ14" s="681"/>
      <c r="BA14" s="681"/>
      <c r="BB14" s="681"/>
      <c r="BC14" s="681"/>
      <c r="BD14" s="681"/>
      <c r="BE14" s="681"/>
      <c r="BF14" s="681"/>
      <c r="BG14" s="681"/>
      <c r="BH14" s="681"/>
      <c r="BI14" s="681"/>
      <c r="BJ14" s="681"/>
      <c r="BK14" s="681"/>
      <c r="BL14" s="681"/>
      <c r="BM14" s="681"/>
      <c r="BN14" s="681"/>
      <c r="BO14" s="681"/>
      <c r="BP14" s="681"/>
      <c r="BQ14" s="681"/>
      <c r="BR14" s="681"/>
      <c r="BS14" s="681"/>
      <c r="BT14" s="681"/>
      <c r="BU14" s="681"/>
      <c r="BV14" s="681"/>
      <c r="BW14" s="681"/>
      <c r="BX14" s="681"/>
      <c r="BY14" s="681"/>
      <c r="BZ14" s="681"/>
      <c r="CA14" s="681"/>
      <c r="CB14" s="681"/>
      <c r="CC14" s="681"/>
      <c r="CD14" s="681"/>
      <c r="CE14" s="681"/>
      <c r="CF14" s="681"/>
      <c r="CG14" s="681"/>
      <c r="CH14" s="681"/>
      <c r="CI14" s="681"/>
      <c r="CJ14" s="681"/>
      <c r="CK14" s="681"/>
      <c r="CL14" s="681"/>
      <c r="CM14" s="681"/>
      <c r="CN14" s="681"/>
      <c r="CO14" s="681"/>
      <c r="CP14" s="913"/>
      <c r="CQ14" s="913"/>
      <c r="CR14" s="913"/>
      <c r="CS14" s="913"/>
      <c r="CT14" s="913"/>
      <c r="CU14" s="913"/>
      <c r="CV14" s="913"/>
      <c r="CW14" s="913"/>
      <c r="CX14" s="913"/>
      <c r="CY14" s="913"/>
      <c r="CZ14" s="913"/>
      <c r="DA14" s="913"/>
      <c r="DB14" s="913"/>
      <c r="DC14" s="913"/>
      <c r="DD14" s="913"/>
      <c r="DE14" s="913"/>
      <c r="DF14" s="913"/>
      <c r="DG14" s="913"/>
      <c r="DH14" s="913"/>
      <c r="DI14" s="913"/>
      <c r="DJ14" s="913"/>
      <c r="DK14" s="913"/>
      <c r="DL14" s="913"/>
      <c r="DM14" s="913"/>
      <c r="DN14" s="913"/>
      <c r="DO14" s="913"/>
      <c r="DP14" s="913"/>
      <c r="DQ14" s="913"/>
      <c r="DR14" s="913"/>
      <c r="DS14" s="913"/>
      <c r="DT14" s="914"/>
      <c r="DU14" s="682"/>
    </row>
    <row r="15" spans="1:130" ht="13.75" customHeight="1">
      <c r="A15" s="867" t="s">
        <v>334</v>
      </c>
      <c r="B15" s="868"/>
      <c r="C15" s="867" t="s">
        <v>591</v>
      </c>
      <c r="D15" s="868"/>
      <c r="E15" s="868"/>
      <c r="F15" s="868"/>
      <c r="G15" s="868"/>
      <c r="H15" s="868"/>
      <c r="I15" s="868"/>
      <c r="J15" s="868"/>
      <c r="K15" s="868"/>
      <c r="L15" s="868"/>
      <c r="M15" s="868"/>
      <c r="N15" s="868"/>
      <c r="O15" s="868"/>
      <c r="P15" s="868"/>
      <c r="Q15" s="867" t="s">
        <v>592</v>
      </c>
      <c r="R15" s="868"/>
      <c r="S15" s="868"/>
      <c r="T15" s="868"/>
      <c r="U15" s="868"/>
      <c r="V15" s="868"/>
      <c r="W15" s="868"/>
      <c r="X15" s="868"/>
      <c r="Y15" s="868"/>
      <c r="Z15" s="868"/>
      <c r="AA15" s="868"/>
      <c r="AB15" s="868"/>
      <c r="AC15" s="868"/>
      <c r="AD15" s="868"/>
      <c r="AE15" s="868"/>
      <c r="AF15" s="868"/>
      <c r="AG15" s="868"/>
      <c r="AH15" s="868"/>
      <c r="AI15" s="868"/>
      <c r="AJ15" s="868"/>
      <c r="AK15" s="868"/>
      <c r="AL15" s="868"/>
      <c r="AM15" s="867" t="s">
        <v>442</v>
      </c>
      <c r="AN15" s="868"/>
      <c r="AO15" s="868"/>
      <c r="AP15" s="868"/>
      <c r="AQ15" s="868"/>
      <c r="AR15" s="868"/>
      <c r="AS15" s="868"/>
      <c r="AT15" s="868"/>
      <c r="AU15" s="874" t="s">
        <v>443</v>
      </c>
      <c r="AV15" s="875"/>
      <c r="AW15" s="875"/>
      <c r="AX15" s="875"/>
      <c r="AY15" s="875"/>
      <c r="AZ15" s="875"/>
      <c r="BA15" s="875"/>
      <c r="BB15" s="875"/>
      <c r="BC15" s="876"/>
      <c r="BD15" s="890" t="s">
        <v>444</v>
      </c>
      <c r="BE15" s="891"/>
      <c r="BF15" s="891"/>
      <c r="BG15" s="891"/>
      <c r="BH15" s="891"/>
      <c r="BI15" s="891"/>
      <c r="BJ15" s="891"/>
      <c r="BK15" s="891"/>
      <c r="BL15" s="891"/>
      <c r="BM15" s="891"/>
      <c r="BN15" s="891"/>
      <c r="BO15" s="891"/>
      <c r="BP15" s="891"/>
      <c r="BQ15" s="891"/>
      <c r="BR15" s="891"/>
      <c r="BS15" s="891"/>
      <c r="BT15" s="891"/>
      <c r="BU15" s="891"/>
      <c r="BV15" s="891"/>
      <c r="BW15" s="891"/>
      <c r="BX15" s="891"/>
      <c r="BY15" s="891"/>
      <c r="BZ15" s="891"/>
      <c r="CA15" s="891"/>
      <c r="CB15" s="891"/>
      <c r="CC15" s="891"/>
      <c r="CD15" s="891"/>
      <c r="CE15" s="891"/>
      <c r="CF15" s="891"/>
      <c r="CG15" s="891"/>
      <c r="CH15" s="891"/>
      <c r="CI15" s="891"/>
      <c r="CJ15" s="891"/>
      <c r="CK15" s="891"/>
      <c r="CL15" s="891"/>
      <c r="CM15" s="891"/>
      <c r="CN15" s="891"/>
      <c r="CO15" s="891"/>
      <c r="CP15" s="915"/>
      <c r="CQ15" s="915"/>
      <c r="CR15" s="915"/>
      <c r="CS15" s="915"/>
      <c r="CT15" s="916"/>
      <c r="CU15" s="917" t="s">
        <v>593</v>
      </c>
      <c r="CV15" s="915"/>
      <c r="CW15" s="915"/>
      <c r="CX15" s="915"/>
      <c r="CY15" s="915"/>
      <c r="CZ15" s="915"/>
      <c r="DA15" s="915"/>
      <c r="DB15" s="915"/>
      <c r="DC15" s="915"/>
      <c r="DD15" s="916"/>
      <c r="DE15" s="918" t="s">
        <v>594</v>
      </c>
      <c r="DF15" s="918"/>
      <c r="DG15" s="918"/>
      <c r="DH15" s="918"/>
      <c r="DI15" s="918"/>
      <c r="DJ15" s="918"/>
      <c r="DK15" s="918"/>
      <c r="DL15" s="918"/>
      <c r="DM15" s="918" t="s">
        <v>22</v>
      </c>
      <c r="DN15" s="918"/>
      <c r="DO15" s="918"/>
      <c r="DP15" s="918"/>
      <c r="DQ15" s="918"/>
      <c r="DR15" s="918"/>
      <c r="DS15" s="918"/>
      <c r="DT15" s="918"/>
      <c r="DU15" s="682"/>
    </row>
    <row r="16" spans="1:130" ht="31.75" customHeight="1">
      <c r="A16" s="868"/>
      <c r="B16" s="868"/>
      <c r="C16" s="868"/>
      <c r="D16" s="868"/>
      <c r="E16" s="868"/>
      <c r="F16" s="868"/>
      <c r="G16" s="868"/>
      <c r="H16" s="868"/>
      <c r="I16" s="868"/>
      <c r="J16" s="868"/>
      <c r="K16" s="868"/>
      <c r="L16" s="868"/>
      <c r="M16" s="868"/>
      <c r="N16" s="868"/>
      <c r="O16" s="868"/>
      <c r="P16" s="868"/>
      <c r="Q16" s="868"/>
      <c r="R16" s="868"/>
      <c r="S16" s="868"/>
      <c r="T16" s="868"/>
      <c r="U16" s="868"/>
      <c r="V16" s="868"/>
      <c r="W16" s="868"/>
      <c r="X16" s="868"/>
      <c r="Y16" s="868"/>
      <c r="Z16" s="868"/>
      <c r="AA16" s="868"/>
      <c r="AB16" s="868"/>
      <c r="AC16" s="868"/>
      <c r="AD16" s="868"/>
      <c r="AE16" s="868"/>
      <c r="AF16" s="868"/>
      <c r="AG16" s="868"/>
      <c r="AH16" s="868"/>
      <c r="AI16" s="868"/>
      <c r="AJ16" s="868"/>
      <c r="AK16" s="868"/>
      <c r="AL16" s="868"/>
      <c r="AM16" s="868"/>
      <c r="AN16" s="868"/>
      <c r="AO16" s="868"/>
      <c r="AP16" s="868"/>
      <c r="AQ16" s="868"/>
      <c r="AR16" s="868"/>
      <c r="AS16" s="868"/>
      <c r="AT16" s="868"/>
      <c r="AU16" s="877"/>
      <c r="AV16" s="878"/>
      <c r="AW16" s="878"/>
      <c r="AX16" s="878"/>
      <c r="AY16" s="878"/>
      <c r="AZ16" s="878"/>
      <c r="BA16" s="878"/>
      <c r="BB16" s="878"/>
      <c r="BC16" s="879"/>
      <c r="BD16" s="869" t="s">
        <v>595</v>
      </c>
      <c r="BE16" s="870"/>
      <c r="BF16" s="870"/>
      <c r="BG16" s="870"/>
      <c r="BH16" s="871"/>
      <c r="BI16" s="872"/>
      <c r="BJ16" s="872"/>
      <c r="BK16" s="872"/>
      <c r="BL16" s="872"/>
      <c r="BM16" s="872"/>
      <c r="BN16" s="872" t="s">
        <v>30</v>
      </c>
      <c r="BO16" s="872"/>
      <c r="BP16" s="872"/>
      <c r="BQ16" s="872"/>
      <c r="BR16" s="872"/>
      <c r="BS16" s="872" t="s">
        <v>30</v>
      </c>
      <c r="BT16" s="872"/>
      <c r="BU16" s="872"/>
      <c r="BV16" s="872"/>
      <c r="BW16" s="872"/>
      <c r="BX16" s="872" t="s">
        <v>30</v>
      </c>
      <c r="BY16" s="872"/>
      <c r="BZ16" s="872"/>
      <c r="CA16" s="872"/>
      <c r="CB16" s="872"/>
      <c r="CC16" s="872" t="s">
        <v>30</v>
      </c>
      <c r="CD16" s="872"/>
      <c r="CE16" s="872"/>
      <c r="CF16" s="872"/>
      <c r="CG16" s="872"/>
      <c r="CH16" s="872" t="s">
        <v>30</v>
      </c>
      <c r="CI16" s="872"/>
      <c r="CJ16" s="872"/>
      <c r="CK16" s="872"/>
      <c r="CL16" s="872"/>
      <c r="CM16" s="872" t="s">
        <v>30</v>
      </c>
      <c r="CN16" s="872"/>
      <c r="CO16" s="872"/>
      <c r="CP16" s="919"/>
      <c r="CQ16" s="919"/>
      <c r="CR16" s="920"/>
      <c r="CS16" s="921" t="s">
        <v>596</v>
      </c>
      <c r="CT16" s="920"/>
      <c r="CU16" s="921" t="s">
        <v>597</v>
      </c>
      <c r="CV16" s="919"/>
      <c r="CW16" s="919"/>
      <c r="CX16" s="920"/>
      <c r="CY16" s="921" t="s">
        <v>598</v>
      </c>
      <c r="CZ16" s="919"/>
      <c r="DA16" s="919"/>
      <c r="DB16" s="920"/>
      <c r="DC16" s="921" t="s">
        <v>596</v>
      </c>
      <c r="DD16" s="920"/>
      <c r="DE16" s="918"/>
      <c r="DF16" s="918"/>
      <c r="DG16" s="918"/>
      <c r="DH16" s="918"/>
      <c r="DI16" s="918"/>
      <c r="DJ16" s="918"/>
      <c r="DK16" s="918"/>
      <c r="DL16" s="918"/>
      <c r="DM16" s="918"/>
      <c r="DN16" s="918"/>
      <c r="DO16" s="918"/>
      <c r="DP16" s="918"/>
      <c r="DQ16" s="918"/>
      <c r="DR16" s="918"/>
      <c r="DS16" s="918"/>
      <c r="DT16" s="918"/>
      <c r="DU16" s="682"/>
    </row>
    <row r="17" spans="1:130">
      <c r="A17" s="872">
        <v>1</v>
      </c>
      <c r="B17" s="872"/>
      <c r="C17" s="922" t="s">
        <v>599</v>
      </c>
      <c r="D17" s="923"/>
      <c r="E17" s="923"/>
      <c r="F17" s="923"/>
      <c r="G17" s="923"/>
      <c r="H17" s="923"/>
      <c r="I17" s="923"/>
      <c r="J17" s="923"/>
      <c r="K17" s="923"/>
      <c r="L17" s="923"/>
      <c r="M17" s="923"/>
      <c r="N17" s="923"/>
      <c r="O17" s="923"/>
      <c r="P17" s="924"/>
      <c r="Q17" s="869" t="s">
        <v>600</v>
      </c>
      <c r="R17" s="870"/>
      <c r="S17" s="870"/>
      <c r="T17" s="870"/>
      <c r="U17" s="870"/>
      <c r="V17" s="870"/>
      <c r="W17" s="870"/>
      <c r="X17" s="870"/>
      <c r="Y17" s="870"/>
      <c r="Z17" s="870"/>
      <c r="AA17" s="870"/>
      <c r="AB17" s="870"/>
      <c r="AC17" s="870"/>
      <c r="AD17" s="870"/>
      <c r="AE17" s="870"/>
      <c r="AF17" s="870"/>
      <c r="AG17" s="870"/>
      <c r="AH17" s="870"/>
      <c r="AI17" s="870"/>
      <c r="AJ17" s="870"/>
      <c r="AK17" s="870"/>
      <c r="AL17" s="871"/>
      <c r="AM17" s="872" t="s">
        <v>601</v>
      </c>
      <c r="AN17" s="872"/>
      <c r="AO17" s="872"/>
      <c r="AP17" s="872"/>
      <c r="AQ17" s="872"/>
      <c r="AR17" s="872"/>
      <c r="AS17" s="872"/>
      <c r="AT17" s="872"/>
      <c r="AU17" s="925"/>
      <c r="AV17" s="926"/>
      <c r="AW17" s="926"/>
      <c r="AX17" s="926"/>
      <c r="AY17" s="926"/>
      <c r="AZ17" s="926"/>
      <c r="BA17" s="926"/>
      <c r="BB17" s="926"/>
      <c r="BC17" s="927"/>
      <c r="BD17" s="887" t="s">
        <v>449</v>
      </c>
      <c r="BE17" s="888"/>
      <c r="BF17" s="888"/>
      <c r="BG17" s="888"/>
      <c r="BH17" s="889"/>
      <c r="BI17" s="902"/>
      <c r="BJ17" s="902"/>
      <c r="BK17" s="902"/>
      <c r="BL17" s="902"/>
      <c r="BM17" s="902"/>
      <c r="BN17" s="902"/>
      <c r="BO17" s="902"/>
      <c r="BP17" s="902"/>
      <c r="BQ17" s="902"/>
      <c r="BR17" s="902"/>
      <c r="BS17" s="902"/>
      <c r="BT17" s="902"/>
      <c r="BU17" s="902"/>
      <c r="BV17" s="902"/>
      <c r="BW17" s="902"/>
      <c r="BX17" s="902"/>
      <c r="BY17" s="902"/>
      <c r="BZ17" s="902"/>
      <c r="CA17" s="902"/>
      <c r="CB17" s="902"/>
      <c r="CC17" s="902"/>
      <c r="CD17" s="902"/>
      <c r="CE17" s="902"/>
      <c r="CF17" s="902"/>
      <c r="CG17" s="902"/>
      <c r="CH17" s="902"/>
      <c r="CI17" s="902"/>
      <c r="CJ17" s="902"/>
      <c r="CK17" s="902"/>
      <c r="CL17" s="902"/>
      <c r="CM17" s="902"/>
      <c r="CN17" s="902"/>
      <c r="CO17" s="902"/>
      <c r="CP17" s="928"/>
      <c r="CQ17" s="928"/>
      <c r="CR17" s="929"/>
      <c r="CS17" s="930"/>
      <c r="CT17" s="929"/>
      <c r="CU17" s="931"/>
      <c r="CV17" s="932"/>
      <c r="CW17" s="933"/>
      <c r="CX17" s="934"/>
      <c r="CY17" s="931"/>
      <c r="CZ17" s="932"/>
      <c r="DA17" s="933"/>
      <c r="DB17" s="934"/>
      <c r="DC17" s="935"/>
      <c r="DD17" s="934"/>
      <c r="DE17" s="872"/>
      <c r="DF17" s="872"/>
      <c r="DG17" s="872"/>
      <c r="DH17" s="872"/>
      <c r="DI17" s="872"/>
      <c r="DJ17" s="872"/>
      <c r="DK17" s="872"/>
      <c r="DL17" s="872"/>
      <c r="DM17" s="872"/>
      <c r="DN17" s="872"/>
      <c r="DO17" s="872"/>
      <c r="DP17" s="872"/>
      <c r="DQ17" s="872"/>
      <c r="DR17" s="872"/>
      <c r="DS17" s="872"/>
      <c r="DT17" s="872"/>
      <c r="DU17" s="682"/>
    </row>
    <row r="18" spans="1:130" ht="234.75" customHeight="1">
      <c r="A18" s="872">
        <v>2</v>
      </c>
      <c r="B18" s="872"/>
      <c r="C18" s="922" t="s">
        <v>602</v>
      </c>
      <c r="D18" s="923"/>
      <c r="E18" s="923"/>
      <c r="F18" s="923"/>
      <c r="G18" s="923"/>
      <c r="H18" s="923"/>
      <c r="I18" s="923"/>
      <c r="J18" s="923"/>
      <c r="K18" s="923"/>
      <c r="L18" s="923"/>
      <c r="M18" s="923"/>
      <c r="N18" s="923"/>
      <c r="O18" s="923"/>
      <c r="P18" s="924"/>
      <c r="Q18" s="869" t="s">
        <v>603</v>
      </c>
      <c r="R18" s="870"/>
      <c r="S18" s="870"/>
      <c r="T18" s="870"/>
      <c r="U18" s="870"/>
      <c r="V18" s="870"/>
      <c r="W18" s="870"/>
      <c r="X18" s="870"/>
      <c r="Y18" s="870"/>
      <c r="Z18" s="870"/>
      <c r="AA18" s="870"/>
      <c r="AB18" s="870"/>
      <c r="AC18" s="870"/>
      <c r="AD18" s="870"/>
      <c r="AE18" s="870"/>
      <c r="AF18" s="870"/>
      <c r="AG18" s="870"/>
      <c r="AH18" s="870"/>
      <c r="AI18" s="870"/>
      <c r="AJ18" s="870"/>
      <c r="AK18" s="870"/>
      <c r="AL18" s="871"/>
      <c r="AM18" s="872" t="s">
        <v>604</v>
      </c>
      <c r="AN18" s="872"/>
      <c r="AO18" s="872"/>
      <c r="AP18" s="872"/>
      <c r="AQ18" s="872"/>
      <c r="AR18" s="872"/>
      <c r="AS18" s="872"/>
      <c r="AT18" s="872"/>
      <c r="AU18" s="925"/>
      <c r="AV18" s="926"/>
      <c r="AW18" s="926"/>
      <c r="AX18" s="926"/>
      <c r="AY18" s="926"/>
      <c r="AZ18" s="926"/>
      <c r="BA18" s="926"/>
      <c r="BB18" s="926"/>
      <c r="BC18" s="927"/>
      <c r="BD18" s="887" t="s">
        <v>449</v>
      </c>
      <c r="BE18" s="888"/>
      <c r="BF18" s="888"/>
      <c r="BG18" s="888"/>
      <c r="BH18" s="889"/>
      <c r="BI18" s="902"/>
      <c r="BJ18" s="902"/>
      <c r="BK18" s="902"/>
      <c r="BL18" s="902"/>
      <c r="BM18" s="902"/>
      <c r="BN18" s="902"/>
      <c r="BO18" s="902"/>
      <c r="BP18" s="902"/>
      <c r="BQ18" s="902"/>
      <c r="BR18" s="902"/>
      <c r="BS18" s="902"/>
      <c r="BT18" s="902"/>
      <c r="BU18" s="902"/>
      <c r="BV18" s="902"/>
      <c r="BW18" s="902"/>
      <c r="BX18" s="902"/>
      <c r="BY18" s="902"/>
      <c r="BZ18" s="902"/>
      <c r="CA18" s="902"/>
      <c r="CB18" s="902"/>
      <c r="CC18" s="902"/>
      <c r="CD18" s="902"/>
      <c r="CE18" s="902"/>
      <c r="CF18" s="902"/>
      <c r="CG18" s="902"/>
      <c r="CH18" s="902"/>
      <c r="CI18" s="902"/>
      <c r="CJ18" s="902"/>
      <c r="CK18" s="902"/>
      <c r="CL18" s="902"/>
      <c r="CM18" s="902"/>
      <c r="CN18" s="902"/>
      <c r="CO18" s="902"/>
      <c r="CP18" s="928"/>
      <c r="CQ18" s="928"/>
      <c r="CR18" s="929"/>
      <c r="CS18" s="930"/>
      <c r="CT18" s="929"/>
      <c r="CU18" s="931"/>
      <c r="CV18" s="932"/>
      <c r="CW18" s="933"/>
      <c r="CX18" s="934"/>
      <c r="CY18" s="931"/>
      <c r="CZ18" s="932"/>
      <c r="DA18" s="933"/>
      <c r="DB18" s="934"/>
      <c r="DC18" s="935"/>
      <c r="DD18" s="934"/>
      <c r="DE18" s="872"/>
      <c r="DF18" s="872"/>
      <c r="DG18" s="872"/>
      <c r="DH18" s="872"/>
      <c r="DI18" s="872"/>
      <c r="DJ18" s="872"/>
      <c r="DK18" s="872"/>
      <c r="DL18" s="872"/>
      <c r="DM18" s="872"/>
      <c r="DN18" s="872"/>
      <c r="DO18" s="872"/>
      <c r="DP18" s="872"/>
      <c r="DQ18" s="872"/>
      <c r="DR18" s="872"/>
      <c r="DS18" s="872"/>
      <c r="DT18" s="872"/>
      <c r="DU18" s="682"/>
    </row>
    <row r="19" spans="1:130" ht="13.75" customHeight="1">
      <c r="A19" s="687"/>
      <c r="B19" s="687"/>
      <c r="C19" s="687"/>
      <c r="D19" s="687"/>
      <c r="E19" s="687"/>
      <c r="F19" s="687"/>
      <c r="G19" s="687"/>
      <c r="H19" s="687"/>
      <c r="I19" s="687"/>
      <c r="J19" s="687"/>
      <c r="K19" s="687"/>
      <c r="L19" s="687"/>
      <c r="M19" s="687"/>
      <c r="N19" s="687"/>
      <c r="O19" s="687"/>
      <c r="P19" s="687"/>
      <c r="Q19" s="687"/>
      <c r="R19" s="687"/>
      <c r="S19" s="687"/>
      <c r="T19" s="687"/>
      <c r="U19" s="687"/>
      <c r="V19" s="687"/>
      <c r="W19" s="687"/>
      <c r="X19" s="687"/>
      <c r="Y19" s="687"/>
      <c r="Z19" s="687"/>
      <c r="AA19" s="687"/>
      <c r="AB19" s="687"/>
      <c r="AC19" s="687"/>
      <c r="AD19" s="687"/>
      <c r="AE19" s="687"/>
      <c r="AF19" s="687"/>
      <c r="AG19" s="687"/>
      <c r="AH19" s="687"/>
      <c r="AI19" s="687"/>
      <c r="AJ19" s="687"/>
      <c r="AK19" s="687"/>
      <c r="AL19" s="687"/>
      <c r="AM19" s="687"/>
      <c r="AN19" s="687"/>
      <c r="AO19" s="687"/>
      <c r="AP19" s="687"/>
      <c r="AQ19" s="687"/>
      <c r="AR19" s="687"/>
      <c r="AS19" s="687"/>
      <c r="AT19" s="687"/>
      <c r="AU19" s="687"/>
      <c r="AV19" s="687"/>
      <c r="AW19" s="687"/>
      <c r="AX19" s="687"/>
      <c r="AY19" s="687"/>
      <c r="AZ19" s="687"/>
      <c r="BA19" s="687"/>
      <c r="BB19" s="687"/>
      <c r="BC19" s="687"/>
      <c r="BD19" s="687"/>
      <c r="BE19" s="687"/>
      <c r="BF19" s="687"/>
      <c r="BG19" s="687"/>
      <c r="BH19" s="687"/>
      <c r="BI19" s="687"/>
      <c r="BJ19" s="687"/>
      <c r="BK19" s="687"/>
      <c r="BL19" s="687"/>
      <c r="BM19" s="687"/>
      <c r="BN19" s="687"/>
      <c r="BO19" s="687"/>
      <c r="BP19" s="687"/>
      <c r="BQ19" s="687"/>
      <c r="BR19" s="687"/>
      <c r="BS19" s="687"/>
      <c r="BT19" s="687"/>
      <c r="BU19" s="687"/>
      <c r="BV19" s="687"/>
      <c r="BW19" s="687"/>
      <c r="BX19" s="687"/>
      <c r="BY19" s="687"/>
      <c r="BZ19" s="687"/>
      <c r="CA19" s="687"/>
      <c r="CB19" s="687"/>
      <c r="CC19" s="687"/>
      <c r="CD19" s="687"/>
      <c r="CE19" s="687"/>
      <c r="CF19" s="687"/>
      <c r="CG19" s="687"/>
      <c r="CH19" s="687"/>
      <c r="CI19" s="687"/>
      <c r="CJ19" s="687"/>
      <c r="CK19" s="687"/>
      <c r="CL19" s="687"/>
      <c r="CM19" s="687"/>
      <c r="CN19" s="687"/>
      <c r="CO19" s="687"/>
      <c r="CP19" s="687"/>
      <c r="CQ19" s="687"/>
      <c r="CR19" s="687"/>
      <c r="CS19" s="687"/>
      <c r="CT19" s="687"/>
      <c r="CU19" s="687"/>
      <c r="CV19" s="687"/>
      <c r="CW19" s="687"/>
      <c r="CX19" s="687"/>
      <c r="CY19" s="687"/>
      <c r="CZ19" s="687"/>
      <c r="DA19" s="687"/>
      <c r="DB19" s="687"/>
      <c r="DC19" s="687"/>
      <c r="DD19" s="687"/>
      <c r="DE19" s="687"/>
      <c r="DF19" s="682"/>
      <c r="DG19" s="682"/>
      <c r="DH19" s="682"/>
      <c r="DI19" s="682"/>
      <c r="DJ19" s="682"/>
      <c r="DK19" s="682"/>
      <c r="DL19" s="682"/>
      <c r="DM19" s="682"/>
      <c r="DN19" s="682"/>
      <c r="DO19" s="682"/>
      <c r="DP19" s="682"/>
      <c r="DQ19" s="682"/>
      <c r="DR19" s="682"/>
      <c r="DS19" s="682"/>
      <c r="DT19" s="682"/>
      <c r="DU19" s="682"/>
      <c r="DV19" s="682"/>
      <c r="DW19" s="682"/>
      <c r="DX19" s="682"/>
      <c r="DY19" s="682"/>
      <c r="DZ19" s="682"/>
    </row>
    <row r="20" spans="1:130" ht="13.75" customHeight="1"/>
    <row r="21" spans="1:130" ht="13.75" customHeight="1">
      <c r="B21" s="941" t="s">
        <v>464</v>
      </c>
      <c r="C21" s="941"/>
      <c r="D21" s="941"/>
      <c r="E21" s="941"/>
      <c r="F21" s="941"/>
      <c r="G21" s="941"/>
      <c r="H21" s="941"/>
      <c r="I21" s="936" t="s">
        <v>465</v>
      </c>
      <c r="J21" s="936"/>
      <c r="K21" s="936"/>
      <c r="L21" s="936"/>
      <c r="M21" s="936"/>
      <c r="N21" s="936"/>
      <c r="O21" s="936" t="s">
        <v>466</v>
      </c>
      <c r="P21" s="936"/>
      <c r="Q21" s="936"/>
      <c r="R21" s="936"/>
      <c r="S21" s="936"/>
      <c r="T21" s="936"/>
      <c r="U21" s="936" t="s">
        <v>467</v>
      </c>
      <c r="V21" s="936"/>
      <c r="W21" s="936"/>
      <c r="X21" s="936"/>
      <c r="Y21" s="936"/>
      <c r="Z21" s="936"/>
      <c r="AA21" s="936" t="s">
        <v>468</v>
      </c>
      <c r="AB21" s="936"/>
      <c r="AC21" s="936"/>
      <c r="AD21" s="936"/>
      <c r="AE21" s="936"/>
      <c r="AF21" s="936"/>
      <c r="AG21" s="936" t="s">
        <v>469</v>
      </c>
      <c r="AH21" s="936"/>
      <c r="AI21" s="936"/>
      <c r="AJ21" s="936"/>
      <c r="AK21" s="936"/>
      <c r="AL21" s="936"/>
      <c r="AM21" s="936" t="s">
        <v>470</v>
      </c>
      <c r="AN21" s="936"/>
      <c r="AO21" s="936"/>
      <c r="AP21" s="936"/>
      <c r="AQ21" s="936"/>
      <c r="AR21" s="936"/>
      <c r="AS21" s="936"/>
      <c r="AT21" s="936"/>
      <c r="AU21" s="936"/>
      <c r="AV21" s="936"/>
      <c r="AW21" s="936"/>
      <c r="AX21" s="936"/>
      <c r="AY21" s="936"/>
      <c r="AZ21" s="936"/>
      <c r="BA21" s="936"/>
      <c r="BB21" s="936"/>
      <c r="BC21" s="936"/>
      <c r="BD21" s="936"/>
      <c r="BE21" s="936"/>
      <c r="BF21" s="936"/>
      <c r="BG21" s="936"/>
      <c r="BH21" s="936"/>
      <c r="BI21" s="936"/>
      <c r="BJ21" s="936"/>
    </row>
    <row r="22" spans="1:130" ht="13.75" customHeight="1">
      <c r="B22" s="937" t="s">
        <v>447</v>
      </c>
      <c r="C22" s="938"/>
      <c r="D22" s="938"/>
      <c r="E22" s="938"/>
      <c r="F22" s="938"/>
      <c r="G22" s="938"/>
      <c r="H22" s="939"/>
      <c r="I22" s="940"/>
      <c r="J22" s="940"/>
      <c r="K22" s="940"/>
      <c r="L22" s="940"/>
      <c r="M22" s="940"/>
      <c r="N22" s="940"/>
      <c r="O22" s="940"/>
      <c r="P22" s="940"/>
      <c r="Q22" s="940"/>
      <c r="R22" s="940"/>
      <c r="S22" s="940"/>
      <c r="T22" s="940"/>
      <c r="U22" s="940"/>
      <c r="V22" s="940"/>
      <c r="W22" s="940"/>
      <c r="X22" s="940"/>
      <c r="Y22" s="940"/>
      <c r="Z22" s="940"/>
      <c r="AA22" s="940"/>
      <c r="AB22" s="940"/>
      <c r="AC22" s="940"/>
      <c r="AD22" s="940"/>
      <c r="AE22" s="940"/>
      <c r="AF22" s="940"/>
      <c r="AG22" s="940" t="s">
        <v>448</v>
      </c>
      <c r="AH22" s="940"/>
      <c r="AI22" s="940"/>
      <c r="AJ22" s="940"/>
      <c r="AK22" s="940"/>
      <c r="AL22" s="940"/>
      <c r="AM22" s="940" t="s">
        <v>471</v>
      </c>
      <c r="AN22" s="940"/>
      <c r="AO22" s="940"/>
      <c r="AP22" s="940"/>
      <c r="AQ22" s="940"/>
      <c r="AR22" s="940"/>
      <c r="AS22" s="940"/>
      <c r="AT22" s="940"/>
      <c r="AU22" s="940"/>
      <c r="AV22" s="940"/>
      <c r="AW22" s="940"/>
      <c r="AX22" s="940"/>
      <c r="AY22" s="940"/>
      <c r="AZ22" s="940"/>
      <c r="BA22" s="940"/>
      <c r="BB22" s="940"/>
      <c r="BC22" s="940"/>
      <c r="BD22" s="940"/>
      <c r="BE22" s="940"/>
      <c r="BF22" s="940"/>
      <c r="BG22" s="940"/>
      <c r="BH22" s="940"/>
      <c r="BI22" s="940"/>
      <c r="BJ22" s="940"/>
    </row>
    <row r="23" spans="1:130" ht="13.75" customHeight="1">
      <c r="B23" s="937" t="s">
        <v>472</v>
      </c>
      <c r="C23" s="938"/>
      <c r="D23" s="938"/>
      <c r="E23" s="938"/>
      <c r="F23" s="938"/>
      <c r="G23" s="938"/>
      <c r="H23" s="939"/>
      <c r="I23" s="940"/>
      <c r="J23" s="940"/>
      <c r="K23" s="940"/>
      <c r="L23" s="940"/>
      <c r="M23" s="940"/>
      <c r="N23" s="940"/>
      <c r="O23" s="940"/>
      <c r="P23" s="940"/>
      <c r="Q23" s="940"/>
      <c r="R23" s="940"/>
      <c r="S23" s="940"/>
      <c r="T23" s="940"/>
      <c r="U23" s="940"/>
      <c r="V23" s="940"/>
      <c r="W23" s="940"/>
      <c r="X23" s="940"/>
      <c r="Y23" s="940"/>
      <c r="Z23" s="940"/>
      <c r="AA23" s="940"/>
      <c r="AB23" s="940"/>
      <c r="AC23" s="940"/>
      <c r="AD23" s="940"/>
      <c r="AE23" s="940"/>
      <c r="AF23" s="940"/>
      <c r="AG23" s="940" t="s">
        <v>473</v>
      </c>
      <c r="AH23" s="940"/>
      <c r="AI23" s="940"/>
      <c r="AJ23" s="940"/>
      <c r="AK23" s="940"/>
      <c r="AL23" s="940"/>
      <c r="AM23" s="940" t="s">
        <v>474</v>
      </c>
      <c r="AN23" s="940"/>
      <c r="AO23" s="940"/>
      <c r="AP23" s="940"/>
      <c r="AQ23" s="940"/>
      <c r="AR23" s="940"/>
      <c r="AS23" s="940"/>
      <c r="AT23" s="940"/>
      <c r="AU23" s="940"/>
      <c r="AV23" s="940"/>
      <c r="AW23" s="940"/>
      <c r="AX23" s="940"/>
      <c r="AY23" s="940"/>
      <c r="AZ23" s="940"/>
      <c r="BA23" s="940"/>
      <c r="BB23" s="940"/>
      <c r="BC23" s="940"/>
      <c r="BD23" s="940"/>
      <c r="BE23" s="940"/>
      <c r="BF23" s="940"/>
      <c r="BG23" s="940"/>
      <c r="BH23" s="940"/>
      <c r="BI23" s="940"/>
      <c r="BJ23" s="940"/>
    </row>
    <row r="24" spans="1:130" ht="13.75" customHeight="1">
      <c r="B24" s="937" t="s">
        <v>475</v>
      </c>
      <c r="C24" s="938"/>
      <c r="D24" s="938"/>
      <c r="E24" s="938"/>
      <c r="F24" s="938"/>
      <c r="G24" s="938"/>
      <c r="H24" s="939"/>
      <c r="I24" s="940"/>
      <c r="J24" s="940"/>
      <c r="K24" s="940"/>
      <c r="L24" s="940"/>
      <c r="M24" s="940"/>
      <c r="N24" s="940"/>
      <c r="O24" s="940"/>
      <c r="P24" s="940"/>
      <c r="Q24" s="940"/>
      <c r="R24" s="940"/>
      <c r="S24" s="940"/>
      <c r="T24" s="940"/>
      <c r="U24" s="940"/>
      <c r="V24" s="940"/>
      <c r="W24" s="940"/>
      <c r="X24" s="940"/>
      <c r="Y24" s="940"/>
      <c r="Z24" s="940"/>
      <c r="AA24" s="940"/>
      <c r="AB24" s="940"/>
      <c r="AC24" s="940"/>
      <c r="AD24" s="940"/>
      <c r="AE24" s="940"/>
      <c r="AF24" s="940"/>
      <c r="AG24" s="940" t="s">
        <v>457</v>
      </c>
      <c r="AH24" s="940"/>
      <c r="AI24" s="940"/>
      <c r="AJ24" s="940"/>
      <c r="AK24" s="940"/>
      <c r="AL24" s="940"/>
      <c r="AM24" s="940" t="s">
        <v>476</v>
      </c>
      <c r="AN24" s="940"/>
      <c r="AO24" s="940"/>
      <c r="AP24" s="940"/>
      <c r="AQ24" s="940"/>
      <c r="AR24" s="940"/>
      <c r="AS24" s="940"/>
      <c r="AT24" s="940"/>
      <c r="AU24" s="940"/>
      <c r="AV24" s="940"/>
      <c r="AW24" s="940"/>
      <c r="AX24" s="940"/>
      <c r="AY24" s="940"/>
      <c r="AZ24" s="940"/>
      <c r="BA24" s="940"/>
      <c r="BB24" s="940"/>
      <c r="BC24" s="940"/>
      <c r="BD24" s="940"/>
      <c r="BE24" s="940"/>
      <c r="BF24" s="940"/>
      <c r="BG24" s="940"/>
      <c r="BH24" s="940"/>
      <c r="BI24" s="940"/>
      <c r="BJ24" s="940"/>
    </row>
    <row r="25" spans="1:130" ht="13.75" customHeight="1">
      <c r="B25" s="937" t="s">
        <v>450</v>
      </c>
      <c r="C25" s="938"/>
      <c r="D25" s="938"/>
      <c r="E25" s="938"/>
      <c r="F25" s="938"/>
      <c r="G25" s="938"/>
      <c r="H25" s="939"/>
      <c r="I25" s="940"/>
      <c r="J25" s="940"/>
      <c r="K25" s="940"/>
      <c r="L25" s="940"/>
      <c r="M25" s="940"/>
      <c r="N25" s="940"/>
      <c r="O25" s="940"/>
      <c r="P25" s="940"/>
      <c r="Q25" s="940"/>
      <c r="R25" s="940"/>
      <c r="S25" s="940"/>
      <c r="T25" s="940"/>
      <c r="U25" s="940"/>
      <c r="V25" s="940"/>
      <c r="W25" s="940"/>
      <c r="X25" s="940"/>
      <c r="Y25" s="940"/>
      <c r="Z25" s="940"/>
      <c r="AA25" s="940"/>
      <c r="AB25" s="940"/>
      <c r="AC25" s="940"/>
      <c r="AD25" s="940"/>
      <c r="AE25" s="940"/>
      <c r="AF25" s="940"/>
      <c r="AG25" s="940" t="s">
        <v>477</v>
      </c>
      <c r="AH25" s="940"/>
      <c r="AI25" s="940"/>
      <c r="AJ25" s="940"/>
      <c r="AK25" s="940"/>
      <c r="AL25" s="940"/>
      <c r="AM25" s="940" t="s">
        <v>478</v>
      </c>
      <c r="AN25" s="940"/>
      <c r="AO25" s="940"/>
      <c r="AP25" s="940"/>
      <c r="AQ25" s="940"/>
      <c r="AR25" s="940"/>
      <c r="AS25" s="940"/>
      <c r="AT25" s="940"/>
      <c r="AU25" s="940"/>
      <c r="AV25" s="940"/>
      <c r="AW25" s="940"/>
      <c r="AX25" s="940"/>
      <c r="AY25" s="940"/>
      <c r="AZ25" s="940"/>
      <c r="BA25" s="940"/>
      <c r="BB25" s="940"/>
      <c r="BC25" s="940"/>
      <c r="BD25" s="940"/>
      <c r="BE25" s="940"/>
      <c r="BF25" s="940"/>
      <c r="BG25" s="940"/>
      <c r="BH25" s="940"/>
      <c r="BI25" s="940"/>
      <c r="BJ25" s="940"/>
    </row>
    <row r="26" spans="1:130" ht="13.75" customHeight="1">
      <c r="B26" s="937" t="s">
        <v>479</v>
      </c>
      <c r="C26" s="938"/>
      <c r="D26" s="938"/>
      <c r="E26" s="938"/>
      <c r="F26" s="938"/>
      <c r="G26" s="938"/>
      <c r="H26" s="939"/>
      <c r="I26" s="940"/>
      <c r="J26" s="940"/>
      <c r="K26" s="940"/>
      <c r="L26" s="940"/>
      <c r="M26" s="940"/>
      <c r="N26" s="940"/>
      <c r="O26" s="940"/>
      <c r="P26" s="940"/>
      <c r="Q26" s="940"/>
      <c r="R26" s="940"/>
      <c r="S26" s="940"/>
      <c r="T26" s="940"/>
      <c r="U26" s="940"/>
      <c r="V26" s="940"/>
      <c r="W26" s="940"/>
      <c r="X26" s="940"/>
      <c r="Y26" s="940"/>
      <c r="Z26" s="940"/>
      <c r="AA26" s="940"/>
      <c r="AB26" s="940"/>
      <c r="AC26" s="940"/>
      <c r="AD26" s="940"/>
      <c r="AE26" s="940"/>
      <c r="AF26" s="940"/>
      <c r="AG26" s="940" t="s">
        <v>480</v>
      </c>
      <c r="AH26" s="940"/>
      <c r="AI26" s="940"/>
      <c r="AJ26" s="940"/>
      <c r="AK26" s="940"/>
      <c r="AL26" s="940"/>
      <c r="AM26" s="940" t="s">
        <v>481</v>
      </c>
      <c r="AN26" s="940"/>
      <c r="AO26" s="940"/>
      <c r="AP26" s="940"/>
      <c r="AQ26" s="940"/>
      <c r="AR26" s="940"/>
      <c r="AS26" s="940"/>
      <c r="AT26" s="940"/>
      <c r="AU26" s="940"/>
      <c r="AV26" s="940"/>
      <c r="AW26" s="940"/>
      <c r="AX26" s="940"/>
      <c r="AY26" s="940"/>
      <c r="AZ26" s="940"/>
      <c r="BA26" s="940"/>
      <c r="BB26" s="940"/>
      <c r="BC26" s="940"/>
      <c r="BD26" s="940"/>
      <c r="BE26" s="940"/>
      <c r="BF26" s="940"/>
      <c r="BG26" s="940"/>
      <c r="BH26" s="940"/>
      <c r="BI26" s="940"/>
      <c r="BJ26" s="940"/>
    </row>
    <row r="27" spans="1:130" ht="13.75" customHeight="1">
      <c r="B27" s="937" t="s">
        <v>482</v>
      </c>
      <c r="C27" s="938"/>
      <c r="D27" s="938"/>
      <c r="E27" s="938"/>
      <c r="F27" s="938"/>
      <c r="G27" s="938"/>
      <c r="H27" s="939"/>
      <c r="I27" s="940"/>
      <c r="J27" s="940"/>
      <c r="K27" s="940"/>
      <c r="L27" s="940"/>
      <c r="M27" s="940"/>
      <c r="N27" s="940"/>
      <c r="O27" s="940"/>
      <c r="P27" s="940"/>
      <c r="Q27" s="940"/>
      <c r="R27" s="940"/>
      <c r="S27" s="940"/>
      <c r="T27" s="940"/>
      <c r="U27" s="940"/>
      <c r="V27" s="940"/>
      <c r="W27" s="940"/>
      <c r="X27" s="940"/>
      <c r="Y27" s="940"/>
      <c r="Z27" s="940"/>
      <c r="AA27" s="940"/>
      <c r="AB27" s="940"/>
      <c r="AC27" s="940"/>
      <c r="AD27" s="940"/>
      <c r="AE27" s="940"/>
      <c r="AF27" s="940"/>
      <c r="AG27" s="940" t="s">
        <v>452</v>
      </c>
      <c r="AH27" s="940"/>
      <c r="AI27" s="940"/>
      <c r="AJ27" s="940"/>
      <c r="AK27" s="940"/>
      <c r="AL27" s="940"/>
      <c r="AM27" s="940" t="s">
        <v>483</v>
      </c>
      <c r="AN27" s="940"/>
      <c r="AO27" s="940"/>
      <c r="AP27" s="940"/>
      <c r="AQ27" s="940"/>
      <c r="AR27" s="940"/>
      <c r="AS27" s="940"/>
      <c r="AT27" s="940"/>
      <c r="AU27" s="940"/>
      <c r="AV27" s="940"/>
      <c r="AW27" s="940"/>
      <c r="AX27" s="940"/>
      <c r="AY27" s="940"/>
      <c r="AZ27" s="940"/>
      <c r="BA27" s="940"/>
      <c r="BB27" s="940"/>
      <c r="BC27" s="940"/>
      <c r="BD27" s="940"/>
      <c r="BE27" s="940"/>
      <c r="BF27" s="940"/>
      <c r="BG27" s="940"/>
      <c r="BH27" s="940"/>
      <c r="BI27" s="940"/>
      <c r="BJ27" s="940"/>
    </row>
    <row r="28" spans="1:130" ht="13.75" customHeight="1">
      <c r="B28" s="937" t="s">
        <v>453</v>
      </c>
      <c r="C28" s="938"/>
      <c r="D28" s="938"/>
      <c r="E28" s="938"/>
      <c r="F28" s="938"/>
      <c r="G28" s="938"/>
      <c r="H28" s="939"/>
      <c r="I28" s="940"/>
      <c r="J28" s="940"/>
      <c r="K28" s="940"/>
      <c r="L28" s="940"/>
      <c r="M28" s="940"/>
      <c r="N28" s="940"/>
      <c r="O28" s="940"/>
      <c r="P28" s="940"/>
      <c r="Q28" s="940"/>
      <c r="R28" s="940"/>
      <c r="S28" s="940"/>
      <c r="T28" s="940"/>
      <c r="U28" s="940"/>
      <c r="V28" s="940"/>
      <c r="W28" s="940"/>
      <c r="X28" s="940"/>
      <c r="Y28" s="940"/>
      <c r="Z28" s="940"/>
      <c r="AA28" s="940"/>
      <c r="AB28" s="940"/>
      <c r="AC28" s="940"/>
      <c r="AD28" s="940"/>
      <c r="AE28" s="940"/>
      <c r="AF28" s="940"/>
      <c r="AG28" s="940" t="s">
        <v>484</v>
      </c>
      <c r="AH28" s="940"/>
      <c r="AI28" s="940"/>
      <c r="AJ28" s="940"/>
      <c r="AK28" s="940"/>
      <c r="AL28" s="940"/>
      <c r="AM28" s="940" t="s">
        <v>485</v>
      </c>
      <c r="AN28" s="940"/>
      <c r="AO28" s="940"/>
      <c r="AP28" s="940"/>
      <c r="AQ28" s="940"/>
      <c r="AR28" s="940"/>
      <c r="AS28" s="940"/>
      <c r="AT28" s="940"/>
      <c r="AU28" s="940"/>
      <c r="AV28" s="940"/>
      <c r="AW28" s="940"/>
      <c r="AX28" s="940"/>
      <c r="AY28" s="940"/>
      <c r="AZ28" s="940"/>
      <c r="BA28" s="940"/>
      <c r="BB28" s="940"/>
      <c r="BC28" s="940"/>
      <c r="BD28" s="940"/>
      <c r="BE28" s="940"/>
      <c r="BF28" s="940"/>
      <c r="BG28" s="940"/>
      <c r="BH28" s="940"/>
      <c r="BI28" s="940"/>
      <c r="BJ28" s="940"/>
    </row>
    <row r="29" spans="1:130" ht="13.75" customHeight="1">
      <c r="B29" s="937" t="s">
        <v>486</v>
      </c>
      <c r="C29" s="938"/>
      <c r="D29" s="938"/>
      <c r="E29" s="938"/>
      <c r="F29" s="938"/>
      <c r="G29" s="938"/>
      <c r="H29" s="939"/>
      <c r="I29" s="940"/>
      <c r="J29" s="940"/>
      <c r="K29" s="940"/>
      <c r="L29" s="940"/>
      <c r="M29" s="940"/>
      <c r="N29" s="940"/>
      <c r="O29" s="940"/>
      <c r="P29" s="940"/>
      <c r="Q29" s="940"/>
      <c r="R29" s="940"/>
      <c r="S29" s="940"/>
      <c r="T29" s="940"/>
      <c r="U29" s="940"/>
      <c r="V29" s="940"/>
      <c r="W29" s="940"/>
      <c r="X29" s="940"/>
      <c r="Y29" s="940"/>
      <c r="Z29" s="940"/>
      <c r="AA29" s="940"/>
      <c r="AB29" s="940"/>
      <c r="AC29" s="940"/>
      <c r="AD29" s="940"/>
      <c r="AE29" s="940"/>
      <c r="AF29" s="940"/>
      <c r="AG29" s="940" t="s">
        <v>487</v>
      </c>
      <c r="AH29" s="940"/>
      <c r="AI29" s="940"/>
      <c r="AJ29" s="940"/>
      <c r="AK29" s="940"/>
      <c r="AL29" s="940"/>
      <c r="AM29" s="940" t="s">
        <v>488</v>
      </c>
      <c r="AN29" s="940"/>
      <c r="AO29" s="940"/>
      <c r="AP29" s="940"/>
      <c r="AQ29" s="940"/>
      <c r="AR29" s="940"/>
      <c r="AS29" s="940"/>
      <c r="AT29" s="940"/>
      <c r="AU29" s="940"/>
      <c r="AV29" s="940"/>
      <c r="AW29" s="940"/>
      <c r="AX29" s="940"/>
      <c r="AY29" s="940"/>
      <c r="AZ29" s="940"/>
      <c r="BA29" s="940"/>
      <c r="BB29" s="940"/>
      <c r="BC29" s="940"/>
      <c r="BD29" s="940"/>
      <c r="BE29" s="940"/>
      <c r="BF29" s="940"/>
      <c r="BG29" s="940"/>
      <c r="BH29" s="940"/>
      <c r="BI29" s="940"/>
      <c r="BJ29" s="940"/>
    </row>
    <row r="30" spans="1:130" ht="13.75" customHeight="1">
      <c r="B30" s="937" t="s">
        <v>489</v>
      </c>
      <c r="C30" s="938"/>
      <c r="D30" s="938"/>
      <c r="E30" s="938"/>
      <c r="F30" s="938"/>
      <c r="G30" s="938"/>
      <c r="H30" s="939"/>
      <c r="I30" s="940" t="s">
        <v>490</v>
      </c>
      <c r="J30" s="940"/>
      <c r="K30" s="940"/>
      <c r="L30" s="940"/>
      <c r="M30" s="940"/>
      <c r="N30" s="940"/>
      <c r="O30" s="940" t="s">
        <v>491</v>
      </c>
      <c r="P30" s="940"/>
      <c r="Q30" s="940"/>
      <c r="R30" s="940"/>
      <c r="S30" s="940"/>
      <c r="T30" s="940"/>
      <c r="U30" s="940"/>
      <c r="V30" s="940"/>
      <c r="W30" s="940"/>
      <c r="X30" s="940"/>
      <c r="Y30" s="940"/>
      <c r="Z30" s="940"/>
      <c r="AA30" s="940"/>
      <c r="AB30" s="940"/>
      <c r="AC30" s="940"/>
      <c r="AD30" s="940"/>
      <c r="AE30" s="940"/>
      <c r="AF30" s="940"/>
      <c r="AG30" s="940" t="s">
        <v>492</v>
      </c>
      <c r="AH30" s="940"/>
      <c r="AI30" s="940"/>
      <c r="AJ30" s="940"/>
      <c r="AK30" s="940"/>
      <c r="AL30" s="940"/>
      <c r="AM30" s="940" t="s">
        <v>493</v>
      </c>
      <c r="AN30" s="940"/>
      <c r="AO30" s="940"/>
      <c r="AP30" s="940"/>
      <c r="AQ30" s="940"/>
      <c r="AR30" s="940"/>
      <c r="AS30" s="940"/>
      <c r="AT30" s="940"/>
      <c r="AU30" s="940"/>
      <c r="AV30" s="940"/>
      <c r="AW30" s="940"/>
      <c r="AX30" s="940"/>
      <c r="AY30" s="940"/>
      <c r="AZ30" s="940"/>
      <c r="BA30" s="940"/>
      <c r="BB30" s="940"/>
      <c r="BC30" s="940"/>
      <c r="BD30" s="940"/>
      <c r="BE30" s="940"/>
      <c r="BF30" s="940"/>
      <c r="BG30" s="940"/>
      <c r="BH30" s="940"/>
      <c r="BI30" s="940"/>
      <c r="BJ30" s="940"/>
    </row>
    <row r="31" spans="1:130" ht="13.75" customHeight="1">
      <c r="B31" s="937" t="s">
        <v>494</v>
      </c>
      <c r="C31" s="938"/>
      <c r="D31" s="938"/>
      <c r="E31" s="938"/>
      <c r="F31" s="938"/>
      <c r="G31" s="938"/>
      <c r="H31" s="939"/>
      <c r="I31" s="940" t="s">
        <v>495</v>
      </c>
      <c r="J31" s="940"/>
      <c r="K31" s="940"/>
      <c r="L31" s="940"/>
      <c r="M31" s="940"/>
      <c r="N31" s="940"/>
      <c r="O31" s="940" t="s">
        <v>496</v>
      </c>
      <c r="P31" s="940"/>
      <c r="Q31" s="940"/>
      <c r="R31" s="940"/>
      <c r="S31" s="940"/>
      <c r="T31" s="940"/>
      <c r="U31" s="940"/>
      <c r="V31" s="940"/>
      <c r="W31" s="940"/>
      <c r="X31" s="940"/>
      <c r="Y31" s="940"/>
      <c r="Z31" s="940"/>
      <c r="AA31" s="940"/>
      <c r="AB31" s="940"/>
      <c r="AC31" s="940"/>
      <c r="AD31" s="940"/>
      <c r="AE31" s="940"/>
      <c r="AF31" s="940"/>
      <c r="AG31" s="940" t="s">
        <v>497</v>
      </c>
      <c r="AH31" s="940"/>
      <c r="AI31" s="940"/>
      <c r="AJ31" s="940"/>
      <c r="AK31" s="940"/>
      <c r="AL31" s="940"/>
      <c r="AM31" s="940" t="s">
        <v>498</v>
      </c>
      <c r="AN31" s="940"/>
      <c r="AO31" s="940"/>
      <c r="AP31" s="940"/>
      <c r="AQ31" s="940"/>
      <c r="AR31" s="940"/>
      <c r="AS31" s="940"/>
      <c r="AT31" s="940"/>
      <c r="AU31" s="940"/>
      <c r="AV31" s="940"/>
      <c r="AW31" s="940"/>
      <c r="AX31" s="940"/>
      <c r="AY31" s="940"/>
      <c r="AZ31" s="940"/>
      <c r="BA31" s="940"/>
      <c r="BB31" s="940"/>
      <c r="BC31" s="940"/>
      <c r="BD31" s="940"/>
      <c r="BE31" s="940"/>
      <c r="BF31" s="940"/>
      <c r="BG31" s="940"/>
      <c r="BH31" s="940"/>
      <c r="BI31" s="940"/>
      <c r="BJ31" s="940"/>
    </row>
    <row r="32" spans="1:130" ht="13.75" customHeight="1">
      <c r="B32" s="937" t="s">
        <v>499</v>
      </c>
      <c r="C32" s="938"/>
      <c r="D32" s="938"/>
      <c r="E32" s="938"/>
      <c r="F32" s="938"/>
      <c r="G32" s="938"/>
      <c r="H32" s="939"/>
      <c r="I32" s="940" t="s">
        <v>495</v>
      </c>
      <c r="J32" s="940"/>
      <c r="K32" s="940"/>
      <c r="L32" s="940"/>
      <c r="M32" s="940"/>
      <c r="N32" s="940"/>
      <c r="O32" s="940" t="s">
        <v>496</v>
      </c>
      <c r="P32" s="940"/>
      <c r="Q32" s="940"/>
      <c r="R32" s="940"/>
      <c r="S32" s="940"/>
      <c r="T32" s="940"/>
      <c r="U32" s="940" t="s">
        <v>491</v>
      </c>
      <c r="V32" s="940"/>
      <c r="W32" s="940"/>
      <c r="X32" s="940"/>
      <c r="Y32" s="940"/>
      <c r="Z32" s="940"/>
      <c r="AA32" s="940"/>
      <c r="AB32" s="940"/>
      <c r="AC32" s="940"/>
      <c r="AD32" s="940"/>
      <c r="AE32" s="940"/>
      <c r="AF32" s="940"/>
      <c r="AG32" s="940" t="s">
        <v>500</v>
      </c>
      <c r="AH32" s="940"/>
      <c r="AI32" s="940"/>
      <c r="AJ32" s="940"/>
      <c r="AK32" s="940"/>
      <c r="AL32" s="940"/>
      <c r="AM32" s="940" t="s">
        <v>498</v>
      </c>
      <c r="AN32" s="940"/>
      <c r="AO32" s="940"/>
      <c r="AP32" s="940"/>
      <c r="AQ32" s="940"/>
      <c r="AR32" s="940"/>
      <c r="AS32" s="940"/>
      <c r="AT32" s="940"/>
      <c r="AU32" s="940"/>
      <c r="AV32" s="940"/>
      <c r="AW32" s="940"/>
      <c r="AX32" s="940"/>
      <c r="AY32" s="940"/>
      <c r="AZ32" s="940"/>
      <c r="BA32" s="940"/>
      <c r="BB32" s="940"/>
      <c r="BC32" s="940"/>
      <c r="BD32" s="940"/>
      <c r="BE32" s="940"/>
      <c r="BF32" s="940"/>
      <c r="BG32" s="940"/>
      <c r="BH32" s="940"/>
      <c r="BI32" s="940"/>
      <c r="BJ32" s="940"/>
    </row>
    <row r="33" spans="2:62" ht="13.75" customHeight="1">
      <c r="B33" s="937" t="s">
        <v>501</v>
      </c>
      <c r="C33" s="938"/>
      <c r="D33" s="938"/>
      <c r="E33" s="938"/>
      <c r="F33" s="938"/>
      <c r="G33" s="938"/>
      <c r="H33" s="939"/>
      <c r="I33" s="940" t="s">
        <v>502</v>
      </c>
      <c r="J33" s="940"/>
      <c r="K33" s="940"/>
      <c r="L33" s="940"/>
      <c r="M33" s="940"/>
      <c r="N33" s="940"/>
      <c r="O33" s="940"/>
      <c r="P33" s="940"/>
      <c r="Q33" s="940"/>
      <c r="R33" s="940"/>
      <c r="S33" s="940"/>
      <c r="T33" s="940"/>
      <c r="U33" s="940"/>
      <c r="V33" s="940"/>
      <c r="W33" s="940"/>
      <c r="X33" s="940"/>
      <c r="Y33" s="940"/>
      <c r="Z33" s="940"/>
      <c r="AA33" s="940"/>
      <c r="AB33" s="940"/>
      <c r="AC33" s="940"/>
      <c r="AD33" s="940"/>
      <c r="AE33" s="940"/>
      <c r="AF33" s="940"/>
      <c r="AG33" s="940" t="s">
        <v>503</v>
      </c>
      <c r="AH33" s="940"/>
      <c r="AI33" s="940"/>
      <c r="AJ33" s="940"/>
      <c r="AK33" s="940"/>
      <c r="AL33" s="940"/>
      <c r="AM33" s="940" t="s">
        <v>493</v>
      </c>
      <c r="AN33" s="940"/>
      <c r="AO33" s="940"/>
      <c r="AP33" s="940"/>
      <c r="AQ33" s="940"/>
      <c r="AR33" s="940"/>
      <c r="AS33" s="940"/>
      <c r="AT33" s="940"/>
      <c r="AU33" s="940"/>
      <c r="AV33" s="940"/>
      <c r="AW33" s="940"/>
      <c r="AX33" s="940"/>
      <c r="AY33" s="940"/>
      <c r="AZ33" s="940"/>
      <c r="BA33" s="940"/>
      <c r="BB33" s="940"/>
      <c r="BC33" s="940"/>
      <c r="BD33" s="940"/>
      <c r="BE33" s="940"/>
      <c r="BF33" s="940"/>
      <c r="BG33" s="940"/>
      <c r="BH33" s="940"/>
      <c r="BI33" s="940"/>
      <c r="BJ33" s="940"/>
    </row>
    <row r="34" spans="2:62" ht="13.75" customHeight="1">
      <c r="B34" s="937" t="s">
        <v>504</v>
      </c>
      <c r="C34" s="938"/>
      <c r="D34" s="938"/>
      <c r="E34" s="938"/>
      <c r="F34" s="938"/>
      <c r="G34" s="938"/>
      <c r="H34" s="939"/>
      <c r="I34" s="940" t="s">
        <v>505</v>
      </c>
      <c r="J34" s="940"/>
      <c r="K34" s="940"/>
      <c r="L34" s="940"/>
      <c r="M34" s="940"/>
      <c r="N34" s="940"/>
      <c r="O34" s="940"/>
      <c r="P34" s="940"/>
      <c r="Q34" s="940"/>
      <c r="R34" s="940"/>
      <c r="S34" s="940"/>
      <c r="T34" s="940"/>
      <c r="U34" s="940"/>
      <c r="V34" s="940"/>
      <c r="W34" s="940"/>
      <c r="X34" s="940"/>
      <c r="Y34" s="940"/>
      <c r="Z34" s="940"/>
      <c r="AA34" s="940"/>
      <c r="AB34" s="940"/>
      <c r="AC34" s="940"/>
      <c r="AD34" s="940"/>
      <c r="AE34" s="940"/>
      <c r="AF34" s="940"/>
      <c r="AG34" s="940" t="s">
        <v>506</v>
      </c>
      <c r="AH34" s="940"/>
      <c r="AI34" s="940"/>
      <c r="AJ34" s="940"/>
      <c r="AK34" s="940"/>
      <c r="AL34" s="940"/>
      <c r="AM34" s="940" t="s">
        <v>507</v>
      </c>
      <c r="AN34" s="940"/>
      <c r="AO34" s="940"/>
      <c r="AP34" s="940"/>
      <c r="AQ34" s="940"/>
      <c r="AR34" s="940"/>
      <c r="AS34" s="940"/>
      <c r="AT34" s="940"/>
      <c r="AU34" s="940"/>
      <c r="AV34" s="940"/>
      <c r="AW34" s="940"/>
      <c r="AX34" s="940"/>
      <c r="AY34" s="940"/>
      <c r="AZ34" s="940"/>
      <c r="BA34" s="940"/>
      <c r="BB34" s="940"/>
      <c r="BC34" s="940"/>
      <c r="BD34" s="940"/>
      <c r="BE34" s="940"/>
      <c r="BF34" s="940"/>
      <c r="BG34" s="940"/>
      <c r="BH34" s="940"/>
      <c r="BI34" s="940"/>
      <c r="BJ34" s="940"/>
    </row>
    <row r="35" spans="2:62" ht="13.75" customHeight="1">
      <c r="B35" s="937" t="s">
        <v>508</v>
      </c>
      <c r="C35" s="938"/>
      <c r="D35" s="938"/>
      <c r="E35" s="938"/>
      <c r="F35" s="938"/>
      <c r="G35" s="938"/>
      <c r="H35" s="939"/>
      <c r="I35" s="940" t="s">
        <v>505</v>
      </c>
      <c r="J35" s="940"/>
      <c r="K35" s="940"/>
      <c r="L35" s="940"/>
      <c r="M35" s="940"/>
      <c r="N35" s="940"/>
      <c r="O35" s="940" t="s">
        <v>509</v>
      </c>
      <c r="P35" s="940"/>
      <c r="Q35" s="940"/>
      <c r="R35" s="940"/>
      <c r="S35" s="940"/>
      <c r="T35" s="940"/>
      <c r="U35" s="940" t="s">
        <v>510</v>
      </c>
      <c r="V35" s="940"/>
      <c r="W35" s="940"/>
      <c r="X35" s="940"/>
      <c r="Y35" s="940"/>
      <c r="Z35" s="940"/>
      <c r="AA35" s="940"/>
      <c r="AB35" s="940"/>
      <c r="AC35" s="940"/>
      <c r="AD35" s="940"/>
      <c r="AE35" s="940"/>
      <c r="AF35" s="940"/>
      <c r="AG35" s="940" t="s">
        <v>511</v>
      </c>
      <c r="AH35" s="940"/>
      <c r="AI35" s="940"/>
      <c r="AJ35" s="940"/>
      <c r="AK35" s="940"/>
      <c r="AL35" s="940"/>
      <c r="AM35" s="940" t="s">
        <v>498</v>
      </c>
      <c r="AN35" s="940"/>
      <c r="AO35" s="940"/>
      <c r="AP35" s="940"/>
      <c r="AQ35" s="940"/>
      <c r="AR35" s="940"/>
      <c r="AS35" s="940"/>
      <c r="AT35" s="940"/>
      <c r="AU35" s="940"/>
      <c r="AV35" s="940"/>
      <c r="AW35" s="940"/>
      <c r="AX35" s="940"/>
      <c r="AY35" s="940"/>
      <c r="AZ35" s="940"/>
      <c r="BA35" s="940"/>
      <c r="BB35" s="940"/>
      <c r="BC35" s="940"/>
      <c r="BD35" s="940"/>
      <c r="BE35" s="940"/>
      <c r="BF35" s="940"/>
      <c r="BG35" s="940"/>
      <c r="BH35" s="940"/>
      <c r="BI35" s="940"/>
      <c r="BJ35" s="940"/>
    </row>
    <row r="36" spans="2:62" ht="13.75" customHeight="1">
      <c r="B36" s="937" t="s">
        <v>456</v>
      </c>
      <c r="C36" s="938"/>
      <c r="D36" s="938"/>
      <c r="E36" s="938"/>
      <c r="F36" s="938"/>
      <c r="G36" s="938"/>
      <c r="H36" s="939"/>
      <c r="I36" s="940"/>
      <c r="J36" s="940"/>
      <c r="K36" s="940"/>
      <c r="L36" s="940"/>
      <c r="M36" s="940"/>
      <c r="N36" s="940"/>
      <c r="O36" s="940"/>
      <c r="P36" s="940"/>
      <c r="Q36" s="940"/>
      <c r="R36" s="940"/>
      <c r="S36" s="940"/>
      <c r="T36" s="940"/>
      <c r="U36" s="940"/>
      <c r="V36" s="940"/>
      <c r="W36" s="940"/>
      <c r="X36" s="940"/>
      <c r="Y36" s="940"/>
      <c r="Z36" s="940"/>
      <c r="AA36" s="940"/>
      <c r="AB36" s="940"/>
      <c r="AC36" s="940"/>
      <c r="AD36" s="940"/>
      <c r="AE36" s="940"/>
      <c r="AF36" s="940"/>
      <c r="AG36" s="940" t="s">
        <v>480</v>
      </c>
      <c r="AH36" s="940"/>
      <c r="AI36" s="940"/>
      <c r="AJ36" s="940"/>
      <c r="AK36" s="940"/>
      <c r="AL36" s="940"/>
      <c r="AM36" s="940" t="s">
        <v>512</v>
      </c>
      <c r="AN36" s="940"/>
      <c r="AO36" s="940"/>
      <c r="AP36" s="940"/>
      <c r="AQ36" s="940"/>
      <c r="AR36" s="940"/>
      <c r="AS36" s="940"/>
      <c r="AT36" s="940"/>
      <c r="AU36" s="940"/>
      <c r="AV36" s="940"/>
      <c r="AW36" s="940"/>
      <c r="AX36" s="940"/>
      <c r="AY36" s="940"/>
      <c r="AZ36" s="940"/>
      <c r="BA36" s="940"/>
      <c r="BB36" s="940"/>
      <c r="BC36" s="940"/>
      <c r="BD36" s="940"/>
      <c r="BE36" s="940"/>
      <c r="BF36" s="940"/>
      <c r="BG36" s="940"/>
      <c r="BH36" s="940"/>
      <c r="BI36" s="940"/>
      <c r="BJ36" s="940"/>
    </row>
    <row r="37" spans="2:62" ht="13.75" customHeight="1">
      <c r="B37" s="688"/>
      <c r="C37" s="688"/>
      <c r="D37" s="688"/>
      <c r="E37" s="688"/>
      <c r="F37" s="688"/>
      <c r="G37" s="688"/>
      <c r="H37" s="688"/>
      <c r="I37" s="940" t="s">
        <v>513</v>
      </c>
      <c r="J37" s="940"/>
      <c r="K37" s="940"/>
      <c r="L37" s="940"/>
      <c r="M37" s="940"/>
      <c r="N37" s="940"/>
      <c r="O37" s="940" t="s">
        <v>514</v>
      </c>
      <c r="P37" s="940"/>
      <c r="Q37" s="940"/>
      <c r="R37" s="940"/>
      <c r="S37" s="940"/>
      <c r="T37" s="940"/>
      <c r="U37" s="940" t="s">
        <v>515</v>
      </c>
      <c r="V37" s="940"/>
      <c r="W37" s="940"/>
      <c r="X37" s="940"/>
      <c r="Y37" s="940"/>
      <c r="Z37" s="940"/>
      <c r="AA37" s="940" t="s">
        <v>516</v>
      </c>
      <c r="AB37" s="940"/>
      <c r="AC37" s="940"/>
      <c r="AD37" s="940"/>
      <c r="AE37" s="940"/>
      <c r="AF37" s="940"/>
      <c r="AG37" s="940" t="s">
        <v>517</v>
      </c>
      <c r="AH37" s="940"/>
      <c r="AI37" s="940"/>
      <c r="AJ37" s="940"/>
      <c r="AK37" s="940"/>
      <c r="AL37" s="940"/>
      <c r="AM37" s="940" t="s">
        <v>518</v>
      </c>
      <c r="AN37" s="940"/>
      <c r="AO37" s="940"/>
      <c r="AP37" s="940"/>
      <c r="AQ37" s="940"/>
      <c r="AR37" s="940"/>
      <c r="AS37" s="940"/>
      <c r="AT37" s="940"/>
      <c r="AU37" s="940"/>
      <c r="AV37" s="940"/>
      <c r="AW37" s="940"/>
      <c r="AX37" s="940"/>
      <c r="AY37" s="940"/>
      <c r="AZ37" s="940"/>
      <c r="BA37" s="940"/>
      <c r="BB37" s="940"/>
      <c r="BC37" s="940"/>
      <c r="BD37" s="940"/>
      <c r="BE37" s="940"/>
      <c r="BF37" s="940"/>
      <c r="BG37" s="940"/>
      <c r="BH37" s="940"/>
      <c r="BI37" s="940"/>
      <c r="BJ37" s="940"/>
    </row>
    <row r="38" spans="2:62" ht="13.75" customHeight="1">
      <c r="B38" s="688"/>
      <c r="C38" s="688"/>
      <c r="D38" s="688"/>
      <c r="E38" s="688"/>
      <c r="F38" s="688"/>
      <c r="G38" s="688"/>
      <c r="H38" s="688"/>
      <c r="I38" s="940" t="s">
        <v>519</v>
      </c>
      <c r="J38" s="940"/>
      <c r="K38" s="940"/>
      <c r="L38" s="940"/>
      <c r="M38" s="940"/>
      <c r="N38" s="940"/>
      <c r="O38" s="940"/>
      <c r="P38" s="940"/>
      <c r="Q38" s="940"/>
      <c r="R38" s="940"/>
      <c r="S38" s="940"/>
      <c r="T38" s="940"/>
      <c r="U38" s="940"/>
      <c r="V38" s="940"/>
      <c r="W38" s="940"/>
      <c r="X38" s="940"/>
      <c r="Y38" s="940"/>
      <c r="Z38" s="940"/>
      <c r="AA38" s="940"/>
      <c r="AB38" s="940"/>
      <c r="AC38" s="940"/>
      <c r="AD38" s="940"/>
      <c r="AE38" s="940"/>
      <c r="AF38" s="940"/>
      <c r="AG38" s="940" t="s">
        <v>520</v>
      </c>
      <c r="AH38" s="940"/>
      <c r="AI38" s="940"/>
      <c r="AJ38" s="940"/>
      <c r="AK38" s="940"/>
      <c r="AL38" s="940"/>
      <c r="AM38" s="940" t="s">
        <v>521</v>
      </c>
      <c r="AN38" s="940"/>
      <c r="AO38" s="940"/>
      <c r="AP38" s="940"/>
      <c r="AQ38" s="940"/>
      <c r="AR38" s="940"/>
      <c r="AS38" s="940"/>
      <c r="AT38" s="940"/>
      <c r="AU38" s="940"/>
      <c r="AV38" s="940"/>
      <c r="AW38" s="940"/>
      <c r="AX38" s="940"/>
      <c r="AY38" s="940"/>
      <c r="AZ38" s="940"/>
      <c r="BA38" s="940"/>
      <c r="BB38" s="940"/>
      <c r="BC38" s="940"/>
      <c r="BD38" s="940"/>
      <c r="BE38" s="940"/>
      <c r="BF38" s="940"/>
      <c r="BG38" s="940"/>
      <c r="BH38" s="940"/>
      <c r="BI38" s="940"/>
      <c r="BJ38" s="940"/>
    </row>
    <row r="39" spans="2:62" ht="13.75" customHeight="1">
      <c r="B39" s="688"/>
      <c r="C39" s="688"/>
      <c r="D39" s="688"/>
      <c r="E39" s="688"/>
      <c r="F39" s="688"/>
      <c r="G39" s="688"/>
      <c r="H39" s="688"/>
      <c r="I39" s="940" t="s">
        <v>522</v>
      </c>
      <c r="J39" s="940"/>
      <c r="K39" s="940"/>
      <c r="L39" s="940"/>
      <c r="M39" s="940"/>
      <c r="N39" s="940"/>
      <c r="O39" s="940"/>
      <c r="P39" s="940"/>
      <c r="Q39" s="940"/>
      <c r="R39" s="940"/>
      <c r="S39" s="940"/>
      <c r="T39" s="940"/>
      <c r="U39" s="940"/>
      <c r="V39" s="940"/>
      <c r="W39" s="940"/>
      <c r="X39" s="940"/>
      <c r="Y39" s="940"/>
      <c r="Z39" s="940"/>
      <c r="AA39" s="940"/>
      <c r="AB39" s="940"/>
      <c r="AC39" s="940"/>
      <c r="AD39" s="940"/>
      <c r="AE39" s="940"/>
      <c r="AF39" s="940"/>
      <c r="AG39" s="940" t="s">
        <v>455</v>
      </c>
      <c r="AH39" s="940"/>
      <c r="AI39" s="940"/>
      <c r="AJ39" s="940"/>
      <c r="AK39" s="940"/>
      <c r="AL39" s="940"/>
      <c r="AM39" s="940" t="s">
        <v>523</v>
      </c>
      <c r="AN39" s="940"/>
      <c r="AO39" s="940"/>
      <c r="AP39" s="940"/>
      <c r="AQ39" s="940"/>
      <c r="AR39" s="940"/>
      <c r="AS39" s="940"/>
      <c r="AT39" s="940"/>
      <c r="AU39" s="940"/>
      <c r="AV39" s="940"/>
      <c r="AW39" s="940"/>
      <c r="AX39" s="940"/>
      <c r="AY39" s="940"/>
      <c r="AZ39" s="940"/>
      <c r="BA39" s="940"/>
      <c r="BB39" s="940"/>
      <c r="BC39" s="940"/>
      <c r="BD39" s="940"/>
      <c r="BE39" s="940"/>
      <c r="BF39" s="940"/>
      <c r="BG39" s="940"/>
      <c r="BH39" s="940"/>
      <c r="BI39" s="940"/>
      <c r="BJ39" s="940"/>
    </row>
    <row r="40" spans="2:62" ht="13.75" customHeight="1">
      <c r="B40" s="688"/>
      <c r="C40" s="688"/>
      <c r="D40" s="688"/>
      <c r="E40" s="688"/>
      <c r="F40" s="688"/>
      <c r="G40" s="688"/>
      <c r="H40" s="688"/>
      <c r="I40" s="940"/>
      <c r="J40" s="940"/>
      <c r="K40" s="940"/>
      <c r="L40" s="940"/>
      <c r="M40" s="940"/>
      <c r="N40" s="940"/>
      <c r="O40" s="940"/>
      <c r="P40" s="940"/>
      <c r="Q40" s="940"/>
      <c r="R40" s="940"/>
      <c r="S40" s="940"/>
      <c r="T40" s="940"/>
      <c r="U40" s="940"/>
      <c r="V40" s="940"/>
      <c r="W40" s="940"/>
      <c r="X40" s="940"/>
      <c r="Y40" s="940"/>
      <c r="Z40" s="940"/>
      <c r="AA40" s="940"/>
      <c r="AB40" s="940"/>
      <c r="AC40" s="940"/>
      <c r="AD40" s="940"/>
      <c r="AE40" s="940"/>
      <c r="AF40" s="940"/>
      <c r="AG40" s="940" t="s">
        <v>524</v>
      </c>
      <c r="AH40" s="940"/>
      <c r="AI40" s="940"/>
      <c r="AJ40" s="940"/>
      <c r="AK40" s="940"/>
      <c r="AL40" s="940"/>
      <c r="AM40" s="940" t="s">
        <v>525</v>
      </c>
      <c r="AN40" s="940"/>
      <c r="AO40" s="940"/>
      <c r="AP40" s="940"/>
      <c r="AQ40" s="940"/>
      <c r="AR40" s="940"/>
      <c r="AS40" s="940"/>
      <c r="AT40" s="940"/>
      <c r="AU40" s="940"/>
      <c r="AV40" s="940"/>
      <c r="AW40" s="940"/>
      <c r="AX40" s="940"/>
      <c r="AY40" s="940"/>
      <c r="AZ40" s="940"/>
      <c r="BA40" s="940"/>
      <c r="BB40" s="940"/>
      <c r="BC40" s="940"/>
      <c r="BD40" s="940"/>
      <c r="BE40" s="940"/>
      <c r="BF40" s="940"/>
      <c r="BG40" s="940"/>
      <c r="BH40" s="940"/>
      <c r="BI40" s="940"/>
      <c r="BJ40" s="940"/>
    </row>
    <row r="41" spans="2:62" ht="13.75" customHeight="1">
      <c r="B41" s="688"/>
      <c r="C41" s="688"/>
      <c r="D41" s="688"/>
      <c r="E41" s="688"/>
      <c r="F41" s="688"/>
      <c r="G41" s="688"/>
      <c r="H41" s="688"/>
      <c r="I41" s="940"/>
      <c r="J41" s="940"/>
      <c r="K41" s="940"/>
      <c r="L41" s="940"/>
      <c r="M41" s="940"/>
      <c r="N41" s="940"/>
      <c r="O41" s="940"/>
      <c r="P41" s="940"/>
      <c r="Q41" s="940"/>
      <c r="R41" s="940"/>
      <c r="S41" s="940"/>
      <c r="T41" s="940"/>
      <c r="U41" s="940"/>
      <c r="V41" s="940"/>
      <c r="W41" s="940"/>
      <c r="X41" s="940"/>
      <c r="Y41" s="940"/>
      <c r="Z41" s="940"/>
      <c r="AA41" s="940"/>
      <c r="AB41" s="940"/>
      <c r="AC41" s="940"/>
      <c r="AD41" s="940"/>
      <c r="AE41" s="940"/>
      <c r="AF41" s="940"/>
      <c r="AG41" s="940" t="s">
        <v>526</v>
      </c>
      <c r="AH41" s="940"/>
      <c r="AI41" s="940"/>
      <c r="AJ41" s="940"/>
      <c r="AK41" s="940"/>
      <c r="AL41" s="940"/>
      <c r="AM41" s="940" t="s">
        <v>527</v>
      </c>
      <c r="AN41" s="940"/>
      <c r="AO41" s="940"/>
      <c r="AP41" s="940"/>
      <c r="AQ41" s="940"/>
      <c r="AR41" s="940"/>
      <c r="AS41" s="940"/>
      <c r="AT41" s="940"/>
      <c r="AU41" s="940"/>
      <c r="AV41" s="940"/>
      <c r="AW41" s="940"/>
      <c r="AX41" s="940"/>
      <c r="AY41" s="940"/>
      <c r="AZ41" s="940"/>
      <c r="BA41" s="940"/>
      <c r="BB41" s="940"/>
      <c r="BC41" s="940"/>
      <c r="BD41" s="940"/>
      <c r="BE41" s="940"/>
      <c r="BF41" s="940"/>
      <c r="BG41" s="940"/>
      <c r="BH41" s="940"/>
      <c r="BI41" s="940"/>
      <c r="BJ41" s="940"/>
    </row>
    <row r="42" spans="2:62" ht="13.75" customHeight="1">
      <c r="B42" s="688"/>
      <c r="C42" s="688"/>
      <c r="D42" s="688"/>
      <c r="E42" s="688"/>
      <c r="F42" s="688"/>
      <c r="G42" s="688"/>
      <c r="H42" s="688"/>
      <c r="I42" s="940" t="s">
        <v>528</v>
      </c>
      <c r="J42" s="940"/>
      <c r="K42" s="940"/>
      <c r="L42" s="940"/>
      <c r="M42" s="940"/>
      <c r="N42" s="940"/>
      <c r="O42" s="940" t="s">
        <v>529</v>
      </c>
      <c r="P42" s="940"/>
      <c r="Q42" s="940"/>
      <c r="R42" s="940"/>
      <c r="S42" s="940"/>
      <c r="T42" s="940"/>
      <c r="U42" s="940" t="s">
        <v>530</v>
      </c>
      <c r="V42" s="940"/>
      <c r="W42" s="940"/>
      <c r="X42" s="940"/>
      <c r="Y42" s="940"/>
      <c r="Z42" s="940"/>
      <c r="AA42" s="940" t="s">
        <v>531</v>
      </c>
      <c r="AB42" s="940"/>
      <c r="AC42" s="940"/>
      <c r="AD42" s="940"/>
      <c r="AE42" s="940"/>
      <c r="AF42" s="940"/>
      <c r="AG42" s="940" t="s">
        <v>532</v>
      </c>
      <c r="AH42" s="940"/>
      <c r="AI42" s="940"/>
      <c r="AJ42" s="940"/>
      <c r="AK42" s="940"/>
      <c r="AL42" s="940"/>
      <c r="AM42" s="940" t="s">
        <v>533</v>
      </c>
      <c r="AN42" s="940"/>
      <c r="AO42" s="940"/>
      <c r="AP42" s="940"/>
      <c r="AQ42" s="940"/>
      <c r="AR42" s="940"/>
      <c r="AS42" s="940"/>
      <c r="AT42" s="940"/>
      <c r="AU42" s="940"/>
      <c r="AV42" s="940"/>
      <c r="AW42" s="940"/>
      <c r="AX42" s="940"/>
      <c r="AY42" s="940"/>
      <c r="AZ42" s="940"/>
      <c r="BA42" s="940"/>
      <c r="BB42" s="940"/>
      <c r="BC42" s="940"/>
      <c r="BD42" s="940"/>
      <c r="BE42" s="940"/>
      <c r="BF42" s="940"/>
      <c r="BG42" s="940"/>
      <c r="BH42" s="940"/>
      <c r="BI42" s="940"/>
      <c r="BJ42" s="940"/>
    </row>
    <row r="43" spans="2:62" ht="13.75" customHeight="1">
      <c r="B43" s="688"/>
      <c r="C43" s="688"/>
      <c r="D43" s="688"/>
      <c r="E43" s="688"/>
      <c r="F43" s="688"/>
      <c r="G43" s="688"/>
      <c r="H43" s="688"/>
      <c r="I43" s="940" t="s">
        <v>534</v>
      </c>
      <c r="J43" s="940"/>
      <c r="K43" s="940"/>
      <c r="L43" s="940"/>
      <c r="M43" s="940"/>
      <c r="N43" s="940"/>
      <c r="O43" s="940"/>
      <c r="P43" s="940"/>
      <c r="Q43" s="940"/>
      <c r="R43" s="940"/>
      <c r="S43" s="940"/>
      <c r="T43" s="940"/>
      <c r="U43" s="940"/>
      <c r="V43" s="940"/>
      <c r="W43" s="940"/>
      <c r="X43" s="940"/>
      <c r="Y43" s="940"/>
      <c r="Z43" s="940"/>
      <c r="AA43" s="940"/>
      <c r="AB43" s="940"/>
      <c r="AC43" s="940"/>
      <c r="AD43" s="940"/>
      <c r="AE43" s="940"/>
      <c r="AF43" s="940"/>
      <c r="AG43" s="940" t="s">
        <v>535</v>
      </c>
      <c r="AH43" s="940"/>
      <c r="AI43" s="940"/>
      <c r="AJ43" s="940"/>
      <c r="AK43" s="940"/>
      <c r="AL43" s="940"/>
      <c r="AM43" s="940" t="s">
        <v>536</v>
      </c>
      <c r="AN43" s="940"/>
      <c r="AO43" s="940"/>
      <c r="AP43" s="940"/>
      <c r="AQ43" s="940"/>
      <c r="AR43" s="940"/>
      <c r="AS43" s="940"/>
      <c r="AT43" s="940"/>
      <c r="AU43" s="940"/>
      <c r="AV43" s="940"/>
      <c r="AW43" s="940"/>
      <c r="AX43" s="940"/>
      <c r="AY43" s="940"/>
      <c r="AZ43" s="940"/>
      <c r="BA43" s="940"/>
      <c r="BB43" s="940"/>
      <c r="BC43" s="940"/>
      <c r="BD43" s="940"/>
      <c r="BE43" s="940"/>
      <c r="BF43" s="940"/>
      <c r="BG43" s="940"/>
      <c r="BH43" s="940"/>
      <c r="BI43" s="940"/>
      <c r="BJ43" s="940"/>
    </row>
    <row r="44" spans="2:62" ht="13.75" customHeight="1">
      <c r="B44" s="688"/>
      <c r="C44" s="688"/>
      <c r="D44" s="688"/>
      <c r="E44" s="688"/>
      <c r="F44" s="688"/>
      <c r="G44" s="688"/>
      <c r="H44" s="688"/>
      <c r="I44" s="940" t="s">
        <v>537</v>
      </c>
      <c r="J44" s="940"/>
      <c r="K44" s="940"/>
      <c r="L44" s="940"/>
      <c r="M44" s="940"/>
      <c r="N44" s="940"/>
      <c r="O44" s="940"/>
      <c r="P44" s="940"/>
      <c r="Q44" s="940"/>
      <c r="R44" s="940"/>
      <c r="S44" s="940"/>
      <c r="T44" s="940"/>
      <c r="U44" s="940"/>
      <c r="V44" s="940"/>
      <c r="W44" s="940"/>
      <c r="X44" s="940"/>
      <c r="Y44" s="940"/>
      <c r="Z44" s="940"/>
      <c r="AA44" s="940"/>
      <c r="AB44" s="940"/>
      <c r="AC44" s="940"/>
      <c r="AD44" s="940"/>
      <c r="AE44" s="940"/>
      <c r="AF44" s="940"/>
      <c r="AG44" s="940" t="s">
        <v>538</v>
      </c>
      <c r="AH44" s="940"/>
      <c r="AI44" s="940"/>
      <c r="AJ44" s="940"/>
      <c r="AK44" s="940"/>
      <c r="AL44" s="940"/>
      <c r="AM44" s="942" t="s">
        <v>539</v>
      </c>
      <c r="AN44" s="943"/>
      <c r="AO44" s="943"/>
      <c r="AP44" s="943"/>
      <c r="AQ44" s="943"/>
      <c r="AR44" s="943"/>
      <c r="AS44" s="943"/>
      <c r="AT44" s="943"/>
      <c r="AU44" s="943"/>
      <c r="AV44" s="943"/>
      <c r="AW44" s="943"/>
      <c r="AX44" s="943"/>
      <c r="AY44" s="943"/>
      <c r="AZ44" s="943"/>
      <c r="BA44" s="943"/>
      <c r="BB44" s="943"/>
      <c r="BC44" s="943"/>
      <c r="BD44" s="943"/>
      <c r="BE44" s="943"/>
      <c r="BF44" s="943"/>
      <c r="BG44" s="943"/>
      <c r="BH44" s="943"/>
      <c r="BI44" s="943"/>
      <c r="BJ44" s="944"/>
    </row>
    <row r="45" spans="2:62" ht="13.75" customHeight="1">
      <c r="B45" s="688"/>
      <c r="C45" s="688"/>
      <c r="D45" s="688"/>
      <c r="E45" s="688"/>
      <c r="F45" s="688"/>
      <c r="G45" s="688"/>
      <c r="H45" s="688"/>
      <c r="I45" s="940"/>
      <c r="J45" s="940"/>
      <c r="K45" s="940"/>
      <c r="L45" s="940"/>
      <c r="M45" s="940"/>
      <c r="N45" s="940"/>
      <c r="O45" s="940"/>
      <c r="P45" s="940"/>
      <c r="Q45" s="940"/>
      <c r="R45" s="940"/>
      <c r="S45" s="940"/>
      <c r="T45" s="940"/>
      <c r="U45" s="940"/>
      <c r="V45" s="940"/>
      <c r="W45" s="940"/>
      <c r="X45" s="940"/>
      <c r="Y45" s="940"/>
      <c r="Z45" s="940"/>
      <c r="AA45" s="940"/>
      <c r="AB45" s="940"/>
      <c r="AC45" s="940"/>
      <c r="AD45" s="940"/>
      <c r="AE45" s="940"/>
      <c r="AF45" s="940"/>
      <c r="AG45" s="940" t="s">
        <v>540</v>
      </c>
      <c r="AH45" s="940"/>
      <c r="AI45" s="940"/>
      <c r="AJ45" s="940"/>
      <c r="AK45" s="940"/>
      <c r="AL45" s="940"/>
      <c r="AM45" s="942" t="s">
        <v>541</v>
      </c>
      <c r="AN45" s="943"/>
      <c r="AO45" s="943"/>
      <c r="AP45" s="943"/>
      <c r="AQ45" s="943"/>
      <c r="AR45" s="943"/>
      <c r="AS45" s="943"/>
      <c r="AT45" s="943"/>
      <c r="AU45" s="943"/>
      <c r="AV45" s="943"/>
      <c r="AW45" s="943"/>
      <c r="AX45" s="943"/>
      <c r="AY45" s="943"/>
      <c r="AZ45" s="943"/>
      <c r="BA45" s="943"/>
      <c r="BB45" s="943"/>
      <c r="BC45" s="943"/>
      <c r="BD45" s="943"/>
      <c r="BE45" s="943"/>
      <c r="BF45" s="943"/>
      <c r="BG45" s="943"/>
      <c r="BH45" s="943"/>
      <c r="BI45" s="943"/>
      <c r="BJ45" s="944"/>
    </row>
    <row r="46" spans="2:62" ht="13.75" customHeight="1"/>
    <row r="47" spans="2:62" ht="13.75" customHeight="1"/>
    <row r="48" spans="2:62" ht="13.75" customHeight="1"/>
    <row r="49" spans="1:1" ht="13.75" customHeight="1"/>
    <row r="50" spans="1:1" ht="13.75" customHeight="1"/>
    <row r="51" spans="1:1" ht="13.75" customHeight="1"/>
    <row r="52" spans="1:1" ht="13.75" customHeight="1"/>
    <row r="53" spans="1:1" ht="13.75" customHeight="1"/>
    <row r="54" spans="1:1" ht="13.75" customHeight="1"/>
    <row r="55" spans="1:1" ht="13.75" customHeight="1"/>
    <row r="56" spans="1:1" ht="13.75" customHeight="1"/>
    <row r="57" spans="1:1" ht="13.75" customHeight="1"/>
    <row r="58" spans="1:1" ht="13.75" customHeight="1"/>
    <row r="59" spans="1:1" ht="13.75" customHeight="1"/>
    <row r="60" spans="1:1" ht="13.75" customHeight="1"/>
    <row r="61" spans="1:1" ht="13.75" customHeight="1"/>
    <row r="62" spans="1:1" ht="13.75" customHeight="1"/>
    <row r="63" spans="1:1" ht="13.75" customHeight="1"/>
    <row r="64" spans="1:1" ht="13.75" customHeight="1">
      <c r="A64" s="689"/>
    </row>
    <row r="65" spans="1:1" ht="13.75" customHeight="1">
      <c r="A65" s="689"/>
    </row>
  </sheetData>
  <mergeCells count="402">
    <mergeCell ref="I45:N45"/>
    <mergeCell ref="O45:T45"/>
    <mergeCell ref="U45:Z45"/>
    <mergeCell ref="AA45:AF45"/>
    <mergeCell ref="AG45:AL45"/>
    <mergeCell ref="AM45:BJ45"/>
    <mergeCell ref="I44:N44"/>
    <mergeCell ref="O44:T44"/>
    <mergeCell ref="U44:Z44"/>
    <mergeCell ref="AA44:AF44"/>
    <mergeCell ref="AG44:AL44"/>
    <mergeCell ref="AM44:BJ44"/>
    <mergeCell ref="I43:N43"/>
    <mergeCell ref="O43:T43"/>
    <mergeCell ref="U43:Z43"/>
    <mergeCell ref="AA43:AF43"/>
    <mergeCell ref="AG43:AL43"/>
    <mergeCell ref="AM43:BJ43"/>
    <mergeCell ref="I42:N42"/>
    <mergeCell ref="O42:T42"/>
    <mergeCell ref="U42:Z42"/>
    <mergeCell ref="AA42:AF42"/>
    <mergeCell ref="AG42:AL42"/>
    <mergeCell ref="AM42:BJ42"/>
    <mergeCell ref="I41:N41"/>
    <mergeCell ref="O41:T41"/>
    <mergeCell ref="U41:Z41"/>
    <mergeCell ref="AA41:AF41"/>
    <mergeCell ref="AG41:AL41"/>
    <mergeCell ref="AM41:BJ41"/>
    <mergeCell ref="I40:N40"/>
    <mergeCell ref="O40:T40"/>
    <mergeCell ref="U40:Z40"/>
    <mergeCell ref="AA40:AF40"/>
    <mergeCell ref="AG40:AL40"/>
    <mergeCell ref="AM40:BJ40"/>
    <mergeCell ref="I39:N39"/>
    <mergeCell ref="O39:T39"/>
    <mergeCell ref="U39:Z39"/>
    <mergeCell ref="AA39:AF39"/>
    <mergeCell ref="AG39:AL39"/>
    <mergeCell ref="AM39:BJ39"/>
    <mergeCell ref="I38:N38"/>
    <mergeCell ref="O38:T38"/>
    <mergeCell ref="U38:Z38"/>
    <mergeCell ref="AA38:AF38"/>
    <mergeCell ref="AG38:AL38"/>
    <mergeCell ref="AM38:BJ38"/>
    <mergeCell ref="I37:N37"/>
    <mergeCell ref="O37:T37"/>
    <mergeCell ref="U37:Z37"/>
    <mergeCell ref="AA37:AF37"/>
    <mergeCell ref="AG37:AL37"/>
    <mergeCell ref="AM37:BJ37"/>
    <mergeCell ref="AM35:BJ35"/>
    <mergeCell ref="B36:H36"/>
    <mergeCell ref="I36:N36"/>
    <mergeCell ref="O36:T36"/>
    <mergeCell ref="U36:Z36"/>
    <mergeCell ref="AA36:AF36"/>
    <mergeCell ref="AG36:AL36"/>
    <mergeCell ref="AM36:BJ36"/>
    <mergeCell ref="B35:H35"/>
    <mergeCell ref="I35:N35"/>
    <mergeCell ref="O35:T35"/>
    <mergeCell ref="U35:Z35"/>
    <mergeCell ref="AA35:AF35"/>
    <mergeCell ref="AG35:AL35"/>
    <mergeCell ref="AM33:BJ33"/>
    <mergeCell ref="B34:H34"/>
    <mergeCell ref="I34:N34"/>
    <mergeCell ref="O34:T34"/>
    <mergeCell ref="U34:Z34"/>
    <mergeCell ref="AA34:AF34"/>
    <mergeCell ref="AG34:AL34"/>
    <mergeCell ref="AM34:BJ34"/>
    <mergeCell ref="B33:H33"/>
    <mergeCell ref="I33:N33"/>
    <mergeCell ref="O33:T33"/>
    <mergeCell ref="U33:Z33"/>
    <mergeCell ref="AA33:AF33"/>
    <mergeCell ref="AG33:AL33"/>
    <mergeCell ref="AM31:BJ31"/>
    <mergeCell ref="B32:H32"/>
    <mergeCell ref="I32:N32"/>
    <mergeCell ref="O32:T32"/>
    <mergeCell ref="U32:Z32"/>
    <mergeCell ref="AA32:AF32"/>
    <mergeCell ref="AG32:AL32"/>
    <mergeCell ref="AM32:BJ32"/>
    <mergeCell ref="B31:H31"/>
    <mergeCell ref="I31:N31"/>
    <mergeCell ref="O31:T31"/>
    <mergeCell ref="U31:Z31"/>
    <mergeCell ref="AA31:AF31"/>
    <mergeCell ref="AG31:AL31"/>
    <mergeCell ref="AM29:BJ29"/>
    <mergeCell ref="B30:H30"/>
    <mergeCell ref="I30:N30"/>
    <mergeCell ref="O30:T30"/>
    <mergeCell ref="U30:Z30"/>
    <mergeCell ref="AA30:AF30"/>
    <mergeCell ref="AG30:AL30"/>
    <mergeCell ref="AM30:BJ30"/>
    <mergeCell ref="B29:H29"/>
    <mergeCell ref="I29:N29"/>
    <mergeCell ref="O29:T29"/>
    <mergeCell ref="U29:Z29"/>
    <mergeCell ref="AA29:AF29"/>
    <mergeCell ref="AG29:AL29"/>
    <mergeCell ref="AM27:BJ27"/>
    <mergeCell ref="B28:H28"/>
    <mergeCell ref="I28:N28"/>
    <mergeCell ref="O28:T28"/>
    <mergeCell ref="U28:Z28"/>
    <mergeCell ref="AA28:AF28"/>
    <mergeCell ref="AG28:AL28"/>
    <mergeCell ref="AM28:BJ28"/>
    <mergeCell ref="B27:H27"/>
    <mergeCell ref="I27:N27"/>
    <mergeCell ref="O27:T27"/>
    <mergeCell ref="U27:Z27"/>
    <mergeCell ref="AA27:AF27"/>
    <mergeCell ref="AG27:AL27"/>
    <mergeCell ref="AM25:BJ25"/>
    <mergeCell ref="B26:H26"/>
    <mergeCell ref="I26:N26"/>
    <mergeCell ref="O26:T26"/>
    <mergeCell ref="U26:Z26"/>
    <mergeCell ref="AA26:AF26"/>
    <mergeCell ref="AG26:AL26"/>
    <mergeCell ref="AM26:BJ26"/>
    <mergeCell ref="B25:H25"/>
    <mergeCell ref="I25:N25"/>
    <mergeCell ref="O25:T25"/>
    <mergeCell ref="U25:Z25"/>
    <mergeCell ref="AA25:AF25"/>
    <mergeCell ref="AG25:AL25"/>
    <mergeCell ref="AM23:BJ23"/>
    <mergeCell ref="B24:H24"/>
    <mergeCell ref="I24:N24"/>
    <mergeCell ref="O24:T24"/>
    <mergeCell ref="U24:Z24"/>
    <mergeCell ref="AA24:AF24"/>
    <mergeCell ref="AG24:AL24"/>
    <mergeCell ref="AM24:BJ24"/>
    <mergeCell ref="B23:H23"/>
    <mergeCell ref="I23:N23"/>
    <mergeCell ref="O23:T23"/>
    <mergeCell ref="U23:Z23"/>
    <mergeCell ref="AA23:AF23"/>
    <mergeCell ref="AG23:AL23"/>
    <mergeCell ref="DM18:DT18"/>
    <mergeCell ref="BS18:BW18"/>
    <mergeCell ref="BX18:CB18"/>
    <mergeCell ref="CC18:CG18"/>
    <mergeCell ref="CH18:CL18"/>
    <mergeCell ref="CM18:CO18"/>
    <mergeCell ref="CP18:CR18"/>
    <mergeCell ref="AM21:BJ21"/>
    <mergeCell ref="B22:H22"/>
    <mergeCell ref="I22:N22"/>
    <mergeCell ref="O22:T22"/>
    <mergeCell ref="U22:Z22"/>
    <mergeCell ref="AA22:AF22"/>
    <mergeCell ref="AG22:AL22"/>
    <mergeCell ref="AM22:BJ22"/>
    <mergeCell ref="B21:H21"/>
    <mergeCell ref="I21:N21"/>
    <mergeCell ref="O21:T21"/>
    <mergeCell ref="U21:Z21"/>
    <mergeCell ref="AA21:AF21"/>
    <mergeCell ref="AG21:AL21"/>
    <mergeCell ref="BS17:BW17"/>
    <mergeCell ref="BX17:CB17"/>
    <mergeCell ref="CC17:CG17"/>
    <mergeCell ref="CH17:CL17"/>
    <mergeCell ref="CS18:CT18"/>
    <mergeCell ref="CU18:CX18"/>
    <mergeCell ref="CY18:DB18"/>
    <mergeCell ref="DC18:DD18"/>
    <mergeCell ref="DE18:DL18"/>
    <mergeCell ref="A17:B17"/>
    <mergeCell ref="C17:P17"/>
    <mergeCell ref="Q17:AL17"/>
    <mergeCell ref="AM17:AT17"/>
    <mergeCell ref="AU17:BC17"/>
    <mergeCell ref="BD17:BH17"/>
    <mergeCell ref="DE17:DL17"/>
    <mergeCell ref="DM17:DT17"/>
    <mergeCell ref="A18:B18"/>
    <mergeCell ref="C18:P18"/>
    <mergeCell ref="Q18:AL18"/>
    <mergeCell ref="AM18:AT18"/>
    <mergeCell ref="AU18:BC18"/>
    <mergeCell ref="BD18:BH18"/>
    <mergeCell ref="BI18:BM18"/>
    <mergeCell ref="BN18:BR18"/>
    <mergeCell ref="CM17:CO17"/>
    <mergeCell ref="CP17:CR17"/>
    <mergeCell ref="CS17:CT17"/>
    <mergeCell ref="CU17:CX17"/>
    <mergeCell ref="CY17:DB17"/>
    <mergeCell ref="DC17:DD17"/>
    <mergeCell ref="BI17:BM17"/>
    <mergeCell ref="BN17:BR17"/>
    <mergeCell ref="CP14:DT14"/>
    <mergeCell ref="A15:B16"/>
    <mergeCell ref="C15:P16"/>
    <mergeCell ref="Q15:AL16"/>
    <mergeCell ref="AM15:AT16"/>
    <mergeCell ref="AU15:BC16"/>
    <mergeCell ref="BD15:CO15"/>
    <mergeCell ref="CP15:CT15"/>
    <mergeCell ref="CU15:DD15"/>
    <mergeCell ref="DE15:DL16"/>
    <mergeCell ref="DM15:DT16"/>
    <mergeCell ref="BD16:BH16"/>
    <mergeCell ref="BI16:BM16"/>
    <mergeCell ref="BN16:BR16"/>
    <mergeCell ref="BS16:BW16"/>
    <mergeCell ref="BX16:CB16"/>
    <mergeCell ref="CC16:CG16"/>
    <mergeCell ref="CH16:CL16"/>
    <mergeCell ref="CM16:CO16"/>
    <mergeCell ref="CP16:CR16"/>
    <mergeCell ref="CS16:CT16"/>
    <mergeCell ref="CU16:CX16"/>
    <mergeCell ref="CY16:DB16"/>
    <mergeCell ref="DC16:DD16"/>
    <mergeCell ref="BN12:BR12"/>
    <mergeCell ref="BS12:BW12"/>
    <mergeCell ref="BX12:CB12"/>
    <mergeCell ref="CC12:CG12"/>
    <mergeCell ref="CH12:CO12"/>
    <mergeCell ref="A14:I14"/>
    <mergeCell ref="AF12:AN12"/>
    <mergeCell ref="AO12:AS12"/>
    <mergeCell ref="AT12:AX12"/>
    <mergeCell ref="AY12:BC12"/>
    <mergeCell ref="BD12:BH12"/>
    <mergeCell ref="BI12:BM12"/>
    <mergeCell ref="A12:B12"/>
    <mergeCell ref="C12:I12"/>
    <mergeCell ref="J12:O12"/>
    <mergeCell ref="P12:T12"/>
    <mergeCell ref="U12:W12"/>
    <mergeCell ref="X12:AE12"/>
    <mergeCell ref="BS11:BW11"/>
    <mergeCell ref="BX11:CB11"/>
    <mergeCell ref="CC11:CG11"/>
    <mergeCell ref="CH11:CO11"/>
    <mergeCell ref="X11:AE11"/>
    <mergeCell ref="AF11:AN11"/>
    <mergeCell ref="AO11:AS11"/>
    <mergeCell ref="AT11:AX11"/>
    <mergeCell ref="AY11:BC11"/>
    <mergeCell ref="BD11:BH11"/>
    <mergeCell ref="BN10:BR10"/>
    <mergeCell ref="BS10:BW10"/>
    <mergeCell ref="BX10:CB10"/>
    <mergeCell ref="CC10:CG10"/>
    <mergeCell ref="CH10:CO10"/>
    <mergeCell ref="A11:B11"/>
    <mergeCell ref="C11:I11"/>
    <mergeCell ref="J11:O11"/>
    <mergeCell ref="P11:T11"/>
    <mergeCell ref="U11:W11"/>
    <mergeCell ref="AF10:AN10"/>
    <mergeCell ref="AO10:AS10"/>
    <mergeCell ref="AT10:AX10"/>
    <mergeCell ref="AY10:BC10"/>
    <mergeCell ref="BD10:BH10"/>
    <mergeCell ref="BI10:BM10"/>
    <mergeCell ref="A10:B10"/>
    <mergeCell ref="C10:I10"/>
    <mergeCell ref="J10:O10"/>
    <mergeCell ref="P10:T10"/>
    <mergeCell ref="U10:W10"/>
    <mergeCell ref="X10:AE10"/>
    <mergeCell ref="BI11:BM11"/>
    <mergeCell ref="BN11:BR11"/>
    <mergeCell ref="BI9:BM9"/>
    <mergeCell ref="BN9:BR9"/>
    <mergeCell ref="BS9:BW9"/>
    <mergeCell ref="BX9:CB9"/>
    <mergeCell ref="CC9:CG9"/>
    <mergeCell ref="CH9:CO9"/>
    <mergeCell ref="X9:AE9"/>
    <mergeCell ref="AF9:AN9"/>
    <mergeCell ref="AO9:AS9"/>
    <mergeCell ref="AT9:AX9"/>
    <mergeCell ref="AY9:BC9"/>
    <mergeCell ref="BD9:BH9"/>
    <mergeCell ref="A9:B9"/>
    <mergeCell ref="C9:I9"/>
    <mergeCell ref="J9:O9"/>
    <mergeCell ref="P9:T9"/>
    <mergeCell ref="U9:W9"/>
    <mergeCell ref="AF8:AN8"/>
    <mergeCell ref="AO8:AS8"/>
    <mergeCell ref="AT8:AX8"/>
    <mergeCell ref="AY8:BC8"/>
    <mergeCell ref="A8:B8"/>
    <mergeCell ref="C8:I8"/>
    <mergeCell ref="J8:O8"/>
    <mergeCell ref="P8:T8"/>
    <mergeCell ref="U8:W8"/>
    <mergeCell ref="X8:AE8"/>
    <mergeCell ref="AO7:AS7"/>
    <mergeCell ref="AT7:AX7"/>
    <mergeCell ref="AY7:BC7"/>
    <mergeCell ref="BD7:BH7"/>
    <mergeCell ref="BN8:BR8"/>
    <mergeCell ref="BS8:BW8"/>
    <mergeCell ref="BX8:CB8"/>
    <mergeCell ref="CC8:CG8"/>
    <mergeCell ref="CH8:CO8"/>
    <mergeCell ref="BD8:BH8"/>
    <mergeCell ref="BI8:BM8"/>
    <mergeCell ref="BN6:BR6"/>
    <mergeCell ref="BS6:BW6"/>
    <mergeCell ref="BX6:CB6"/>
    <mergeCell ref="CC6:CG6"/>
    <mergeCell ref="CH6:CO6"/>
    <mergeCell ref="A7:B7"/>
    <mergeCell ref="C7:I7"/>
    <mergeCell ref="J7:O7"/>
    <mergeCell ref="P7:T7"/>
    <mergeCell ref="U7:W7"/>
    <mergeCell ref="AF6:AN6"/>
    <mergeCell ref="AO6:AS6"/>
    <mergeCell ref="AT6:AX6"/>
    <mergeCell ref="AY6:BC6"/>
    <mergeCell ref="BD6:BH6"/>
    <mergeCell ref="BI6:BM6"/>
    <mergeCell ref="BI7:BM7"/>
    <mergeCell ref="BN7:BR7"/>
    <mergeCell ref="BS7:BW7"/>
    <mergeCell ref="BX7:CB7"/>
    <mergeCell ref="CC7:CG7"/>
    <mergeCell ref="CH7:CO7"/>
    <mergeCell ref="X7:AE7"/>
    <mergeCell ref="AF7:AN7"/>
    <mergeCell ref="A6:B6"/>
    <mergeCell ref="C6:I6"/>
    <mergeCell ref="J6:O6"/>
    <mergeCell ref="P6:T6"/>
    <mergeCell ref="U6:W6"/>
    <mergeCell ref="X6:AE6"/>
    <mergeCell ref="AO5:AS5"/>
    <mergeCell ref="AT5:AX5"/>
    <mergeCell ref="AY5:BC5"/>
    <mergeCell ref="CH4:CO4"/>
    <mergeCell ref="A5:B5"/>
    <mergeCell ref="C5:I5"/>
    <mergeCell ref="J5:O5"/>
    <mergeCell ref="P5:T5"/>
    <mergeCell ref="U5:W5"/>
    <mergeCell ref="X5:AE5"/>
    <mergeCell ref="AF5:AN5"/>
    <mergeCell ref="AT4:AX4"/>
    <mergeCell ref="AY4:BC4"/>
    <mergeCell ref="BD4:BH4"/>
    <mergeCell ref="BI4:BM4"/>
    <mergeCell ref="BN4:BR4"/>
    <mergeCell ref="BS4:BW4"/>
    <mergeCell ref="BS5:BW5"/>
    <mergeCell ref="BX5:CB5"/>
    <mergeCell ref="CC5:CG5"/>
    <mergeCell ref="CH5:CO5"/>
    <mergeCell ref="BD5:BH5"/>
    <mergeCell ref="BI5:BM5"/>
    <mergeCell ref="BN5:BR5"/>
    <mergeCell ref="A4:B4"/>
    <mergeCell ref="C4:I4"/>
    <mergeCell ref="J4:O4"/>
    <mergeCell ref="P4:T4"/>
    <mergeCell ref="U4:W4"/>
    <mergeCell ref="X4:AE4"/>
    <mergeCell ref="AF4:AN4"/>
    <mergeCell ref="AO4:AS4"/>
    <mergeCell ref="AF2:AN3"/>
    <mergeCell ref="AO2:CG2"/>
    <mergeCell ref="BX4:CB4"/>
    <mergeCell ref="CC4:CG4"/>
    <mergeCell ref="CH2:CO3"/>
    <mergeCell ref="AO3:AS3"/>
    <mergeCell ref="AT3:AX3"/>
    <mergeCell ref="AY3:BC3"/>
    <mergeCell ref="BD3:BH3"/>
    <mergeCell ref="BI3:BM3"/>
    <mergeCell ref="BN3:BR3"/>
    <mergeCell ref="BS3:BW3"/>
    <mergeCell ref="A1:G1"/>
    <mergeCell ref="A2:B3"/>
    <mergeCell ref="C2:I3"/>
    <mergeCell ref="J2:O3"/>
    <mergeCell ref="P2:W3"/>
    <mergeCell ref="X2:AE3"/>
    <mergeCell ref="BX3:CB3"/>
    <mergeCell ref="CC3:CG3"/>
  </mergeCells>
  <phoneticPr fontId="57"/>
  <dataValidations count="4">
    <dataValidation type="list" allowBlank="1" showInputMessage="1" showErrorMessage="1" sqref="WUH982987:WUM983008 WUH4:WUM12 WKL4:WKQ12 WAP4:WAU12 VQT4:VQY12 VGX4:VHC12 UXB4:UXG12 UNF4:UNK12 UDJ4:UDO12 TTN4:TTS12 TJR4:TJW12 SZV4:TAA12 SPZ4:SQE12 SGD4:SGI12 RWH4:RWM12 RML4:RMQ12 RCP4:RCU12 QST4:QSY12 QIX4:QJC12 PZB4:PZG12 PPF4:PPK12 PFJ4:PFO12 OVN4:OVS12 OLR4:OLW12 OBV4:OCA12 NRZ4:NSE12 NID4:NII12 MYH4:MYM12 MOL4:MOQ12 MEP4:MEU12 LUT4:LUY12 LKX4:LLC12 LBB4:LBG12 KRF4:KRK12 KHJ4:KHO12 JXN4:JXS12 JNR4:JNW12 JDV4:JEA12 ITZ4:IUE12 IKD4:IKI12 IAH4:IAM12 HQL4:HQQ12 HGP4:HGU12 GWT4:GWY12 GMX4:GNC12 GDB4:GDG12 FTF4:FTK12 FJJ4:FJO12 EZN4:EZS12 EPR4:EPW12 EFV4:EGA12 DVZ4:DWE12 DMD4:DMI12 DCH4:DCM12 CSL4:CSQ12 CIP4:CIU12 BYT4:BYY12 BOX4:BPC12 BFB4:BFG12 AVF4:AVK12 ALJ4:ALO12 ABN4:ABS12 RR4:RW12 HV4:IA12 J11:O12 J65483:O65504 HV65483:IA65504 RR65483:RW65504 ABN65483:ABS65504 ALJ65483:ALO65504 AVF65483:AVK65504 BFB65483:BFG65504 BOX65483:BPC65504 BYT65483:BYY65504 CIP65483:CIU65504 CSL65483:CSQ65504 DCH65483:DCM65504 DMD65483:DMI65504 DVZ65483:DWE65504 EFV65483:EGA65504 EPR65483:EPW65504 EZN65483:EZS65504 FJJ65483:FJO65504 FTF65483:FTK65504 GDB65483:GDG65504 GMX65483:GNC65504 GWT65483:GWY65504 HGP65483:HGU65504 HQL65483:HQQ65504 IAH65483:IAM65504 IKD65483:IKI65504 ITZ65483:IUE65504 JDV65483:JEA65504 JNR65483:JNW65504 JXN65483:JXS65504 KHJ65483:KHO65504 KRF65483:KRK65504 LBB65483:LBG65504 LKX65483:LLC65504 LUT65483:LUY65504 MEP65483:MEU65504 MOL65483:MOQ65504 MYH65483:MYM65504 NID65483:NII65504 NRZ65483:NSE65504 OBV65483:OCA65504 OLR65483:OLW65504 OVN65483:OVS65504 PFJ65483:PFO65504 PPF65483:PPK65504 PZB65483:PZG65504 QIX65483:QJC65504 QST65483:QSY65504 RCP65483:RCU65504 RML65483:RMQ65504 RWH65483:RWM65504 SGD65483:SGI65504 SPZ65483:SQE65504 SZV65483:TAA65504 TJR65483:TJW65504 TTN65483:TTS65504 UDJ65483:UDO65504 UNF65483:UNK65504 UXB65483:UXG65504 VGX65483:VHC65504 VQT65483:VQY65504 WAP65483:WAU65504 WKL65483:WKQ65504 WUH65483:WUM65504 J131019:O131040 HV131019:IA131040 RR131019:RW131040 ABN131019:ABS131040 ALJ131019:ALO131040 AVF131019:AVK131040 BFB131019:BFG131040 BOX131019:BPC131040 BYT131019:BYY131040 CIP131019:CIU131040 CSL131019:CSQ131040 DCH131019:DCM131040 DMD131019:DMI131040 DVZ131019:DWE131040 EFV131019:EGA131040 EPR131019:EPW131040 EZN131019:EZS131040 FJJ131019:FJO131040 FTF131019:FTK131040 GDB131019:GDG131040 GMX131019:GNC131040 GWT131019:GWY131040 HGP131019:HGU131040 HQL131019:HQQ131040 IAH131019:IAM131040 IKD131019:IKI131040 ITZ131019:IUE131040 JDV131019:JEA131040 JNR131019:JNW131040 JXN131019:JXS131040 KHJ131019:KHO131040 KRF131019:KRK131040 LBB131019:LBG131040 LKX131019:LLC131040 LUT131019:LUY131040 MEP131019:MEU131040 MOL131019:MOQ131040 MYH131019:MYM131040 NID131019:NII131040 NRZ131019:NSE131040 OBV131019:OCA131040 OLR131019:OLW131040 OVN131019:OVS131040 PFJ131019:PFO131040 PPF131019:PPK131040 PZB131019:PZG131040 QIX131019:QJC131040 QST131019:QSY131040 RCP131019:RCU131040 RML131019:RMQ131040 RWH131019:RWM131040 SGD131019:SGI131040 SPZ131019:SQE131040 SZV131019:TAA131040 TJR131019:TJW131040 TTN131019:TTS131040 UDJ131019:UDO131040 UNF131019:UNK131040 UXB131019:UXG131040 VGX131019:VHC131040 VQT131019:VQY131040 WAP131019:WAU131040 WKL131019:WKQ131040 WUH131019:WUM131040 J196555:O196576 HV196555:IA196576 RR196555:RW196576 ABN196555:ABS196576 ALJ196555:ALO196576 AVF196555:AVK196576 BFB196555:BFG196576 BOX196555:BPC196576 BYT196555:BYY196576 CIP196555:CIU196576 CSL196555:CSQ196576 DCH196555:DCM196576 DMD196555:DMI196576 DVZ196555:DWE196576 EFV196555:EGA196576 EPR196555:EPW196576 EZN196555:EZS196576 FJJ196555:FJO196576 FTF196555:FTK196576 GDB196555:GDG196576 GMX196555:GNC196576 GWT196555:GWY196576 HGP196555:HGU196576 HQL196555:HQQ196576 IAH196555:IAM196576 IKD196555:IKI196576 ITZ196555:IUE196576 JDV196555:JEA196576 JNR196555:JNW196576 JXN196555:JXS196576 KHJ196555:KHO196576 KRF196555:KRK196576 LBB196555:LBG196576 LKX196555:LLC196576 LUT196555:LUY196576 MEP196555:MEU196576 MOL196555:MOQ196576 MYH196555:MYM196576 NID196555:NII196576 NRZ196555:NSE196576 OBV196555:OCA196576 OLR196555:OLW196576 OVN196555:OVS196576 PFJ196555:PFO196576 PPF196555:PPK196576 PZB196555:PZG196576 QIX196555:QJC196576 QST196555:QSY196576 RCP196555:RCU196576 RML196555:RMQ196576 RWH196555:RWM196576 SGD196555:SGI196576 SPZ196555:SQE196576 SZV196555:TAA196576 TJR196555:TJW196576 TTN196555:TTS196576 UDJ196555:UDO196576 UNF196555:UNK196576 UXB196555:UXG196576 VGX196555:VHC196576 VQT196555:VQY196576 WAP196555:WAU196576 WKL196555:WKQ196576 WUH196555:WUM196576 J262091:O262112 HV262091:IA262112 RR262091:RW262112 ABN262091:ABS262112 ALJ262091:ALO262112 AVF262091:AVK262112 BFB262091:BFG262112 BOX262091:BPC262112 BYT262091:BYY262112 CIP262091:CIU262112 CSL262091:CSQ262112 DCH262091:DCM262112 DMD262091:DMI262112 DVZ262091:DWE262112 EFV262091:EGA262112 EPR262091:EPW262112 EZN262091:EZS262112 FJJ262091:FJO262112 FTF262091:FTK262112 GDB262091:GDG262112 GMX262091:GNC262112 GWT262091:GWY262112 HGP262091:HGU262112 HQL262091:HQQ262112 IAH262091:IAM262112 IKD262091:IKI262112 ITZ262091:IUE262112 JDV262091:JEA262112 JNR262091:JNW262112 JXN262091:JXS262112 KHJ262091:KHO262112 KRF262091:KRK262112 LBB262091:LBG262112 LKX262091:LLC262112 LUT262091:LUY262112 MEP262091:MEU262112 MOL262091:MOQ262112 MYH262091:MYM262112 NID262091:NII262112 NRZ262091:NSE262112 OBV262091:OCA262112 OLR262091:OLW262112 OVN262091:OVS262112 PFJ262091:PFO262112 PPF262091:PPK262112 PZB262091:PZG262112 QIX262091:QJC262112 QST262091:QSY262112 RCP262091:RCU262112 RML262091:RMQ262112 RWH262091:RWM262112 SGD262091:SGI262112 SPZ262091:SQE262112 SZV262091:TAA262112 TJR262091:TJW262112 TTN262091:TTS262112 UDJ262091:UDO262112 UNF262091:UNK262112 UXB262091:UXG262112 VGX262091:VHC262112 VQT262091:VQY262112 WAP262091:WAU262112 WKL262091:WKQ262112 WUH262091:WUM262112 J327627:O327648 HV327627:IA327648 RR327627:RW327648 ABN327627:ABS327648 ALJ327627:ALO327648 AVF327627:AVK327648 BFB327627:BFG327648 BOX327627:BPC327648 BYT327627:BYY327648 CIP327627:CIU327648 CSL327627:CSQ327648 DCH327627:DCM327648 DMD327627:DMI327648 DVZ327627:DWE327648 EFV327627:EGA327648 EPR327627:EPW327648 EZN327627:EZS327648 FJJ327627:FJO327648 FTF327627:FTK327648 GDB327627:GDG327648 GMX327627:GNC327648 GWT327627:GWY327648 HGP327627:HGU327648 HQL327627:HQQ327648 IAH327627:IAM327648 IKD327627:IKI327648 ITZ327627:IUE327648 JDV327627:JEA327648 JNR327627:JNW327648 JXN327627:JXS327648 KHJ327627:KHO327648 KRF327627:KRK327648 LBB327627:LBG327648 LKX327627:LLC327648 LUT327627:LUY327648 MEP327627:MEU327648 MOL327627:MOQ327648 MYH327627:MYM327648 NID327627:NII327648 NRZ327627:NSE327648 OBV327627:OCA327648 OLR327627:OLW327648 OVN327627:OVS327648 PFJ327627:PFO327648 PPF327627:PPK327648 PZB327627:PZG327648 QIX327627:QJC327648 QST327627:QSY327648 RCP327627:RCU327648 RML327627:RMQ327648 RWH327627:RWM327648 SGD327627:SGI327648 SPZ327627:SQE327648 SZV327627:TAA327648 TJR327627:TJW327648 TTN327627:TTS327648 UDJ327627:UDO327648 UNF327627:UNK327648 UXB327627:UXG327648 VGX327627:VHC327648 VQT327627:VQY327648 WAP327627:WAU327648 WKL327627:WKQ327648 WUH327627:WUM327648 J393163:O393184 HV393163:IA393184 RR393163:RW393184 ABN393163:ABS393184 ALJ393163:ALO393184 AVF393163:AVK393184 BFB393163:BFG393184 BOX393163:BPC393184 BYT393163:BYY393184 CIP393163:CIU393184 CSL393163:CSQ393184 DCH393163:DCM393184 DMD393163:DMI393184 DVZ393163:DWE393184 EFV393163:EGA393184 EPR393163:EPW393184 EZN393163:EZS393184 FJJ393163:FJO393184 FTF393163:FTK393184 GDB393163:GDG393184 GMX393163:GNC393184 GWT393163:GWY393184 HGP393163:HGU393184 HQL393163:HQQ393184 IAH393163:IAM393184 IKD393163:IKI393184 ITZ393163:IUE393184 JDV393163:JEA393184 JNR393163:JNW393184 JXN393163:JXS393184 KHJ393163:KHO393184 KRF393163:KRK393184 LBB393163:LBG393184 LKX393163:LLC393184 LUT393163:LUY393184 MEP393163:MEU393184 MOL393163:MOQ393184 MYH393163:MYM393184 NID393163:NII393184 NRZ393163:NSE393184 OBV393163:OCA393184 OLR393163:OLW393184 OVN393163:OVS393184 PFJ393163:PFO393184 PPF393163:PPK393184 PZB393163:PZG393184 QIX393163:QJC393184 QST393163:QSY393184 RCP393163:RCU393184 RML393163:RMQ393184 RWH393163:RWM393184 SGD393163:SGI393184 SPZ393163:SQE393184 SZV393163:TAA393184 TJR393163:TJW393184 TTN393163:TTS393184 UDJ393163:UDO393184 UNF393163:UNK393184 UXB393163:UXG393184 VGX393163:VHC393184 VQT393163:VQY393184 WAP393163:WAU393184 WKL393163:WKQ393184 WUH393163:WUM393184 J458699:O458720 HV458699:IA458720 RR458699:RW458720 ABN458699:ABS458720 ALJ458699:ALO458720 AVF458699:AVK458720 BFB458699:BFG458720 BOX458699:BPC458720 BYT458699:BYY458720 CIP458699:CIU458720 CSL458699:CSQ458720 DCH458699:DCM458720 DMD458699:DMI458720 DVZ458699:DWE458720 EFV458699:EGA458720 EPR458699:EPW458720 EZN458699:EZS458720 FJJ458699:FJO458720 FTF458699:FTK458720 GDB458699:GDG458720 GMX458699:GNC458720 GWT458699:GWY458720 HGP458699:HGU458720 HQL458699:HQQ458720 IAH458699:IAM458720 IKD458699:IKI458720 ITZ458699:IUE458720 JDV458699:JEA458720 JNR458699:JNW458720 JXN458699:JXS458720 KHJ458699:KHO458720 KRF458699:KRK458720 LBB458699:LBG458720 LKX458699:LLC458720 LUT458699:LUY458720 MEP458699:MEU458720 MOL458699:MOQ458720 MYH458699:MYM458720 NID458699:NII458720 NRZ458699:NSE458720 OBV458699:OCA458720 OLR458699:OLW458720 OVN458699:OVS458720 PFJ458699:PFO458720 PPF458699:PPK458720 PZB458699:PZG458720 QIX458699:QJC458720 QST458699:QSY458720 RCP458699:RCU458720 RML458699:RMQ458720 RWH458699:RWM458720 SGD458699:SGI458720 SPZ458699:SQE458720 SZV458699:TAA458720 TJR458699:TJW458720 TTN458699:TTS458720 UDJ458699:UDO458720 UNF458699:UNK458720 UXB458699:UXG458720 VGX458699:VHC458720 VQT458699:VQY458720 WAP458699:WAU458720 WKL458699:WKQ458720 WUH458699:WUM458720 J524235:O524256 HV524235:IA524256 RR524235:RW524256 ABN524235:ABS524256 ALJ524235:ALO524256 AVF524235:AVK524256 BFB524235:BFG524256 BOX524235:BPC524256 BYT524235:BYY524256 CIP524235:CIU524256 CSL524235:CSQ524256 DCH524235:DCM524256 DMD524235:DMI524256 DVZ524235:DWE524256 EFV524235:EGA524256 EPR524235:EPW524256 EZN524235:EZS524256 FJJ524235:FJO524256 FTF524235:FTK524256 GDB524235:GDG524256 GMX524235:GNC524256 GWT524235:GWY524256 HGP524235:HGU524256 HQL524235:HQQ524256 IAH524235:IAM524256 IKD524235:IKI524256 ITZ524235:IUE524256 JDV524235:JEA524256 JNR524235:JNW524256 JXN524235:JXS524256 KHJ524235:KHO524256 KRF524235:KRK524256 LBB524235:LBG524256 LKX524235:LLC524256 LUT524235:LUY524256 MEP524235:MEU524256 MOL524235:MOQ524256 MYH524235:MYM524256 NID524235:NII524256 NRZ524235:NSE524256 OBV524235:OCA524256 OLR524235:OLW524256 OVN524235:OVS524256 PFJ524235:PFO524256 PPF524235:PPK524256 PZB524235:PZG524256 QIX524235:QJC524256 QST524235:QSY524256 RCP524235:RCU524256 RML524235:RMQ524256 RWH524235:RWM524256 SGD524235:SGI524256 SPZ524235:SQE524256 SZV524235:TAA524256 TJR524235:TJW524256 TTN524235:TTS524256 UDJ524235:UDO524256 UNF524235:UNK524256 UXB524235:UXG524256 VGX524235:VHC524256 VQT524235:VQY524256 WAP524235:WAU524256 WKL524235:WKQ524256 WUH524235:WUM524256 J589771:O589792 HV589771:IA589792 RR589771:RW589792 ABN589771:ABS589792 ALJ589771:ALO589792 AVF589771:AVK589792 BFB589771:BFG589792 BOX589771:BPC589792 BYT589771:BYY589792 CIP589771:CIU589792 CSL589771:CSQ589792 DCH589771:DCM589792 DMD589771:DMI589792 DVZ589771:DWE589792 EFV589771:EGA589792 EPR589771:EPW589792 EZN589771:EZS589792 FJJ589771:FJO589792 FTF589771:FTK589792 GDB589771:GDG589792 GMX589771:GNC589792 GWT589771:GWY589792 HGP589771:HGU589792 HQL589771:HQQ589792 IAH589771:IAM589792 IKD589771:IKI589792 ITZ589771:IUE589792 JDV589771:JEA589792 JNR589771:JNW589792 JXN589771:JXS589792 KHJ589771:KHO589792 KRF589771:KRK589792 LBB589771:LBG589792 LKX589771:LLC589792 LUT589771:LUY589792 MEP589771:MEU589792 MOL589771:MOQ589792 MYH589771:MYM589792 NID589771:NII589792 NRZ589771:NSE589792 OBV589771:OCA589792 OLR589771:OLW589792 OVN589771:OVS589792 PFJ589771:PFO589792 PPF589771:PPK589792 PZB589771:PZG589792 QIX589771:QJC589792 QST589771:QSY589792 RCP589771:RCU589792 RML589771:RMQ589792 RWH589771:RWM589792 SGD589771:SGI589792 SPZ589771:SQE589792 SZV589771:TAA589792 TJR589771:TJW589792 TTN589771:TTS589792 UDJ589771:UDO589792 UNF589771:UNK589792 UXB589771:UXG589792 VGX589771:VHC589792 VQT589771:VQY589792 WAP589771:WAU589792 WKL589771:WKQ589792 WUH589771:WUM589792 J655307:O655328 HV655307:IA655328 RR655307:RW655328 ABN655307:ABS655328 ALJ655307:ALO655328 AVF655307:AVK655328 BFB655307:BFG655328 BOX655307:BPC655328 BYT655307:BYY655328 CIP655307:CIU655328 CSL655307:CSQ655328 DCH655307:DCM655328 DMD655307:DMI655328 DVZ655307:DWE655328 EFV655307:EGA655328 EPR655307:EPW655328 EZN655307:EZS655328 FJJ655307:FJO655328 FTF655307:FTK655328 GDB655307:GDG655328 GMX655307:GNC655328 GWT655307:GWY655328 HGP655307:HGU655328 HQL655307:HQQ655328 IAH655307:IAM655328 IKD655307:IKI655328 ITZ655307:IUE655328 JDV655307:JEA655328 JNR655307:JNW655328 JXN655307:JXS655328 KHJ655307:KHO655328 KRF655307:KRK655328 LBB655307:LBG655328 LKX655307:LLC655328 LUT655307:LUY655328 MEP655307:MEU655328 MOL655307:MOQ655328 MYH655307:MYM655328 NID655307:NII655328 NRZ655307:NSE655328 OBV655307:OCA655328 OLR655307:OLW655328 OVN655307:OVS655328 PFJ655307:PFO655328 PPF655307:PPK655328 PZB655307:PZG655328 QIX655307:QJC655328 QST655307:QSY655328 RCP655307:RCU655328 RML655307:RMQ655328 RWH655307:RWM655328 SGD655307:SGI655328 SPZ655307:SQE655328 SZV655307:TAA655328 TJR655307:TJW655328 TTN655307:TTS655328 UDJ655307:UDO655328 UNF655307:UNK655328 UXB655307:UXG655328 VGX655307:VHC655328 VQT655307:VQY655328 WAP655307:WAU655328 WKL655307:WKQ655328 WUH655307:WUM655328 J720843:O720864 HV720843:IA720864 RR720843:RW720864 ABN720843:ABS720864 ALJ720843:ALO720864 AVF720843:AVK720864 BFB720843:BFG720864 BOX720843:BPC720864 BYT720843:BYY720864 CIP720843:CIU720864 CSL720843:CSQ720864 DCH720843:DCM720864 DMD720843:DMI720864 DVZ720843:DWE720864 EFV720843:EGA720864 EPR720843:EPW720864 EZN720843:EZS720864 FJJ720843:FJO720864 FTF720843:FTK720864 GDB720843:GDG720864 GMX720843:GNC720864 GWT720843:GWY720864 HGP720843:HGU720864 HQL720843:HQQ720864 IAH720843:IAM720864 IKD720843:IKI720864 ITZ720843:IUE720864 JDV720843:JEA720864 JNR720843:JNW720864 JXN720843:JXS720864 KHJ720843:KHO720864 KRF720843:KRK720864 LBB720843:LBG720864 LKX720843:LLC720864 LUT720843:LUY720864 MEP720843:MEU720864 MOL720843:MOQ720864 MYH720843:MYM720864 NID720843:NII720864 NRZ720843:NSE720864 OBV720843:OCA720864 OLR720843:OLW720864 OVN720843:OVS720864 PFJ720843:PFO720864 PPF720843:PPK720864 PZB720843:PZG720864 QIX720843:QJC720864 QST720843:QSY720864 RCP720843:RCU720864 RML720843:RMQ720864 RWH720843:RWM720864 SGD720843:SGI720864 SPZ720843:SQE720864 SZV720843:TAA720864 TJR720843:TJW720864 TTN720843:TTS720864 UDJ720843:UDO720864 UNF720843:UNK720864 UXB720843:UXG720864 VGX720843:VHC720864 VQT720843:VQY720864 WAP720843:WAU720864 WKL720843:WKQ720864 WUH720843:WUM720864 J786379:O786400 HV786379:IA786400 RR786379:RW786400 ABN786379:ABS786400 ALJ786379:ALO786400 AVF786379:AVK786400 BFB786379:BFG786400 BOX786379:BPC786400 BYT786379:BYY786400 CIP786379:CIU786400 CSL786379:CSQ786400 DCH786379:DCM786400 DMD786379:DMI786400 DVZ786379:DWE786400 EFV786379:EGA786400 EPR786379:EPW786400 EZN786379:EZS786400 FJJ786379:FJO786400 FTF786379:FTK786400 GDB786379:GDG786400 GMX786379:GNC786400 GWT786379:GWY786400 HGP786379:HGU786400 HQL786379:HQQ786400 IAH786379:IAM786400 IKD786379:IKI786400 ITZ786379:IUE786400 JDV786379:JEA786400 JNR786379:JNW786400 JXN786379:JXS786400 KHJ786379:KHO786400 KRF786379:KRK786400 LBB786379:LBG786400 LKX786379:LLC786400 LUT786379:LUY786400 MEP786379:MEU786400 MOL786379:MOQ786400 MYH786379:MYM786400 NID786379:NII786400 NRZ786379:NSE786400 OBV786379:OCA786400 OLR786379:OLW786400 OVN786379:OVS786400 PFJ786379:PFO786400 PPF786379:PPK786400 PZB786379:PZG786400 QIX786379:QJC786400 QST786379:QSY786400 RCP786379:RCU786400 RML786379:RMQ786400 RWH786379:RWM786400 SGD786379:SGI786400 SPZ786379:SQE786400 SZV786379:TAA786400 TJR786379:TJW786400 TTN786379:TTS786400 UDJ786379:UDO786400 UNF786379:UNK786400 UXB786379:UXG786400 VGX786379:VHC786400 VQT786379:VQY786400 WAP786379:WAU786400 WKL786379:WKQ786400 WUH786379:WUM786400 J851915:O851936 HV851915:IA851936 RR851915:RW851936 ABN851915:ABS851936 ALJ851915:ALO851936 AVF851915:AVK851936 BFB851915:BFG851936 BOX851915:BPC851936 BYT851915:BYY851936 CIP851915:CIU851936 CSL851915:CSQ851936 DCH851915:DCM851936 DMD851915:DMI851936 DVZ851915:DWE851936 EFV851915:EGA851936 EPR851915:EPW851936 EZN851915:EZS851936 FJJ851915:FJO851936 FTF851915:FTK851936 GDB851915:GDG851936 GMX851915:GNC851936 GWT851915:GWY851936 HGP851915:HGU851936 HQL851915:HQQ851936 IAH851915:IAM851936 IKD851915:IKI851936 ITZ851915:IUE851936 JDV851915:JEA851936 JNR851915:JNW851936 JXN851915:JXS851936 KHJ851915:KHO851936 KRF851915:KRK851936 LBB851915:LBG851936 LKX851915:LLC851936 LUT851915:LUY851936 MEP851915:MEU851936 MOL851915:MOQ851936 MYH851915:MYM851936 NID851915:NII851936 NRZ851915:NSE851936 OBV851915:OCA851936 OLR851915:OLW851936 OVN851915:OVS851936 PFJ851915:PFO851936 PPF851915:PPK851936 PZB851915:PZG851936 QIX851915:QJC851936 QST851915:QSY851936 RCP851915:RCU851936 RML851915:RMQ851936 RWH851915:RWM851936 SGD851915:SGI851936 SPZ851915:SQE851936 SZV851915:TAA851936 TJR851915:TJW851936 TTN851915:TTS851936 UDJ851915:UDO851936 UNF851915:UNK851936 UXB851915:UXG851936 VGX851915:VHC851936 VQT851915:VQY851936 WAP851915:WAU851936 WKL851915:WKQ851936 WUH851915:WUM851936 J917451:O917472 HV917451:IA917472 RR917451:RW917472 ABN917451:ABS917472 ALJ917451:ALO917472 AVF917451:AVK917472 BFB917451:BFG917472 BOX917451:BPC917472 BYT917451:BYY917472 CIP917451:CIU917472 CSL917451:CSQ917472 DCH917451:DCM917472 DMD917451:DMI917472 DVZ917451:DWE917472 EFV917451:EGA917472 EPR917451:EPW917472 EZN917451:EZS917472 FJJ917451:FJO917472 FTF917451:FTK917472 GDB917451:GDG917472 GMX917451:GNC917472 GWT917451:GWY917472 HGP917451:HGU917472 HQL917451:HQQ917472 IAH917451:IAM917472 IKD917451:IKI917472 ITZ917451:IUE917472 JDV917451:JEA917472 JNR917451:JNW917472 JXN917451:JXS917472 KHJ917451:KHO917472 KRF917451:KRK917472 LBB917451:LBG917472 LKX917451:LLC917472 LUT917451:LUY917472 MEP917451:MEU917472 MOL917451:MOQ917472 MYH917451:MYM917472 NID917451:NII917472 NRZ917451:NSE917472 OBV917451:OCA917472 OLR917451:OLW917472 OVN917451:OVS917472 PFJ917451:PFO917472 PPF917451:PPK917472 PZB917451:PZG917472 QIX917451:QJC917472 QST917451:QSY917472 RCP917451:RCU917472 RML917451:RMQ917472 RWH917451:RWM917472 SGD917451:SGI917472 SPZ917451:SQE917472 SZV917451:TAA917472 TJR917451:TJW917472 TTN917451:TTS917472 UDJ917451:UDO917472 UNF917451:UNK917472 UXB917451:UXG917472 VGX917451:VHC917472 VQT917451:VQY917472 WAP917451:WAU917472 WKL917451:WKQ917472 WUH917451:WUM917472 J982987:O983008 HV982987:IA983008 RR982987:RW983008 ABN982987:ABS983008 ALJ982987:ALO983008 AVF982987:AVK983008 BFB982987:BFG983008 BOX982987:BPC983008 BYT982987:BYY983008 CIP982987:CIU983008 CSL982987:CSQ983008 DCH982987:DCM983008 DMD982987:DMI983008 DVZ982987:DWE983008 EFV982987:EGA983008 EPR982987:EPW983008 EZN982987:EZS983008 FJJ982987:FJO983008 FTF982987:FTK983008 GDB982987:GDG983008 GMX982987:GNC983008 GWT982987:GWY983008 HGP982987:HGU983008 HQL982987:HQQ983008 IAH982987:IAM983008 IKD982987:IKI983008 ITZ982987:IUE983008 JDV982987:JEA983008 JNR982987:JNW983008 JXN982987:JXS983008 KHJ982987:KHO983008 KRF982987:KRK983008 LBB982987:LBG983008 LKX982987:LLC983008 LUT982987:LUY983008 MEP982987:MEU983008 MOL982987:MOQ983008 MYH982987:MYM983008 NID982987:NII983008 NRZ982987:NSE983008 OBV982987:OCA983008 OLR982987:OLW983008 OVN982987:OVS983008 PFJ982987:PFO983008 PPF982987:PPK983008 PZB982987:PZG983008 QIX982987:QJC983008 QST982987:QSY983008 RCP982987:RCU983008 RML982987:RMQ983008 RWH982987:RWM983008 SGD982987:SGI983008 SPZ982987:SQE983008 SZV982987:TAA983008 TJR982987:TJW983008 TTN982987:TTS983008 UDJ982987:UDO983008 UNF982987:UNK983008 UXB982987:UXG983008 VGX982987:VHC983008 VQT982987:VQY983008 WAP982987:WAU983008 WKL982987:WKQ983008 J9:O9 J4:O7" xr:uid="{9C1E0605-A968-4027-8F9E-523D5614ABF7}">
      <formula1>$B$22:$B$45</formula1>
    </dataValidation>
    <dataValidation type="list" allowBlank="1" showInputMessage="1" showErrorMessage="1" sqref="WUV982987:WVC983008 X65483:AE65504 WKZ4:WLG12 WBD4:WBK12 VRH4:VRO12 VHL4:VHS12 UXP4:UXW12 UNT4:UOA12 UDX4:UEE12 TUB4:TUI12 TKF4:TKM12 TAJ4:TAQ12 SQN4:SQU12 SGR4:SGY12 RWV4:RXC12 RMZ4:RNG12 RDD4:RDK12 QTH4:QTO12 QJL4:QJS12 PZP4:PZW12 PPT4:PQA12 PFX4:PGE12 OWB4:OWI12 OMF4:OMM12 OCJ4:OCQ12 NSN4:NSU12 NIR4:NIY12 MYV4:MZC12 MOZ4:MPG12 MFD4:MFK12 LVH4:LVO12 LLL4:LLS12 LBP4:LBW12 KRT4:KSA12 KHX4:KIE12 JYB4:JYI12 JOF4:JOM12 JEJ4:JEQ12 IUN4:IUU12 IKR4:IKY12 IAV4:IBC12 HQZ4:HRG12 HHD4:HHK12 GXH4:GXO12 GNL4:GNS12 GDP4:GDW12 FTT4:FUA12 FJX4:FKE12 FAB4:FAI12 EQF4:EQM12 EGJ4:EGQ12 DWN4:DWU12 DMR4:DMY12 DCV4:DDC12 CSZ4:CTG12 CJD4:CJK12 BZH4:BZO12 BPL4:BPS12 BFP4:BFW12 AVT4:AWA12 ALX4:AME12 ACB4:ACI12 SF4:SM12 WUV4:WVC12 IJ4:IQ12 IJ65483:IQ65504 SF65483:SM65504 ACB65483:ACI65504 ALX65483:AME65504 AVT65483:AWA65504 BFP65483:BFW65504 BPL65483:BPS65504 BZH65483:BZO65504 CJD65483:CJK65504 CSZ65483:CTG65504 DCV65483:DDC65504 DMR65483:DMY65504 DWN65483:DWU65504 EGJ65483:EGQ65504 EQF65483:EQM65504 FAB65483:FAI65504 FJX65483:FKE65504 FTT65483:FUA65504 GDP65483:GDW65504 GNL65483:GNS65504 GXH65483:GXO65504 HHD65483:HHK65504 HQZ65483:HRG65504 IAV65483:IBC65504 IKR65483:IKY65504 IUN65483:IUU65504 JEJ65483:JEQ65504 JOF65483:JOM65504 JYB65483:JYI65504 KHX65483:KIE65504 KRT65483:KSA65504 LBP65483:LBW65504 LLL65483:LLS65504 LVH65483:LVO65504 MFD65483:MFK65504 MOZ65483:MPG65504 MYV65483:MZC65504 NIR65483:NIY65504 NSN65483:NSU65504 OCJ65483:OCQ65504 OMF65483:OMM65504 OWB65483:OWI65504 PFX65483:PGE65504 PPT65483:PQA65504 PZP65483:PZW65504 QJL65483:QJS65504 QTH65483:QTO65504 RDD65483:RDK65504 RMZ65483:RNG65504 RWV65483:RXC65504 SGR65483:SGY65504 SQN65483:SQU65504 TAJ65483:TAQ65504 TKF65483:TKM65504 TUB65483:TUI65504 UDX65483:UEE65504 UNT65483:UOA65504 UXP65483:UXW65504 VHL65483:VHS65504 VRH65483:VRO65504 WBD65483:WBK65504 WKZ65483:WLG65504 WUV65483:WVC65504 X131019:AE131040 IJ131019:IQ131040 SF131019:SM131040 ACB131019:ACI131040 ALX131019:AME131040 AVT131019:AWA131040 BFP131019:BFW131040 BPL131019:BPS131040 BZH131019:BZO131040 CJD131019:CJK131040 CSZ131019:CTG131040 DCV131019:DDC131040 DMR131019:DMY131040 DWN131019:DWU131040 EGJ131019:EGQ131040 EQF131019:EQM131040 FAB131019:FAI131040 FJX131019:FKE131040 FTT131019:FUA131040 GDP131019:GDW131040 GNL131019:GNS131040 GXH131019:GXO131040 HHD131019:HHK131040 HQZ131019:HRG131040 IAV131019:IBC131040 IKR131019:IKY131040 IUN131019:IUU131040 JEJ131019:JEQ131040 JOF131019:JOM131040 JYB131019:JYI131040 KHX131019:KIE131040 KRT131019:KSA131040 LBP131019:LBW131040 LLL131019:LLS131040 LVH131019:LVO131040 MFD131019:MFK131040 MOZ131019:MPG131040 MYV131019:MZC131040 NIR131019:NIY131040 NSN131019:NSU131040 OCJ131019:OCQ131040 OMF131019:OMM131040 OWB131019:OWI131040 PFX131019:PGE131040 PPT131019:PQA131040 PZP131019:PZW131040 QJL131019:QJS131040 QTH131019:QTO131040 RDD131019:RDK131040 RMZ131019:RNG131040 RWV131019:RXC131040 SGR131019:SGY131040 SQN131019:SQU131040 TAJ131019:TAQ131040 TKF131019:TKM131040 TUB131019:TUI131040 UDX131019:UEE131040 UNT131019:UOA131040 UXP131019:UXW131040 VHL131019:VHS131040 VRH131019:VRO131040 WBD131019:WBK131040 WKZ131019:WLG131040 WUV131019:WVC131040 X196555:AE196576 IJ196555:IQ196576 SF196555:SM196576 ACB196555:ACI196576 ALX196555:AME196576 AVT196555:AWA196576 BFP196555:BFW196576 BPL196555:BPS196576 BZH196555:BZO196576 CJD196555:CJK196576 CSZ196555:CTG196576 DCV196555:DDC196576 DMR196555:DMY196576 DWN196555:DWU196576 EGJ196555:EGQ196576 EQF196555:EQM196576 FAB196555:FAI196576 FJX196555:FKE196576 FTT196555:FUA196576 GDP196555:GDW196576 GNL196555:GNS196576 GXH196555:GXO196576 HHD196555:HHK196576 HQZ196555:HRG196576 IAV196555:IBC196576 IKR196555:IKY196576 IUN196555:IUU196576 JEJ196555:JEQ196576 JOF196555:JOM196576 JYB196555:JYI196576 KHX196555:KIE196576 KRT196555:KSA196576 LBP196555:LBW196576 LLL196555:LLS196576 LVH196555:LVO196576 MFD196555:MFK196576 MOZ196555:MPG196576 MYV196555:MZC196576 NIR196555:NIY196576 NSN196555:NSU196576 OCJ196555:OCQ196576 OMF196555:OMM196576 OWB196555:OWI196576 PFX196555:PGE196576 PPT196555:PQA196576 PZP196555:PZW196576 QJL196555:QJS196576 QTH196555:QTO196576 RDD196555:RDK196576 RMZ196555:RNG196576 RWV196555:RXC196576 SGR196555:SGY196576 SQN196555:SQU196576 TAJ196555:TAQ196576 TKF196555:TKM196576 TUB196555:TUI196576 UDX196555:UEE196576 UNT196555:UOA196576 UXP196555:UXW196576 VHL196555:VHS196576 VRH196555:VRO196576 WBD196555:WBK196576 WKZ196555:WLG196576 WUV196555:WVC196576 X262091:AE262112 IJ262091:IQ262112 SF262091:SM262112 ACB262091:ACI262112 ALX262091:AME262112 AVT262091:AWA262112 BFP262091:BFW262112 BPL262091:BPS262112 BZH262091:BZO262112 CJD262091:CJK262112 CSZ262091:CTG262112 DCV262091:DDC262112 DMR262091:DMY262112 DWN262091:DWU262112 EGJ262091:EGQ262112 EQF262091:EQM262112 FAB262091:FAI262112 FJX262091:FKE262112 FTT262091:FUA262112 GDP262091:GDW262112 GNL262091:GNS262112 GXH262091:GXO262112 HHD262091:HHK262112 HQZ262091:HRG262112 IAV262091:IBC262112 IKR262091:IKY262112 IUN262091:IUU262112 JEJ262091:JEQ262112 JOF262091:JOM262112 JYB262091:JYI262112 KHX262091:KIE262112 KRT262091:KSA262112 LBP262091:LBW262112 LLL262091:LLS262112 LVH262091:LVO262112 MFD262091:MFK262112 MOZ262091:MPG262112 MYV262091:MZC262112 NIR262091:NIY262112 NSN262091:NSU262112 OCJ262091:OCQ262112 OMF262091:OMM262112 OWB262091:OWI262112 PFX262091:PGE262112 PPT262091:PQA262112 PZP262091:PZW262112 QJL262091:QJS262112 QTH262091:QTO262112 RDD262091:RDK262112 RMZ262091:RNG262112 RWV262091:RXC262112 SGR262091:SGY262112 SQN262091:SQU262112 TAJ262091:TAQ262112 TKF262091:TKM262112 TUB262091:TUI262112 UDX262091:UEE262112 UNT262091:UOA262112 UXP262091:UXW262112 VHL262091:VHS262112 VRH262091:VRO262112 WBD262091:WBK262112 WKZ262091:WLG262112 WUV262091:WVC262112 X327627:AE327648 IJ327627:IQ327648 SF327627:SM327648 ACB327627:ACI327648 ALX327627:AME327648 AVT327627:AWA327648 BFP327627:BFW327648 BPL327627:BPS327648 BZH327627:BZO327648 CJD327627:CJK327648 CSZ327627:CTG327648 DCV327627:DDC327648 DMR327627:DMY327648 DWN327627:DWU327648 EGJ327627:EGQ327648 EQF327627:EQM327648 FAB327627:FAI327648 FJX327627:FKE327648 FTT327627:FUA327648 GDP327627:GDW327648 GNL327627:GNS327648 GXH327627:GXO327648 HHD327627:HHK327648 HQZ327627:HRG327648 IAV327627:IBC327648 IKR327627:IKY327648 IUN327627:IUU327648 JEJ327627:JEQ327648 JOF327627:JOM327648 JYB327627:JYI327648 KHX327627:KIE327648 KRT327627:KSA327648 LBP327627:LBW327648 LLL327627:LLS327648 LVH327627:LVO327648 MFD327627:MFK327648 MOZ327627:MPG327648 MYV327627:MZC327648 NIR327627:NIY327648 NSN327627:NSU327648 OCJ327627:OCQ327648 OMF327627:OMM327648 OWB327627:OWI327648 PFX327627:PGE327648 PPT327627:PQA327648 PZP327627:PZW327648 QJL327627:QJS327648 QTH327627:QTO327648 RDD327627:RDK327648 RMZ327627:RNG327648 RWV327627:RXC327648 SGR327627:SGY327648 SQN327627:SQU327648 TAJ327627:TAQ327648 TKF327627:TKM327648 TUB327627:TUI327648 UDX327627:UEE327648 UNT327627:UOA327648 UXP327627:UXW327648 VHL327627:VHS327648 VRH327627:VRO327648 WBD327627:WBK327648 WKZ327627:WLG327648 WUV327627:WVC327648 X393163:AE393184 IJ393163:IQ393184 SF393163:SM393184 ACB393163:ACI393184 ALX393163:AME393184 AVT393163:AWA393184 BFP393163:BFW393184 BPL393163:BPS393184 BZH393163:BZO393184 CJD393163:CJK393184 CSZ393163:CTG393184 DCV393163:DDC393184 DMR393163:DMY393184 DWN393163:DWU393184 EGJ393163:EGQ393184 EQF393163:EQM393184 FAB393163:FAI393184 FJX393163:FKE393184 FTT393163:FUA393184 GDP393163:GDW393184 GNL393163:GNS393184 GXH393163:GXO393184 HHD393163:HHK393184 HQZ393163:HRG393184 IAV393163:IBC393184 IKR393163:IKY393184 IUN393163:IUU393184 JEJ393163:JEQ393184 JOF393163:JOM393184 JYB393163:JYI393184 KHX393163:KIE393184 KRT393163:KSA393184 LBP393163:LBW393184 LLL393163:LLS393184 LVH393163:LVO393184 MFD393163:MFK393184 MOZ393163:MPG393184 MYV393163:MZC393184 NIR393163:NIY393184 NSN393163:NSU393184 OCJ393163:OCQ393184 OMF393163:OMM393184 OWB393163:OWI393184 PFX393163:PGE393184 PPT393163:PQA393184 PZP393163:PZW393184 QJL393163:QJS393184 QTH393163:QTO393184 RDD393163:RDK393184 RMZ393163:RNG393184 RWV393163:RXC393184 SGR393163:SGY393184 SQN393163:SQU393184 TAJ393163:TAQ393184 TKF393163:TKM393184 TUB393163:TUI393184 UDX393163:UEE393184 UNT393163:UOA393184 UXP393163:UXW393184 VHL393163:VHS393184 VRH393163:VRO393184 WBD393163:WBK393184 WKZ393163:WLG393184 WUV393163:WVC393184 X458699:AE458720 IJ458699:IQ458720 SF458699:SM458720 ACB458699:ACI458720 ALX458699:AME458720 AVT458699:AWA458720 BFP458699:BFW458720 BPL458699:BPS458720 BZH458699:BZO458720 CJD458699:CJK458720 CSZ458699:CTG458720 DCV458699:DDC458720 DMR458699:DMY458720 DWN458699:DWU458720 EGJ458699:EGQ458720 EQF458699:EQM458720 FAB458699:FAI458720 FJX458699:FKE458720 FTT458699:FUA458720 GDP458699:GDW458720 GNL458699:GNS458720 GXH458699:GXO458720 HHD458699:HHK458720 HQZ458699:HRG458720 IAV458699:IBC458720 IKR458699:IKY458720 IUN458699:IUU458720 JEJ458699:JEQ458720 JOF458699:JOM458720 JYB458699:JYI458720 KHX458699:KIE458720 KRT458699:KSA458720 LBP458699:LBW458720 LLL458699:LLS458720 LVH458699:LVO458720 MFD458699:MFK458720 MOZ458699:MPG458720 MYV458699:MZC458720 NIR458699:NIY458720 NSN458699:NSU458720 OCJ458699:OCQ458720 OMF458699:OMM458720 OWB458699:OWI458720 PFX458699:PGE458720 PPT458699:PQA458720 PZP458699:PZW458720 QJL458699:QJS458720 QTH458699:QTO458720 RDD458699:RDK458720 RMZ458699:RNG458720 RWV458699:RXC458720 SGR458699:SGY458720 SQN458699:SQU458720 TAJ458699:TAQ458720 TKF458699:TKM458720 TUB458699:TUI458720 UDX458699:UEE458720 UNT458699:UOA458720 UXP458699:UXW458720 VHL458699:VHS458720 VRH458699:VRO458720 WBD458699:WBK458720 WKZ458699:WLG458720 WUV458699:WVC458720 X524235:AE524256 IJ524235:IQ524256 SF524235:SM524256 ACB524235:ACI524256 ALX524235:AME524256 AVT524235:AWA524256 BFP524235:BFW524256 BPL524235:BPS524256 BZH524235:BZO524256 CJD524235:CJK524256 CSZ524235:CTG524256 DCV524235:DDC524256 DMR524235:DMY524256 DWN524235:DWU524256 EGJ524235:EGQ524256 EQF524235:EQM524256 FAB524235:FAI524256 FJX524235:FKE524256 FTT524235:FUA524256 GDP524235:GDW524256 GNL524235:GNS524256 GXH524235:GXO524256 HHD524235:HHK524256 HQZ524235:HRG524256 IAV524235:IBC524256 IKR524235:IKY524256 IUN524235:IUU524256 JEJ524235:JEQ524256 JOF524235:JOM524256 JYB524235:JYI524256 KHX524235:KIE524256 KRT524235:KSA524256 LBP524235:LBW524256 LLL524235:LLS524256 LVH524235:LVO524256 MFD524235:MFK524256 MOZ524235:MPG524256 MYV524235:MZC524256 NIR524235:NIY524256 NSN524235:NSU524256 OCJ524235:OCQ524256 OMF524235:OMM524256 OWB524235:OWI524256 PFX524235:PGE524256 PPT524235:PQA524256 PZP524235:PZW524256 QJL524235:QJS524256 QTH524235:QTO524256 RDD524235:RDK524256 RMZ524235:RNG524256 RWV524235:RXC524256 SGR524235:SGY524256 SQN524235:SQU524256 TAJ524235:TAQ524256 TKF524235:TKM524256 TUB524235:TUI524256 UDX524235:UEE524256 UNT524235:UOA524256 UXP524235:UXW524256 VHL524235:VHS524256 VRH524235:VRO524256 WBD524235:WBK524256 WKZ524235:WLG524256 WUV524235:WVC524256 X589771:AE589792 IJ589771:IQ589792 SF589771:SM589792 ACB589771:ACI589792 ALX589771:AME589792 AVT589771:AWA589792 BFP589771:BFW589792 BPL589771:BPS589792 BZH589771:BZO589792 CJD589771:CJK589792 CSZ589771:CTG589792 DCV589771:DDC589792 DMR589771:DMY589792 DWN589771:DWU589792 EGJ589771:EGQ589792 EQF589771:EQM589792 FAB589771:FAI589792 FJX589771:FKE589792 FTT589771:FUA589792 GDP589771:GDW589792 GNL589771:GNS589792 GXH589771:GXO589792 HHD589771:HHK589792 HQZ589771:HRG589792 IAV589771:IBC589792 IKR589771:IKY589792 IUN589771:IUU589792 JEJ589771:JEQ589792 JOF589771:JOM589792 JYB589771:JYI589792 KHX589771:KIE589792 KRT589771:KSA589792 LBP589771:LBW589792 LLL589771:LLS589792 LVH589771:LVO589792 MFD589771:MFK589792 MOZ589771:MPG589792 MYV589771:MZC589792 NIR589771:NIY589792 NSN589771:NSU589792 OCJ589771:OCQ589792 OMF589771:OMM589792 OWB589771:OWI589792 PFX589771:PGE589792 PPT589771:PQA589792 PZP589771:PZW589792 QJL589771:QJS589792 QTH589771:QTO589792 RDD589771:RDK589792 RMZ589771:RNG589792 RWV589771:RXC589792 SGR589771:SGY589792 SQN589771:SQU589792 TAJ589771:TAQ589792 TKF589771:TKM589792 TUB589771:TUI589792 UDX589771:UEE589792 UNT589771:UOA589792 UXP589771:UXW589792 VHL589771:VHS589792 VRH589771:VRO589792 WBD589771:WBK589792 WKZ589771:WLG589792 WUV589771:WVC589792 X655307:AE655328 IJ655307:IQ655328 SF655307:SM655328 ACB655307:ACI655328 ALX655307:AME655328 AVT655307:AWA655328 BFP655307:BFW655328 BPL655307:BPS655328 BZH655307:BZO655328 CJD655307:CJK655328 CSZ655307:CTG655328 DCV655307:DDC655328 DMR655307:DMY655328 DWN655307:DWU655328 EGJ655307:EGQ655328 EQF655307:EQM655328 FAB655307:FAI655328 FJX655307:FKE655328 FTT655307:FUA655328 GDP655307:GDW655328 GNL655307:GNS655328 GXH655307:GXO655328 HHD655307:HHK655328 HQZ655307:HRG655328 IAV655307:IBC655328 IKR655307:IKY655328 IUN655307:IUU655328 JEJ655307:JEQ655328 JOF655307:JOM655328 JYB655307:JYI655328 KHX655307:KIE655328 KRT655307:KSA655328 LBP655307:LBW655328 LLL655307:LLS655328 LVH655307:LVO655328 MFD655307:MFK655328 MOZ655307:MPG655328 MYV655307:MZC655328 NIR655307:NIY655328 NSN655307:NSU655328 OCJ655307:OCQ655328 OMF655307:OMM655328 OWB655307:OWI655328 PFX655307:PGE655328 PPT655307:PQA655328 PZP655307:PZW655328 QJL655307:QJS655328 QTH655307:QTO655328 RDD655307:RDK655328 RMZ655307:RNG655328 RWV655307:RXC655328 SGR655307:SGY655328 SQN655307:SQU655328 TAJ655307:TAQ655328 TKF655307:TKM655328 TUB655307:TUI655328 UDX655307:UEE655328 UNT655307:UOA655328 UXP655307:UXW655328 VHL655307:VHS655328 VRH655307:VRO655328 WBD655307:WBK655328 WKZ655307:WLG655328 WUV655307:WVC655328 X720843:AE720864 IJ720843:IQ720864 SF720843:SM720864 ACB720843:ACI720864 ALX720843:AME720864 AVT720843:AWA720864 BFP720843:BFW720864 BPL720843:BPS720864 BZH720843:BZO720864 CJD720843:CJK720864 CSZ720843:CTG720864 DCV720843:DDC720864 DMR720843:DMY720864 DWN720843:DWU720864 EGJ720843:EGQ720864 EQF720843:EQM720864 FAB720843:FAI720864 FJX720843:FKE720864 FTT720843:FUA720864 GDP720843:GDW720864 GNL720843:GNS720864 GXH720843:GXO720864 HHD720843:HHK720864 HQZ720843:HRG720864 IAV720843:IBC720864 IKR720843:IKY720864 IUN720843:IUU720864 JEJ720843:JEQ720864 JOF720843:JOM720864 JYB720843:JYI720864 KHX720843:KIE720864 KRT720843:KSA720864 LBP720843:LBW720864 LLL720843:LLS720864 LVH720843:LVO720864 MFD720843:MFK720864 MOZ720843:MPG720864 MYV720843:MZC720864 NIR720843:NIY720864 NSN720843:NSU720864 OCJ720843:OCQ720864 OMF720843:OMM720864 OWB720843:OWI720864 PFX720843:PGE720864 PPT720843:PQA720864 PZP720843:PZW720864 QJL720843:QJS720864 QTH720843:QTO720864 RDD720843:RDK720864 RMZ720843:RNG720864 RWV720843:RXC720864 SGR720843:SGY720864 SQN720843:SQU720864 TAJ720843:TAQ720864 TKF720843:TKM720864 TUB720843:TUI720864 UDX720843:UEE720864 UNT720843:UOA720864 UXP720843:UXW720864 VHL720843:VHS720864 VRH720843:VRO720864 WBD720843:WBK720864 WKZ720843:WLG720864 WUV720843:WVC720864 X786379:AE786400 IJ786379:IQ786400 SF786379:SM786400 ACB786379:ACI786400 ALX786379:AME786400 AVT786379:AWA786400 BFP786379:BFW786400 BPL786379:BPS786400 BZH786379:BZO786400 CJD786379:CJK786400 CSZ786379:CTG786400 DCV786379:DDC786400 DMR786379:DMY786400 DWN786379:DWU786400 EGJ786379:EGQ786400 EQF786379:EQM786400 FAB786379:FAI786400 FJX786379:FKE786400 FTT786379:FUA786400 GDP786379:GDW786400 GNL786379:GNS786400 GXH786379:GXO786400 HHD786379:HHK786400 HQZ786379:HRG786400 IAV786379:IBC786400 IKR786379:IKY786400 IUN786379:IUU786400 JEJ786379:JEQ786400 JOF786379:JOM786400 JYB786379:JYI786400 KHX786379:KIE786400 KRT786379:KSA786400 LBP786379:LBW786400 LLL786379:LLS786400 LVH786379:LVO786400 MFD786379:MFK786400 MOZ786379:MPG786400 MYV786379:MZC786400 NIR786379:NIY786400 NSN786379:NSU786400 OCJ786379:OCQ786400 OMF786379:OMM786400 OWB786379:OWI786400 PFX786379:PGE786400 PPT786379:PQA786400 PZP786379:PZW786400 QJL786379:QJS786400 QTH786379:QTO786400 RDD786379:RDK786400 RMZ786379:RNG786400 RWV786379:RXC786400 SGR786379:SGY786400 SQN786379:SQU786400 TAJ786379:TAQ786400 TKF786379:TKM786400 TUB786379:TUI786400 UDX786379:UEE786400 UNT786379:UOA786400 UXP786379:UXW786400 VHL786379:VHS786400 VRH786379:VRO786400 WBD786379:WBK786400 WKZ786379:WLG786400 WUV786379:WVC786400 X851915:AE851936 IJ851915:IQ851936 SF851915:SM851936 ACB851915:ACI851936 ALX851915:AME851936 AVT851915:AWA851936 BFP851915:BFW851936 BPL851915:BPS851936 BZH851915:BZO851936 CJD851915:CJK851936 CSZ851915:CTG851936 DCV851915:DDC851936 DMR851915:DMY851936 DWN851915:DWU851936 EGJ851915:EGQ851936 EQF851915:EQM851936 FAB851915:FAI851936 FJX851915:FKE851936 FTT851915:FUA851936 GDP851915:GDW851936 GNL851915:GNS851936 GXH851915:GXO851936 HHD851915:HHK851936 HQZ851915:HRG851936 IAV851915:IBC851936 IKR851915:IKY851936 IUN851915:IUU851936 JEJ851915:JEQ851936 JOF851915:JOM851936 JYB851915:JYI851936 KHX851915:KIE851936 KRT851915:KSA851936 LBP851915:LBW851936 LLL851915:LLS851936 LVH851915:LVO851936 MFD851915:MFK851936 MOZ851915:MPG851936 MYV851915:MZC851936 NIR851915:NIY851936 NSN851915:NSU851936 OCJ851915:OCQ851936 OMF851915:OMM851936 OWB851915:OWI851936 PFX851915:PGE851936 PPT851915:PQA851936 PZP851915:PZW851936 QJL851915:QJS851936 QTH851915:QTO851936 RDD851915:RDK851936 RMZ851915:RNG851936 RWV851915:RXC851936 SGR851915:SGY851936 SQN851915:SQU851936 TAJ851915:TAQ851936 TKF851915:TKM851936 TUB851915:TUI851936 UDX851915:UEE851936 UNT851915:UOA851936 UXP851915:UXW851936 VHL851915:VHS851936 VRH851915:VRO851936 WBD851915:WBK851936 WKZ851915:WLG851936 WUV851915:WVC851936 X917451:AE917472 IJ917451:IQ917472 SF917451:SM917472 ACB917451:ACI917472 ALX917451:AME917472 AVT917451:AWA917472 BFP917451:BFW917472 BPL917451:BPS917472 BZH917451:BZO917472 CJD917451:CJK917472 CSZ917451:CTG917472 DCV917451:DDC917472 DMR917451:DMY917472 DWN917451:DWU917472 EGJ917451:EGQ917472 EQF917451:EQM917472 FAB917451:FAI917472 FJX917451:FKE917472 FTT917451:FUA917472 GDP917451:GDW917472 GNL917451:GNS917472 GXH917451:GXO917472 HHD917451:HHK917472 HQZ917451:HRG917472 IAV917451:IBC917472 IKR917451:IKY917472 IUN917451:IUU917472 JEJ917451:JEQ917472 JOF917451:JOM917472 JYB917451:JYI917472 KHX917451:KIE917472 KRT917451:KSA917472 LBP917451:LBW917472 LLL917451:LLS917472 LVH917451:LVO917472 MFD917451:MFK917472 MOZ917451:MPG917472 MYV917451:MZC917472 NIR917451:NIY917472 NSN917451:NSU917472 OCJ917451:OCQ917472 OMF917451:OMM917472 OWB917451:OWI917472 PFX917451:PGE917472 PPT917451:PQA917472 PZP917451:PZW917472 QJL917451:QJS917472 QTH917451:QTO917472 RDD917451:RDK917472 RMZ917451:RNG917472 RWV917451:RXC917472 SGR917451:SGY917472 SQN917451:SQU917472 TAJ917451:TAQ917472 TKF917451:TKM917472 TUB917451:TUI917472 UDX917451:UEE917472 UNT917451:UOA917472 UXP917451:UXW917472 VHL917451:VHS917472 VRH917451:VRO917472 WBD917451:WBK917472 WKZ917451:WLG917472 WUV917451:WVC917472 X982987:AE983008 IJ982987:IQ983008 SF982987:SM983008 ACB982987:ACI983008 ALX982987:AME983008 AVT982987:AWA983008 BFP982987:BFW983008 BPL982987:BPS983008 BZH982987:BZO983008 CJD982987:CJK983008 CSZ982987:CTG983008 DCV982987:DDC983008 DMR982987:DMY983008 DWN982987:DWU983008 EGJ982987:EGQ983008 EQF982987:EQM983008 FAB982987:FAI983008 FJX982987:FKE983008 FTT982987:FUA983008 GDP982987:GDW983008 GNL982987:GNS983008 GXH982987:GXO983008 HHD982987:HHK983008 HQZ982987:HRG983008 IAV982987:IBC983008 IKR982987:IKY983008 IUN982987:IUU983008 JEJ982987:JEQ983008 JOF982987:JOM983008 JYB982987:JYI983008 KHX982987:KIE983008 KRT982987:KSA983008 LBP982987:LBW983008 LLL982987:LLS983008 LVH982987:LVO983008 MFD982987:MFK983008 MOZ982987:MPG983008 MYV982987:MZC983008 NIR982987:NIY983008 NSN982987:NSU983008 OCJ982987:OCQ983008 OMF982987:OMM983008 OWB982987:OWI983008 PFX982987:PGE983008 PPT982987:PQA983008 PZP982987:PZW983008 QJL982987:QJS983008 QTH982987:QTO983008 RDD982987:RDK983008 RMZ982987:RNG983008 RWV982987:RXC983008 SGR982987:SGY983008 SQN982987:SQU983008 TAJ982987:TAQ983008 TKF982987:TKM983008 TUB982987:TUI983008 UDX982987:UEE983008 UNT982987:UOA983008 UXP982987:UXW983008 VHL982987:VHS983008 VRH982987:VRO983008 WBD982987:WBK983008 WKZ982987:WLG983008 X9:AE12 X4:AE7" xr:uid="{70E441FB-0093-4A5F-AB62-BE244330CCDD}">
      <formula1>$AG$22:$AG$45</formula1>
    </dataValidation>
    <dataValidation type="list" allowBlank="1" showInputMessage="1" sqref="J8:O8" xr:uid="{F2C017CE-9CD8-42D4-BF14-47740AF4C8F6}">
      <formula1>$B$22:$B$45</formula1>
    </dataValidation>
    <dataValidation type="list" allowBlank="1" showInputMessage="1" sqref="X8:AE8" xr:uid="{80B525E6-2645-453A-A6C4-FA4A8A861451}">
      <formula1>$AG$22:$AG$45</formula1>
    </dataValidation>
  </dataValidations>
  <pageMargins left="0.7" right="0.7" top="0.75" bottom="0.75" header="0.3" footer="0.3"/>
  <pageSetup paperSize="9" scale="26" fitToHeight="0"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77B27-89AA-43DA-B4DA-7677DD55DC2C}">
  <dimension ref="A1:BH41"/>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40" t="s">
        <v>4</v>
      </c>
      <c r="B1" s="740"/>
      <c r="C1" s="740"/>
      <c r="D1" s="740"/>
      <c r="E1" s="740"/>
      <c r="F1" s="740"/>
      <c r="G1" s="740"/>
      <c r="H1" s="740"/>
      <c r="I1" s="727" t="s">
        <v>5</v>
      </c>
      <c r="J1" s="727"/>
      <c r="K1" s="727"/>
      <c r="L1" s="727"/>
      <c r="M1" s="738" t="str">
        <f>変更来歴!M1</f>
        <v>ヒロセ電機株式会社</v>
      </c>
      <c r="N1" s="738"/>
      <c r="O1" s="738"/>
      <c r="P1" s="738"/>
      <c r="Q1" s="738"/>
      <c r="R1" s="738"/>
      <c r="S1" s="738"/>
      <c r="T1" s="738"/>
      <c r="U1" s="738"/>
      <c r="V1" s="738"/>
      <c r="W1" s="738"/>
      <c r="X1" s="727" t="s">
        <v>7</v>
      </c>
      <c r="Y1" s="727"/>
      <c r="Z1" s="727"/>
      <c r="AA1" s="742" t="str">
        <f>変更来歴!AA1</f>
        <v>化学物質データ申請</v>
      </c>
      <c r="AB1" s="742"/>
      <c r="AC1" s="742"/>
      <c r="AD1" s="742"/>
      <c r="AE1" s="742"/>
      <c r="AF1" s="742"/>
      <c r="AG1" s="742"/>
      <c r="AH1" s="742"/>
      <c r="AI1" s="742"/>
      <c r="AJ1" s="742"/>
      <c r="AK1" s="716" t="s">
        <v>8</v>
      </c>
      <c r="AL1" s="716"/>
      <c r="AM1" s="716"/>
      <c r="AN1" s="718" t="str">
        <f>変更来歴!AP7</f>
        <v>古竹</v>
      </c>
      <c r="AO1" s="718"/>
      <c r="AP1" s="718"/>
      <c r="AQ1" s="718"/>
      <c r="AR1" s="718"/>
      <c r="AS1" s="716" t="s">
        <v>9</v>
      </c>
      <c r="AT1" s="716"/>
      <c r="AU1" s="716"/>
      <c r="AV1" s="719">
        <f>変更来歴!AL7</f>
        <v>46125</v>
      </c>
      <c r="AW1" s="717"/>
      <c r="AX1" s="717"/>
      <c r="AY1" s="717"/>
      <c r="AZ1" s="723" t="s">
        <v>10</v>
      </c>
      <c r="BA1" s="724"/>
      <c r="BB1" s="724"/>
      <c r="BC1" s="725"/>
    </row>
    <row r="2" spans="1:59">
      <c r="A2" s="726" t="s">
        <v>16</v>
      </c>
      <c r="B2" s="726"/>
      <c r="C2" s="726"/>
      <c r="D2" s="726"/>
      <c r="E2" s="726"/>
      <c r="F2" s="726"/>
      <c r="G2" s="726"/>
      <c r="H2" s="726"/>
      <c r="I2" s="727" t="s">
        <v>11</v>
      </c>
      <c r="J2" s="727"/>
      <c r="K2" s="727"/>
      <c r="L2" s="727"/>
      <c r="M2" s="762" t="str">
        <f>変更来歴!M2</f>
        <v>　</v>
      </c>
      <c r="N2" s="762"/>
      <c r="O2" s="762"/>
      <c r="P2" s="762"/>
      <c r="Q2" s="762"/>
      <c r="R2" s="762"/>
      <c r="S2" s="762"/>
      <c r="T2" s="762"/>
      <c r="U2" s="762"/>
      <c r="V2" s="762"/>
      <c r="W2" s="762"/>
      <c r="X2" s="727"/>
      <c r="Y2" s="727"/>
      <c r="Z2" s="727"/>
      <c r="AA2" s="742"/>
      <c r="AB2" s="742"/>
      <c r="AC2" s="742"/>
      <c r="AD2" s="742"/>
      <c r="AE2" s="742"/>
      <c r="AF2" s="742"/>
      <c r="AG2" s="742"/>
      <c r="AH2" s="742"/>
      <c r="AI2" s="742"/>
      <c r="AJ2" s="742"/>
      <c r="AK2" s="716" t="s">
        <v>12</v>
      </c>
      <c r="AL2" s="716"/>
      <c r="AM2" s="716"/>
      <c r="AN2" s="718" t="str">
        <f ca="1">INDIRECT("変更来歴!AP" &amp; COUNTA(変更来歴!AP7:'変更来歴'!AP39) + 6)</f>
        <v>古竹</v>
      </c>
      <c r="AO2" s="718"/>
      <c r="AP2" s="718"/>
      <c r="AQ2" s="718"/>
      <c r="AR2" s="718"/>
      <c r="AS2" s="716" t="s">
        <v>13</v>
      </c>
      <c r="AT2" s="716"/>
      <c r="AU2" s="716"/>
      <c r="AV2" s="719">
        <f ca="1">INDIRECT("変更来歴!AL" &amp; COUNTA(変更来歴!AL7:'変更来歴'!AL39) + 6)</f>
        <v>46162</v>
      </c>
      <c r="AW2" s="717"/>
      <c r="AX2" s="717"/>
      <c r="AY2" s="717"/>
      <c r="AZ2" s="731" t="str">
        <f>変更来歴!AX2</f>
        <v>IMWF-53</v>
      </c>
      <c r="BA2" s="732"/>
      <c r="BB2" s="732"/>
      <c r="BC2" s="733"/>
    </row>
    <row r="3" spans="1:59" ht="12" customHeight="1">
      <c r="A3" s="737" t="str">
        <f>変更来歴!A3</f>
        <v>画面設計書</v>
      </c>
      <c r="B3" s="737"/>
      <c r="C3" s="737"/>
      <c r="D3" s="737"/>
      <c r="E3" s="737"/>
      <c r="F3" s="737"/>
      <c r="G3" s="737"/>
      <c r="H3" s="737"/>
      <c r="I3" s="727" t="s">
        <v>14</v>
      </c>
      <c r="J3" s="727"/>
      <c r="K3" s="727"/>
      <c r="L3" s="727"/>
      <c r="M3" s="738" t="str">
        <f ca="1">RIGHT(CELL("filename",A1),LEN(CELL("filename",A1))-FIND("]",CELL("filename",A1)))</f>
        <v>選択画面</v>
      </c>
      <c r="N3" s="738"/>
      <c r="O3" s="738"/>
      <c r="P3" s="738"/>
      <c r="Q3" s="738"/>
      <c r="R3" s="738"/>
      <c r="S3" s="738"/>
      <c r="T3" s="738"/>
      <c r="U3" s="738"/>
      <c r="V3" s="738"/>
      <c r="W3" s="738"/>
      <c r="X3" s="727" t="s">
        <v>27</v>
      </c>
      <c r="Y3" s="727"/>
      <c r="Z3" s="727"/>
      <c r="AA3" s="739" t="str">
        <f ca="1">MID(CELL("filename"),FIND("]",CELL("filename"))+1,LEN(CELL("filename"))) &amp; "画面"</f>
        <v>表紙画面</v>
      </c>
      <c r="AB3" s="739"/>
      <c r="AC3" s="739"/>
      <c r="AD3" s="739"/>
      <c r="AE3" s="739"/>
      <c r="AF3" s="739"/>
      <c r="AG3" s="739"/>
      <c r="AH3" s="739"/>
      <c r="AI3" s="739"/>
      <c r="AJ3" s="739"/>
      <c r="AK3" s="739"/>
      <c r="AL3" s="739"/>
      <c r="AM3" s="739"/>
      <c r="AN3" s="739"/>
      <c r="AO3" s="739"/>
      <c r="AP3" s="739"/>
      <c r="AQ3" s="739"/>
      <c r="AR3" s="739"/>
      <c r="AS3" s="716" t="s">
        <v>15</v>
      </c>
      <c r="AT3" s="716"/>
      <c r="AU3" s="716"/>
      <c r="AV3" s="717" t="str">
        <f ca="1">INDIRECT("変更来歴!A" &amp; COUNTA(変更来歴!A7:'変更来歴'!A39) + 6)</f>
        <v>r1.2</v>
      </c>
      <c r="AW3" s="717"/>
      <c r="AX3" s="717"/>
      <c r="AY3" s="717"/>
      <c r="AZ3" s="734"/>
      <c r="BA3" s="735"/>
      <c r="BB3" s="735"/>
      <c r="BC3" s="736"/>
    </row>
    <row r="4" spans="1:59" ht="5.9" customHeight="1"/>
    <row r="5" spans="1:59" ht="13.5" customHeight="1">
      <c r="A5" s="763" t="str">
        <f ca="1">"画面レイアウト"&amp;"("&amp;MID(CELL("filename"),FIND("]",CELL("filename"))+1,LEN(CELL("filename")))&amp;")"</f>
        <v>画面レイアウト(表紙)</v>
      </c>
      <c r="B5" s="764"/>
      <c r="C5" s="764"/>
      <c r="D5" s="764"/>
      <c r="E5" s="764"/>
      <c r="F5" s="764"/>
      <c r="G5" s="764"/>
      <c r="H5" s="764"/>
      <c r="I5" s="764"/>
      <c r="J5" s="764"/>
      <c r="K5" s="764"/>
      <c r="L5" s="764"/>
      <c r="M5" s="764"/>
      <c r="N5" s="764"/>
      <c r="O5" s="764"/>
      <c r="P5" s="764"/>
      <c r="Q5" s="764"/>
      <c r="R5" s="764"/>
      <c r="S5" s="764"/>
      <c r="T5" s="764"/>
      <c r="U5" s="764"/>
      <c r="V5" s="764"/>
      <c r="W5" s="764"/>
      <c r="X5" s="764"/>
      <c r="Y5" s="764"/>
      <c r="Z5" s="764"/>
      <c r="AA5" s="764"/>
      <c r="AB5" s="764"/>
      <c r="AC5" s="764"/>
      <c r="AD5" s="764"/>
      <c r="AE5" s="764"/>
      <c r="AF5" s="764"/>
      <c r="AG5" s="764"/>
      <c r="AH5" s="764"/>
      <c r="AI5" s="764"/>
      <c r="AJ5" s="764"/>
      <c r="AK5" s="764"/>
      <c r="AL5" s="764"/>
      <c r="AM5" s="764"/>
      <c r="AN5" s="764"/>
      <c r="AO5" s="764"/>
      <c r="AP5" s="764"/>
      <c r="AQ5" s="764"/>
      <c r="AR5" s="764"/>
      <c r="AS5" s="764"/>
      <c r="AT5" s="764"/>
      <c r="AU5" s="764"/>
      <c r="AV5" s="764"/>
      <c r="AW5" s="764"/>
      <c r="AX5" s="764"/>
      <c r="AY5" s="764"/>
      <c r="AZ5" s="764"/>
      <c r="BA5" s="765"/>
      <c r="BB5" s="766" t="s">
        <v>24</v>
      </c>
      <c r="BC5" s="767"/>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46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359" t="s">
        <v>165</v>
      </c>
      <c r="D10" s="359"/>
      <c r="E10" s="359"/>
      <c r="F10" s="31"/>
      <c r="G10" s="31"/>
      <c r="H10" s="127"/>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5.15" customHeight="1">
      <c r="A11" s="22"/>
      <c r="B11" s="202"/>
      <c r="C11" s="204"/>
      <c r="D11" s="28"/>
      <c r="E11" s="28"/>
      <c r="F11" s="28"/>
      <c r="G11" s="28"/>
      <c r="H11" s="121"/>
      <c r="I11" s="62"/>
      <c r="J11" s="63"/>
      <c r="K11" s="62"/>
      <c r="L11" s="63"/>
      <c r="M11" s="69"/>
      <c r="N11" s="69"/>
      <c r="O11" s="65"/>
      <c r="P11" s="69"/>
      <c r="Q11" s="65"/>
      <c r="R11" s="69"/>
      <c r="S11" s="35"/>
      <c r="T11" s="28"/>
      <c r="U11" s="28"/>
      <c r="V11" s="28"/>
      <c r="W11" s="28"/>
      <c r="X11" s="28"/>
      <c r="Y11" s="121"/>
      <c r="Z11" s="62"/>
      <c r="AA11" s="63"/>
      <c r="AB11" s="62"/>
      <c r="AC11" s="63"/>
      <c r="AD11" s="69"/>
      <c r="AE11" s="69"/>
      <c r="AF11" s="65"/>
      <c r="AG11" s="69"/>
      <c r="AH11" s="69"/>
      <c r="AI11" s="64"/>
      <c r="AJ11" s="69"/>
      <c r="AK11" s="65"/>
      <c r="AL11" s="28"/>
      <c r="AM11" s="28"/>
      <c r="AN11" s="28"/>
      <c r="AO11" s="28"/>
      <c r="AP11" s="28"/>
      <c r="AQ11" s="28"/>
      <c r="AR11" s="28"/>
      <c r="AS11" s="63"/>
      <c r="AT11" s="64"/>
      <c r="AU11" s="63"/>
      <c r="AV11" s="65"/>
      <c r="AW11" s="65"/>
      <c r="AX11" s="65"/>
      <c r="AY11" s="31"/>
      <c r="AZ11" s="33"/>
      <c r="BA11" s="46"/>
      <c r="BB11" s="78"/>
      <c r="BC11" s="34"/>
      <c r="BD11" s="28"/>
    </row>
    <row r="12" spans="1:59" ht="13.5" customHeight="1">
      <c r="A12" s="22"/>
      <c r="B12" s="201"/>
      <c r="C12" s="28"/>
      <c r="D12" s="28" t="s">
        <v>36</v>
      </c>
      <c r="E12" s="28" t="s">
        <v>166</v>
      </c>
      <c r="G12" s="359"/>
      <c r="H12" s="75"/>
      <c r="I12" s="75"/>
      <c r="J12" s="75"/>
      <c r="K12" s="75"/>
      <c r="L12" s="75"/>
      <c r="M12" s="75"/>
      <c r="N12" s="75"/>
      <c r="O12" s="75"/>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359" t="s">
        <v>167</v>
      </c>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04"/>
      <c r="D15" s="28"/>
      <c r="E15" s="28"/>
      <c r="F15" s="28"/>
      <c r="G15" s="28"/>
      <c r="H15" s="121"/>
      <c r="I15" s="62"/>
      <c r="J15" s="63"/>
      <c r="K15" s="62"/>
      <c r="L15" s="63"/>
      <c r="M15" s="69"/>
      <c r="N15" s="69"/>
      <c r="O15" s="65"/>
      <c r="P15" s="69"/>
      <c r="Q15" s="65"/>
      <c r="R15" s="69"/>
      <c r="S15" s="35"/>
      <c r="T15" s="28"/>
      <c r="U15" s="28"/>
      <c r="V15" s="28"/>
      <c r="W15" s="28"/>
      <c r="X15" s="28"/>
      <c r="Y15" s="121"/>
      <c r="Z15" s="62"/>
      <c r="AA15" s="63"/>
      <c r="AB15" s="62"/>
      <c r="AC15" s="63"/>
      <c r="AD15" s="69"/>
      <c r="AE15" s="69"/>
      <c r="AF15" s="65"/>
      <c r="AG15" s="69"/>
      <c r="AH15" s="69"/>
      <c r="AI15" s="64"/>
      <c r="AJ15" s="69"/>
      <c r="AK15" s="65"/>
      <c r="AL15" s="28"/>
      <c r="AM15" s="28"/>
      <c r="AN15" s="28"/>
      <c r="AO15" s="28"/>
      <c r="AP15" s="28"/>
      <c r="AQ15" s="28"/>
      <c r="AR15" s="28"/>
      <c r="AS15" s="63"/>
      <c r="AT15" s="64"/>
      <c r="AU15" s="63"/>
      <c r="AV15" s="65"/>
      <c r="AW15" s="65"/>
      <c r="AX15" s="65"/>
      <c r="AY15" s="31"/>
      <c r="AZ15" s="33"/>
      <c r="BA15" s="46"/>
      <c r="BB15" s="78"/>
      <c r="BC15" s="34"/>
      <c r="BD15" s="28"/>
    </row>
    <row r="16" spans="1:59" ht="13.5" customHeight="1">
      <c r="A16" s="22"/>
      <c r="B16" s="45"/>
      <c r="C16" s="43"/>
      <c r="D16" s="28" t="s">
        <v>35</v>
      </c>
      <c r="E16" s="28" t="s">
        <v>132</v>
      </c>
      <c r="F16" s="28"/>
      <c r="G16" s="28"/>
      <c r="H16" s="113"/>
      <c r="I16" s="113"/>
      <c r="J16" s="113"/>
      <c r="K16" s="28"/>
      <c r="L16" s="28"/>
      <c r="M16" s="62"/>
      <c r="N16" s="63"/>
      <c r="O16" s="65"/>
      <c r="P16" s="65"/>
      <c r="Q16" s="64"/>
      <c r="R16" s="63"/>
      <c r="S16" s="63"/>
      <c r="T16" s="63"/>
      <c r="U16" s="65"/>
      <c r="V16" s="64"/>
      <c r="W16" s="63"/>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31"/>
      <c r="AZ16" s="33"/>
      <c r="BA16" s="46"/>
      <c r="BB16" s="78"/>
      <c r="BC16" s="34"/>
      <c r="BD16" s="28"/>
      <c r="BE16" s="35"/>
      <c r="BF16" s="35"/>
      <c r="BG16" s="35"/>
    </row>
    <row r="17" spans="1:59" ht="13.5" customHeight="1">
      <c r="A17" s="22"/>
      <c r="B17" s="202">
        <v>3</v>
      </c>
      <c r="C17" s="43"/>
      <c r="D17" s="31"/>
      <c r="E17" s="31"/>
      <c r="F17" s="31"/>
      <c r="G17" s="31"/>
      <c r="H17" s="62"/>
      <c r="I17" s="63"/>
      <c r="J17" s="63"/>
      <c r="K17" s="63"/>
      <c r="L17" s="64"/>
      <c r="M17" s="63"/>
      <c r="N17" s="65"/>
      <c r="O17" s="65"/>
      <c r="P17" s="65"/>
      <c r="Q17" s="65"/>
      <c r="R17" s="65"/>
      <c r="S17" s="75"/>
      <c r="T17" s="63"/>
      <c r="U17" s="63"/>
      <c r="V17" s="63"/>
      <c r="W17" s="63"/>
      <c r="X17" s="62"/>
      <c r="Y17" s="63"/>
      <c r="Z17" s="63"/>
      <c r="AA17" s="63"/>
      <c r="AB17" s="64"/>
      <c r="AC17" s="63"/>
      <c r="AD17" s="65"/>
      <c r="AE17" s="65"/>
      <c r="AF17" s="65"/>
      <c r="AG17" s="65"/>
      <c r="AH17" s="65"/>
      <c r="AI17" s="75"/>
      <c r="AJ17" s="63"/>
      <c r="AK17" s="63"/>
      <c r="AL17" s="63"/>
      <c r="AM17" s="63"/>
      <c r="AN17" s="125"/>
      <c r="AO17" s="62"/>
      <c r="AP17" s="62"/>
      <c r="AQ17" s="63"/>
      <c r="AR17" s="63"/>
      <c r="AS17" s="63"/>
      <c r="AT17" s="64"/>
      <c r="AU17" s="63"/>
      <c r="AV17" s="65"/>
      <c r="AW17" s="65"/>
      <c r="AX17" s="65"/>
      <c r="AY17" s="31"/>
      <c r="AZ17" s="33"/>
      <c r="BA17" s="46"/>
      <c r="BB17" s="78"/>
      <c r="BC17" s="34"/>
      <c r="BD17" s="28"/>
      <c r="BE17" s="35"/>
      <c r="BF17" s="35"/>
      <c r="BG17" s="35"/>
    </row>
    <row r="18" spans="1:59" ht="13.5" customHeight="1">
      <c r="A18" s="22"/>
      <c r="B18" s="201"/>
      <c r="C18" s="43"/>
      <c r="D18" s="31" t="s">
        <v>35</v>
      </c>
      <c r="E18" s="31" t="s">
        <v>168</v>
      </c>
      <c r="F18" s="31"/>
      <c r="G18" s="31"/>
      <c r="H18" s="62"/>
      <c r="I18" s="63"/>
      <c r="J18" s="63"/>
      <c r="K18" s="63"/>
      <c r="L18" s="64"/>
      <c r="M18" s="63"/>
      <c r="N18" s="65"/>
      <c r="O18" s="65"/>
      <c r="P18" s="65"/>
      <c r="Q18" s="65"/>
      <c r="R18" s="65"/>
      <c r="S18" s="75"/>
      <c r="T18" s="43"/>
      <c r="U18" s="31"/>
      <c r="V18" s="31"/>
      <c r="W18" s="31"/>
      <c r="X18" s="31"/>
      <c r="Y18" s="62"/>
      <c r="Z18" s="63"/>
      <c r="AA18" s="63"/>
      <c r="AB18" s="63"/>
      <c r="AC18" s="64"/>
      <c r="AD18" s="63"/>
      <c r="AE18" s="65"/>
      <c r="AF18" s="65"/>
      <c r="AG18" s="65"/>
      <c r="AH18" s="65"/>
      <c r="AI18" s="75"/>
      <c r="AJ18" s="63"/>
      <c r="AK18" s="75"/>
      <c r="AL18" s="63"/>
      <c r="AM18" s="63"/>
      <c r="AN18" s="63"/>
      <c r="AO18" s="63"/>
      <c r="AP18" s="62"/>
      <c r="AQ18" s="63"/>
      <c r="AR18" s="63"/>
      <c r="AS18" s="63"/>
      <c r="AT18" s="64"/>
      <c r="AU18" s="63"/>
      <c r="AV18" s="65"/>
      <c r="AW18" s="65"/>
      <c r="AX18" s="65"/>
      <c r="AY18" s="31"/>
      <c r="AZ18" s="33"/>
      <c r="BA18" s="46"/>
      <c r="BB18" s="78"/>
      <c r="BC18" s="34"/>
      <c r="BD18" s="28"/>
      <c r="BE18" s="35"/>
      <c r="BF18" s="35"/>
      <c r="BG18" s="35"/>
    </row>
    <row r="19" spans="1:59" ht="13.5" customHeight="1">
      <c r="A19" s="22"/>
      <c r="B19" s="201"/>
      <c r="C19" s="43"/>
      <c r="D19" s="31"/>
      <c r="E19" s="31"/>
      <c r="F19" s="31"/>
      <c r="G19" s="31"/>
      <c r="H19" s="62"/>
      <c r="I19" s="63"/>
      <c r="J19" s="63"/>
      <c r="K19" s="63"/>
      <c r="L19" s="64"/>
      <c r="M19" s="63"/>
      <c r="N19" s="65"/>
      <c r="O19" s="65"/>
      <c r="P19" s="82"/>
      <c r="Q19" s="65"/>
      <c r="R19" s="65"/>
      <c r="S19" s="35"/>
      <c r="T19" s="43"/>
      <c r="U19" s="63"/>
      <c r="V19" s="63"/>
      <c r="W19" s="63"/>
      <c r="X19" s="63"/>
      <c r="Y19" s="360"/>
      <c r="Z19" s="63"/>
      <c r="AA19" s="63"/>
      <c r="AB19" s="63"/>
      <c r="AC19" s="64"/>
      <c r="AD19" s="63"/>
      <c r="AE19" s="65"/>
      <c r="AF19" s="65"/>
      <c r="AG19" s="65"/>
      <c r="AH19" s="65"/>
      <c r="AI19" s="75"/>
      <c r="AJ19" s="63"/>
      <c r="AK19" s="63"/>
      <c r="AL19" s="63"/>
      <c r="AM19" s="63"/>
      <c r="AN19" s="125"/>
      <c r="AO19" s="62"/>
      <c r="AP19" s="62"/>
      <c r="AQ19" s="63"/>
      <c r="AR19" s="63"/>
      <c r="AS19" s="63"/>
      <c r="AT19" s="64"/>
      <c r="AU19" s="63"/>
      <c r="AV19" s="65"/>
      <c r="AW19" s="65"/>
      <c r="AX19" s="65"/>
      <c r="AY19" s="31"/>
      <c r="AZ19" s="33"/>
      <c r="BA19" s="46"/>
      <c r="BB19" s="78"/>
      <c r="BC19" s="34"/>
      <c r="BD19" s="28"/>
      <c r="BE19" s="35"/>
      <c r="BF19" s="35"/>
      <c r="BG19" s="35"/>
    </row>
    <row r="20" spans="1:59" ht="13.5" customHeight="1">
      <c r="A20" s="22"/>
      <c r="B20" s="201"/>
      <c r="C20" s="359" t="s">
        <v>169</v>
      </c>
      <c r="D20" s="31"/>
      <c r="E20" s="31"/>
      <c r="F20" s="31"/>
      <c r="G20" s="31"/>
      <c r="H20" s="62"/>
      <c r="I20" s="63"/>
      <c r="J20" s="63"/>
      <c r="K20" s="63"/>
      <c r="L20" s="75"/>
      <c r="M20" s="63"/>
      <c r="N20" s="65"/>
      <c r="O20" s="65"/>
      <c r="P20" s="65"/>
      <c r="Q20" s="65"/>
      <c r="R20" s="65"/>
      <c r="S20" s="35"/>
      <c r="T20" s="35"/>
      <c r="U20" s="35"/>
      <c r="V20" s="63"/>
      <c r="W20" s="63"/>
      <c r="X20" s="63"/>
      <c r="Y20" s="62"/>
      <c r="Z20" s="63"/>
      <c r="AA20" s="63"/>
      <c r="AB20" s="63"/>
      <c r="AC20" s="64"/>
      <c r="AD20" s="63"/>
      <c r="AE20" s="65"/>
      <c r="AF20" s="65"/>
      <c r="AG20" s="65"/>
      <c r="AH20" s="65"/>
      <c r="AI20" s="75"/>
      <c r="AJ20" s="63"/>
      <c r="AK20" s="63"/>
      <c r="AL20" s="63"/>
      <c r="AM20" s="63"/>
      <c r="AN20" s="125"/>
      <c r="AO20" s="62"/>
      <c r="AP20" s="62"/>
      <c r="AQ20" s="63"/>
      <c r="AR20" s="63"/>
      <c r="AS20" s="63"/>
      <c r="AT20" s="64"/>
      <c r="AU20" s="63"/>
      <c r="AV20" s="65"/>
      <c r="AW20" s="65"/>
      <c r="AX20" s="65"/>
      <c r="AY20" s="31"/>
      <c r="AZ20" s="33"/>
      <c r="BA20" s="46"/>
      <c r="BB20" s="78"/>
      <c r="BC20" s="34"/>
      <c r="BD20" s="28"/>
      <c r="BE20" s="35"/>
      <c r="BF20" s="35"/>
      <c r="BG20" s="35"/>
    </row>
    <row r="21" spans="1:59" ht="5.15" customHeight="1">
      <c r="A21" s="22"/>
      <c r="B21" s="201"/>
      <c r="C21" s="43"/>
      <c r="D21" s="31"/>
      <c r="E21" s="31"/>
      <c r="F21" s="31"/>
      <c r="G21" s="31"/>
      <c r="H21" s="62"/>
      <c r="I21" s="63"/>
      <c r="J21" s="63"/>
      <c r="K21" s="63"/>
      <c r="L21" s="64"/>
      <c r="M21" s="63"/>
      <c r="N21" s="65"/>
      <c r="O21" s="65"/>
      <c r="P21" s="65"/>
      <c r="Q21" s="65"/>
      <c r="R21" s="65"/>
      <c r="S21" s="35"/>
      <c r="T21" s="75"/>
      <c r="U21" s="63"/>
      <c r="V21" s="63"/>
      <c r="W21" s="63"/>
      <c r="X21" s="63"/>
      <c r="Y21" s="62"/>
      <c r="Z21" s="63"/>
      <c r="AA21" s="63"/>
      <c r="AB21" s="63"/>
      <c r="AC21" s="64"/>
      <c r="AD21" s="63"/>
      <c r="AE21" s="65"/>
      <c r="AF21" s="65"/>
      <c r="AG21" s="65"/>
      <c r="AH21" s="65"/>
      <c r="AI21" s="75"/>
      <c r="AJ21" s="63"/>
      <c r="AK21" s="63"/>
      <c r="AL21" s="63"/>
      <c r="AM21" s="63"/>
      <c r="AN21" s="125"/>
      <c r="AO21" s="62"/>
      <c r="AP21" s="62"/>
      <c r="AQ21" s="63"/>
      <c r="AR21" s="63"/>
      <c r="AS21" s="63"/>
      <c r="AT21" s="64"/>
      <c r="AU21" s="63"/>
      <c r="AV21" s="65"/>
      <c r="AW21" s="65"/>
      <c r="AX21" s="65"/>
      <c r="AY21" s="31"/>
      <c r="AZ21" s="33"/>
      <c r="BA21" s="46"/>
      <c r="BB21" s="78"/>
      <c r="BC21" s="34"/>
      <c r="BD21" s="28"/>
      <c r="BE21" s="35"/>
      <c r="BF21" s="35"/>
      <c r="BG21" s="35"/>
    </row>
    <row r="22" spans="1:59" ht="13.5" customHeight="1">
      <c r="A22" s="22"/>
      <c r="B22" s="32"/>
      <c r="C22" s="64"/>
      <c r="D22" s="28" t="s">
        <v>35</v>
      </c>
      <c r="E22" s="28" t="s">
        <v>133</v>
      </c>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c r="D23" s="31"/>
      <c r="E23" s="31"/>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65"/>
      <c r="AQ23" s="65"/>
      <c r="AR23" s="65"/>
      <c r="AS23" s="63"/>
      <c r="AT23" s="64"/>
      <c r="AU23" s="63"/>
      <c r="AV23" s="65"/>
      <c r="AW23" s="65"/>
      <c r="AX23" s="65"/>
      <c r="AY23" s="31"/>
      <c r="AZ23" s="33"/>
      <c r="BA23" s="46"/>
      <c r="BB23" s="78"/>
      <c r="BC23" s="34"/>
      <c r="BD23" s="28"/>
    </row>
    <row r="24" spans="1:59" ht="13.5" customHeight="1">
      <c r="A24" s="22"/>
      <c r="B24" s="45"/>
      <c r="C24" s="43"/>
      <c r="D24" s="28" t="s">
        <v>35</v>
      </c>
      <c r="E24" s="28" t="s">
        <v>134</v>
      </c>
      <c r="F24" s="28"/>
      <c r="G24" s="28"/>
      <c r="H24" s="62"/>
      <c r="I24" s="63"/>
      <c r="J24" s="63"/>
      <c r="K24" s="63"/>
      <c r="L24" s="64"/>
      <c r="M24" s="63"/>
      <c r="N24" s="65"/>
      <c r="O24" s="65"/>
      <c r="Q24" s="64"/>
      <c r="R24" s="63"/>
      <c r="S24" s="35"/>
      <c r="T24" s="28"/>
      <c r="U24" s="28"/>
      <c r="V24" s="28"/>
      <c r="W24" s="28"/>
      <c r="Y24" s="62"/>
      <c r="Z24" s="63"/>
      <c r="AA24" s="63"/>
      <c r="AB24" s="63"/>
      <c r="AC24" s="64"/>
      <c r="AD24" s="63"/>
      <c r="AE24" s="65"/>
      <c r="AF24" s="65"/>
      <c r="AG24" s="65"/>
      <c r="AH24" s="28"/>
      <c r="AI24" s="28"/>
      <c r="AJ24" s="35"/>
      <c r="AK24" s="28"/>
      <c r="AL24" s="28"/>
      <c r="AM24" s="28"/>
      <c r="AN24" s="28"/>
      <c r="AO24" s="35"/>
      <c r="AP24" s="62"/>
      <c r="AQ24" s="63"/>
      <c r="AR24" s="63"/>
      <c r="AS24" s="63"/>
      <c r="AT24" s="64"/>
      <c r="AU24" s="63"/>
      <c r="AV24" s="65"/>
      <c r="AW24" s="65"/>
      <c r="AX24" s="65"/>
      <c r="AY24" s="63"/>
      <c r="AZ24" s="33"/>
      <c r="BA24" s="46"/>
      <c r="BB24" s="78"/>
      <c r="BC24" s="34"/>
      <c r="BD24" s="28"/>
      <c r="BE24" s="35"/>
      <c r="BF24" s="35"/>
      <c r="BG24" s="35"/>
    </row>
    <row r="25" spans="1:59" ht="13.5" customHeight="1">
      <c r="A25" s="22"/>
      <c r="B25" s="45"/>
      <c r="C25" s="28"/>
      <c r="D25" s="28"/>
      <c r="E25" s="28"/>
      <c r="F25" s="28"/>
      <c r="H25" s="62"/>
      <c r="I25" s="63"/>
      <c r="J25" s="63"/>
      <c r="K25" s="63"/>
      <c r="L25" s="64"/>
      <c r="M25" s="63"/>
      <c r="N25" s="65"/>
      <c r="O25" s="65"/>
      <c r="P25" s="65"/>
      <c r="Q25" s="64"/>
      <c r="R25" s="28"/>
      <c r="S25" s="35"/>
      <c r="T25" s="35"/>
      <c r="U25" s="28"/>
      <c r="V25" s="28"/>
      <c r="W25" s="28"/>
      <c r="Y25" s="62"/>
      <c r="Z25" s="63"/>
      <c r="AA25" s="63"/>
      <c r="AB25" s="63"/>
      <c r="AC25" s="64"/>
      <c r="AD25" s="63"/>
      <c r="AE25" s="65"/>
      <c r="AF25" s="65"/>
      <c r="AG25" s="65"/>
      <c r="AH25" s="28"/>
      <c r="AI25" s="28"/>
      <c r="AJ25" s="35"/>
      <c r="AK25" s="28"/>
      <c r="AL25" s="28"/>
      <c r="AM25" s="28"/>
      <c r="AN25" s="28"/>
      <c r="AO25" s="35"/>
      <c r="AP25" s="62"/>
      <c r="AQ25" s="63"/>
      <c r="AR25" s="63"/>
      <c r="AS25" s="63"/>
      <c r="AT25" s="62"/>
      <c r="AU25" s="64"/>
      <c r="AV25" s="62"/>
      <c r="AW25" s="63"/>
      <c r="AX25" s="63"/>
      <c r="AY25" s="63"/>
      <c r="AZ25" s="33"/>
      <c r="BA25" s="46"/>
      <c r="BB25" s="78"/>
      <c r="BC25" s="34"/>
      <c r="BD25" s="28"/>
      <c r="BE25" s="35"/>
      <c r="BF25" s="35"/>
      <c r="BG25" s="35"/>
    </row>
    <row r="26" spans="1:59" ht="14.15" customHeight="1">
      <c r="A26" s="22"/>
      <c r="B26" s="256"/>
      <c r="C26" s="361"/>
      <c r="F26" s="285"/>
      <c r="G26" s="285"/>
      <c r="H26" s="28"/>
      <c r="I26" s="147"/>
      <c r="J26" s="130"/>
      <c r="K26" s="130"/>
      <c r="L26" s="130"/>
      <c r="M26" s="146"/>
      <c r="N26" s="130"/>
      <c r="P26" s="362"/>
      <c r="R26" s="130"/>
      <c r="S26" s="35"/>
      <c r="T26" s="285"/>
      <c r="U26" s="35"/>
      <c r="V26" s="285"/>
      <c r="W26" s="285"/>
      <c r="X26" s="285"/>
      <c r="Y26" s="28"/>
      <c r="Z26" s="147"/>
      <c r="AA26" s="130"/>
      <c r="AB26" s="130"/>
      <c r="AC26" s="130"/>
      <c r="AD26" s="146"/>
      <c r="AE26" s="130"/>
      <c r="AF26" s="35"/>
      <c r="AG26" s="146"/>
      <c r="AH26" s="35"/>
      <c r="AI26" s="35"/>
      <c r="AJ26" s="35"/>
      <c r="AK26" s="285"/>
      <c r="AL26" s="35"/>
      <c r="AM26" s="285"/>
      <c r="AN26" s="35"/>
      <c r="AO26" s="35"/>
      <c r="AP26" s="28"/>
      <c r="AQ26" s="147"/>
      <c r="AR26" s="130"/>
      <c r="AS26" s="130"/>
      <c r="AT26" s="130"/>
      <c r="AU26" s="146"/>
      <c r="AV26" s="35"/>
      <c r="AW26" s="28"/>
      <c r="AX26" s="363"/>
      <c r="AY26" s="130"/>
      <c r="AZ26" s="33"/>
      <c r="BA26" s="46"/>
      <c r="BB26" s="78"/>
      <c r="BC26" s="34"/>
      <c r="BD26" s="35"/>
      <c r="BE26" s="35"/>
      <c r="BF26" s="35"/>
      <c r="BG26" s="35"/>
    </row>
    <row r="27" spans="1:59" ht="13.5" customHeight="1">
      <c r="A27" s="22"/>
      <c r="B27" s="45"/>
      <c r="C27" s="28"/>
      <c r="D27" s="28"/>
      <c r="E27" s="28"/>
      <c r="F27" s="28"/>
      <c r="H27" s="62"/>
      <c r="I27" s="63"/>
      <c r="J27" s="63"/>
      <c r="K27" s="63"/>
      <c r="L27" s="64"/>
      <c r="M27" s="63"/>
      <c r="N27" s="65"/>
      <c r="O27" s="65"/>
      <c r="P27" s="65"/>
      <c r="Q27" s="64"/>
      <c r="R27" s="28"/>
      <c r="S27" s="35"/>
      <c r="T27" s="28"/>
      <c r="U27" s="28"/>
      <c r="V27" s="28"/>
      <c r="W27" s="28"/>
      <c r="Y27" s="62"/>
      <c r="Z27" s="63"/>
      <c r="AA27" s="63"/>
      <c r="AB27" s="63"/>
      <c r="AC27" s="64"/>
      <c r="AD27" s="63"/>
      <c r="AE27" s="65"/>
      <c r="AF27" s="65"/>
      <c r="AG27" s="65"/>
      <c r="AH27" s="28"/>
      <c r="AI27" s="28"/>
      <c r="AJ27" s="35"/>
      <c r="AK27" s="28"/>
      <c r="AL27" s="28"/>
      <c r="AM27" s="28"/>
      <c r="AN27" s="28"/>
      <c r="AO27" s="35"/>
      <c r="AP27" s="62"/>
      <c r="AQ27" s="63"/>
      <c r="AR27" s="63"/>
      <c r="AS27" s="63"/>
      <c r="AT27" s="64"/>
      <c r="AU27" s="63"/>
      <c r="AV27" s="65"/>
      <c r="AW27" s="65"/>
      <c r="AX27" s="362"/>
      <c r="AY27" s="63"/>
      <c r="AZ27" s="33"/>
      <c r="BA27" s="46"/>
      <c r="BB27" s="78"/>
      <c r="BC27" s="34"/>
      <c r="BD27" s="28"/>
      <c r="BE27" s="35"/>
      <c r="BF27" s="35"/>
      <c r="BG27" s="35"/>
    </row>
    <row r="28" spans="1:59" ht="13.5" customHeight="1">
      <c r="A28" s="22"/>
      <c r="B28" s="32"/>
      <c r="C28" s="41"/>
      <c r="D28" s="41"/>
      <c r="E28" s="41"/>
      <c r="F28" s="41"/>
      <c r="G28" s="41"/>
      <c r="H28" s="193"/>
      <c r="I28" s="193"/>
      <c r="J28" s="194"/>
      <c r="K28" s="193"/>
      <c r="L28" s="194"/>
      <c r="M28" s="193"/>
      <c r="N28" s="195"/>
      <c r="O28" s="193"/>
      <c r="P28" s="194"/>
      <c r="Q28" s="194"/>
      <c r="R28" s="194"/>
      <c r="S28" s="196"/>
      <c r="T28" s="196"/>
      <c r="U28" s="196"/>
      <c r="V28" s="196"/>
      <c r="W28" s="196"/>
      <c r="X28" s="195"/>
      <c r="Y28" s="196"/>
      <c r="Z28" s="194"/>
      <c r="AA28" s="195"/>
      <c r="AB28" s="196"/>
      <c r="AC28" s="194"/>
      <c r="AD28" s="195"/>
      <c r="AE28" s="194"/>
      <c r="AF28" s="194"/>
      <c r="AG28" s="195"/>
      <c r="AH28" s="194"/>
      <c r="AI28" s="194"/>
      <c r="AJ28" s="197"/>
      <c r="AK28" s="194"/>
      <c r="AL28" s="194"/>
      <c r="AM28" s="194"/>
      <c r="AN28" s="194"/>
      <c r="AO28" s="194"/>
      <c r="AP28" s="194"/>
      <c r="AQ28" s="194"/>
      <c r="AR28" s="194"/>
      <c r="AS28" s="194"/>
      <c r="AT28" s="194"/>
      <c r="AU28" s="194"/>
      <c r="AV28" s="194"/>
      <c r="AW28" s="194"/>
      <c r="AX28" s="64"/>
      <c r="AY28" s="63"/>
      <c r="AZ28" s="33"/>
      <c r="BA28" s="46"/>
      <c r="BB28" s="78"/>
      <c r="BC28" s="34"/>
      <c r="BD28" s="28"/>
      <c r="BE28" s="35"/>
      <c r="BF28" s="35"/>
      <c r="BG28" s="35"/>
    </row>
    <row r="29" spans="1:59" ht="13.5" customHeight="1">
      <c r="A29" s="22"/>
      <c r="B29" s="32"/>
      <c r="C29" s="41"/>
      <c r="D29" s="41"/>
      <c r="E29" s="41"/>
      <c r="F29" s="41"/>
      <c r="G29" s="41"/>
      <c r="H29" s="193"/>
      <c r="I29" s="193"/>
      <c r="J29" s="194"/>
      <c r="K29" s="193"/>
      <c r="L29" s="194"/>
      <c r="M29" s="193"/>
      <c r="N29" s="195"/>
      <c r="O29" s="193"/>
      <c r="P29" s="194"/>
      <c r="Q29" s="194"/>
      <c r="R29" s="194"/>
      <c r="S29" s="196"/>
      <c r="T29" s="196"/>
      <c r="U29" s="196"/>
      <c r="V29" s="196"/>
      <c r="W29" s="196"/>
      <c r="X29" s="195"/>
      <c r="Y29" s="196"/>
      <c r="Z29" s="194"/>
      <c r="AA29" s="195"/>
      <c r="AB29" s="196"/>
      <c r="AC29" s="194"/>
      <c r="AD29" s="195"/>
      <c r="AE29" s="194"/>
      <c r="AF29" s="194"/>
      <c r="AG29" s="195"/>
      <c r="AH29" s="194"/>
      <c r="AI29" s="194"/>
      <c r="AJ29" s="197"/>
      <c r="AK29" s="194"/>
      <c r="AL29" s="194"/>
      <c r="AM29" s="194"/>
      <c r="AN29" s="194"/>
      <c r="AO29" s="194"/>
      <c r="AP29" s="194"/>
      <c r="AQ29" s="194"/>
      <c r="AR29" s="194"/>
      <c r="AS29" s="194"/>
      <c r="AT29" s="194"/>
      <c r="AU29" s="194"/>
      <c r="AV29" s="194"/>
      <c r="AW29" s="194"/>
      <c r="AX29" s="64"/>
      <c r="AY29" s="63"/>
      <c r="AZ29" s="33"/>
      <c r="BA29" s="46"/>
      <c r="BB29" s="78"/>
      <c r="BC29" s="34"/>
      <c r="BD29" s="28"/>
      <c r="BE29" s="35"/>
      <c r="BF29" s="35"/>
      <c r="BG29" s="35"/>
    </row>
    <row r="30" spans="1:59" ht="13.5" customHeight="1">
      <c r="A30" s="22"/>
      <c r="B30" s="32"/>
      <c r="C30" s="41"/>
      <c r="D30" s="41"/>
      <c r="E30" s="41"/>
      <c r="F30" s="41"/>
      <c r="G30" s="41"/>
      <c r="H30" s="193"/>
      <c r="I30" s="193"/>
      <c r="J30" s="194"/>
      <c r="K30" s="193"/>
      <c r="L30" s="194"/>
      <c r="M30" s="193"/>
      <c r="N30" s="195"/>
      <c r="O30" s="193"/>
      <c r="P30" s="194"/>
      <c r="Q30" s="194"/>
      <c r="R30" s="194"/>
      <c r="S30" s="196"/>
      <c r="T30" s="196"/>
      <c r="U30" s="196"/>
      <c r="V30" s="196"/>
      <c r="W30" s="196"/>
      <c r="X30" s="195"/>
      <c r="Y30" s="196"/>
      <c r="Z30" s="194"/>
      <c r="AA30" s="195"/>
      <c r="AB30" s="196"/>
      <c r="AC30" s="194"/>
      <c r="AD30" s="195"/>
      <c r="AE30" s="194"/>
      <c r="AF30" s="194"/>
      <c r="AG30" s="195"/>
      <c r="AH30" s="194"/>
      <c r="AI30" s="194"/>
      <c r="AJ30" s="197"/>
      <c r="AK30" s="194"/>
      <c r="AL30" s="194"/>
      <c r="AM30" s="194"/>
      <c r="AN30" s="194"/>
      <c r="AO30" s="194"/>
      <c r="AP30" s="194"/>
      <c r="AQ30" s="194"/>
      <c r="AR30" s="194"/>
      <c r="AS30" s="194"/>
      <c r="AT30" s="194"/>
      <c r="AU30" s="194"/>
      <c r="AV30" s="194"/>
      <c r="AW30" s="194"/>
      <c r="AX30" s="64"/>
      <c r="AY30" s="63"/>
      <c r="AZ30" s="33"/>
      <c r="BA30" s="46"/>
      <c r="BB30" s="78"/>
      <c r="BC30" s="34"/>
      <c r="BD30" s="28"/>
      <c r="BE30" s="35"/>
      <c r="BF30" s="35"/>
      <c r="BG30" s="35"/>
    </row>
    <row r="31" spans="1:59" ht="13.5" customHeight="1">
      <c r="A31" s="22"/>
      <c r="B31" s="32"/>
      <c r="C31" s="41"/>
      <c r="D31" s="41"/>
      <c r="E31" s="41"/>
      <c r="F31" s="41"/>
      <c r="G31" s="41"/>
      <c r="H31" s="193"/>
      <c r="I31" s="193"/>
      <c r="J31" s="194"/>
      <c r="K31" s="193"/>
      <c r="L31" s="194"/>
      <c r="M31" s="193"/>
      <c r="N31" s="195"/>
      <c r="O31" s="193"/>
      <c r="P31" s="194"/>
      <c r="Q31" s="194"/>
      <c r="R31" s="194"/>
      <c r="S31" s="196"/>
      <c r="T31" s="196"/>
      <c r="U31" s="196"/>
      <c r="V31" s="196"/>
      <c r="W31" s="196"/>
      <c r="X31" s="195"/>
      <c r="Y31" s="196"/>
      <c r="Z31" s="194"/>
      <c r="AA31" s="195"/>
      <c r="AB31" s="196"/>
      <c r="AC31" s="194"/>
      <c r="AD31" s="195"/>
      <c r="AE31" s="194"/>
      <c r="AF31" s="194"/>
      <c r="AG31" s="195"/>
      <c r="AH31" s="194"/>
      <c r="AI31" s="194"/>
      <c r="AJ31" s="197"/>
      <c r="AK31" s="194"/>
      <c r="AL31" s="194"/>
      <c r="AM31" s="194"/>
      <c r="AN31" s="194"/>
      <c r="AO31" s="194"/>
      <c r="AP31" s="194"/>
      <c r="AQ31" s="194"/>
      <c r="AR31" s="194"/>
      <c r="AS31" s="194"/>
      <c r="AT31" s="194"/>
      <c r="AU31" s="194"/>
      <c r="AV31" s="194"/>
      <c r="AW31" s="194"/>
      <c r="AX31" s="64"/>
      <c r="AY31" s="63"/>
      <c r="AZ31" s="33"/>
      <c r="BA31" s="46"/>
      <c r="BB31" s="78"/>
      <c r="BC31" s="34"/>
      <c r="BD31" s="28"/>
      <c r="BE31" s="35"/>
      <c r="BF31" s="35"/>
      <c r="BG31" s="35"/>
    </row>
    <row r="32" spans="1:59" ht="5.15" customHeight="1">
      <c r="A32" s="22"/>
      <c r="B32" s="32"/>
      <c r="C32" s="41"/>
      <c r="D32" s="41"/>
      <c r="E32" s="41"/>
      <c r="F32" s="41"/>
      <c r="G32" s="41"/>
      <c r="H32" s="193"/>
      <c r="I32" s="193"/>
      <c r="J32" s="194"/>
      <c r="K32" s="193"/>
      <c r="L32" s="194"/>
      <c r="M32" s="193"/>
      <c r="N32" s="195"/>
      <c r="O32" s="193"/>
      <c r="P32" s="194"/>
      <c r="Q32" s="194"/>
      <c r="R32" s="194"/>
      <c r="S32" s="196"/>
      <c r="T32" s="196"/>
      <c r="U32" s="196"/>
      <c r="V32" s="196"/>
      <c r="W32" s="196"/>
      <c r="X32" s="195"/>
      <c r="Y32" s="196"/>
      <c r="Z32" s="194"/>
      <c r="AA32" s="195"/>
      <c r="AB32" s="196"/>
      <c r="AC32" s="194"/>
      <c r="AD32" s="195"/>
      <c r="AE32" s="194"/>
      <c r="AF32" s="194"/>
      <c r="AG32" s="195"/>
      <c r="AH32" s="194"/>
      <c r="AI32" s="194"/>
      <c r="AJ32" s="197"/>
      <c r="AK32" s="194"/>
      <c r="AL32" s="194"/>
      <c r="AM32" s="194"/>
      <c r="AN32" s="194"/>
      <c r="AO32" s="194"/>
      <c r="AP32" s="194"/>
      <c r="AQ32" s="194"/>
      <c r="AR32" s="194"/>
      <c r="AS32" s="194"/>
      <c r="AT32" s="194"/>
      <c r="AU32" s="194"/>
      <c r="AV32" s="194"/>
      <c r="AW32" s="194"/>
      <c r="AX32" s="64"/>
      <c r="AY32" s="63"/>
      <c r="AZ32" s="33"/>
      <c r="BA32" s="46"/>
      <c r="BB32" s="78"/>
      <c r="BC32" s="34"/>
      <c r="BD32" s="28"/>
      <c r="BE32" s="35"/>
      <c r="BF32" s="35"/>
      <c r="BG32" s="35"/>
    </row>
    <row r="33" spans="1:60" ht="13.5" customHeight="1">
      <c r="A33" s="22"/>
      <c r="B33" s="32"/>
      <c r="C33" s="41"/>
      <c r="D33" s="41"/>
      <c r="E33" s="41"/>
      <c r="F33" s="41"/>
      <c r="G33" s="41"/>
      <c r="H33" s="193"/>
      <c r="I33" s="193"/>
      <c r="J33" s="194"/>
      <c r="K33" s="193"/>
      <c r="L33" s="194"/>
      <c r="M33" s="193"/>
      <c r="N33" s="195"/>
      <c r="O33" s="193"/>
      <c r="P33" s="194"/>
      <c r="Q33" s="194"/>
      <c r="R33" s="194"/>
      <c r="S33" s="196"/>
      <c r="T33" s="196"/>
      <c r="U33" s="196"/>
      <c r="V33" s="196"/>
      <c r="W33" s="196"/>
      <c r="X33" s="195"/>
      <c r="Y33" s="196"/>
      <c r="Z33" s="194"/>
      <c r="AA33" s="195"/>
      <c r="AB33" s="196"/>
      <c r="AC33" s="194"/>
      <c r="AD33" s="195"/>
      <c r="AE33" s="194"/>
      <c r="AF33" s="194"/>
      <c r="AG33" s="195"/>
      <c r="AH33" s="194"/>
      <c r="AI33" s="194"/>
      <c r="AJ33" s="197"/>
      <c r="AK33" s="194"/>
      <c r="AL33" s="194"/>
      <c r="AM33" s="194"/>
      <c r="AN33" s="194"/>
      <c r="AO33" s="194"/>
      <c r="AP33" s="194"/>
      <c r="AQ33" s="194"/>
      <c r="AR33" s="194"/>
      <c r="AS33" s="194"/>
      <c r="AT33" s="194"/>
      <c r="AU33" s="194"/>
      <c r="AV33" s="194"/>
      <c r="AW33" s="194"/>
      <c r="AX33" s="64"/>
      <c r="AY33" s="63"/>
      <c r="AZ33" s="33"/>
      <c r="BA33" s="46"/>
      <c r="BB33" s="78"/>
      <c r="BC33" s="34"/>
      <c r="BD33" s="28"/>
      <c r="BE33" s="35"/>
      <c r="BF33" s="35"/>
      <c r="BG33" s="35"/>
    </row>
    <row r="34" spans="1:60" ht="13.5" customHeight="1">
      <c r="A34" s="22"/>
      <c r="B34" s="32"/>
      <c r="C34" s="41"/>
      <c r="D34" s="41"/>
      <c r="E34" s="41"/>
      <c r="F34" s="41"/>
      <c r="G34" s="41"/>
      <c r="H34" s="193"/>
      <c r="I34" s="193"/>
      <c r="J34" s="194"/>
      <c r="K34" s="193"/>
      <c r="L34" s="194"/>
      <c r="M34" s="193"/>
      <c r="N34" s="195"/>
      <c r="O34" s="193"/>
      <c r="P34" s="194"/>
      <c r="Q34" s="194"/>
      <c r="R34" s="194"/>
      <c r="S34" s="196"/>
      <c r="T34" s="196"/>
      <c r="U34" s="196"/>
      <c r="V34" s="196"/>
      <c r="W34" s="196"/>
      <c r="X34" s="195"/>
      <c r="Y34" s="196"/>
      <c r="Z34" s="194"/>
      <c r="AA34" s="195"/>
      <c r="AB34" s="196"/>
      <c r="AC34" s="194"/>
      <c r="AD34" s="195"/>
      <c r="AE34" s="194"/>
      <c r="AF34" s="194"/>
      <c r="AG34" s="195"/>
      <c r="AH34" s="194"/>
      <c r="AI34" s="194"/>
      <c r="AJ34" s="197"/>
      <c r="AK34" s="194"/>
      <c r="AL34" s="194"/>
      <c r="AM34" s="194"/>
      <c r="AN34" s="194"/>
      <c r="AO34" s="194"/>
      <c r="AP34" s="194"/>
      <c r="AQ34" s="194"/>
      <c r="AR34" s="194"/>
      <c r="AS34" s="194"/>
      <c r="AT34" s="194"/>
      <c r="AU34" s="194"/>
      <c r="AV34" s="194"/>
      <c r="AW34" s="194"/>
      <c r="AX34" s="64"/>
      <c r="AY34" s="63"/>
      <c r="AZ34" s="33"/>
      <c r="BA34" s="46"/>
      <c r="BB34" s="78"/>
      <c r="BC34" s="34"/>
      <c r="BD34" s="28"/>
      <c r="BE34" s="35"/>
      <c r="BF34" s="35"/>
      <c r="BG34" s="35"/>
    </row>
    <row r="35" spans="1:60" ht="13.5" customHeight="1">
      <c r="A35" s="22"/>
      <c r="B35" s="32"/>
      <c r="C35" s="41"/>
      <c r="D35" s="41"/>
      <c r="E35" s="41"/>
      <c r="F35" s="41"/>
      <c r="G35" s="41"/>
      <c r="H35" s="193"/>
      <c r="I35" s="193"/>
      <c r="J35" s="194"/>
      <c r="K35" s="193"/>
      <c r="L35" s="194"/>
      <c r="M35" s="193"/>
      <c r="N35" s="195"/>
      <c r="O35" s="193"/>
      <c r="P35" s="194"/>
      <c r="Q35" s="194"/>
      <c r="R35" s="194"/>
      <c r="S35" s="196"/>
      <c r="T35" s="196"/>
      <c r="U35" s="196"/>
      <c r="V35" s="196"/>
      <c r="W35" s="196"/>
      <c r="X35" s="195"/>
      <c r="Y35" s="196"/>
      <c r="Z35" s="194"/>
      <c r="AA35" s="195"/>
      <c r="AB35" s="196"/>
      <c r="AC35" s="194"/>
      <c r="AD35" s="195"/>
      <c r="AE35" s="194"/>
      <c r="AF35" s="194"/>
      <c r="AG35" s="195"/>
      <c r="AH35" s="194"/>
      <c r="AI35" s="194"/>
      <c r="AJ35" s="197"/>
      <c r="AK35" s="194"/>
      <c r="AL35" s="194"/>
      <c r="AM35" s="194"/>
      <c r="AN35" s="194"/>
      <c r="AO35" s="194"/>
      <c r="AP35" s="194"/>
      <c r="AQ35" s="194"/>
      <c r="AR35" s="194"/>
      <c r="AS35" s="194"/>
      <c r="AT35" s="194"/>
      <c r="AU35" s="194"/>
      <c r="AV35" s="194"/>
      <c r="AW35" s="194"/>
      <c r="AX35" s="64"/>
      <c r="AY35" s="63"/>
      <c r="AZ35" s="33"/>
      <c r="BA35" s="46"/>
      <c r="BB35" s="78"/>
      <c r="BC35" s="34"/>
      <c r="BD35" s="28"/>
      <c r="BE35" s="35"/>
      <c r="BF35" s="35"/>
      <c r="BG35" s="35"/>
    </row>
    <row r="36" spans="1:60" ht="13.5" customHeight="1">
      <c r="A36" s="22"/>
      <c r="B36" s="202">
        <v>4</v>
      </c>
      <c r="C36" s="43"/>
      <c r="D36" s="31"/>
      <c r="E36" s="31"/>
      <c r="F36" s="31"/>
      <c r="G36" s="31"/>
      <c r="H36" s="62"/>
      <c r="I36" s="63"/>
      <c r="J36" s="63"/>
      <c r="K36" s="63"/>
      <c r="L36" s="64"/>
      <c r="M36" s="63"/>
      <c r="N36" s="65"/>
      <c r="O36" s="65"/>
      <c r="P36" s="65"/>
      <c r="Q36" s="65"/>
      <c r="R36" s="65"/>
      <c r="S36" s="75"/>
      <c r="T36" s="63"/>
      <c r="U36" s="63"/>
      <c r="V36" s="63"/>
      <c r="W36" s="63"/>
      <c r="X36" s="62"/>
      <c r="Y36" s="63"/>
      <c r="Z36" s="63"/>
      <c r="AA36" s="63"/>
      <c r="AB36" s="64"/>
      <c r="AC36" s="63"/>
      <c r="AD36" s="65"/>
      <c r="AE36" s="65"/>
      <c r="AF36" s="65"/>
      <c r="AG36" s="65"/>
      <c r="AH36" s="65"/>
      <c r="AI36" s="75"/>
      <c r="AJ36" s="63"/>
      <c r="AK36" s="63"/>
      <c r="AL36" s="63"/>
      <c r="AM36" s="63"/>
      <c r="AN36" s="125"/>
      <c r="AO36" s="62"/>
      <c r="AP36" s="62"/>
      <c r="AQ36" s="63"/>
      <c r="AR36" s="63"/>
      <c r="AS36" s="63"/>
      <c r="AT36" s="64"/>
      <c r="AU36" s="63"/>
      <c r="AV36" s="65"/>
      <c r="AW36" s="65"/>
      <c r="AX36" s="65"/>
      <c r="AY36" s="31"/>
      <c r="AZ36" s="33"/>
      <c r="BA36" s="46"/>
      <c r="BB36" s="78"/>
      <c r="BC36" s="34"/>
      <c r="BD36" s="35"/>
      <c r="BE36" s="35"/>
      <c r="BF36" s="35"/>
      <c r="BG36" s="35"/>
    </row>
    <row r="37" spans="1:60" ht="14.15" customHeight="1">
      <c r="A37" s="22"/>
      <c r="B37" s="202"/>
      <c r="C37" s="331"/>
      <c r="D37" s="332"/>
      <c r="E37" s="65"/>
      <c r="F37" s="65"/>
      <c r="G37" s="65"/>
      <c r="H37" s="65"/>
      <c r="I37" s="65"/>
      <c r="J37" s="354"/>
      <c r="K37" s="354"/>
      <c r="L37" s="354"/>
      <c r="M37" s="354"/>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AM37" s="65"/>
      <c r="AN37" s="65"/>
      <c r="AO37" s="65"/>
      <c r="AP37" s="65"/>
      <c r="AQ37" s="65"/>
      <c r="AR37" s="65"/>
      <c r="AS37" s="65"/>
      <c r="AT37" s="125"/>
      <c r="AU37" s="65"/>
      <c r="AV37" s="65"/>
      <c r="AW37" s="65"/>
      <c r="AX37" s="65"/>
      <c r="AY37" s="65"/>
      <c r="AZ37" s="33"/>
      <c r="BA37" s="46"/>
      <c r="BB37" s="335"/>
      <c r="BC37" s="336"/>
      <c r="BD37" s="28"/>
      <c r="BG37" s="24"/>
      <c r="BH37" s="28"/>
    </row>
    <row r="38" spans="1:60" ht="13.5" customHeight="1">
      <c r="A38" s="22"/>
      <c r="B38" s="202">
        <v>36</v>
      </c>
      <c r="C38" s="331"/>
      <c r="D38" s="332"/>
      <c r="E38" s="65"/>
      <c r="F38" s="65"/>
      <c r="G38" s="65"/>
      <c r="H38" s="65"/>
      <c r="I38" s="65"/>
      <c r="J38" s="945"/>
      <c r="K38" s="945"/>
      <c r="L38" s="945"/>
      <c r="M38" s="945"/>
      <c r="N38" s="63"/>
      <c r="O38" s="65"/>
      <c r="P38" s="65"/>
      <c r="Q38" s="65"/>
      <c r="R38" s="28"/>
      <c r="S38" s="28"/>
      <c r="T38" s="31"/>
      <c r="U38" s="31"/>
      <c r="V38" s="31"/>
      <c r="W38" s="31"/>
      <c r="X38" s="31"/>
      <c r="Y38" s="44"/>
      <c r="Z38" s="31"/>
      <c r="AA38" s="28"/>
      <c r="AB38" s="44"/>
      <c r="AC38" s="31"/>
      <c r="AD38" s="28"/>
      <c r="AE38" s="44"/>
      <c r="AF38" s="28"/>
      <c r="AG38" s="116"/>
      <c r="AH38" s="41"/>
      <c r="AI38" s="116"/>
      <c r="AJ38" s="116"/>
      <c r="AK38" s="116"/>
      <c r="AL38" s="116"/>
      <c r="AM38" s="116"/>
      <c r="AN38" s="116"/>
      <c r="AO38" s="116"/>
      <c r="AP38" s="116"/>
      <c r="AQ38" s="116"/>
      <c r="AR38" s="116"/>
      <c r="AS38" s="116"/>
      <c r="AT38" s="116"/>
      <c r="AU38" s="116"/>
      <c r="AV38" s="116"/>
      <c r="AW38" s="116"/>
      <c r="AX38" s="116"/>
      <c r="AY38" s="116"/>
      <c r="AZ38" s="33"/>
      <c r="BA38" s="46"/>
      <c r="BB38" s="335"/>
      <c r="BC38" s="336"/>
      <c r="BD38" s="28"/>
      <c r="BG38" s="24"/>
      <c r="BH38" s="28"/>
    </row>
    <row r="39" spans="1:60" ht="13.5" customHeight="1">
      <c r="A39" s="22"/>
      <c r="B39" s="202">
        <v>37</v>
      </c>
      <c r="C39" s="331"/>
      <c r="D39" s="332"/>
      <c r="E39" s="65"/>
      <c r="F39" s="65"/>
      <c r="G39" s="65"/>
      <c r="H39" s="65"/>
      <c r="I39" s="65"/>
      <c r="J39" s="945"/>
      <c r="K39" s="945"/>
      <c r="L39" s="945"/>
      <c r="M39" s="945"/>
      <c r="N39" s="193"/>
      <c r="O39" s="195"/>
      <c r="P39" s="193"/>
      <c r="Q39" s="194"/>
      <c r="R39" s="194"/>
      <c r="S39" s="194"/>
      <c r="T39" s="196"/>
      <c r="U39" s="196"/>
      <c r="V39" s="196"/>
      <c r="W39" s="196"/>
      <c r="X39" s="196"/>
      <c r="Y39" s="195"/>
      <c r="Z39" s="196"/>
      <c r="AA39" s="194"/>
      <c r="AB39" s="195"/>
      <c r="AC39" s="196"/>
      <c r="AD39" s="194"/>
      <c r="AE39" s="195"/>
      <c r="AF39" s="194"/>
      <c r="AG39" s="194"/>
      <c r="AH39" s="195"/>
      <c r="AI39" s="194"/>
      <c r="AJ39" s="194"/>
      <c r="AK39" s="197"/>
      <c r="AL39" s="194"/>
      <c r="AM39" s="194"/>
      <c r="AN39" s="194"/>
      <c r="AO39" s="194"/>
      <c r="AP39" s="194"/>
      <c r="AQ39" s="194"/>
      <c r="AR39" s="194"/>
      <c r="AS39" s="194"/>
      <c r="AT39" s="194"/>
      <c r="AU39" s="194"/>
      <c r="AV39" s="194"/>
      <c r="AW39" s="194"/>
      <c r="AX39" s="194"/>
      <c r="AY39" s="194"/>
      <c r="AZ39" s="33"/>
      <c r="BA39" s="46"/>
      <c r="BB39" s="335"/>
      <c r="BC39" s="336"/>
      <c r="BD39" s="28"/>
      <c r="BG39" s="24"/>
      <c r="BH39" s="28"/>
    </row>
    <row r="40" spans="1:60">
      <c r="A40" s="22"/>
      <c r="B40" s="32"/>
      <c r="C40" s="28"/>
      <c r="D40" s="28"/>
      <c r="E40" s="28"/>
      <c r="F40" s="28"/>
      <c r="G40" s="28"/>
      <c r="H40" s="28"/>
      <c r="I40" s="28"/>
      <c r="J40" s="28"/>
      <c r="K40" s="28"/>
      <c r="L40" s="28"/>
      <c r="M40" s="28"/>
      <c r="N40" s="28"/>
      <c r="O40" s="28"/>
      <c r="P40" s="28"/>
      <c r="Q40" s="28"/>
      <c r="R40" s="28"/>
      <c r="S40" s="81"/>
      <c r="T40" s="81"/>
      <c r="U40" s="81"/>
      <c r="V40" s="81"/>
      <c r="W40" s="28"/>
      <c r="X40" s="28"/>
      <c r="Y40" s="81"/>
      <c r="Z40" s="81"/>
      <c r="AA40" s="28"/>
      <c r="AB40" s="28"/>
      <c r="AC40" s="28"/>
      <c r="AD40" s="81"/>
      <c r="AE40" s="81"/>
      <c r="AF40" s="81"/>
      <c r="AG40" s="81"/>
      <c r="AH40" s="81"/>
      <c r="AI40" s="81"/>
      <c r="AJ40" s="81"/>
      <c r="AK40" s="81"/>
      <c r="AL40" s="81"/>
      <c r="AM40" s="81"/>
      <c r="AN40" s="81"/>
      <c r="AO40" s="81"/>
      <c r="AP40" s="81"/>
      <c r="AQ40" s="81"/>
      <c r="AR40" s="81"/>
      <c r="AS40" s="81"/>
      <c r="AT40" s="81"/>
      <c r="AU40" s="81"/>
      <c r="AV40" s="81"/>
      <c r="AW40" s="81"/>
      <c r="AX40" s="81"/>
      <c r="AY40" s="31"/>
      <c r="AZ40" s="33"/>
      <c r="BA40" s="46"/>
      <c r="BB40" s="335"/>
      <c r="BC40" s="336"/>
    </row>
    <row r="41" spans="1:60">
      <c r="A41" s="155"/>
      <c r="B41" s="95"/>
      <c r="C41" s="110"/>
      <c r="D41" s="110"/>
      <c r="E41" s="110"/>
      <c r="F41" s="110"/>
      <c r="G41" s="110"/>
      <c r="H41" s="110"/>
      <c r="I41" s="110"/>
      <c r="J41" s="110"/>
      <c r="K41" s="110"/>
      <c r="L41" s="110"/>
      <c r="M41" s="110"/>
      <c r="N41" s="110"/>
      <c r="O41" s="110"/>
      <c r="P41" s="110"/>
      <c r="Q41" s="110"/>
      <c r="R41" s="110"/>
      <c r="S41" s="156"/>
      <c r="T41" s="156"/>
      <c r="U41" s="156"/>
      <c r="V41" s="156"/>
      <c r="W41" s="110"/>
      <c r="X41" s="110"/>
      <c r="Y41" s="156"/>
      <c r="Z41" s="156"/>
      <c r="AA41" s="110"/>
      <c r="AB41" s="110"/>
      <c r="AC41" s="110"/>
      <c r="AD41" s="156"/>
      <c r="AE41" s="156"/>
      <c r="AF41" s="156"/>
      <c r="AG41" s="156"/>
      <c r="AH41" s="156"/>
      <c r="AI41" s="156"/>
      <c r="AJ41" s="156"/>
      <c r="AK41" s="156"/>
      <c r="AL41" s="156"/>
      <c r="AM41" s="156"/>
      <c r="AN41" s="156"/>
      <c r="AO41" s="156"/>
      <c r="AP41" s="156"/>
      <c r="AQ41" s="156"/>
      <c r="AR41" s="156"/>
      <c r="AS41" s="156"/>
      <c r="AT41" s="156"/>
      <c r="AU41" s="156"/>
      <c r="AV41" s="156"/>
      <c r="AW41" s="156"/>
      <c r="AX41" s="156"/>
      <c r="AY41" s="95"/>
      <c r="AZ41" s="95"/>
      <c r="BA41" s="157"/>
      <c r="BB41" s="355"/>
      <c r="BC41" s="356"/>
    </row>
  </sheetData>
  <mergeCells count="29">
    <mergeCell ref="J38:M38"/>
    <mergeCell ref="J39:M39"/>
    <mergeCell ref="A5:BA5"/>
    <mergeCell ref="BB5:BC5"/>
    <mergeCell ref="AV2:AY2"/>
    <mergeCell ref="AZ2:BC3"/>
    <mergeCell ref="A3:H3"/>
    <mergeCell ref="I3:L3"/>
    <mergeCell ref="M3:W3"/>
    <mergeCell ref="X3:Z3"/>
    <mergeCell ref="AA3:AR3"/>
    <mergeCell ref="AS3:AU3"/>
    <mergeCell ref="AV3:AY3"/>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s>
  <phoneticPr fontId="57"/>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O106"/>
  <sheetViews>
    <sheetView showGridLines="0" topLeftCell="A5" zoomScaleNormal="100" zoomScaleSheetLayoutView="100" workbookViewId="0">
      <pane ySplit="2" topLeftCell="A83"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40" t="s">
        <v>4</v>
      </c>
      <c r="B1" s="740"/>
      <c r="C1" s="740"/>
      <c r="D1" s="740"/>
      <c r="E1" s="740"/>
      <c r="F1" s="740"/>
      <c r="G1" s="740"/>
      <c r="H1" s="740"/>
      <c r="I1" s="727" t="s">
        <v>5</v>
      </c>
      <c r="J1" s="727"/>
      <c r="K1" s="727"/>
      <c r="L1" s="727"/>
      <c r="M1" s="738" t="str">
        <f>変更来歴!M1</f>
        <v>ヒロセ電機株式会社</v>
      </c>
      <c r="N1" s="738"/>
      <c r="O1" s="738"/>
      <c r="P1" s="738"/>
      <c r="Q1" s="738"/>
      <c r="R1" s="738"/>
      <c r="S1" s="738"/>
      <c r="T1" s="738"/>
      <c r="U1" s="738"/>
      <c r="V1" s="738"/>
      <c r="W1" s="738"/>
      <c r="X1" s="727" t="s">
        <v>7</v>
      </c>
      <c r="Y1" s="727"/>
      <c r="Z1" s="727"/>
      <c r="AA1" s="742" t="str">
        <f>変更来歴!AA1</f>
        <v>化学物質データ申請</v>
      </c>
      <c r="AB1" s="742"/>
      <c r="AC1" s="742"/>
      <c r="AD1" s="742"/>
      <c r="AE1" s="742"/>
      <c r="AF1" s="742"/>
      <c r="AG1" s="742"/>
      <c r="AH1" s="742"/>
      <c r="AI1" s="742"/>
      <c r="AJ1" s="742"/>
      <c r="AK1" s="716" t="s">
        <v>8</v>
      </c>
      <c r="AL1" s="716"/>
      <c r="AM1" s="716"/>
      <c r="AN1" s="718" t="str">
        <f>変更来歴!AP7</f>
        <v>古竹</v>
      </c>
      <c r="AO1" s="718"/>
      <c r="AP1" s="718"/>
      <c r="AQ1" s="718"/>
      <c r="AR1" s="718"/>
      <c r="AS1" s="716" t="s">
        <v>9</v>
      </c>
      <c r="AT1" s="716"/>
      <c r="AU1" s="716"/>
      <c r="AV1" s="719">
        <f>変更来歴!AL7</f>
        <v>46125</v>
      </c>
      <c r="AW1" s="717"/>
      <c r="AX1" s="717"/>
      <c r="AY1" s="717"/>
      <c r="AZ1" s="723" t="s">
        <v>10</v>
      </c>
      <c r="BA1" s="724"/>
      <c r="BB1" s="724"/>
      <c r="BC1" s="725"/>
    </row>
    <row r="2" spans="1:59">
      <c r="A2" s="726" t="s">
        <v>16</v>
      </c>
      <c r="B2" s="726"/>
      <c r="C2" s="726"/>
      <c r="D2" s="726"/>
      <c r="E2" s="726"/>
      <c r="F2" s="726"/>
      <c r="G2" s="726"/>
      <c r="H2" s="726"/>
      <c r="I2" s="727" t="s">
        <v>11</v>
      </c>
      <c r="J2" s="727"/>
      <c r="K2" s="727"/>
      <c r="L2" s="727"/>
      <c r="M2" s="762" t="str">
        <f>変更来歴!M2</f>
        <v>　</v>
      </c>
      <c r="N2" s="762"/>
      <c r="O2" s="762"/>
      <c r="P2" s="762"/>
      <c r="Q2" s="762"/>
      <c r="R2" s="762"/>
      <c r="S2" s="762"/>
      <c r="T2" s="762"/>
      <c r="U2" s="762"/>
      <c r="V2" s="762"/>
      <c r="W2" s="762"/>
      <c r="X2" s="727"/>
      <c r="Y2" s="727"/>
      <c r="Z2" s="727"/>
      <c r="AA2" s="742"/>
      <c r="AB2" s="742"/>
      <c r="AC2" s="742"/>
      <c r="AD2" s="742"/>
      <c r="AE2" s="742"/>
      <c r="AF2" s="742"/>
      <c r="AG2" s="742"/>
      <c r="AH2" s="742"/>
      <c r="AI2" s="742"/>
      <c r="AJ2" s="742"/>
      <c r="AK2" s="716" t="s">
        <v>12</v>
      </c>
      <c r="AL2" s="716"/>
      <c r="AM2" s="716"/>
      <c r="AN2" s="718" t="str">
        <f ca="1">INDIRECT("変更来歴!AP" &amp; COUNTA(変更来歴!AP7:'変更来歴'!AP39) + 6)</f>
        <v>古竹</v>
      </c>
      <c r="AO2" s="718"/>
      <c r="AP2" s="718"/>
      <c r="AQ2" s="718"/>
      <c r="AR2" s="718"/>
      <c r="AS2" s="716" t="s">
        <v>13</v>
      </c>
      <c r="AT2" s="716"/>
      <c r="AU2" s="716"/>
      <c r="AV2" s="719">
        <f ca="1">INDIRECT("変更来歴!AL" &amp; COUNTA(変更来歴!AL7:'変更来歴'!AL39) + 6)</f>
        <v>46162</v>
      </c>
      <c r="AW2" s="717"/>
      <c r="AX2" s="717"/>
      <c r="AY2" s="717"/>
      <c r="AZ2" s="731" t="str">
        <f>変更来歴!AX2</f>
        <v>IMWF-53</v>
      </c>
      <c r="BA2" s="732"/>
      <c r="BB2" s="732"/>
      <c r="BC2" s="733"/>
    </row>
    <row r="3" spans="1:59" ht="12" customHeight="1">
      <c r="A3" s="737" t="str">
        <f>変更来歴!A3</f>
        <v>画面設計書</v>
      </c>
      <c r="B3" s="737"/>
      <c r="C3" s="737"/>
      <c r="D3" s="737"/>
      <c r="E3" s="737"/>
      <c r="F3" s="737"/>
      <c r="G3" s="737"/>
      <c r="H3" s="737"/>
      <c r="I3" s="727" t="s">
        <v>14</v>
      </c>
      <c r="J3" s="727"/>
      <c r="K3" s="727"/>
      <c r="L3" s="727"/>
      <c r="M3" s="738" t="str">
        <f ca="1">RIGHT(CELL("filename",A1),LEN(CELL("filename",A1))-FIND("]",CELL("filename",A1)))</f>
        <v>円(PPM)</v>
      </c>
      <c r="N3" s="738"/>
      <c r="O3" s="738"/>
      <c r="P3" s="738"/>
      <c r="Q3" s="738"/>
      <c r="R3" s="738"/>
      <c r="S3" s="738"/>
      <c r="T3" s="738"/>
      <c r="U3" s="738"/>
      <c r="V3" s="738"/>
      <c r="W3" s="738"/>
      <c r="X3" s="727" t="s">
        <v>27</v>
      </c>
      <c r="Y3" s="727"/>
      <c r="Z3" s="727"/>
      <c r="AA3" s="739" t="str">
        <f ca="1">MID(CELL("filename"),FIND("]",CELL("filename"))+1,LEN(CELL("filename"))) &amp; "画面"</f>
        <v>表紙画面</v>
      </c>
      <c r="AB3" s="739"/>
      <c r="AC3" s="739"/>
      <c r="AD3" s="739"/>
      <c r="AE3" s="739"/>
      <c r="AF3" s="739"/>
      <c r="AG3" s="739"/>
      <c r="AH3" s="739"/>
      <c r="AI3" s="739"/>
      <c r="AJ3" s="739"/>
      <c r="AK3" s="739"/>
      <c r="AL3" s="739"/>
      <c r="AM3" s="739"/>
      <c r="AN3" s="739"/>
      <c r="AO3" s="739"/>
      <c r="AP3" s="739"/>
      <c r="AQ3" s="739"/>
      <c r="AR3" s="739"/>
      <c r="AS3" s="716" t="s">
        <v>15</v>
      </c>
      <c r="AT3" s="716"/>
      <c r="AU3" s="716"/>
      <c r="AV3" s="717" t="str">
        <f ca="1">INDIRECT("変更来歴!A" &amp; COUNTA(変更来歴!A7:'変更来歴'!A39) + 6)</f>
        <v>r1.2</v>
      </c>
      <c r="AW3" s="717"/>
      <c r="AX3" s="717"/>
      <c r="AY3" s="717"/>
      <c r="AZ3" s="734"/>
      <c r="BA3" s="735"/>
      <c r="BB3" s="735"/>
      <c r="BC3" s="736"/>
    </row>
    <row r="4" spans="1:59" ht="5.9" customHeight="1"/>
    <row r="5" spans="1:59" ht="13.5" customHeight="1">
      <c r="A5" s="763" t="str">
        <f ca="1">"画面レイアウト"&amp;"("&amp;MID(CELL("filename"),FIND("]",CELL("filename"))+1,LEN(CELL("filename")))&amp;")"</f>
        <v>画面レイアウト(表紙)</v>
      </c>
      <c r="B5" s="764"/>
      <c r="C5" s="764"/>
      <c r="D5" s="764"/>
      <c r="E5" s="764"/>
      <c r="F5" s="764"/>
      <c r="G5" s="764"/>
      <c r="H5" s="764"/>
      <c r="I5" s="764"/>
      <c r="J5" s="764"/>
      <c r="K5" s="764"/>
      <c r="L5" s="764"/>
      <c r="M5" s="764"/>
      <c r="N5" s="764"/>
      <c r="O5" s="764"/>
      <c r="P5" s="764"/>
      <c r="Q5" s="764"/>
      <c r="R5" s="764"/>
      <c r="S5" s="764"/>
      <c r="T5" s="764"/>
      <c r="U5" s="764"/>
      <c r="V5" s="764"/>
      <c r="W5" s="764"/>
      <c r="X5" s="764"/>
      <c r="Y5" s="764"/>
      <c r="Z5" s="764"/>
      <c r="AA5" s="764"/>
      <c r="AB5" s="764"/>
      <c r="AC5" s="764"/>
      <c r="AD5" s="764"/>
      <c r="AE5" s="764"/>
      <c r="AF5" s="764"/>
      <c r="AG5" s="764"/>
      <c r="AH5" s="764"/>
      <c r="AI5" s="764"/>
      <c r="AJ5" s="764"/>
      <c r="AK5" s="764"/>
      <c r="AL5" s="764"/>
      <c r="AM5" s="764"/>
      <c r="AN5" s="764"/>
      <c r="AO5" s="764"/>
      <c r="AP5" s="764"/>
      <c r="AQ5" s="764"/>
      <c r="AR5" s="764"/>
      <c r="AS5" s="764"/>
      <c r="AT5" s="764"/>
      <c r="AU5" s="764"/>
      <c r="AV5" s="764"/>
      <c r="AW5" s="764"/>
      <c r="AX5" s="764"/>
      <c r="AY5" s="764"/>
      <c r="AZ5" s="764"/>
      <c r="BA5" s="765"/>
      <c r="BB5" s="766" t="s">
        <v>24</v>
      </c>
      <c r="BC5" s="767"/>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286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59"/>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35"/>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111</v>
      </c>
      <c r="D26" s="28"/>
      <c r="E26" s="28"/>
      <c r="F26" s="28"/>
      <c r="H26" s="58"/>
      <c r="I26" s="59"/>
      <c r="J26" s="59"/>
      <c r="K26" s="59"/>
      <c r="L26" s="60"/>
      <c r="M26" s="59"/>
      <c r="N26" s="61"/>
      <c r="O26" s="61"/>
      <c r="P26" s="70"/>
      <c r="Q26" s="64"/>
      <c r="R26" s="28" t="s">
        <v>115</v>
      </c>
      <c r="S26" s="35"/>
      <c r="T26" s="35"/>
      <c r="U26" s="28"/>
      <c r="V26" s="28"/>
      <c r="W26" s="28"/>
      <c r="Y26" s="58"/>
      <c r="Z26" s="59"/>
      <c r="AA26" s="59"/>
      <c r="AB26" s="59"/>
      <c r="AC26" s="60"/>
      <c r="AD26" s="59"/>
      <c r="AE26" s="61"/>
      <c r="AF26" s="61"/>
      <c r="AG26" s="70"/>
      <c r="AH26" s="28"/>
      <c r="AI26" s="28"/>
      <c r="AJ26" s="35"/>
      <c r="AK26" s="28"/>
      <c r="AL26" s="28"/>
      <c r="AM26" s="28"/>
      <c r="AN26" s="28"/>
      <c r="AO26" s="35"/>
      <c r="AP26" s="102"/>
      <c r="AQ26" s="103"/>
      <c r="AR26" s="103"/>
      <c r="AS26" s="103"/>
      <c r="AT26" s="102"/>
      <c r="AU26" s="104"/>
      <c r="AV26" s="102"/>
      <c r="AW26" s="103"/>
      <c r="AX26" s="63"/>
      <c r="AY26" s="283"/>
      <c r="AZ26" s="33"/>
      <c r="BA26" s="46"/>
      <c r="BB26" s="78"/>
      <c r="BC26" s="34"/>
      <c r="BD26" s="28"/>
      <c r="BE26" s="35"/>
      <c r="BF26" s="35"/>
      <c r="BG26" s="35"/>
    </row>
    <row r="27" spans="1:59" ht="14.15" customHeight="1">
      <c r="A27" s="22"/>
      <c r="B27" s="256"/>
      <c r="C27" s="284" t="s">
        <v>117</v>
      </c>
      <c r="F27" s="285"/>
      <c r="G27" s="285"/>
      <c r="H27" s="98" t="s">
        <v>122</v>
      </c>
      <c r="I27" s="257"/>
      <c r="J27" s="258"/>
      <c r="K27" s="258"/>
      <c r="L27" s="258"/>
      <c r="M27" s="259"/>
      <c r="N27" s="258"/>
      <c r="O27" s="110"/>
      <c r="P27" s="260" t="s">
        <v>33</v>
      </c>
      <c r="R27" s="130"/>
      <c r="S27" s="35"/>
      <c r="T27" s="285" t="s">
        <v>120</v>
      </c>
      <c r="U27" s="35"/>
      <c r="V27" s="285"/>
      <c r="W27" s="285"/>
      <c r="X27" s="285"/>
      <c r="Y27" s="98" t="s">
        <v>123</v>
      </c>
      <c r="Z27" s="257"/>
      <c r="AA27" s="258"/>
      <c r="AB27" s="258"/>
      <c r="AC27" s="258"/>
      <c r="AD27" s="259"/>
      <c r="AE27" s="258"/>
      <c r="AF27" s="110"/>
      <c r="AG27" s="261" t="s">
        <v>33</v>
      </c>
      <c r="AH27" s="35"/>
      <c r="AI27" s="35"/>
      <c r="AJ27" s="35"/>
      <c r="AK27" s="285" t="s">
        <v>121</v>
      </c>
      <c r="AL27" s="35"/>
      <c r="AM27" s="285"/>
      <c r="AN27" s="35"/>
      <c r="AO27" s="35"/>
      <c r="AP27" s="98" t="s">
        <v>116</v>
      </c>
      <c r="AQ27" s="257"/>
      <c r="AR27" s="258"/>
      <c r="AS27" s="258"/>
      <c r="AT27" s="258"/>
      <c r="AU27" s="259"/>
      <c r="AV27" s="110"/>
      <c r="AW27" s="37"/>
      <c r="AX27" s="262" t="s">
        <v>33</v>
      </c>
      <c r="AY27" s="286"/>
      <c r="AZ27" s="33"/>
      <c r="BA27" s="46"/>
      <c r="BB27" s="78"/>
      <c r="BC27" s="34"/>
      <c r="BD27" s="35"/>
      <c r="BE27" s="35"/>
      <c r="BF27" s="35"/>
      <c r="BG27" s="35"/>
    </row>
    <row r="28" spans="1:59" ht="13.5" customHeight="1">
      <c r="A28" s="22"/>
      <c r="B28" s="45"/>
      <c r="C28" s="282" t="s">
        <v>125</v>
      </c>
      <c r="D28" s="28"/>
      <c r="E28" s="28"/>
      <c r="F28" s="28"/>
      <c r="H28" s="58"/>
      <c r="I28" s="59"/>
      <c r="J28" s="59"/>
      <c r="K28" s="59"/>
      <c r="L28" s="60"/>
      <c r="M28" s="59"/>
      <c r="N28" s="61"/>
      <c r="O28" s="61"/>
      <c r="P28" s="70"/>
      <c r="Q28" s="64"/>
      <c r="R28" s="28"/>
      <c r="S28" s="35"/>
      <c r="T28" s="28" t="s">
        <v>130</v>
      </c>
      <c r="U28" s="28"/>
      <c r="V28" s="28"/>
      <c r="W28" s="28"/>
      <c r="Y28" s="58"/>
      <c r="Z28" s="59"/>
      <c r="AA28" s="59"/>
      <c r="AB28" s="59"/>
      <c r="AC28" s="60"/>
      <c r="AD28" s="59"/>
      <c r="AE28" s="61"/>
      <c r="AF28" s="61"/>
      <c r="AG28" s="94" t="s">
        <v>129</v>
      </c>
      <c r="AH28" s="28"/>
      <c r="AI28" s="28"/>
      <c r="AJ28" s="35"/>
      <c r="AK28" s="28" t="s">
        <v>118</v>
      </c>
      <c r="AL28" s="28"/>
      <c r="AM28" s="28"/>
      <c r="AN28" s="28"/>
      <c r="AO28" s="35"/>
      <c r="AP28" s="58"/>
      <c r="AQ28" s="59"/>
      <c r="AR28" s="59"/>
      <c r="AS28" s="59"/>
      <c r="AT28" s="60"/>
      <c r="AU28" s="59"/>
      <c r="AV28" s="61"/>
      <c r="AW28" s="61"/>
      <c r="AX28" s="260" t="s">
        <v>33</v>
      </c>
      <c r="AY28" s="283"/>
      <c r="AZ28" s="33"/>
      <c r="BA28" s="46"/>
      <c r="BB28" s="78"/>
      <c r="BC28" s="34"/>
      <c r="BD28" s="28"/>
      <c r="BE28" s="35"/>
      <c r="BF28" s="35"/>
      <c r="BG28" s="35"/>
    </row>
    <row r="29" spans="1:59" ht="13.5" customHeight="1">
      <c r="A29" s="22"/>
      <c r="B29" s="32"/>
      <c r="C29" s="287" t="s">
        <v>124</v>
      </c>
      <c r="D29" s="41"/>
      <c r="E29" s="41"/>
      <c r="F29" s="41"/>
      <c r="G29" s="41"/>
      <c r="H29" s="163"/>
      <c r="I29" s="164"/>
      <c r="J29" s="165"/>
      <c r="K29" s="164"/>
      <c r="L29" s="165"/>
      <c r="M29" s="164"/>
      <c r="N29" s="166"/>
      <c r="O29" s="164"/>
      <c r="P29" s="165"/>
      <c r="Q29" s="165"/>
      <c r="R29" s="165"/>
      <c r="S29" s="167"/>
      <c r="T29" s="167"/>
      <c r="U29" s="167"/>
      <c r="V29" s="167"/>
      <c r="W29" s="167"/>
      <c r="X29" s="166"/>
      <c r="Y29" s="167"/>
      <c r="Z29" s="165"/>
      <c r="AA29" s="166"/>
      <c r="AB29" s="167"/>
      <c r="AC29" s="165"/>
      <c r="AD29" s="166"/>
      <c r="AE29" s="165"/>
      <c r="AF29" s="165"/>
      <c r="AG29" s="166"/>
      <c r="AH29" s="165"/>
      <c r="AI29" s="165"/>
      <c r="AJ29" s="168"/>
      <c r="AK29" s="165"/>
      <c r="AL29" s="165"/>
      <c r="AM29" s="165"/>
      <c r="AN29" s="165"/>
      <c r="AO29" s="165"/>
      <c r="AP29" s="165"/>
      <c r="AQ29" s="165"/>
      <c r="AR29" s="165"/>
      <c r="AS29" s="165"/>
      <c r="AT29" s="165"/>
      <c r="AU29" s="165"/>
      <c r="AV29" s="165"/>
      <c r="AW29" s="165"/>
      <c r="AX29" s="160" t="s">
        <v>37</v>
      </c>
      <c r="AY29" s="283"/>
      <c r="AZ29" s="33"/>
      <c r="BA29" s="46"/>
      <c r="BB29" s="78"/>
      <c r="BC29" s="34"/>
      <c r="BD29" s="28"/>
      <c r="BE29" s="35"/>
      <c r="BF29" s="35"/>
      <c r="BG29" s="35"/>
    </row>
    <row r="30" spans="1:59" ht="13.5" customHeight="1">
      <c r="A30" s="22"/>
      <c r="B30" s="32"/>
      <c r="C30" s="287"/>
      <c r="D30" s="41"/>
      <c r="E30" s="41"/>
      <c r="F30" s="41"/>
      <c r="G30" s="41"/>
      <c r="H30" s="169"/>
      <c r="I30" s="170"/>
      <c r="J30" s="171"/>
      <c r="K30" s="170"/>
      <c r="L30" s="171"/>
      <c r="M30" s="170"/>
      <c r="N30" s="172"/>
      <c r="O30" s="170"/>
      <c r="P30" s="171"/>
      <c r="Q30" s="171"/>
      <c r="R30" s="171"/>
      <c r="S30" s="173"/>
      <c r="T30" s="173"/>
      <c r="U30" s="173"/>
      <c r="V30" s="173"/>
      <c r="W30" s="173"/>
      <c r="X30" s="172"/>
      <c r="Y30" s="173"/>
      <c r="Z30" s="171"/>
      <c r="AA30" s="172"/>
      <c r="AB30" s="173"/>
      <c r="AC30" s="171"/>
      <c r="AD30" s="172"/>
      <c r="AE30" s="171"/>
      <c r="AF30" s="171"/>
      <c r="AG30" s="172"/>
      <c r="AH30" s="171"/>
      <c r="AI30" s="171"/>
      <c r="AJ30" s="174"/>
      <c r="AK30" s="171"/>
      <c r="AL30" s="171"/>
      <c r="AM30" s="171"/>
      <c r="AN30" s="171"/>
      <c r="AO30" s="171"/>
      <c r="AP30" s="171"/>
      <c r="AQ30" s="171"/>
      <c r="AR30" s="171"/>
      <c r="AS30" s="171"/>
      <c r="AT30" s="171"/>
      <c r="AU30" s="171"/>
      <c r="AV30" s="171"/>
      <c r="AW30" s="171"/>
      <c r="AX30" s="122" t="s">
        <v>33</v>
      </c>
      <c r="AY30" s="283"/>
      <c r="AZ30" s="33"/>
      <c r="BA30" s="46"/>
      <c r="BB30" s="78"/>
      <c r="BC30" s="34"/>
      <c r="BD30" s="28"/>
      <c r="BE30" s="35"/>
      <c r="BF30" s="35"/>
      <c r="BG30" s="35"/>
    </row>
    <row r="31" spans="1:59" ht="13.5" customHeight="1">
      <c r="A31" s="22"/>
      <c r="B31" s="32"/>
      <c r="C31" s="287" t="s">
        <v>126</v>
      </c>
      <c r="D31" s="41"/>
      <c r="E31" s="41"/>
      <c r="F31" s="41"/>
      <c r="G31" s="41"/>
      <c r="H31" s="163" t="s">
        <v>171</v>
      </c>
      <c r="I31" s="164"/>
      <c r="J31" s="165"/>
      <c r="K31" s="164"/>
      <c r="L31" s="165"/>
      <c r="M31" s="164"/>
      <c r="N31" s="166"/>
      <c r="O31" s="164"/>
      <c r="P31" s="165"/>
      <c r="Q31" s="165"/>
      <c r="R31" s="165"/>
      <c r="S31" s="167"/>
      <c r="T31" s="167"/>
      <c r="U31" s="167"/>
      <c r="V31" s="167"/>
      <c r="W31" s="167"/>
      <c r="X31" s="166"/>
      <c r="Y31" s="167"/>
      <c r="Z31" s="165"/>
      <c r="AA31" s="166"/>
      <c r="AB31" s="167"/>
      <c r="AC31" s="165"/>
      <c r="AD31" s="166"/>
      <c r="AE31" s="165"/>
      <c r="AF31" s="165"/>
      <c r="AG31" s="166"/>
      <c r="AH31" s="165"/>
      <c r="AI31" s="165"/>
      <c r="AJ31" s="168"/>
      <c r="AK31" s="165"/>
      <c r="AL31" s="165"/>
      <c r="AM31" s="165"/>
      <c r="AN31" s="165"/>
      <c r="AO31" s="165"/>
      <c r="AP31" s="165"/>
      <c r="AQ31" s="165"/>
      <c r="AR31" s="165"/>
      <c r="AS31" s="165"/>
      <c r="AT31" s="165"/>
      <c r="AU31" s="165"/>
      <c r="AV31" s="165"/>
      <c r="AW31" s="165"/>
      <c r="AX31" s="160" t="s">
        <v>37</v>
      </c>
      <c r="AY31" s="283"/>
      <c r="AZ31" s="33"/>
      <c r="BA31" s="46"/>
      <c r="BB31" s="78"/>
      <c r="BC31" s="34"/>
      <c r="BD31" s="28"/>
      <c r="BE31" s="35"/>
      <c r="BF31" s="35"/>
      <c r="BG31" s="35"/>
    </row>
    <row r="32" spans="1:59" ht="13.5" customHeight="1">
      <c r="A32" s="22"/>
      <c r="B32" s="32"/>
      <c r="C32" s="287"/>
      <c r="D32" s="41"/>
      <c r="E32" s="41"/>
      <c r="F32" s="41"/>
      <c r="G32" s="41"/>
      <c r="H32" s="169"/>
      <c r="I32" s="170"/>
      <c r="J32" s="171"/>
      <c r="K32" s="170"/>
      <c r="L32" s="171"/>
      <c r="M32" s="170"/>
      <c r="N32" s="172"/>
      <c r="O32" s="170"/>
      <c r="P32" s="171"/>
      <c r="Q32" s="171"/>
      <c r="R32" s="171"/>
      <c r="S32" s="173"/>
      <c r="T32" s="173"/>
      <c r="U32" s="173"/>
      <c r="V32" s="173"/>
      <c r="W32" s="173"/>
      <c r="X32" s="172"/>
      <c r="Y32" s="173"/>
      <c r="Z32" s="171"/>
      <c r="AA32" s="172"/>
      <c r="AB32" s="173"/>
      <c r="AC32" s="171"/>
      <c r="AD32" s="172"/>
      <c r="AE32" s="171"/>
      <c r="AF32" s="171"/>
      <c r="AG32" s="172"/>
      <c r="AH32" s="171"/>
      <c r="AI32" s="171"/>
      <c r="AJ32" s="174"/>
      <c r="AK32" s="171"/>
      <c r="AL32" s="171"/>
      <c r="AM32" s="171"/>
      <c r="AN32" s="171"/>
      <c r="AO32" s="171"/>
      <c r="AP32" s="171"/>
      <c r="AQ32" s="171"/>
      <c r="AR32" s="171"/>
      <c r="AS32" s="171"/>
      <c r="AT32" s="171"/>
      <c r="AU32" s="171"/>
      <c r="AV32" s="171"/>
      <c r="AW32" s="171"/>
      <c r="AX32" s="122" t="s">
        <v>33</v>
      </c>
      <c r="AY32" s="283"/>
      <c r="AZ32" s="33"/>
      <c r="BA32" s="46"/>
      <c r="BB32" s="78"/>
      <c r="BC32" s="34"/>
      <c r="BD32" s="28"/>
      <c r="BE32" s="35"/>
      <c r="BF32" s="35"/>
      <c r="BG32" s="35"/>
    </row>
    <row r="33" spans="1:59" ht="13.5" customHeight="1">
      <c r="A33" s="22"/>
      <c r="B33" s="32"/>
      <c r="C33" s="287" t="s">
        <v>127</v>
      </c>
      <c r="D33" s="41"/>
      <c r="E33" s="41"/>
      <c r="F33" s="41"/>
      <c r="G33" s="41"/>
      <c r="H33" s="163"/>
      <c r="I33" s="164"/>
      <c r="J33" s="165"/>
      <c r="K33" s="164"/>
      <c r="L33" s="165"/>
      <c r="M33" s="164"/>
      <c r="N33" s="166"/>
      <c r="O33" s="164"/>
      <c r="P33" s="165"/>
      <c r="Q33" s="165"/>
      <c r="R33" s="165"/>
      <c r="S33" s="167"/>
      <c r="T33" s="167"/>
      <c r="U33" s="167"/>
      <c r="V33" s="167"/>
      <c r="W33" s="167"/>
      <c r="X33" s="166"/>
      <c r="Y33" s="167"/>
      <c r="Z33" s="165"/>
      <c r="AA33" s="166"/>
      <c r="AB33" s="167"/>
      <c r="AC33" s="165"/>
      <c r="AD33" s="166"/>
      <c r="AE33" s="165"/>
      <c r="AF33" s="165"/>
      <c r="AG33" s="166"/>
      <c r="AH33" s="165"/>
      <c r="AI33" s="165"/>
      <c r="AJ33" s="168"/>
      <c r="AK33" s="165"/>
      <c r="AL33" s="165"/>
      <c r="AM33" s="165"/>
      <c r="AN33" s="165"/>
      <c r="AO33" s="165"/>
      <c r="AP33" s="165"/>
      <c r="AQ33" s="165"/>
      <c r="AR33" s="165"/>
      <c r="AS33" s="165"/>
      <c r="AT33" s="165"/>
      <c r="AU33" s="165"/>
      <c r="AV33" s="165"/>
      <c r="AW33" s="165"/>
      <c r="AX33" s="160" t="s">
        <v>37</v>
      </c>
      <c r="AY33" s="63"/>
      <c r="AZ33" s="490"/>
      <c r="BA33" s="46"/>
      <c r="BB33" s="78"/>
      <c r="BC33" s="34"/>
      <c r="BD33" s="28"/>
      <c r="BE33" s="35"/>
      <c r="BF33" s="35"/>
      <c r="BG33" s="35"/>
    </row>
    <row r="34" spans="1:59" ht="13.5" customHeight="1">
      <c r="A34" s="22"/>
      <c r="B34" s="32"/>
      <c r="C34" s="287"/>
      <c r="D34" s="41"/>
      <c r="E34" s="41"/>
      <c r="F34" s="41"/>
      <c r="G34" s="41"/>
      <c r="H34" s="169"/>
      <c r="I34" s="170"/>
      <c r="J34" s="171"/>
      <c r="K34" s="170"/>
      <c r="L34" s="171"/>
      <c r="M34" s="170"/>
      <c r="N34" s="172"/>
      <c r="O34" s="170"/>
      <c r="P34" s="171"/>
      <c r="Q34" s="171"/>
      <c r="R34" s="171"/>
      <c r="S34" s="173"/>
      <c r="T34" s="173"/>
      <c r="U34" s="173"/>
      <c r="V34" s="173"/>
      <c r="W34" s="173"/>
      <c r="X34" s="172"/>
      <c r="Y34" s="173"/>
      <c r="Z34" s="171"/>
      <c r="AA34" s="172"/>
      <c r="AB34" s="173"/>
      <c r="AC34" s="171"/>
      <c r="AD34" s="172"/>
      <c r="AE34" s="171"/>
      <c r="AF34" s="171"/>
      <c r="AG34" s="172"/>
      <c r="AH34" s="171"/>
      <c r="AI34" s="171"/>
      <c r="AJ34" s="174"/>
      <c r="AK34" s="171"/>
      <c r="AL34" s="171"/>
      <c r="AM34" s="171"/>
      <c r="AN34" s="171"/>
      <c r="AO34" s="171"/>
      <c r="AP34" s="171"/>
      <c r="AQ34" s="171"/>
      <c r="AR34" s="171"/>
      <c r="AS34" s="171"/>
      <c r="AT34" s="171"/>
      <c r="AU34" s="171"/>
      <c r="AV34" s="171"/>
      <c r="AW34" s="171"/>
      <c r="AX34" s="122" t="s">
        <v>33</v>
      </c>
      <c r="AY34" s="63"/>
      <c r="AZ34" s="490"/>
      <c r="BA34" s="46"/>
      <c r="BB34" s="78"/>
      <c r="BC34" s="34"/>
      <c r="BD34" s="28"/>
      <c r="BE34" s="35"/>
      <c r="BF34" s="35"/>
      <c r="BG34" s="35"/>
    </row>
    <row r="35" spans="1:59" ht="5.15" customHeight="1">
      <c r="A35" s="22"/>
      <c r="B35" s="32"/>
      <c r="C35" s="288"/>
      <c r="D35" s="289"/>
      <c r="E35" s="289"/>
      <c r="F35" s="289"/>
      <c r="G35" s="289"/>
      <c r="H35" s="290"/>
      <c r="I35" s="290"/>
      <c r="J35" s="291"/>
      <c r="K35" s="290"/>
      <c r="L35" s="291"/>
      <c r="M35" s="290"/>
      <c r="N35" s="292"/>
      <c r="O35" s="290"/>
      <c r="P35" s="291"/>
      <c r="Q35" s="291"/>
      <c r="R35" s="291"/>
      <c r="S35" s="293"/>
      <c r="T35" s="293"/>
      <c r="U35" s="293"/>
      <c r="V35" s="293"/>
      <c r="W35" s="293"/>
      <c r="X35" s="292"/>
      <c r="Y35" s="293"/>
      <c r="Z35" s="291"/>
      <c r="AA35" s="292"/>
      <c r="AB35" s="293"/>
      <c r="AC35" s="291"/>
      <c r="AD35" s="292"/>
      <c r="AE35" s="291"/>
      <c r="AF35" s="291"/>
      <c r="AG35" s="292"/>
      <c r="AH35" s="291"/>
      <c r="AI35" s="291"/>
      <c r="AJ35" s="294"/>
      <c r="AK35" s="291"/>
      <c r="AL35" s="291"/>
      <c r="AM35" s="291"/>
      <c r="AN35" s="291"/>
      <c r="AO35" s="291"/>
      <c r="AP35" s="291"/>
      <c r="AQ35" s="291"/>
      <c r="AR35" s="291"/>
      <c r="AS35" s="291"/>
      <c r="AT35" s="291"/>
      <c r="AU35" s="291"/>
      <c r="AV35" s="291"/>
      <c r="AW35" s="291"/>
      <c r="AX35" s="276"/>
      <c r="AY35" s="295"/>
      <c r="AZ35" s="33"/>
      <c r="BA35" s="46"/>
      <c r="BB35" s="78"/>
      <c r="BC35" s="34"/>
      <c r="BD35" s="28"/>
      <c r="BE35" s="35"/>
      <c r="BF35" s="35"/>
      <c r="BG35" s="35"/>
    </row>
    <row r="36" spans="1:59" ht="13.5" customHeight="1">
      <c r="A36" s="22"/>
      <c r="B36" s="32"/>
      <c r="C36" s="41"/>
      <c r="D36" s="41"/>
      <c r="E36" s="41"/>
      <c r="F36" s="41"/>
      <c r="G36" s="41"/>
      <c r="H36" s="364"/>
      <c r="I36" s="364"/>
      <c r="J36" s="365"/>
      <c r="K36" s="364"/>
      <c r="L36" s="365"/>
      <c r="M36" s="364"/>
      <c r="N36" s="366"/>
      <c r="O36" s="364"/>
      <c r="P36" s="365"/>
      <c r="Q36" s="365"/>
      <c r="R36" s="365"/>
      <c r="S36" s="367"/>
      <c r="T36" s="367"/>
      <c r="U36" s="367"/>
      <c r="V36" s="367"/>
      <c r="W36" s="367"/>
      <c r="X36" s="366"/>
      <c r="Y36" s="367"/>
      <c r="Z36" s="365"/>
      <c r="AA36" s="366"/>
      <c r="AB36" s="367"/>
      <c r="AC36" s="365"/>
      <c r="AD36" s="366"/>
      <c r="AE36" s="365"/>
      <c r="AF36" s="365"/>
      <c r="AG36" s="366"/>
      <c r="AH36" s="365"/>
      <c r="AI36" s="365"/>
      <c r="AJ36" s="368"/>
      <c r="AK36" s="365"/>
      <c r="AL36" s="365"/>
      <c r="AM36" s="365"/>
      <c r="AN36" s="365"/>
      <c r="AO36" s="365"/>
      <c r="AP36" s="365"/>
      <c r="AQ36" s="365"/>
      <c r="AR36" s="365"/>
      <c r="AS36" s="365"/>
      <c r="AT36" s="365"/>
      <c r="AU36" s="365"/>
      <c r="AV36" s="365"/>
      <c r="AW36" s="365"/>
      <c r="AX36" s="280"/>
      <c r="AY36" s="63"/>
      <c r="AZ36" s="33"/>
      <c r="BA36" s="46"/>
      <c r="BB36" s="78"/>
      <c r="BC36" s="34"/>
      <c r="BD36" s="28"/>
      <c r="BE36" s="35"/>
      <c r="BF36" s="35"/>
      <c r="BG36" s="35"/>
    </row>
    <row r="37" spans="1:59" ht="13.5" customHeight="1">
      <c r="A37" s="22"/>
      <c r="B37" s="202">
        <v>5</v>
      </c>
      <c r="C37" s="204" t="s">
        <v>63</v>
      </c>
      <c r="D37" s="28"/>
      <c r="E37" s="28"/>
      <c r="F37" s="28"/>
      <c r="G37" s="28"/>
      <c r="H37" s="121"/>
      <c r="I37" s="62"/>
      <c r="J37" s="63"/>
      <c r="K37" s="62"/>
      <c r="L37" s="63"/>
      <c r="M37" s="69"/>
      <c r="N37" s="69"/>
      <c r="O37" s="65"/>
      <c r="P37" s="69"/>
      <c r="Q37" s="65"/>
      <c r="R37" s="69"/>
      <c r="S37" s="28"/>
      <c r="T37" s="28"/>
      <c r="U37" s="28"/>
      <c r="V37" s="28"/>
      <c r="W37" s="28"/>
      <c r="X37" s="121"/>
      <c r="Y37" s="62"/>
      <c r="Z37" s="63"/>
      <c r="AA37" s="62"/>
      <c r="AB37" s="63"/>
      <c r="AC37" s="69"/>
      <c r="AD37" s="69"/>
      <c r="AE37" s="65"/>
      <c r="AF37" s="69"/>
      <c r="AG37" s="65"/>
      <c r="AH37" s="69"/>
      <c r="AI37" s="64"/>
      <c r="AJ37" s="69"/>
      <c r="AK37" s="65"/>
      <c r="AL37" s="28"/>
      <c r="AM37" s="28"/>
      <c r="AN37" s="28"/>
      <c r="AO37" s="28"/>
      <c r="AP37" s="28"/>
      <c r="AQ37" s="28"/>
      <c r="AR37" s="28"/>
      <c r="AS37" s="28"/>
      <c r="AT37" s="28"/>
      <c r="AU37" s="28"/>
      <c r="AV37" s="233" t="s">
        <v>72</v>
      </c>
      <c r="AW37" s="28"/>
      <c r="AX37" s="28"/>
      <c r="AY37" s="31"/>
      <c r="AZ37" s="33"/>
      <c r="BA37" s="46"/>
      <c r="BB37" s="159"/>
      <c r="BC37" s="115"/>
      <c r="BD37" s="28"/>
    </row>
    <row r="38" spans="1:59" ht="5.15" customHeight="1">
      <c r="A38" s="22"/>
      <c r="B38" s="202"/>
      <c r="C38" s="296"/>
      <c r="D38" s="72"/>
      <c r="E38" s="72"/>
      <c r="F38" s="72"/>
      <c r="G38" s="72"/>
      <c r="H38" s="297"/>
      <c r="I38" s="278"/>
      <c r="J38" s="279"/>
      <c r="K38" s="278"/>
      <c r="L38" s="279"/>
      <c r="M38" s="298"/>
      <c r="N38" s="298"/>
      <c r="O38" s="263"/>
      <c r="P38" s="298"/>
      <c r="Q38" s="263"/>
      <c r="R38" s="298"/>
      <c r="S38" s="72"/>
      <c r="T38" s="72"/>
      <c r="U38" s="72"/>
      <c r="V38" s="72"/>
      <c r="W38" s="72"/>
      <c r="X38" s="297"/>
      <c r="Y38" s="278"/>
      <c r="Z38" s="279"/>
      <c r="AA38" s="278"/>
      <c r="AB38" s="279"/>
      <c r="AC38" s="298"/>
      <c r="AD38" s="298"/>
      <c r="AE38" s="263"/>
      <c r="AF38" s="298"/>
      <c r="AG38" s="263"/>
      <c r="AH38" s="298"/>
      <c r="AI38" s="280"/>
      <c r="AJ38" s="298"/>
      <c r="AK38" s="263"/>
      <c r="AL38" s="72"/>
      <c r="AM38" s="72"/>
      <c r="AN38" s="72"/>
      <c r="AO38" s="72"/>
      <c r="AP38" s="72"/>
      <c r="AQ38" s="72"/>
      <c r="AR38" s="72"/>
      <c r="AS38" s="72"/>
      <c r="AT38" s="72"/>
      <c r="AU38" s="72"/>
      <c r="AV38" s="300"/>
      <c r="AW38" s="72"/>
      <c r="AX38" s="72"/>
      <c r="AY38" s="264"/>
      <c r="AZ38" s="264"/>
      <c r="BA38" s="301"/>
      <c r="BB38" s="302"/>
      <c r="BC38" s="303"/>
      <c r="BD38" s="28"/>
    </row>
    <row r="39" spans="1:59" ht="13.5" customHeight="1">
      <c r="A39" s="22"/>
      <c r="B39" s="45"/>
      <c r="C39" s="527" t="s">
        <v>285</v>
      </c>
      <c r="D39" s="28"/>
      <c r="E39" s="28"/>
      <c r="F39" s="28"/>
      <c r="G39" s="28"/>
      <c r="H39" s="24"/>
      <c r="I39" s="24"/>
      <c r="J39" s="24"/>
      <c r="K39" s="24"/>
      <c r="L39" s="24"/>
      <c r="M39" s="127"/>
      <c r="N39" s="75"/>
      <c r="O39" s="84"/>
      <c r="P39" s="84"/>
      <c r="Q39" s="85"/>
      <c r="R39" s="75"/>
      <c r="S39" s="75"/>
      <c r="T39" s="75"/>
      <c r="U39" s="84"/>
      <c r="V39" s="85"/>
      <c r="W39" s="75"/>
      <c r="X39" s="65"/>
      <c r="Y39" s="28"/>
      <c r="Z39" s="28"/>
      <c r="AA39" s="28"/>
      <c r="AB39" s="28"/>
      <c r="AC39" s="28"/>
      <c r="AD39" s="28"/>
      <c r="AE39" s="28"/>
      <c r="AF39" s="28"/>
      <c r="AG39" s="28"/>
      <c r="AH39" s="28"/>
      <c r="AI39" s="28"/>
      <c r="AJ39" s="28"/>
      <c r="AK39" s="28"/>
      <c r="AL39" s="28"/>
      <c r="AM39" s="31"/>
      <c r="AN39" s="31"/>
      <c r="AO39" s="31"/>
      <c r="AP39" s="31"/>
      <c r="AQ39" s="31"/>
      <c r="AR39" s="31"/>
      <c r="AS39" s="31"/>
      <c r="AT39" s="31"/>
      <c r="AU39" s="31"/>
      <c r="AV39" s="31"/>
      <c r="AW39" s="31"/>
      <c r="AX39" s="65"/>
      <c r="AY39" s="31"/>
      <c r="AZ39" s="31"/>
      <c r="BA39" s="30"/>
      <c r="BB39" s="175"/>
      <c r="BC39" s="345"/>
      <c r="BD39" s="28"/>
      <c r="BE39" s="35"/>
      <c r="BF39" s="35"/>
      <c r="BG39" s="35"/>
    </row>
    <row r="40" spans="1:59" ht="13.5" customHeight="1">
      <c r="A40" s="22"/>
      <c r="B40" s="45"/>
      <c r="C40" s="266"/>
      <c r="D40" s="28" t="s">
        <v>288</v>
      </c>
      <c r="E40" s="28"/>
      <c r="F40" s="28"/>
      <c r="G40" s="28"/>
      <c r="H40" s="86" t="s">
        <v>139</v>
      </c>
      <c r="I40" s="86"/>
      <c r="J40" s="86"/>
      <c r="K40" s="86"/>
      <c r="L40" s="86"/>
      <c r="M40" s="322"/>
      <c r="N40" s="87"/>
      <c r="O40" s="88"/>
      <c r="P40" s="88"/>
      <c r="Q40" s="89"/>
      <c r="R40" s="87"/>
      <c r="S40" s="87"/>
      <c r="T40" s="87"/>
      <c r="U40" s="88"/>
      <c r="V40" s="89"/>
      <c r="W40" s="87"/>
      <c r="X40" s="65"/>
      <c r="Y40" s="28"/>
      <c r="Z40" s="28"/>
      <c r="AA40" s="28"/>
      <c r="AB40" s="28"/>
      <c r="AC40" s="28"/>
      <c r="AD40" s="28"/>
      <c r="AE40" s="28"/>
      <c r="AF40" s="28"/>
      <c r="AG40" s="28"/>
      <c r="AH40" s="28"/>
      <c r="AI40" s="28"/>
      <c r="AJ40" s="28"/>
      <c r="AK40" s="28"/>
      <c r="AL40" s="28"/>
      <c r="AM40" s="31"/>
      <c r="AN40" s="31"/>
      <c r="AO40" s="31"/>
      <c r="AP40" s="31"/>
      <c r="AQ40" s="31"/>
      <c r="AR40" s="31"/>
      <c r="AS40" s="31"/>
      <c r="AT40" s="31"/>
      <c r="AU40" s="31"/>
      <c r="AV40" s="31"/>
      <c r="AW40" s="31"/>
      <c r="AX40" s="65"/>
      <c r="AY40" s="31"/>
      <c r="AZ40" s="52"/>
      <c r="BA40" s="93"/>
      <c r="BB40" s="175"/>
      <c r="BC40" s="345"/>
      <c r="BD40" s="28"/>
      <c r="BE40" s="35"/>
      <c r="BF40" s="35"/>
      <c r="BG40" s="35"/>
    </row>
    <row r="41" spans="1:59" ht="13.5" customHeight="1">
      <c r="A41" s="22"/>
      <c r="B41" s="202">
        <v>6</v>
      </c>
      <c r="C41" s="304" t="s">
        <v>32</v>
      </c>
      <c r="D41" s="205" t="s">
        <v>64</v>
      </c>
      <c r="E41" s="206"/>
      <c r="F41" s="206"/>
      <c r="G41" s="207"/>
      <c r="H41" s="208" t="s">
        <v>73</v>
      </c>
      <c r="I41" s="209"/>
      <c r="J41" s="209"/>
      <c r="K41" s="209"/>
      <c r="L41" s="206"/>
      <c r="M41" s="207"/>
      <c r="N41" s="205" t="s">
        <v>74</v>
      </c>
      <c r="O41" s="206"/>
      <c r="P41" s="206"/>
      <c r="Q41" s="207"/>
      <c r="R41" s="205" t="s">
        <v>75</v>
      </c>
      <c r="S41" s="206"/>
      <c r="T41" s="206"/>
      <c r="U41" s="206"/>
      <c r="V41" s="210" t="s">
        <v>87</v>
      </c>
      <c r="W41" s="211"/>
      <c r="X41" s="211"/>
      <c r="Y41" s="212"/>
      <c r="Z41" s="211" t="s">
        <v>89</v>
      </c>
      <c r="AA41" s="211"/>
      <c r="AB41" s="211"/>
      <c r="AC41" s="212"/>
      <c r="AD41" s="211" t="s">
        <v>76</v>
      </c>
      <c r="AE41" s="211"/>
      <c r="AF41" s="211"/>
      <c r="AG41" s="212"/>
      <c r="AH41" s="210" t="s">
        <v>77</v>
      </c>
      <c r="AI41" s="211"/>
      <c r="AJ41" s="211"/>
      <c r="AK41" s="211"/>
      <c r="AL41" s="212"/>
      <c r="AM41" s="210" t="s">
        <v>83</v>
      </c>
      <c r="AN41" s="211"/>
      <c r="AO41" s="211"/>
      <c r="AP41" s="212"/>
      <c r="AQ41" s="211" t="s">
        <v>85</v>
      </c>
      <c r="AR41" s="211"/>
      <c r="AS41" s="212"/>
      <c r="AT41" s="305" t="s">
        <v>86</v>
      </c>
      <c r="AU41" s="211"/>
      <c r="AV41" s="211"/>
      <c r="AW41" s="212"/>
      <c r="AX41" s="211" t="s">
        <v>69</v>
      </c>
      <c r="AY41" s="211"/>
      <c r="AZ41" s="211"/>
      <c r="BA41" s="212"/>
      <c r="BB41" s="28"/>
      <c r="BC41" s="491"/>
      <c r="BD41" s="28"/>
      <c r="BG41" s="35"/>
    </row>
    <row r="42" spans="1:59" ht="13.5" customHeight="1">
      <c r="A42" s="22"/>
      <c r="B42" s="202">
        <v>7</v>
      </c>
      <c r="C42" s="306"/>
      <c r="D42" s="213" t="s">
        <v>30</v>
      </c>
      <c r="E42" s="216"/>
      <c r="F42" s="214"/>
      <c r="G42" s="215"/>
      <c r="H42" s="213" t="s">
        <v>30</v>
      </c>
      <c r="I42" s="216"/>
      <c r="J42" s="216"/>
      <c r="K42" s="216"/>
      <c r="L42" s="214"/>
      <c r="M42" s="215"/>
      <c r="N42" s="213" t="s">
        <v>30</v>
      </c>
      <c r="O42" s="214"/>
      <c r="P42" s="214"/>
      <c r="Q42" s="215"/>
      <c r="R42" s="213" t="s">
        <v>30</v>
      </c>
      <c r="S42" s="216"/>
      <c r="T42" s="214"/>
      <c r="U42" s="214"/>
      <c r="V42" s="217" t="s">
        <v>88</v>
      </c>
      <c r="W42" s="218"/>
      <c r="X42" s="219"/>
      <c r="Y42" s="220"/>
      <c r="Z42" s="218" t="s">
        <v>43</v>
      </c>
      <c r="AA42" s="218"/>
      <c r="AB42" s="219"/>
      <c r="AC42" s="220"/>
      <c r="AD42" s="218" t="s">
        <v>43</v>
      </c>
      <c r="AE42" s="218"/>
      <c r="AF42" s="219"/>
      <c r="AG42" s="220"/>
      <c r="AH42" s="217" t="s">
        <v>30</v>
      </c>
      <c r="AI42" s="218"/>
      <c r="AJ42" s="218"/>
      <c r="AK42" s="219"/>
      <c r="AL42" s="220"/>
      <c r="AM42" s="217" t="s">
        <v>43</v>
      </c>
      <c r="AN42" s="218"/>
      <c r="AO42" s="219"/>
      <c r="AP42" s="220"/>
      <c r="AQ42" s="218" t="s">
        <v>43</v>
      </c>
      <c r="AR42" s="218"/>
      <c r="AS42" s="220"/>
      <c r="AT42" s="307" t="s">
        <v>43</v>
      </c>
      <c r="AU42" s="218"/>
      <c r="AV42" s="219"/>
      <c r="AW42" s="220"/>
      <c r="AX42" s="218" t="s">
        <v>43</v>
      </c>
      <c r="AY42" s="218"/>
      <c r="AZ42" s="219"/>
      <c r="BA42" s="220"/>
      <c r="BB42" s="28"/>
      <c r="BC42" s="491"/>
      <c r="BD42" s="28"/>
      <c r="BG42" s="35"/>
    </row>
    <row r="43" spans="1:59" ht="13.5" customHeight="1">
      <c r="A43" s="22"/>
      <c r="B43" s="202">
        <v>8</v>
      </c>
      <c r="C43" s="308">
        <v>1</v>
      </c>
      <c r="D43" s="148" t="s">
        <v>90</v>
      </c>
      <c r="E43" s="149"/>
      <c r="F43" s="149"/>
      <c r="G43" s="151"/>
      <c r="H43" s="242" t="s">
        <v>91</v>
      </c>
      <c r="I43" s="150"/>
      <c r="J43" s="150"/>
      <c r="K43" s="150"/>
      <c r="L43" s="161"/>
      <c r="M43" s="162"/>
      <c r="N43" s="242" t="s">
        <v>92</v>
      </c>
      <c r="O43" s="150"/>
      <c r="P43" s="150"/>
      <c r="Q43" s="99" t="s">
        <v>33</v>
      </c>
      <c r="R43" s="958">
        <v>5000</v>
      </c>
      <c r="S43" s="959"/>
      <c r="T43" s="959"/>
      <c r="U43" s="960"/>
      <c r="V43" s="946">
        <v>122.5</v>
      </c>
      <c r="W43" s="968"/>
      <c r="X43" s="968"/>
      <c r="Y43" s="969"/>
      <c r="Z43" s="946">
        <v>125</v>
      </c>
      <c r="AA43" s="968"/>
      <c r="AB43" s="968"/>
      <c r="AC43" s="969"/>
      <c r="AD43" s="946">
        <v>124</v>
      </c>
      <c r="AE43" s="968"/>
      <c r="AF43" s="968"/>
      <c r="AG43" s="969"/>
      <c r="AH43" s="946">
        <v>94.52</v>
      </c>
      <c r="AI43" s="968"/>
      <c r="AJ43" s="968"/>
      <c r="AK43" s="968"/>
      <c r="AL43" s="969"/>
      <c r="AM43" s="946">
        <v>125</v>
      </c>
      <c r="AN43" s="968"/>
      <c r="AO43" s="968"/>
      <c r="AP43" s="969"/>
      <c r="AQ43" s="970">
        <v>10.3</v>
      </c>
      <c r="AR43" s="971"/>
      <c r="AS43" s="972"/>
      <c r="AT43" s="309" t="s">
        <v>96</v>
      </c>
      <c r="AU43" s="150"/>
      <c r="AV43" s="150"/>
      <c r="AW43" s="152"/>
      <c r="AX43" s="149" t="s">
        <v>30</v>
      </c>
      <c r="AY43" s="150"/>
      <c r="AZ43" s="150"/>
      <c r="BA43" s="152"/>
      <c r="BB43" s="28"/>
      <c r="BC43" s="491"/>
      <c r="BD43" s="28"/>
      <c r="BG43" s="35"/>
    </row>
    <row r="44" spans="1:59" ht="13.5" customHeight="1">
      <c r="A44" s="22"/>
      <c r="B44" s="202">
        <v>9</v>
      </c>
      <c r="C44" s="308">
        <v>2</v>
      </c>
      <c r="D44" s="148" t="s">
        <v>94</v>
      </c>
      <c r="E44" s="149"/>
      <c r="F44" s="149"/>
      <c r="G44" s="151"/>
      <c r="H44" s="242" t="s">
        <v>95</v>
      </c>
      <c r="I44" s="150"/>
      <c r="J44" s="150"/>
      <c r="K44" s="150"/>
      <c r="L44" s="161"/>
      <c r="M44" s="162"/>
      <c r="N44" s="242" t="s">
        <v>92</v>
      </c>
      <c r="O44" s="150"/>
      <c r="P44" s="150"/>
      <c r="Q44" s="99" t="s">
        <v>33</v>
      </c>
      <c r="R44" s="958">
        <v>5000</v>
      </c>
      <c r="S44" s="959"/>
      <c r="T44" s="959"/>
      <c r="U44" s="960"/>
      <c r="V44" s="946">
        <v>39</v>
      </c>
      <c r="W44" s="968"/>
      <c r="X44" s="968"/>
      <c r="Y44" s="969"/>
      <c r="Z44" s="946">
        <v>40</v>
      </c>
      <c r="AA44" s="968"/>
      <c r="AB44" s="968"/>
      <c r="AC44" s="969"/>
      <c r="AD44" s="946">
        <v>40</v>
      </c>
      <c r="AE44" s="968"/>
      <c r="AF44" s="968"/>
      <c r="AG44" s="969"/>
      <c r="AH44" s="946">
        <v>36.89</v>
      </c>
      <c r="AI44" s="968"/>
      <c r="AJ44" s="968"/>
      <c r="AK44" s="968"/>
      <c r="AL44" s="969"/>
      <c r="AM44" s="946">
        <v>41</v>
      </c>
      <c r="AN44" s="968"/>
      <c r="AO44" s="968"/>
      <c r="AP44" s="969"/>
      <c r="AQ44" s="970">
        <v>12.3</v>
      </c>
      <c r="AR44" s="971"/>
      <c r="AS44" s="972"/>
      <c r="AT44" s="309" t="s">
        <v>97</v>
      </c>
      <c r="AU44" s="150"/>
      <c r="AV44" s="150"/>
      <c r="AW44" s="152"/>
      <c r="AX44" s="149" t="s">
        <v>30</v>
      </c>
      <c r="AY44" s="150"/>
      <c r="AZ44" s="150"/>
      <c r="BA44" s="152"/>
      <c r="BB44" s="28"/>
      <c r="BC44" s="491"/>
      <c r="BD44" s="28"/>
      <c r="BG44" s="35"/>
    </row>
    <row r="45" spans="1:59" ht="13.5" customHeight="1">
      <c r="A45" s="22"/>
      <c r="B45" s="202">
        <v>10</v>
      </c>
      <c r="C45" s="310"/>
      <c r="D45" s="65"/>
      <c r="E45" s="65"/>
      <c r="F45" s="65"/>
      <c r="G45" s="65"/>
      <c r="H45" s="65"/>
      <c r="I45" s="65"/>
      <c r="J45" s="65"/>
      <c r="K45" s="65"/>
      <c r="L45" s="65"/>
      <c r="M45" s="62"/>
      <c r="N45" s="63"/>
      <c r="O45" s="65"/>
      <c r="P45" s="65"/>
      <c r="Q45" s="64"/>
      <c r="R45" s="63"/>
      <c r="S45" s="190"/>
      <c r="T45" s="190"/>
      <c r="U45" s="191"/>
      <c r="V45" s="192"/>
      <c r="W45" s="190"/>
      <c r="X45" s="65"/>
      <c r="Y45" s="65"/>
      <c r="Z45" s="65"/>
      <c r="AA45" s="65"/>
      <c r="AB45" s="65"/>
      <c r="AC45" s="65"/>
      <c r="AD45" s="65"/>
      <c r="AE45" s="65"/>
      <c r="AF45" s="65"/>
      <c r="AG45" s="65"/>
      <c r="AH45" s="65"/>
      <c r="AI45" s="65"/>
      <c r="AJ45" s="65"/>
      <c r="AK45" s="65"/>
      <c r="AL45" s="65"/>
      <c r="AM45" s="63"/>
      <c r="AN45" s="63"/>
      <c r="AO45" s="63"/>
      <c r="AP45" s="63"/>
      <c r="AQ45" s="63"/>
      <c r="AR45" s="63"/>
      <c r="AS45" s="63"/>
      <c r="AT45" s="63"/>
      <c r="AU45" s="63"/>
      <c r="AV45" s="63"/>
      <c r="AW45" s="63"/>
      <c r="AX45" s="63"/>
      <c r="AY45" s="63"/>
      <c r="AZ45" s="31"/>
      <c r="BA45" s="35"/>
      <c r="BB45" s="35"/>
      <c r="BC45" s="153"/>
      <c r="BD45" s="28"/>
    </row>
    <row r="46" spans="1:59" ht="13.5" customHeight="1">
      <c r="A46" s="22"/>
      <c r="B46" s="202">
        <v>11</v>
      </c>
      <c r="C46" s="312"/>
      <c r="D46" s="65"/>
      <c r="E46" s="65"/>
      <c r="F46" s="65"/>
      <c r="G46" s="65"/>
      <c r="H46" s="65"/>
      <c r="I46" s="65"/>
      <c r="J46" s="65"/>
      <c r="K46" s="65"/>
      <c r="L46" s="65"/>
      <c r="M46" s="65"/>
      <c r="N46" s="65"/>
      <c r="O46" s="65"/>
      <c r="P46" s="65"/>
      <c r="Q46" s="65"/>
      <c r="R46" s="65"/>
      <c r="S46" s="65"/>
      <c r="T46" s="65"/>
      <c r="U46" s="65"/>
      <c r="V46" s="63"/>
      <c r="W46" s="63"/>
      <c r="X46" s="75"/>
      <c r="Y46" s="63"/>
      <c r="Z46" s="63"/>
      <c r="AA46" s="69"/>
      <c r="AB46" s="65"/>
      <c r="AC46" s="63"/>
      <c r="AD46" s="65"/>
      <c r="AE46" s="65"/>
      <c r="AF46" s="65"/>
      <c r="AG46" s="69"/>
      <c r="AH46" s="65"/>
      <c r="AI46" s="75"/>
      <c r="AJ46" s="63"/>
      <c r="AK46" s="63"/>
      <c r="AL46" s="63"/>
      <c r="AM46" s="63"/>
      <c r="AN46" s="125"/>
      <c r="AO46" s="62"/>
      <c r="AP46" s="62"/>
      <c r="AQ46" s="63"/>
      <c r="AR46" s="63"/>
      <c r="AS46" s="63"/>
      <c r="AT46" s="64"/>
      <c r="AU46" s="63"/>
      <c r="AV46" s="65"/>
      <c r="AW46" s="65"/>
      <c r="AX46" s="65"/>
      <c r="AY46" s="63"/>
      <c r="AZ46" s="31"/>
      <c r="BA46" s="35"/>
      <c r="BB46" s="35"/>
      <c r="BC46" s="153"/>
      <c r="BD46" s="28"/>
    </row>
    <row r="47" spans="1:59" ht="15.75" customHeight="1">
      <c r="A47" s="22"/>
      <c r="B47" s="202">
        <v>12</v>
      </c>
      <c r="C47" s="310"/>
      <c r="D47" s="65"/>
      <c r="E47" s="65"/>
      <c r="F47" s="65"/>
      <c r="G47" s="65"/>
      <c r="H47" s="65"/>
      <c r="I47" s="65"/>
      <c r="J47" s="65"/>
      <c r="K47" s="65"/>
      <c r="L47" s="65"/>
      <c r="M47" s="62"/>
      <c r="N47" s="65"/>
      <c r="O47" s="65"/>
      <c r="P47" s="63"/>
      <c r="Q47" s="64"/>
      <c r="R47" s="63"/>
      <c r="S47" s="63"/>
      <c r="T47" s="65"/>
      <c r="U47" s="63"/>
      <c r="V47" s="65"/>
      <c r="W47" s="63"/>
      <c r="X47" s="63"/>
      <c r="Y47" s="63"/>
      <c r="Z47" s="63"/>
      <c r="AA47" s="63"/>
      <c r="AB47" s="65"/>
      <c r="AC47" s="65"/>
      <c r="AD47" s="62"/>
      <c r="AE47" s="63"/>
      <c r="AF47" s="63"/>
      <c r="AG47" s="65"/>
      <c r="AH47" s="65"/>
      <c r="AI47" s="62"/>
      <c r="AJ47" s="63"/>
      <c r="AK47" s="65"/>
      <c r="AL47" s="63"/>
      <c r="AM47" s="63"/>
      <c r="AN47" s="126"/>
      <c r="AO47" s="65"/>
      <c r="AP47" s="65"/>
      <c r="AQ47" s="125"/>
      <c r="AR47" s="65"/>
      <c r="AS47" s="65"/>
      <c r="AT47" s="63"/>
      <c r="AU47" s="63"/>
      <c r="AV47" s="63"/>
      <c r="AW47" s="63"/>
      <c r="AX47" s="63"/>
      <c r="AY47" s="63"/>
      <c r="AZ47" s="31"/>
      <c r="BA47" s="35"/>
      <c r="BB47" s="35"/>
      <c r="BC47" s="311"/>
      <c r="BD47" s="28"/>
    </row>
    <row r="48" spans="1:59" ht="13.5" customHeight="1">
      <c r="A48" s="22"/>
      <c r="B48" s="202">
        <v>13</v>
      </c>
      <c r="C48" s="310"/>
      <c r="D48" s="65"/>
      <c r="E48" s="65"/>
      <c r="F48" s="65"/>
      <c r="G48" s="65"/>
      <c r="H48" s="84"/>
      <c r="I48" s="65"/>
      <c r="J48" s="65"/>
      <c r="K48" s="65"/>
      <c r="L48" s="65"/>
      <c r="M48" s="126"/>
      <c r="N48" s="65"/>
      <c r="O48" s="65"/>
      <c r="P48" s="65"/>
      <c r="Q48" s="198"/>
      <c r="R48" s="65"/>
      <c r="S48" s="63"/>
      <c r="T48" s="63"/>
      <c r="U48" s="63"/>
      <c r="V48" s="65"/>
      <c r="W48" s="84"/>
      <c r="X48" s="65"/>
      <c r="Y48" s="65"/>
      <c r="Z48" s="65"/>
      <c r="AA48" s="65"/>
      <c r="AB48" s="65"/>
      <c r="AC48" s="65"/>
      <c r="AD48" s="65"/>
      <c r="AE48" s="65"/>
      <c r="AF48" s="65"/>
      <c r="AG48" s="65"/>
      <c r="AH48" s="126"/>
      <c r="AI48" s="65"/>
      <c r="AJ48" s="125"/>
      <c r="AK48" s="65"/>
      <c r="AL48" s="65"/>
      <c r="AM48" s="65"/>
      <c r="AN48" s="65"/>
      <c r="AO48" s="65"/>
      <c r="AP48" s="65"/>
      <c r="AQ48" s="125"/>
      <c r="AR48" s="65"/>
      <c r="AS48" s="125"/>
      <c r="AT48" s="64"/>
      <c r="AU48" s="63"/>
      <c r="AV48" s="65"/>
      <c r="AW48" s="65"/>
      <c r="AX48" s="65"/>
      <c r="AY48" s="63"/>
      <c r="AZ48" s="31"/>
      <c r="BA48" s="35"/>
      <c r="BB48" s="35"/>
      <c r="BC48" s="311"/>
      <c r="BD48" s="28"/>
    </row>
    <row r="49" spans="1:67" ht="13.5" customHeight="1">
      <c r="A49" s="22"/>
      <c r="B49" s="202">
        <v>14</v>
      </c>
      <c r="C49" s="312"/>
      <c r="D49" s="65"/>
      <c r="E49" s="65"/>
      <c r="F49" s="65"/>
      <c r="G49" s="65"/>
      <c r="H49" s="65"/>
      <c r="I49" s="65"/>
      <c r="J49" s="65"/>
      <c r="K49" s="198"/>
      <c r="L49" s="65"/>
      <c r="M49" s="65"/>
      <c r="N49" s="65"/>
      <c r="O49" s="65"/>
      <c r="P49" s="65"/>
      <c r="Q49" s="198"/>
      <c r="R49" s="65"/>
      <c r="S49" s="65"/>
      <c r="T49" s="65"/>
      <c r="U49" s="198"/>
      <c r="V49" s="65"/>
      <c r="W49" s="65"/>
      <c r="X49" s="65"/>
      <c r="Y49" s="65"/>
      <c r="Z49" s="65"/>
      <c r="AA49" s="65"/>
      <c r="AB49" s="65"/>
      <c r="AC49" s="65"/>
      <c r="AD49" s="65"/>
      <c r="AE49" s="65"/>
      <c r="AF49" s="65"/>
      <c r="AG49" s="65"/>
      <c r="AH49" s="65"/>
      <c r="AI49" s="65"/>
      <c r="AJ49" s="125"/>
      <c r="AK49" s="112"/>
      <c r="AL49" s="62"/>
      <c r="AM49" s="63"/>
      <c r="AN49" s="63"/>
      <c r="AO49" s="63"/>
      <c r="AP49" s="63"/>
      <c r="AQ49" s="64"/>
      <c r="AR49" s="63"/>
      <c r="AS49" s="65"/>
      <c r="AT49" s="65"/>
      <c r="AU49" s="65"/>
      <c r="AV49" s="65"/>
      <c r="AW49" s="65"/>
      <c r="AX49" s="65"/>
      <c r="AY49" s="63"/>
      <c r="AZ49" s="31"/>
      <c r="BA49" s="35"/>
      <c r="BB49" s="35"/>
      <c r="BC49" s="311"/>
      <c r="BD49" s="28"/>
    </row>
    <row r="50" spans="1:67" ht="13.5" customHeight="1">
      <c r="A50" s="22"/>
      <c r="B50" s="202">
        <v>15</v>
      </c>
      <c r="C50" s="475" t="s">
        <v>244</v>
      </c>
      <c r="D50" s="223"/>
      <c r="E50" s="224"/>
      <c r="F50" s="223"/>
      <c r="G50" s="224"/>
      <c r="H50" s="225"/>
      <c r="I50" s="226"/>
      <c r="J50" s="227"/>
      <c r="K50" s="227"/>
      <c r="L50" s="227"/>
      <c r="M50" s="228"/>
      <c r="N50" s="227"/>
      <c r="O50" s="227"/>
      <c r="P50" s="227"/>
      <c r="Q50" s="229"/>
      <c r="R50" s="227"/>
      <c r="S50" s="227"/>
      <c r="T50" s="227"/>
      <c r="U50" s="227"/>
      <c r="V50" s="227"/>
      <c r="W50" s="229"/>
      <c r="X50" s="227"/>
      <c r="Y50" s="227"/>
      <c r="Z50" s="227"/>
      <c r="AA50" s="229"/>
      <c r="AB50" s="227"/>
      <c r="AC50" s="227"/>
      <c r="AD50" s="227"/>
      <c r="AE50" s="227"/>
      <c r="AF50" s="227"/>
      <c r="AG50" s="232"/>
      <c r="AH50" s="227"/>
      <c r="AI50" s="227"/>
      <c r="AJ50" s="227"/>
      <c r="AK50" s="227"/>
      <c r="AL50" s="227"/>
      <c r="AM50" s="227"/>
      <c r="AN50" s="227"/>
      <c r="AO50" s="227"/>
      <c r="AP50" s="227"/>
      <c r="AQ50" s="230"/>
      <c r="AR50" s="227"/>
      <c r="AS50" s="230"/>
      <c r="AT50" s="227"/>
      <c r="AU50" s="227"/>
      <c r="AV50" s="227"/>
      <c r="AW50" s="227"/>
      <c r="AX50" s="227"/>
      <c r="AY50" s="224"/>
      <c r="AZ50" s="224"/>
      <c r="BA50" s="231"/>
      <c r="BB50" s="231"/>
      <c r="BC50" s="314"/>
      <c r="BD50" s="28"/>
    </row>
    <row r="51" spans="1:67" ht="13.5" customHeight="1">
      <c r="A51" s="22"/>
      <c r="B51" s="202">
        <v>16</v>
      </c>
      <c r="C51" s="310"/>
      <c r="D51" s="65"/>
      <c r="E51" s="65"/>
      <c r="F51" s="65"/>
      <c r="G51" s="65"/>
      <c r="H51" s="65"/>
      <c r="I51" s="65"/>
      <c r="J51" s="65"/>
      <c r="K51" s="65"/>
      <c r="L51" s="65"/>
      <c r="M51" s="62"/>
      <c r="N51" s="65"/>
      <c r="O51" s="65"/>
      <c r="P51" s="63"/>
      <c r="Q51" s="64"/>
      <c r="R51" s="63"/>
      <c r="S51" s="111"/>
      <c r="T51" s="112"/>
      <c r="U51" s="111"/>
      <c r="V51" s="112"/>
      <c r="W51" s="111"/>
      <c r="X51" s="111"/>
      <c r="Y51" s="111"/>
      <c r="Z51" s="111"/>
      <c r="AA51" s="65"/>
      <c r="AB51" s="65"/>
      <c r="AC51" s="65"/>
      <c r="AD51" s="65"/>
      <c r="AE51" s="65"/>
      <c r="AF51" s="65"/>
      <c r="AG51" s="65"/>
      <c r="AH51" s="65"/>
      <c r="AI51" s="65"/>
      <c r="AJ51" s="65"/>
      <c r="AK51" s="65"/>
      <c r="AL51" s="65"/>
      <c r="AM51" s="65"/>
      <c r="AN51" s="65"/>
      <c r="AO51" s="65"/>
      <c r="AP51" s="65"/>
      <c r="AQ51" s="65"/>
      <c r="AR51" s="65"/>
      <c r="AS51" s="65"/>
      <c r="AT51" s="65"/>
      <c r="AU51" s="65"/>
      <c r="AV51" s="65"/>
      <c r="AW51" s="65"/>
      <c r="AX51" s="65"/>
      <c r="AY51" s="63"/>
      <c r="AZ51" s="53"/>
      <c r="BA51" s="323"/>
      <c r="BB51" s="324"/>
      <c r="BC51" s="325"/>
      <c r="BD51" s="28"/>
    </row>
    <row r="52" spans="1:67" ht="13.5" customHeight="1">
      <c r="A52" s="22"/>
      <c r="B52" s="202">
        <v>17</v>
      </c>
      <c r="C52" s="310"/>
      <c r="D52" s="65"/>
      <c r="E52" s="65"/>
      <c r="F52" s="65"/>
      <c r="G52" s="65"/>
      <c r="H52" s="126"/>
      <c r="I52" s="65"/>
      <c r="J52" s="65"/>
      <c r="K52" s="65"/>
      <c r="L52" s="198"/>
      <c r="M52" s="65"/>
      <c r="N52" s="65"/>
      <c r="O52" s="65"/>
      <c r="P52" s="198"/>
      <c r="Q52" s="65"/>
      <c r="R52" s="65"/>
      <c r="S52" s="65"/>
      <c r="T52" s="198"/>
      <c r="U52" s="65"/>
      <c r="V52" s="65"/>
      <c r="W52" s="65"/>
      <c r="X52" s="65"/>
      <c r="Y52" s="65"/>
      <c r="Z52" s="65"/>
      <c r="AA52" s="65"/>
      <c r="AB52" s="65"/>
      <c r="AC52" s="65"/>
      <c r="AD52" s="65"/>
      <c r="AE52" s="65"/>
      <c r="AF52" s="65"/>
      <c r="AG52" s="65"/>
      <c r="AH52" s="65"/>
      <c r="AI52" s="65"/>
      <c r="AJ52" s="65"/>
      <c r="AK52" s="125"/>
      <c r="AL52" s="65"/>
      <c r="AM52" s="65"/>
      <c r="AN52" s="65"/>
      <c r="AO52" s="65"/>
      <c r="AP52" s="65"/>
      <c r="AQ52" s="65"/>
      <c r="AR52" s="65"/>
      <c r="AS52" s="65"/>
      <c r="AT52" s="65"/>
      <c r="AU52" s="65"/>
      <c r="AV52" s="65"/>
      <c r="AW52" s="65"/>
      <c r="AX52" s="65"/>
      <c r="AY52" s="63"/>
      <c r="AZ52" s="31"/>
      <c r="BA52" s="30"/>
      <c r="BB52" s="175"/>
      <c r="BC52" s="326"/>
      <c r="BD52" s="28"/>
    </row>
    <row r="53" spans="1:67" ht="5.15" customHeight="1">
      <c r="A53" s="22"/>
      <c r="B53" s="202"/>
      <c r="C53" s="315"/>
      <c r="D53" s="73"/>
      <c r="E53" s="73"/>
      <c r="F53" s="73"/>
      <c r="G53" s="73"/>
      <c r="H53" s="316"/>
      <c r="I53" s="275"/>
      <c r="J53" s="273"/>
      <c r="K53" s="275"/>
      <c r="L53" s="273"/>
      <c r="M53" s="317"/>
      <c r="N53" s="317"/>
      <c r="O53" s="270"/>
      <c r="P53" s="317"/>
      <c r="Q53" s="270"/>
      <c r="R53" s="317"/>
      <c r="S53" s="73"/>
      <c r="T53" s="73"/>
      <c r="U53" s="73"/>
      <c r="V53" s="73"/>
      <c r="W53" s="73"/>
      <c r="X53" s="316"/>
      <c r="Y53" s="275"/>
      <c r="Z53" s="273"/>
      <c r="AA53" s="275"/>
      <c r="AB53" s="273"/>
      <c r="AC53" s="317"/>
      <c r="AD53" s="317"/>
      <c r="AE53" s="270"/>
      <c r="AF53" s="317"/>
      <c r="AG53" s="270"/>
      <c r="AH53" s="317"/>
      <c r="AI53" s="276"/>
      <c r="AJ53" s="317"/>
      <c r="AK53" s="270"/>
      <c r="AL53" s="73"/>
      <c r="AM53" s="73"/>
      <c r="AN53" s="73"/>
      <c r="AO53" s="73"/>
      <c r="AP53" s="73"/>
      <c r="AQ53" s="73"/>
      <c r="AR53" s="73"/>
      <c r="AS53" s="73"/>
      <c r="AT53" s="73"/>
      <c r="AU53" s="73"/>
      <c r="AV53" s="318"/>
      <c r="AW53" s="73"/>
      <c r="AX53" s="73"/>
      <c r="AY53" s="269"/>
      <c r="AZ53" s="269"/>
      <c r="BA53" s="319"/>
      <c r="BB53" s="320"/>
      <c r="BC53" s="321"/>
      <c r="BD53" s="28"/>
    </row>
    <row r="54" spans="1:67" ht="13.5" customHeight="1">
      <c r="A54" s="22"/>
      <c r="B54" s="202">
        <v>18</v>
      </c>
      <c r="C54" s="75"/>
      <c r="D54" s="63"/>
      <c r="E54" s="63"/>
      <c r="F54" s="63"/>
      <c r="G54" s="63"/>
      <c r="H54" s="69"/>
      <c r="I54" s="69"/>
      <c r="J54" s="65"/>
      <c r="K54" s="69"/>
      <c r="L54" s="65"/>
      <c r="M54" s="69"/>
      <c r="N54" s="64"/>
      <c r="O54" s="69"/>
      <c r="P54" s="65"/>
      <c r="Q54" s="65"/>
      <c r="R54" s="65"/>
      <c r="S54" s="63"/>
      <c r="T54" s="63"/>
      <c r="U54" s="63"/>
      <c r="V54" s="63"/>
      <c r="W54" s="63"/>
      <c r="X54" s="64"/>
      <c r="Y54" s="63"/>
      <c r="Z54" s="65"/>
      <c r="AA54" s="64"/>
      <c r="AB54" s="63"/>
      <c r="AC54" s="65"/>
      <c r="AD54" s="64"/>
      <c r="AE54" s="65"/>
      <c r="AF54" s="65"/>
      <c r="AG54" s="64"/>
      <c r="AH54" s="65"/>
      <c r="AI54" s="65"/>
      <c r="AJ54" s="126"/>
      <c r="AK54" s="65"/>
      <c r="AL54" s="65"/>
      <c r="AM54" s="65"/>
      <c r="AN54" s="65"/>
      <c r="AO54" s="65"/>
      <c r="AP54" s="65"/>
      <c r="AQ54" s="65"/>
      <c r="AR54" s="65"/>
      <c r="AS54" s="65"/>
      <c r="AT54" s="65"/>
      <c r="AU54" s="65"/>
      <c r="AV54" s="65"/>
      <c r="AW54" s="65"/>
      <c r="AX54" s="65"/>
      <c r="AY54" s="63"/>
      <c r="AZ54" s="264"/>
      <c r="BA54" s="301"/>
      <c r="BB54" s="302"/>
      <c r="BC54" s="343"/>
      <c r="BD54" s="28"/>
    </row>
    <row r="55" spans="1:67" ht="13.5" customHeight="1">
      <c r="A55" s="22"/>
      <c r="B55" s="202">
        <v>20</v>
      </c>
      <c r="C55" s="204" t="s">
        <v>78</v>
      </c>
      <c r="D55" s="28"/>
      <c r="E55" s="28"/>
      <c r="F55" s="28"/>
      <c r="G55" s="28"/>
      <c r="H55" s="121"/>
      <c r="I55" s="62"/>
      <c r="J55" s="63"/>
      <c r="K55" s="62"/>
      <c r="L55" s="63"/>
      <c r="M55" s="69"/>
      <c r="N55" s="69"/>
      <c r="O55" s="65"/>
      <c r="P55" s="69"/>
      <c r="Q55" s="65"/>
      <c r="R55" s="69"/>
      <c r="S55" s="28"/>
      <c r="T55" s="28"/>
      <c r="U55" s="28"/>
      <c r="V55" s="28"/>
      <c r="W55" s="28"/>
      <c r="X55" s="121"/>
      <c r="Y55" s="62"/>
      <c r="Z55" s="63"/>
      <c r="AA55" s="62"/>
      <c r="AB55" s="63"/>
      <c r="AC55" s="69"/>
      <c r="AD55" s="69"/>
      <c r="AE55" s="65"/>
      <c r="AF55" s="69"/>
      <c r="AG55" s="65"/>
      <c r="AH55" s="69"/>
      <c r="AI55" s="64"/>
      <c r="AJ55" s="69"/>
      <c r="AK55" s="65"/>
      <c r="AL55" s="28"/>
      <c r="AM55" s="28"/>
      <c r="AN55" s="28"/>
      <c r="AO55" s="28"/>
      <c r="AP55" s="28"/>
      <c r="AQ55" s="28"/>
      <c r="AR55" s="28"/>
      <c r="AS55" s="28"/>
      <c r="AT55" s="28"/>
      <c r="AU55" s="28"/>
      <c r="AV55" s="233" t="s">
        <v>72</v>
      </c>
      <c r="AW55" s="28"/>
      <c r="AX55" s="28"/>
      <c r="AY55" s="31"/>
      <c r="AZ55" s="269"/>
      <c r="BA55" s="319"/>
      <c r="BB55" s="320"/>
      <c r="BC55" s="344"/>
      <c r="BD55" s="28"/>
    </row>
    <row r="56" spans="1:67" ht="5.15" customHeight="1">
      <c r="A56" s="22"/>
      <c r="B56" s="202"/>
      <c r="C56" s="296"/>
      <c r="D56" s="72"/>
      <c r="E56" s="72"/>
      <c r="F56" s="72"/>
      <c r="G56" s="72"/>
      <c r="H56" s="297"/>
      <c r="I56" s="278"/>
      <c r="J56" s="279"/>
      <c r="K56" s="278"/>
      <c r="L56" s="279"/>
      <c r="M56" s="298"/>
      <c r="N56" s="298"/>
      <c r="O56" s="263"/>
      <c r="P56" s="298"/>
      <c r="Q56" s="263"/>
      <c r="R56" s="298"/>
      <c r="S56" s="72"/>
      <c r="T56" s="72"/>
      <c r="U56" s="72"/>
      <c r="V56" s="72"/>
      <c r="W56" s="72"/>
      <c r="X56" s="297"/>
      <c r="Y56" s="278"/>
      <c r="Z56" s="279"/>
      <c r="AA56" s="278"/>
      <c r="AB56" s="279"/>
      <c r="AC56" s="298"/>
      <c r="AD56" s="298"/>
      <c r="AE56" s="263"/>
      <c r="AF56" s="298"/>
      <c r="AG56" s="263"/>
      <c r="AH56" s="298"/>
      <c r="AI56" s="280"/>
      <c r="AJ56" s="298"/>
      <c r="AK56" s="263"/>
      <c r="AL56" s="72"/>
      <c r="AM56" s="72"/>
      <c r="AN56" s="72"/>
      <c r="AO56" s="72"/>
      <c r="AP56" s="72"/>
      <c r="AQ56" s="72"/>
      <c r="AR56" s="72"/>
      <c r="AS56" s="72"/>
      <c r="AT56" s="72"/>
      <c r="AU56" s="72"/>
      <c r="AV56" s="300"/>
      <c r="AW56" s="72"/>
      <c r="AX56" s="72"/>
      <c r="AY56" s="264"/>
      <c r="AZ56" s="264"/>
      <c r="BA56" s="301"/>
      <c r="BB56" s="302"/>
      <c r="BC56" s="303"/>
      <c r="BD56" s="28"/>
    </row>
    <row r="57" spans="1:67" ht="13.5" customHeight="1">
      <c r="A57" s="22"/>
      <c r="B57" s="202">
        <v>21</v>
      </c>
      <c r="C57" s="304" t="s">
        <v>32</v>
      </c>
      <c r="D57" s="234" t="s">
        <v>260</v>
      </c>
      <c r="E57" s="235"/>
      <c r="F57" s="234" t="s">
        <v>64</v>
      </c>
      <c r="G57" s="235"/>
      <c r="H57" s="235"/>
      <c r="I57" s="236"/>
      <c r="J57" s="237" t="s">
        <v>34</v>
      </c>
      <c r="K57" s="238"/>
      <c r="L57" s="238"/>
      <c r="M57" s="238"/>
      <c r="N57" s="235"/>
      <c r="O57" s="236"/>
      <c r="P57" s="239" t="s">
        <v>67</v>
      </c>
      <c r="Q57" s="240"/>
      <c r="R57" s="240"/>
      <c r="S57" s="241"/>
      <c r="T57" s="234" t="s">
        <v>79</v>
      </c>
      <c r="U57" s="235"/>
      <c r="V57" s="235"/>
      <c r="W57" s="236"/>
      <c r="X57" s="234" t="s">
        <v>80</v>
      </c>
      <c r="Y57" s="235"/>
      <c r="Z57" s="235"/>
      <c r="AA57" s="235"/>
      <c r="AB57" s="239" t="s">
        <v>65</v>
      </c>
      <c r="AC57" s="240"/>
      <c r="AD57" s="240"/>
      <c r="AE57" s="240"/>
      <c r="AF57" s="241"/>
      <c r="AG57" s="240" t="s">
        <v>68</v>
      </c>
      <c r="AH57" s="240"/>
      <c r="AI57" s="240"/>
      <c r="AJ57" s="241"/>
      <c r="AK57" s="240" t="s">
        <v>66</v>
      </c>
      <c r="AL57" s="240"/>
      <c r="AM57" s="240"/>
      <c r="AN57" s="241"/>
      <c r="AO57" s="239" t="s">
        <v>81</v>
      </c>
      <c r="AP57" s="240"/>
      <c r="AQ57" s="240"/>
      <c r="AR57" s="241"/>
      <c r="AS57" s="239" t="s">
        <v>82</v>
      </c>
      <c r="AT57" s="240"/>
      <c r="AU57" s="240"/>
      <c r="AV57" s="240"/>
      <c r="AW57" s="239" t="s">
        <v>83</v>
      </c>
      <c r="AX57" s="240"/>
      <c r="AY57" s="240"/>
      <c r="AZ57" s="241"/>
      <c r="BA57" s="239" t="s">
        <v>84</v>
      </c>
      <c r="BB57" s="240"/>
      <c r="BC57" s="240"/>
      <c r="BD57" s="241"/>
      <c r="BE57" s="240" t="s">
        <v>85</v>
      </c>
      <c r="BF57" s="240"/>
      <c r="BG57" s="241"/>
      <c r="BH57" s="240" t="s">
        <v>86</v>
      </c>
      <c r="BI57" s="240"/>
      <c r="BJ57" s="240"/>
      <c r="BK57" s="241"/>
      <c r="BL57" s="240" t="s">
        <v>69</v>
      </c>
      <c r="BM57" s="240"/>
      <c r="BN57" s="240"/>
      <c r="BO57" s="241"/>
    </row>
    <row r="58" spans="1:67" ht="13.5" customHeight="1">
      <c r="A58" s="22"/>
      <c r="B58" s="202">
        <v>22</v>
      </c>
      <c r="C58" s="308">
        <v>1</v>
      </c>
      <c r="D58" s="148" t="str">
        <f>N43</f>
        <v>R</v>
      </c>
      <c r="E58" s="149"/>
      <c r="F58" s="148" t="str">
        <f>D43</f>
        <v>1130511471</v>
      </c>
      <c r="G58" s="149"/>
      <c r="H58" s="149"/>
      <c r="I58" s="151"/>
      <c r="J58" s="242" t="str">
        <f>H43</f>
        <v>RP17-13RA-12SD(71)</v>
      </c>
      <c r="K58" s="150"/>
      <c r="L58" s="150"/>
      <c r="M58" s="150"/>
      <c r="N58" s="161"/>
      <c r="O58" s="162"/>
      <c r="P58" s="148" t="s">
        <v>93</v>
      </c>
      <c r="Q58" s="150"/>
      <c r="R58" s="150"/>
      <c r="S58" s="162"/>
      <c r="T58" s="958">
        <f>R43</f>
        <v>5000</v>
      </c>
      <c r="U58" s="959"/>
      <c r="V58" s="959"/>
      <c r="W58" s="960"/>
      <c r="X58" s="955">
        <f>AH43</f>
        <v>94.52</v>
      </c>
      <c r="Y58" s="956"/>
      <c r="Z58" s="956"/>
      <c r="AA58" s="957"/>
      <c r="AB58" s="955">
        <f>V43</f>
        <v>122.5</v>
      </c>
      <c r="AC58" s="956"/>
      <c r="AD58" s="956"/>
      <c r="AE58" s="956"/>
      <c r="AF58" s="957"/>
      <c r="AG58" s="955">
        <f>Z43</f>
        <v>125</v>
      </c>
      <c r="AH58" s="956"/>
      <c r="AI58" s="956"/>
      <c r="AJ58" s="957"/>
      <c r="AK58" s="955">
        <f>AD43</f>
        <v>124</v>
      </c>
      <c r="AL58" s="956"/>
      <c r="AM58" s="956"/>
      <c r="AN58" s="957"/>
      <c r="AO58" s="952">
        <f>1-X58/AK58</f>
        <v>0.23774193548387101</v>
      </c>
      <c r="AP58" s="953"/>
      <c r="AQ58" s="953"/>
      <c r="AR58" s="954"/>
      <c r="AS58" s="979">
        <f>(AK58-AG58)/AG58</f>
        <v>-8.0000000000000002E-3</v>
      </c>
      <c r="AT58" s="980"/>
      <c r="AU58" s="980"/>
      <c r="AV58" s="981"/>
      <c r="AW58" s="148"/>
      <c r="AX58" s="150"/>
      <c r="AY58" s="150"/>
      <c r="AZ58" s="162"/>
      <c r="BA58" s="982">
        <f>1-(AD43/AM43)</f>
        <v>8.0000000000000071E-3</v>
      </c>
      <c r="BB58" s="983"/>
      <c r="BC58" s="983"/>
      <c r="BD58" s="984"/>
      <c r="BE58" s="970">
        <f>AQ43</f>
        <v>10.3</v>
      </c>
      <c r="BF58" s="971"/>
      <c r="BG58" s="972"/>
      <c r="BH58" s="149" t="str">
        <f>AT43</f>
        <v>SMK</v>
      </c>
      <c r="BI58" s="150"/>
      <c r="BJ58" s="150"/>
      <c r="BK58" s="152"/>
      <c r="BL58" s="149" t="s">
        <v>30</v>
      </c>
      <c r="BM58" s="150"/>
      <c r="BN58" s="150"/>
      <c r="BO58" s="152"/>
    </row>
    <row r="59" spans="1:67" ht="13.5" customHeight="1">
      <c r="A59" s="22"/>
      <c r="B59" s="202">
        <v>23</v>
      </c>
      <c r="C59" s="308">
        <v>2</v>
      </c>
      <c r="D59" s="148" t="str">
        <f>N44</f>
        <v>R</v>
      </c>
      <c r="E59" s="149"/>
      <c r="F59" s="148" t="str">
        <f>D44</f>
        <v>1135042200</v>
      </c>
      <c r="G59" s="149"/>
      <c r="H59" s="149"/>
      <c r="I59" s="151"/>
      <c r="J59" s="242" t="str">
        <f>H44</f>
        <v>RP34-8R-3PDL</v>
      </c>
      <c r="K59" s="150"/>
      <c r="L59" s="150"/>
      <c r="M59" s="150"/>
      <c r="N59" s="161"/>
      <c r="O59" s="162"/>
      <c r="P59" s="148" t="s">
        <v>93</v>
      </c>
      <c r="Q59" s="150"/>
      <c r="R59" s="150"/>
      <c r="S59" s="162"/>
      <c r="T59" s="958">
        <f>R44</f>
        <v>5000</v>
      </c>
      <c r="U59" s="959"/>
      <c r="V59" s="959"/>
      <c r="W59" s="960"/>
      <c r="X59" s="955">
        <f>AH44</f>
        <v>36.89</v>
      </c>
      <c r="Y59" s="956"/>
      <c r="Z59" s="956"/>
      <c r="AA59" s="957"/>
      <c r="AB59" s="955">
        <f>V44</f>
        <v>39</v>
      </c>
      <c r="AC59" s="956"/>
      <c r="AD59" s="956"/>
      <c r="AE59" s="956"/>
      <c r="AF59" s="957"/>
      <c r="AG59" s="955">
        <f>Z44</f>
        <v>40</v>
      </c>
      <c r="AH59" s="956"/>
      <c r="AI59" s="956"/>
      <c r="AJ59" s="957"/>
      <c r="AK59" s="955">
        <f>AD44</f>
        <v>40</v>
      </c>
      <c r="AL59" s="956"/>
      <c r="AM59" s="956"/>
      <c r="AN59" s="957"/>
      <c r="AO59" s="952">
        <f>1-X59/AK59</f>
        <v>7.7749999999999986E-2</v>
      </c>
      <c r="AP59" s="953"/>
      <c r="AQ59" s="953"/>
      <c r="AR59" s="954"/>
      <c r="AS59" s="979">
        <f>(AK59-AG59)/AG59</f>
        <v>0</v>
      </c>
      <c r="AT59" s="980"/>
      <c r="AU59" s="980"/>
      <c r="AV59" s="981"/>
      <c r="AW59" s="148"/>
      <c r="AX59" s="150"/>
      <c r="AY59" s="150"/>
      <c r="AZ59" s="162"/>
      <c r="BA59" s="982">
        <f>1-(AD44/AM44)</f>
        <v>2.4390243902439046E-2</v>
      </c>
      <c r="BB59" s="983"/>
      <c r="BC59" s="983"/>
      <c r="BD59" s="984"/>
      <c r="BE59" s="970">
        <f>AQ44</f>
        <v>12.3</v>
      </c>
      <c r="BF59" s="971"/>
      <c r="BG59" s="972"/>
      <c r="BH59" s="149" t="str">
        <f>AT44</f>
        <v>中国</v>
      </c>
      <c r="BI59" s="150"/>
      <c r="BJ59" s="150"/>
      <c r="BK59" s="152"/>
      <c r="BL59" s="149" t="s">
        <v>30</v>
      </c>
      <c r="BM59" s="150"/>
      <c r="BN59" s="150"/>
      <c r="BO59" s="152"/>
    </row>
    <row r="60" spans="1:67" ht="13.5" customHeight="1">
      <c r="A60" s="22"/>
      <c r="B60" s="202">
        <v>20</v>
      </c>
      <c r="C60" s="337" t="s">
        <v>281</v>
      </c>
      <c r="D60" s="28"/>
      <c r="E60" s="28"/>
      <c r="F60" s="28"/>
      <c r="G60" s="28"/>
      <c r="H60" s="121"/>
      <c r="I60" s="62"/>
      <c r="J60" s="63"/>
      <c r="K60" s="62"/>
      <c r="L60" s="63"/>
      <c r="M60" s="69"/>
      <c r="N60" s="69"/>
      <c r="O60" s="65"/>
      <c r="P60" s="69"/>
      <c r="Q60" s="65"/>
      <c r="R60" s="69"/>
      <c r="S60" s="28"/>
      <c r="T60" s="28"/>
      <c r="U60" s="28"/>
      <c r="V60" s="28"/>
      <c r="W60" s="28"/>
      <c r="X60" s="121"/>
      <c r="Y60" s="62"/>
      <c r="Z60" s="63"/>
      <c r="AA60" s="62"/>
      <c r="AB60" s="63"/>
      <c r="AC60" s="69"/>
      <c r="AD60" s="69"/>
      <c r="AE60" s="65"/>
      <c r="AF60" s="69"/>
      <c r="AG60" s="65"/>
      <c r="AH60" s="69"/>
      <c r="AI60" s="64"/>
      <c r="AJ60" s="69"/>
      <c r="AK60" s="65"/>
      <c r="AL60" s="28"/>
      <c r="AM60" s="28"/>
      <c r="AN60" s="28"/>
      <c r="AO60" s="28"/>
      <c r="AP60" s="28"/>
      <c r="AQ60" s="28"/>
      <c r="AR60" s="28"/>
      <c r="AS60" s="28"/>
      <c r="AT60" s="28"/>
      <c r="AU60" s="28"/>
      <c r="AV60" s="233"/>
      <c r="AW60" s="28"/>
      <c r="AX60" s="28"/>
      <c r="AY60" s="31"/>
      <c r="AZ60" s="95"/>
      <c r="BA60" s="92"/>
      <c r="BB60" s="329"/>
      <c r="BC60" s="338"/>
      <c r="BD60" s="37"/>
      <c r="BE60" s="37"/>
    </row>
    <row r="61" spans="1:67" ht="13.5" customHeight="1">
      <c r="A61" s="22"/>
      <c r="B61" s="202">
        <v>24</v>
      </c>
      <c r="C61" s="304"/>
      <c r="D61" s="502" t="s">
        <v>280</v>
      </c>
      <c r="E61" s="503"/>
      <c r="F61" s="504" t="s">
        <v>30</v>
      </c>
      <c r="G61" s="503"/>
      <c r="H61" s="503"/>
      <c r="I61" s="505"/>
      <c r="J61" s="504" t="s">
        <v>30</v>
      </c>
      <c r="K61" s="506"/>
      <c r="L61" s="506"/>
      <c r="M61" s="506"/>
      <c r="N61" s="503"/>
      <c r="O61" s="505"/>
      <c r="P61" s="507"/>
      <c r="Q61" s="508"/>
      <c r="R61" s="508"/>
      <c r="S61" s="509"/>
      <c r="T61" s="502"/>
      <c r="U61" s="503"/>
      <c r="V61" s="503"/>
      <c r="W61" s="505"/>
      <c r="X61" s="508"/>
      <c r="Y61" s="503"/>
      <c r="Z61" s="503"/>
      <c r="AA61" s="503"/>
      <c r="AB61" s="507" t="s">
        <v>98</v>
      </c>
      <c r="AC61" s="508"/>
      <c r="AD61" s="508"/>
      <c r="AE61" s="508"/>
      <c r="AF61" s="509"/>
      <c r="AG61" s="508" t="s">
        <v>259</v>
      </c>
      <c r="AH61" s="503"/>
      <c r="AI61" s="503"/>
      <c r="AJ61" s="503"/>
      <c r="AK61" s="510" t="s">
        <v>99</v>
      </c>
      <c r="AL61" s="508"/>
      <c r="AM61" s="508"/>
      <c r="AN61" s="509"/>
      <c r="AO61" s="507" t="s">
        <v>81</v>
      </c>
      <c r="AP61" s="508"/>
      <c r="AQ61" s="508"/>
      <c r="AR61" s="509"/>
      <c r="AS61" s="507" t="s">
        <v>82</v>
      </c>
      <c r="AT61" s="508"/>
      <c r="AU61" s="508"/>
      <c r="AV61" s="508"/>
      <c r="AW61" s="507" t="s">
        <v>100</v>
      </c>
      <c r="AX61" s="508"/>
      <c r="AY61" s="508"/>
      <c r="AZ61" s="509"/>
      <c r="BA61" s="507" t="s">
        <v>101</v>
      </c>
      <c r="BB61" s="508"/>
      <c r="BC61" s="508"/>
      <c r="BD61" s="509"/>
      <c r="BE61" s="511" t="s">
        <v>30</v>
      </c>
      <c r="BF61" s="508"/>
      <c r="BG61" s="508"/>
      <c r="BH61" s="509"/>
      <c r="BI61" s="508"/>
      <c r="BJ61" s="508"/>
      <c r="BK61" s="509"/>
      <c r="BL61" s="508"/>
      <c r="BM61" s="508"/>
      <c r="BN61" s="508"/>
      <c r="BO61" s="509"/>
    </row>
    <row r="62" spans="1:67" ht="13.5" customHeight="1">
      <c r="A62" s="22"/>
      <c r="B62" s="202">
        <v>25</v>
      </c>
      <c r="C62" s="308">
        <v>1</v>
      </c>
      <c r="D62" s="148" t="s">
        <v>92</v>
      </c>
      <c r="E62" s="149"/>
      <c r="F62" s="148" t="s">
        <v>30</v>
      </c>
      <c r="G62" s="149"/>
      <c r="H62" s="149"/>
      <c r="I62" s="151"/>
      <c r="J62" s="221" t="s">
        <v>30</v>
      </c>
      <c r="K62" s="222"/>
      <c r="L62" s="222"/>
      <c r="M62" s="222"/>
      <c r="N62" s="161"/>
      <c r="O62" s="162"/>
      <c r="P62" s="148"/>
      <c r="Q62" s="150"/>
      <c r="R62" s="150"/>
      <c r="S62" s="162"/>
      <c r="T62" s="119"/>
      <c r="U62" s="120"/>
      <c r="V62" s="120"/>
      <c r="W62" s="162"/>
      <c r="X62" s="946"/>
      <c r="Y62" s="947"/>
      <c r="Z62" s="947"/>
      <c r="AA62" s="948"/>
      <c r="AB62" s="949">
        <f>SUMPRODUCT($T$58:$W$59,$AK$58:$AN$59)</f>
        <v>820000</v>
      </c>
      <c r="AC62" s="950"/>
      <c r="AD62" s="950"/>
      <c r="AE62" s="950"/>
      <c r="AF62" s="951"/>
      <c r="AG62" s="955">
        <f>SUM($X$58:$AA$59)</f>
        <v>131.41</v>
      </c>
      <c r="AH62" s="956"/>
      <c r="AI62" s="956"/>
      <c r="AJ62" s="957"/>
      <c r="AK62" s="973">
        <f>AB62-SUMPRODUCT($T$58:$W$59,$X$58:$AA$59)</f>
        <v>162950</v>
      </c>
      <c r="AL62" s="974"/>
      <c r="AM62" s="974"/>
      <c r="AN62" s="975"/>
      <c r="AO62" s="952">
        <f>$AK62/$AB62</f>
        <v>0.19871951219512196</v>
      </c>
      <c r="AP62" s="953"/>
      <c r="AQ62" s="953"/>
      <c r="AR62" s="954"/>
      <c r="AS62" s="952">
        <f>AW62/($AB62-AW62)</f>
        <v>-6.0606060606060606E-3</v>
      </c>
      <c r="AT62" s="953"/>
      <c r="AU62" s="953"/>
      <c r="AV62" s="954"/>
      <c r="AW62" s="976">
        <f>$T$58*($AK$58-$AG$58)+$T$59*($AK$59-$AG$59)</f>
        <v>-5000</v>
      </c>
      <c r="AX62" s="977"/>
      <c r="AY62" s="977"/>
      <c r="AZ62" s="978"/>
      <c r="BA62" s="961">
        <f>SUMPRODUCT($T$58:$W$59,$AG$58:$AJ$59)</f>
        <v>825000</v>
      </c>
      <c r="BB62" s="962"/>
      <c r="BC62" s="962"/>
      <c r="BD62" s="963"/>
      <c r="BE62" s="148" t="s">
        <v>30</v>
      </c>
      <c r="BF62" s="150"/>
      <c r="BG62" s="150"/>
      <c r="BH62" s="152"/>
      <c r="BI62" s="149" t="s">
        <v>30</v>
      </c>
      <c r="BJ62" s="150"/>
      <c r="BK62" s="152"/>
      <c r="BL62" s="149" t="s">
        <v>30</v>
      </c>
      <c r="BM62" s="150"/>
      <c r="BN62" s="150"/>
      <c r="BO62" s="152"/>
    </row>
    <row r="63" spans="1:67" ht="13.5" customHeight="1">
      <c r="A63" s="22"/>
      <c r="B63" s="202">
        <v>20</v>
      </c>
      <c r="C63" s="337" t="s">
        <v>279</v>
      </c>
      <c r="D63" s="28"/>
      <c r="E63" s="28"/>
      <c r="F63" s="28"/>
      <c r="G63" s="28"/>
      <c r="H63" s="121"/>
      <c r="I63" s="62"/>
      <c r="J63" s="63"/>
      <c r="K63" s="62"/>
      <c r="L63" s="63"/>
      <c r="M63" s="69"/>
      <c r="N63" s="69"/>
      <c r="O63" s="65"/>
      <c r="P63" s="69"/>
      <c r="Q63" s="65"/>
      <c r="R63" s="69"/>
      <c r="S63" s="28"/>
      <c r="T63" s="28"/>
      <c r="U63" s="28"/>
      <c r="V63" s="28"/>
      <c r="W63" s="28"/>
      <c r="X63" s="121"/>
      <c r="Y63" s="62"/>
      <c r="Z63" s="63"/>
      <c r="AA63" s="62"/>
      <c r="AB63" s="63"/>
      <c r="AC63" s="69"/>
      <c r="AD63" s="69"/>
      <c r="AE63" s="65"/>
      <c r="AF63" s="69"/>
      <c r="AG63" s="65"/>
      <c r="AH63" s="69"/>
      <c r="AI63" s="64"/>
      <c r="AJ63" s="69"/>
      <c r="AK63" s="65"/>
      <c r="AL63" s="28"/>
      <c r="AM63" s="28"/>
      <c r="AN63" s="28"/>
      <c r="AO63" s="28"/>
      <c r="AP63" s="28"/>
      <c r="AQ63" s="28"/>
      <c r="AR63" s="28"/>
      <c r="AS63" s="28"/>
      <c r="AT63" s="28"/>
      <c r="AU63" s="28"/>
      <c r="AV63" s="233"/>
      <c r="AW63" s="28"/>
      <c r="AX63" s="28"/>
      <c r="AY63" s="31"/>
      <c r="AZ63" s="95"/>
      <c r="BA63" s="92"/>
      <c r="BB63" s="329"/>
      <c r="BC63" s="338"/>
      <c r="BD63" s="37"/>
      <c r="BE63" s="37"/>
    </row>
    <row r="64" spans="1:67" ht="13.5" customHeight="1">
      <c r="A64" s="22"/>
      <c r="B64" s="202">
        <v>24</v>
      </c>
      <c r="C64" s="304"/>
      <c r="D64" s="243"/>
      <c r="E64" s="244"/>
      <c r="F64" s="246" t="s">
        <v>30</v>
      </c>
      <c r="G64" s="244"/>
      <c r="H64" s="244"/>
      <c r="I64" s="245"/>
      <c r="J64" s="246" t="s">
        <v>30</v>
      </c>
      <c r="K64" s="247"/>
      <c r="L64" s="247"/>
      <c r="M64" s="247"/>
      <c r="N64" s="244"/>
      <c r="O64" s="245"/>
      <c r="P64" s="248"/>
      <c r="Q64" s="249"/>
      <c r="R64" s="249"/>
      <c r="S64" s="250"/>
      <c r="T64" s="243"/>
      <c r="U64" s="244"/>
      <c r="V64" s="244"/>
      <c r="W64" s="245"/>
      <c r="X64" s="249"/>
      <c r="Y64" s="244"/>
      <c r="Z64" s="244"/>
      <c r="AA64" s="244"/>
      <c r="AB64" s="248" t="s">
        <v>98</v>
      </c>
      <c r="AC64" s="249"/>
      <c r="AD64" s="249"/>
      <c r="AE64" s="249"/>
      <c r="AF64" s="250"/>
      <c r="AG64" s="249" t="s">
        <v>259</v>
      </c>
      <c r="AH64" s="244"/>
      <c r="AI64" s="244"/>
      <c r="AJ64" s="244"/>
      <c r="AK64" s="330" t="s">
        <v>99</v>
      </c>
      <c r="AL64" s="249"/>
      <c r="AM64" s="249"/>
      <c r="AN64" s="250"/>
      <c r="AO64" s="248" t="s">
        <v>81</v>
      </c>
      <c r="AP64" s="249"/>
      <c r="AQ64" s="249"/>
      <c r="AR64" s="250"/>
      <c r="AS64" s="248" t="s">
        <v>82</v>
      </c>
      <c r="AT64" s="249"/>
      <c r="AU64" s="249"/>
      <c r="AV64" s="249"/>
      <c r="AW64" s="248" t="s">
        <v>100</v>
      </c>
      <c r="AX64" s="249"/>
      <c r="AY64" s="249"/>
      <c r="AZ64" s="250"/>
      <c r="BA64" s="248" t="s">
        <v>101</v>
      </c>
      <c r="BB64" s="249"/>
      <c r="BC64" s="249"/>
      <c r="BD64" s="250"/>
      <c r="BE64" s="253" t="s">
        <v>30</v>
      </c>
      <c r="BF64" s="249"/>
      <c r="BG64" s="249"/>
      <c r="BH64" s="250"/>
      <c r="BI64" s="249"/>
      <c r="BJ64" s="249"/>
      <c r="BK64" s="250"/>
      <c r="BL64" s="249"/>
      <c r="BM64" s="249"/>
      <c r="BN64" s="249"/>
      <c r="BO64" s="250"/>
    </row>
    <row r="65" spans="1:67" ht="13.5" customHeight="1">
      <c r="A65" s="22"/>
      <c r="B65" s="202">
        <v>25</v>
      </c>
      <c r="C65" s="308"/>
      <c r="D65" s="148"/>
      <c r="E65" s="149"/>
      <c r="F65" s="148"/>
      <c r="G65" s="149"/>
      <c r="H65" s="149"/>
      <c r="I65" s="151"/>
      <c r="J65" s="221"/>
      <c r="K65" s="222"/>
      <c r="L65" s="222"/>
      <c r="M65" s="222"/>
      <c r="N65" s="161"/>
      <c r="O65" s="162"/>
      <c r="P65" s="148"/>
      <c r="Q65" s="150"/>
      <c r="R65" s="150"/>
      <c r="S65" s="162"/>
      <c r="T65" s="119"/>
      <c r="U65" s="120"/>
      <c r="V65" s="120"/>
      <c r="W65" s="162"/>
      <c r="X65" s="946"/>
      <c r="Y65" s="947"/>
      <c r="Z65" s="947"/>
      <c r="AA65" s="948"/>
      <c r="AB65" s="949">
        <f>SUMPRODUCT($T$58:$W$59,$AK$58:$AN$59)</f>
        <v>820000</v>
      </c>
      <c r="AC65" s="950"/>
      <c r="AD65" s="950"/>
      <c r="AE65" s="950"/>
      <c r="AF65" s="951"/>
      <c r="AG65" s="955">
        <f>SUM($X$58:$AA$59)</f>
        <v>131.41</v>
      </c>
      <c r="AH65" s="956"/>
      <c r="AI65" s="956"/>
      <c r="AJ65" s="957"/>
      <c r="AK65" s="973">
        <f>AB65-SUMPRODUCT($T$58:$W$59,$X$58:$AA$59)</f>
        <v>162950</v>
      </c>
      <c r="AL65" s="974"/>
      <c r="AM65" s="974"/>
      <c r="AN65" s="975"/>
      <c r="AO65" s="952">
        <f>$AK65/$AB65</f>
        <v>0.19871951219512196</v>
      </c>
      <c r="AP65" s="953"/>
      <c r="AQ65" s="953"/>
      <c r="AR65" s="954"/>
      <c r="AS65" s="952">
        <f>AW65/($AB65-AW65)</f>
        <v>-6.0606060606060606E-3</v>
      </c>
      <c r="AT65" s="953"/>
      <c r="AU65" s="953"/>
      <c r="AV65" s="954"/>
      <c r="AW65" s="976">
        <f>$T$58*($AK$58-$AG$58)+$T$59*($AK$59-$AG$59)</f>
        <v>-5000</v>
      </c>
      <c r="AX65" s="977"/>
      <c r="AY65" s="977"/>
      <c r="AZ65" s="978"/>
      <c r="BA65" s="961">
        <f>SUMPRODUCT($T$58:$W$59,$AG$58:$AJ$59)</f>
        <v>825000</v>
      </c>
      <c r="BB65" s="962"/>
      <c r="BC65" s="962"/>
      <c r="BD65" s="963"/>
      <c r="BE65" s="148" t="s">
        <v>30</v>
      </c>
      <c r="BF65" s="150"/>
      <c r="BG65" s="150"/>
      <c r="BH65" s="152"/>
      <c r="BI65" s="149" t="s">
        <v>30</v>
      </c>
      <c r="BJ65" s="150"/>
      <c r="BK65" s="152"/>
      <c r="BL65" s="149" t="s">
        <v>30</v>
      </c>
      <c r="BM65" s="150"/>
      <c r="BN65" s="150"/>
      <c r="BO65" s="152"/>
    </row>
    <row r="66" spans="1:67" ht="13.5" customHeight="1">
      <c r="A66" s="22"/>
      <c r="B66" s="202">
        <v>27</v>
      </c>
      <c r="C66" s="340"/>
      <c r="D66"/>
      <c r="E66"/>
      <c r="F66"/>
      <c r="G66"/>
      <c r="H66"/>
      <c r="I66"/>
      <c r="J66"/>
      <c r="K66"/>
      <c r="L66"/>
      <c r="M66"/>
      <c r="N66"/>
      <c r="O66"/>
      <c r="P66"/>
      <c r="Q66"/>
      <c r="S66" s="35"/>
      <c r="T66" s="35"/>
      <c r="U66" s="35"/>
      <c r="V66" s="35"/>
      <c r="Y66" s="35"/>
      <c r="Z66" s="35"/>
      <c r="AD66" s="35"/>
      <c r="AE66" s="35"/>
      <c r="AF66" s="35"/>
      <c r="AG66" s="35"/>
      <c r="AH66" s="35"/>
      <c r="AI66" s="35"/>
      <c r="AJ66" s="35"/>
      <c r="AK66" s="35"/>
      <c r="AL66" s="84"/>
      <c r="AM66" s="84"/>
      <c r="AN66" s="84"/>
      <c r="AO66" s="84"/>
      <c r="AP66" s="84"/>
      <c r="AQ66" s="84"/>
      <c r="AR66" s="84"/>
      <c r="AS66" s="512"/>
      <c r="AT66" s="35"/>
      <c r="AU66" s="35"/>
      <c r="AV66" s="65"/>
      <c r="AW66" s="65"/>
      <c r="AX66" s="65"/>
      <c r="AY66" s="63"/>
      <c r="AZ66" s="31"/>
      <c r="BA66" s="30"/>
      <c r="BB66" s="175"/>
      <c r="BC66" s="345"/>
      <c r="BD66" s="28"/>
    </row>
    <row r="67" spans="1:67" ht="13.5" customHeight="1">
      <c r="A67" s="22"/>
      <c r="B67" s="202">
        <v>28</v>
      </c>
      <c r="C67" s="341"/>
      <c r="D67" s="71"/>
      <c r="E67" s="71"/>
      <c r="F67" s="71"/>
      <c r="G67" s="71"/>
      <c r="H67" s="71"/>
      <c r="I67" s="71"/>
      <c r="J67" s="71"/>
      <c r="K67" s="68"/>
      <c r="L67" s="68"/>
      <c r="M67" s="68"/>
      <c r="N67" s="91"/>
      <c r="O67" s="68"/>
      <c r="P67" s="68"/>
      <c r="Q67" s="68"/>
      <c r="R67" s="68"/>
      <c r="S67" s="68"/>
      <c r="T67" s="68"/>
      <c r="U67" s="68"/>
      <c r="V67" s="68"/>
      <c r="W67" s="91"/>
      <c r="X67" s="68"/>
      <c r="Y67" s="68"/>
      <c r="Z67" s="68"/>
      <c r="AA67" s="68"/>
      <c r="AB67" s="68"/>
      <c r="AC67" s="68"/>
      <c r="AD67" s="68"/>
      <c r="AE67" s="68"/>
      <c r="AF67" s="68"/>
      <c r="AG67" s="68"/>
      <c r="AH67" s="68"/>
      <c r="AI67" s="68"/>
      <c r="AJ67" s="68"/>
      <c r="AK67" s="68"/>
      <c r="AL67" s="68"/>
      <c r="AM67" s="65"/>
      <c r="AN67" s="65"/>
      <c r="AO67" s="65"/>
      <c r="AP67" s="65"/>
      <c r="AQ67" s="65"/>
      <c r="AR67" s="65"/>
      <c r="AS67" s="65"/>
      <c r="AT67" s="35"/>
      <c r="AU67" s="65"/>
      <c r="AV67" s="65"/>
      <c r="AW67" s="65"/>
      <c r="AX67" s="65"/>
      <c r="AY67" s="65"/>
      <c r="AZ67" s="31"/>
      <c r="BA67" s="30"/>
      <c r="BB67" s="175"/>
      <c r="BC67" s="345"/>
      <c r="BD67" s="28"/>
      <c r="BG67" s="24"/>
      <c r="BH67" s="28"/>
    </row>
    <row r="68" spans="1:67" ht="13.5" customHeight="1">
      <c r="A68" s="22"/>
      <c r="B68" s="202">
        <v>29</v>
      </c>
      <c r="C68" s="342"/>
      <c r="D68" s="332"/>
      <c r="E68" s="65"/>
      <c r="F68" s="65"/>
      <c r="G68" s="65"/>
      <c r="H68" s="65"/>
      <c r="I68" s="65"/>
      <c r="J68" s="964"/>
      <c r="K68" s="965"/>
      <c r="L68" s="965"/>
      <c r="M68" s="965"/>
      <c r="N68"/>
      <c r="O68"/>
      <c r="P68"/>
      <c r="Q68"/>
      <c r="R68"/>
      <c r="S68"/>
      <c r="T68"/>
      <c r="U68"/>
      <c r="V68"/>
      <c r="W68" s="65"/>
      <c r="X68" s="65"/>
      <c r="Y68" s="65"/>
      <c r="Z68" s="65"/>
      <c r="AA68" s="65"/>
      <c r="AB68" s="65"/>
      <c r="AC68" s="65"/>
      <c r="AD68" s="65"/>
      <c r="AE68" s="65"/>
      <c r="AF68" s="65"/>
      <c r="AG68" s="65"/>
      <c r="AH68" s="65"/>
      <c r="AI68" s="65"/>
      <c r="AJ68" s="65"/>
      <c r="AK68" s="65"/>
      <c r="AL68" s="65"/>
      <c r="AM68" s="198"/>
      <c r="AN68" s="198"/>
      <c r="AO68" s="198"/>
      <c r="AP68" s="198"/>
      <c r="AQ68" s="198"/>
      <c r="AR68" s="198"/>
      <c r="AS68" s="512"/>
      <c r="AT68" s="35"/>
      <c r="AU68" s="35"/>
      <c r="AV68" s="254"/>
      <c r="AW68" s="198"/>
      <c r="AX68" s="198"/>
      <c r="AY68" s="198"/>
      <c r="AZ68" s="31"/>
      <c r="BA68" s="30"/>
      <c r="BB68" s="175"/>
      <c r="BC68" s="345"/>
      <c r="BD68" s="28"/>
      <c r="BG68" s="24"/>
      <c r="BH68" s="28"/>
    </row>
    <row r="69" spans="1:67" ht="5.15" customHeight="1">
      <c r="A69" s="22"/>
      <c r="B69" s="202"/>
      <c r="C69" s="315"/>
      <c r="D69" s="73"/>
      <c r="E69" s="73"/>
      <c r="F69" s="73"/>
      <c r="G69" s="73"/>
      <c r="H69" s="316"/>
      <c r="I69" s="275"/>
      <c r="J69" s="273"/>
      <c r="K69" s="275"/>
      <c r="L69" s="273"/>
      <c r="M69" s="317"/>
      <c r="N69" s="317"/>
      <c r="O69" s="270"/>
      <c r="P69" s="317"/>
      <c r="Q69" s="270"/>
      <c r="R69" s="317"/>
      <c r="S69" s="73"/>
      <c r="T69" s="73"/>
      <c r="U69" s="73"/>
      <c r="V69" s="73"/>
      <c r="W69" s="73"/>
      <c r="X69" s="316"/>
      <c r="Y69" s="275"/>
      <c r="Z69" s="273"/>
      <c r="AA69" s="275"/>
      <c r="AB69" s="273"/>
      <c r="AC69" s="317"/>
      <c r="AD69" s="317"/>
      <c r="AE69" s="270"/>
      <c r="AF69" s="317"/>
      <c r="AG69" s="270"/>
      <c r="AH69" s="317"/>
      <c r="AI69" s="276"/>
      <c r="AJ69" s="317"/>
      <c r="AK69" s="270"/>
      <c r="AL69" s="73"/>
      <c r="AM69" s="73"/>
      <c r="AN69" s="73"/>
      <c r="AO69" s="73"/>
      <c r="AP69" s="73"/>
      <c r="AQ69" s="73"/>
      <c r="AR69" s="73"/>
      <c r="AS69" s="73"/>
      <c r="AT69" s="73"/>
      <c r="AU69" s="73"/>
      <c r="AV69" s="318"/>
      <c r="AW69" s="73"/>
      <c r="AX69" s="73"/>
      <c r="AY69" s="269"/>
      <c r="AZ69" s="269"/>
      <c r="BA69" s="319"/>
      <c r="BB69" s="320"/>
      <c r="BC69" s="344"/>
      <c r="BD69" s="28"/>
    </row>
    <row r="70" spans="1:67" ht="13.5" customHeight="1">
      <c r="A70" s="22"/>
      <c r="B70" s="202">
        <v>31</v>
      </c>
      <c r="C70" s="331"/>
      <c r="D70" s="332"/>
      <c r="E70" s="65"/>
      <c r="F70" s="65"/>
      <c r="G70" s="65"/>
      <c r="H70" s="65"/>
      <c r="I70" s="65"/>
      <c r="J70" s="966"/>
      <c r="K70" s="966"/>
      <c r="L70" s="966"/>
      <c r="M70" s="966"/>
      <c r="N70" s="65"/>
      <c r="O70" s="65"/>
      <c r="P70" s="65"/>
      <c r="Q70" s="65"/>
      <c r="R70" s="65"/>
      <c r="S70" s="65"/>
      <c r="T70" s="65"/>
      <c r="U70" s="65"/>
      <c r="V70" s="65"/>
      <c r="W70" s="65"/>
      <c r="X70" s="65"/>
      <c r="Y70" s="65"/>
      <c r="Z70" s="65"/>
      <c r="AA70" s="65"/>
      <c r="AB70" s="65"/>
      <c r="AC70" s="65"/>
      <c r="AD70" s="65"/>
      <c r="AE70" s="65"/>
      <c r="AF70" s="65"/>
      <c r="AG70" s="65"/>
      <c r="AH70" s="65"/>
      <c r="AI70" s="65"/>
      <c r="AJ70" s="65"/>
      <c r="AK70" s="65"/>
      <c r="AL70" s="65"/>
      <c r="AM70" s="198"/>
      <c r="AN70" s="198"/>
      <c r="AO70" s="198"/>
      <c r="AP70" s="198"/>
      <c r="AQ70" s="198"/>
      <c r="AR70" s="198"/>
      <c r="AS70" s="198"/>
      <c r="AT70" s="198"/>
      <c r="AU70" s="198"/>
      <c r="AV70" s="198"/>
      <c r="AW70" s="198"/>
      <c r="AX70" s="198"/>
      <c r="AY70" s="198"/>
      <c r="AZ70" s="33"/>
      <c r="BA70" s="46"/>
      <c r="BB70" s="78"/>
      <c r="BC70" s="34"/>
      <c r="BD70" s="28"/>
      <c r="BG70" s="24"/>
      <c r="BH70" s="28"/>
    </row>
    <row r="71" spans="1:67" ht="14.15" customHeight="1">
      <c r="A71" s="22"/>
      <c r="B71" s="129"/>
      <c r="C71" s="346" t="s">
        <v>131</v>
      </c>
      <c r="D71" s="28"/>
      <c r="E71" s="28"/>
      <c r="F71" s="28"/>
      <c r="G71" s="28"/>
      <c r="S71" s="35"/>
      <c r="T71" s="35"/>
      <c r="U71" s="35"/>
      <c r="V71" s="35"/>
      <c r="Y71" s="35"/>
      <c r="Z71" s="35"/>
      <c r="AD71" s="35"/>
      <c r="AE71" s="35"/>
      <c r="AF71" s="35"/>
      <c r="AG71" s="35"/>
      <c r="AH71" s="35"/>
      <c r="AI71" s="35"/>
      <c r="AJ71" s="28"/>
      <c r="AK71" s="28"/>
      <c r="AL71" s="28"/>
      <c r="AM71" s="130"/>
      <c r="AN71" s="130"/>
      <c r="AO71" s="35"/>
      <c r="AP71" s="35"/>
      <c r="AQ71" s="35"/>
      <c r="AR71" s="35"/>
      <c r="AS71" s="35"/>
      <c r="AT71" s="35"/>
      <c r="AU71" s="35"/>
      <c r="AV71" s="35"/>
      <c r="AW71" s="35"/>
      <c r="AX71" s="65"/>
      <c r="AY71" s="65"/>
      <c r="AZ71" s="33"/>
      <c r="BA71" s="46"/>
      <c r="BB71" s="78"/>
      <c r="BC71" s="34"/>
      <c r="BD71" s="28"/>
      <c r="BG71" s="35"/>
    </row>
    <row r="72" spans="1:67" ht="5.15" customHeight="1">
      <c r="A72" s="22"/>
      <c r="B72" s="202"/>
      <c r="C72" s="296"/>
      <c r="D72" s="72"/>
      <c r="E72" s="72"/>
      <c r="F72" s="72"/>
      <c r="G72" s="72"/>
      <c r="H72" s="297"/>
      <c r="I72" s="278"/>
      <c r="J72" s="279"/>
      <c r="K72" s="278"/>
      <c r="L72" s="279"/>
      <c r="M72" s="298"/>
      <c r="N72" s="298"/>
      <c r="O72" s="263"/>
      <c r="P72" s="298"/>
      <c r="Q72" s="263"/>
      <c r="R72" s="298"/>
      <c r="S72" s="72"/>
      <c r="T72" s="72"/>
      <c r="U72" s="72"/>
      <c r="V72" s="72"/>
      <c r="W72" s="72"/>
      <c r="X72" s="297"/>
      <c r="Y72" s="278"/>
      <c r="Z72" s="279"/>
      <c r="AA72" s="278"/>
      <c r="AB72" s="279"/>
      <c r="AC72" s="298"/>
      <c r="AD72" s="298"/>
      <c r="AE72" s="263"/>
      <c r="AF72" s="298"/>
      <c r="AG72" s="263"/>
      <c r="AH72" s="298"/>
      <c r="AI72" s="280"/>
      <c r="AJ72" s="298"/>
      <c r="AK72" s="263"/>
      <c r="AL72" s="72"/>
      <c r="AM72" s="72"/>
      <c r="AN72" s="72"/>
      <c r="AO72" s="72"/>
      <c r="AP72" s="72"/>
      <c r="AQ72" s="72"/>
      <c r="AR72" s="72"/>
      <c r="AS72" s="72"/>
      <c r="AT72" s="72"/>
      <c r="AU72" s="72"/>
      <c r="AV72" s="300"/>
      <c r="AW72" s="72"/>
      <c r="AX72" s="72"/>
      <c r="AY72" s="265"/>
      <c r="AZ72" s="33"/>
      <c r="BA72" s="46"/>
      <c r="BB72" s="78"/>
      <c r="BC72" s="34"/>
      <c r="BD72" s="28"/>
    </row>
    <row r="73" spans="1:67" ht="14.15" customHeight="1">
      <c r="A73" s="23"/>
      <c r="B73" s="351"/>
      <c r="C73" s="282"/>
      <c r="D73" s="28"/>
      <c r="E73" s="28"/>
      <c r="F73" s="28"/>
      <c r="G73" s="28"/>
      <c r="H73" s="28"/>
      <c r="I73" s="28"/>
      <c r="J73" s="28"/>
      <c r="K73" s="28"/>
      <c r="L73" s="28"/>
      <c r="M73" s="28"/>
      <c r="N73" s="28"/>
      <c r="O73" s="28"/>
      <c r="P73" s="28"/>
      <c r="Q73" s="25"/>
      <c r="S73" s="35"/>
      <c r="T73" s="28"/>
      <c r="U73" s="28"/>
      <c r="V73" s="28"/>
      <c r="W73" s="28"/>
      <c r="X73" s="28"/>
      <c r="Y73" s="28"/>
      <c r="Z73" s="28"/>
      <c r="AC73" s="28"/>
      <c r="AD73" s="28"/>
      <c r="AE73" s="35"/>
      <c r="AF73" s="35"/>
      <c r="AG73" s="35"/>
      <c r="AH73" s="35"/>
      <c r="AI73" s="35"/>
      <c r="AJ73" s="28"/>
      <c r="AK73" s="28"/>
      <c r="AL73" s="28"/>
      <c r="AM73" s="35"/>
      <c r="AN73" s="35"/>
      <c r="AO73" s="135"/>
      <c r="AP73" s="136"/>
      <c r="AQ73" s="130"/>
      <c r="AR73" s="130"/>
      <c r="AS73" s="130"/>
      <c r="AT73" s="130"/>
      <c r="AU73" s="81"/>
      <c r="AV73" s="35"/>
      <c r="AW73" s="35"/>
      <c r="AX73" s="65"/>
      <c r="AY73" s="347"/>
      <c r="AZ73" s="33"/>
      <c r="BA73" s="46"/>
      <c r="BB73" s="78"/>
      <c r="BC73" s="34"/>
      <c r="BD73" s="28"/>
      <c r="BG73" s="35"/>
    </row>
    <row r="74" spans="1:67" ht="14.15" customHeight="1">
      <c r="A74" s="23"/>
      <c r="B74" s="351"/>
      <c r="C74" s="352"/>
      <c r="D74" s="348" t="s">
        <v>38</v>
      </c>
      <c r="E74" s="131"/>
      <c r="F74" s="131"/>
      <c r="G74" s="131"/>
      <c r="H74" s="132"/>
      <c r="I74" s="132"/>
      <c r="J74" s="106"/>
      <c r="K74" s="133"/>
      <c r="L74" s="134"/>
      <c r="M74" s="144"/>
      <c r="N74" s="144"/>
      <c r="O74" s="131"/>
      <c r="P74" s="134"/>
      <c r="Q74" s="107"/>
      <c r="R74" s="133" t="s">
        <v>40</v>
      </c>
      <c r="S74" s="134"/>
      <c r="T74" s="107"/>
      <c r="U74" s="107"/>
      <c r="V74" s="133" t="s">
        <v>44</v>
      </c>
      <c r="W74" s="134"/>
      <c r="X74" s="107"/>
      <c r="Y74" s="35"/>
      <c r="Z74" s="35"/>
      <c r="AC74" s="28"/>
      <c r="AD74" s="28"/>
      <c r="AE74" s="28"/>
      <c r="AF74" s="35"/>
      <c r="AG74" s="35"/>
      <c r="AH74" s="28"/>
      <c r="AI74" s="28"/>
      <c r="AJ74" s="28"/>
      <c r="AK74" s="81"/>
      <c r="AL74" s="28"/>
      <c r="AM74" s="28"/>
      <c r="AN74" s="28"/>
      <c r="AO74" s="28"/>
      <c r="AP74" s="28"/>
      <c r="AQ74" s="65"/>
      <c r="AR74" s="65"/>
      <c r="AS74" s="65"/>
      <c r="AT74" s="125"/>
      <c r="AU74" s="65"/>
      <c r="AV74" s="65"/>
      <c r="AW74" s="65"/>
      <c r="AX74" s="65"/>
      <c r="AY74" s="347"/>
      <c r="AZ74" s="33"/>
      <c r="BA74" s="46"/>
      <c r="BB74" s="78"/>
      <c r="BC74" s="34"/>
      <c r="BD74" s="28"/>
      <c r="BE74" s="35"/>
      <c r="BF74" s="35"/>
      <c r="BG74" s="35"/>
    </row>
    <row r="75" spans="1:67" ht="13.5" customHeight="1">
      <c r="A75" s="22"/>
      <c r="B75" s="353"/>
      <c r="C75" s="352"/>
      <c r="D75" s="349" t="s">
        <v>45</v>
      </c>
      <c r="E75" s="137"/>
      <c r="F75" s="137"/>
      <c r="G75" s="137"/>
      <c r="H75" s="137"/>
      <c r="I75" s="137"/>
      <c r="J75" s="137"/>
      <c r="K75" s="350"/>
      <c r="L75" s="139"/>
      <c r="M75" s="108"/>
      <c r="N75" s="108"/>
      <c r="O75" s="145"/>
      <c r="P75" s="139"/>
      <c r="Q75" s="109"/>
      <c r="R75" s="138" t="s">
        <v>41</v>
      </c>
      <c r="S75" s="139"/>
      <c r="T75" s="108"/>
      <c r="U75" s="109"/>
      <c r="V75" s="140"/>
      <c r="W75" s="141"/>
      <c r="X75" s="142"/>
      <c r="Y75" s="116"/>
      <c r="Z75" s="41"/>
      <c r="AA75" s="116"/>
      <c r="AB75" s="116"/>
      <c r="AC75" s="116"/>
      <c r="AD75" s="116"/>
      <c r="AE75" s="116"/>
      <c r="AF75" s="116"/>
      <c r="AG75" s="116"/>
      <c r="AH75" s="116"/>
      <c r="AI75" s="116"/>
      <c r="AJ75" s="116"/>
      <c r="AK75" s="116"/>
      <c r="AL75" s="116"/>
      <c r="AM75" s="116"/>
      <c r="AN75" s="116"/>
      <c r="AO75" s="116"/>
      <c r="AP75" s="116"/>
      <c r="AQ75" s="65"/>
      <c r="AR75" s="65"/>
      <c r="AS75" s="65"/>
      <c r="AT75" s="125"/>
      <c r="AU75" s="65"/>
      <c r="AV75" s="65"/>
      <c r="AW75" s="65"/>
      <c r="AX75" s="65"/>
      <c r="AY75" s="347"/>
      <c r="AZ75" s="33"/>
      <c r="BA75" s="46"/>
      <c r="BB75" s="78"/>
      <c r="BC75" s="34"/>
      <c r="BD75" s="28"/>
      <c r="BE75" s="35"/>
      <c r="BF75" s="35"/>
      <c r="BG75" s="35"/>
    </row>
    <row r="76" spans="1:67" ht="5.15" customHeight="1">
      <c r="A76" s="22"/>
      <c r="B76" s="202"/>
      <c r="C76" s="315"/>
      <c r="D76" s="73"/>
      <c r="E76" s="73"/>
      <c r="F76" s="73"/>
      <c r="G76" s="73"/>
      <c r="H76" s="316"/>
      <c r="I76" s="275"/>
      <c r="J76" s="273"/>
      <c r="K76" s="275"/>
      <c r="L76" s="273"/>
      <c r="M76" s="317"/>
      <c r="N76" s="317"/>
      <c r="O76" s="270"/>
      <c r="P76" s="317"/>
      <c r="Q76" s="270"/>
      <c r="R76" s="317"/>
      <c r="S76" s="73"/>
      <c r="T76" s="73"/>
      <c r="U76" s="73"/>
      <c r="V76" s="73"/>
      <c r="W76" s="73"/>
      <c r="X76" s="316"/>
      <c r="Y76" s="275"/>
      <c r="Z76" s="273"/>
      <c r="AA76" s="275"/>
      <c r="AB76" s="273"/>
      <c r="AC76" s="317"/>
      <c r="AD76" s="317"/>
      <c r="AE76" s="270"/>
      <c r="AF76" s="317"/>
      <c r="AG76" s="270"/>
      <c r="AH76" s="317"/>
      <c r="AI76" s="276"/>
      <c r="AJ76" s="317"/>
      <c r="AK76" s="270"/>
      <c r="AL76" s="73"/>
      <c r="AM76" s="73"/>
      <c r="AN76" s="73"/>
      <c r="AO76" s="73"/>
      <c r="AP76" s="73"/>
      <c r="AQ76" s="73"/>
      <c r="AR76" s="73"/>
      <c r="AS76" s="73"/>
      <c r="AT76" s="73"/>
      <c r="AU76" s="73"/>
      <c r="AV76" s="318"/>
      <c r="AW76" s="73"/>
      <c r="AX76" s="73"/>
      <c r="AY76" s="277"/>
      <c r="AZ76" s="33"/>
      <c r="BA76" s="46"/>
      <c r="BB76" s="78"/>
      <c r="BC76" s="34"/>
      <c r="BD76" s="28"/>
    </row>
    <row r="77" spans="1:67" ht="14.15" customHeight="1">
      <c r="A77" s="22"/>
      <c r="B77" s="202">
        <v>35</v>
      </c>
      <c r="C77" s="331"/>
      <c r="D77" s="332"/>
      <c r="E77" s="65"/>
      <c r="F77" s="65"/>
      <c r="G77" s="65"/>
      <c r="H77" s="65"/>
      <c r="I77" s="65"/>
      <c r="J77" s="945"/>
      <c r="K77" s="945"/>
      <c r="L77" s="945"/>
      <c r="M77" s="945"/>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65"/>
      <c r="AN77" s="65"/>
      <c r="AO77" s="65"/>
      <c r="AP77" s="65"/>
      <c r="AQ77" s="65"/>
      <c r="AR77" s="65"/>
      <c r="AS77" s="65"/>
      <c r="AT77" s="125"/>
      <c r="AU77" s="65"/>
      <c r="AV77" s="65"/>
      <c r="AW77" s="65"/>
      <c r="AX77" s="65"/>
      <c r="AY77" s="65"/>
      <c r="AZ77" s="33"/>
      <c r="BA77" s="46"/>
      <c r="BB77" s="78" t="s">
        <v>297</v>
      </c>
      <c r="BC77" s="34"/>
      <c r="BD77" s="28"/>
      <c r="BG77" s="24"/>
      <c r="BH77" s="28"/>
    </row>
    <row r="78" spans="1:67" ht="14.15" customHeight="1">
      <c r="A78" s="22"/>
      <c r="B78" s="202">
        <v>35</v>
      </c>
      <c r="C78" s="346" t="s">
        <v>247</v>
      </c>
      <c r="D78" s="332"/>
      <c r="E78" s="65"/>
      <c r="F78" s="65"/>
      <c r="G78" s="65"/>
      <c r="H78" s="65"/>
      <c r="I78" s="65"/>
      <c r="J78" s="945"/>
      <c r="K78" s="945"/>
      <c r="L78" s="945"/>
      <c r="M78" s="945"/>
      <c r="N78" s="65"/>
      <c r="O78" s="65"/>
      <c r="P78" s="65"/>
      <c r="Q78" s="65"/>
      <c r="R78" s="65"/>
      <c r="S78" s="65"/>
      <c r="T78" s="65"/>
      <c r="U78" s="65"/>
      <c r="V78" s="65"/>
      <c r="W78" s="65"/>
      <c r="X78" s="65"/>
      <c r="Y78" s="65"/>
      <c r="Z78" s="65"/>
      <c r="AA78" s="65"/>
      <c r="AB78" s="65"/>
      <c r="AC78" s="65"/>
      <c r="AD78" s="65"/>
      <c r="AE78" s="65"/>
      <c r="AF78" s="65"/>
      <c r="AG78" s="65"/>
      <c r="AH78" s="65"/>
      <c r="AI78" s="65"/>
      <c r="AJ78" s="65"/>
      <c r="AK78" s="65"/>
      <c r="AL78" s="65"/>
      <c r="AM78" s="65"/>
      <c r="AN78" s="65"/>
      <c r="AO78" s="65"/>
      <c r="AP78" s="65"/>
      <c r="AQ78" s="65"/>
      <c r="AR78" s="65"/>
      <c r="AS78" s="65"/>
      <c r="AT78" s="125"/>
      <c r="AU78" s="65"/>
      <c r="AV78" s="65"/>
      <c r="AW78" s="65"/>
      <c r="AX78" s="65"/>
      <c r="AY78" s="65"/>
      <c r="AZ78" s="33"/>
      <c r="BA78" s="46"/>
      <c r="BB78" s="78"/>
      <c r="BC78" s="34"/>
      <c r="BD78" s="28"/>
      <c r="BG78" s="24"/>
      <c r="BH78" s="28"/>
    </row>
    <row r="79" spans="1:67" ht="14.15" customHeight="1">
      <c r="A79" s="22"/>
      <c r="B79" s="202">
        <v>35</v>
      </c>
      <c r="C79" s="331"/>
      <c r="D79" s="478" t="s">
        <v>248</v>
      </c>
      <c r="E79" s="65"/>
      <c r="F79" s="65"/>
      <c r="G79" s="65"/>
      <c r="H79" s="65"/>
      <c r="I79" s="65"/>
      <c r="J79" s="477"/>
      <c r="K79" s="477"/>
      <c r="L79" s="477"/>
      <c r="M79" s="477"/>
      <c r="N79" s="65"/>
      <c r="O79" s="65"/>
      <c r="P79" s="65"/>
      <c r="Q79" s="65"/>
      <c r="R79" s="65"/>
      <c r="S79" s="65"/>
      <c r="T79" s="65"/>
      <c r="U79" s="65"/>
      <c r="V79" s="65"/>
      <c r="W79" s="65"/>
      <c r="X79" s="65"/>
      <c r="Y79" s="65"/>
      <c r="Z79" s="65"/>
      <c r="AA79" s="65"/>
      <c r="AB79" s="65"/>
      <c r="AC79" s="65"/>
      <c r="AD79" s="65"/>
      <c r="AE79" s="65"/>
      <c r="AF79" s="65"/>
      <c r="AG79" s="65"/>
      <c r="AH79" s="65"/>
      <c r="AI79" s="65"/>
      <c r="AJ79" s="65"/>
      <c r="AK79" s="65"/>
      <c r="AL79" s="65"/>
      <c r="AM79" s="65"/>
      <c r="AN79" s="65"/>
      <c r="AO79" s="65"/>
      <c r="AP79" s="65"/>
      <c r="AQ79" s="65"/>
      <c r="AR79" s="65"/>
      <c r="AS79" s="65"/>
      <c r="AT79" s="125"/>
      <c r="AU79" s="65"/>
      <c r="AV79" s="65"/>
      <c r="AW79" s="65"/>
      <c r="AX79" s="65"/>
      <c r="AY79" s="65"/>
      <c r="AZ79" s="33"/>
      <c r="BA79" s="46"/>
      <c r="BB79" s="78"/>
      <c r="BC79" s="34"/>
      <c r="BD79" s="28"/>
      <c r="BG79" s="24"/>
      <c r="BH79" s="28"/>
    </row>
    <row r="80" spans="1:67" ht="14.15" customHeight="1">
      <c r="A80" s="22"/>
      <c r="B80" s="202">
        <v>35</v>
      </c>
      <c r="C80" s="331"/>
      <c r="D80" s="332"/>
      <c r="E80" s="65"/>
      <c r="F80" s="65"/>
      <c r="G80" s="65"/>
      <c r="H80" s="65"/>
      <c r="I80" s="65"/>
      <c r="J80" s="967"/>
      <c r="K80" s="967"/>
      <c r="L80" s="967"/>
      <c r="M80" s="967"/>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65"/>
      <c r="AN80" s="65"/>
      <c r="AO80" s="65"/>
      <c r="AP80" s="65"/>
      <c r="AQ80" s="65"/>
      <c r="AR80" s="65"/>
      <c r="AS80" s="65"/>
      <c r="AT80" s="125"/>
      <c r="AU80" s="65"/>
      <c r="AV80" s="65"/>
      <c r="AW80" s="65"/>
      <c r="AX80" s="65"/>
      <c r="AY80" s="65"/>
      <c r="AZ80" s="33"/>
      <c r="BA80" s="46"/>
      <c r="BB80" s="78"/>
      <c r="BC80" s="34"/>
      <c r="BD80" s="28"/>
      <c r="BG80" s="24"/>
      <c r="BH80" s="28"/>
    </row>
    <row r="81" spans="1:60" ht="5.15" customHeight="1">
      <c r="A81" s="22"/>
      <c r="B81" s="202"/>
      <c r="C81" s="296"/>
      <c r="D81" s="72"/>
      <c r="E81" s="72"/>
      <c r="F81" s="72"/>
      <c r="G81" s="72"/>
      <c r="H81" s="297"/>
      <c r="I81" s="278"/>
      <c r="J81" s="279"/>
      <c r="K81" s="278"/>
      <c r="L81" s="279"/>
      <c r="M81" s="298"/>
      <c r="N81" s="298"/>
      <c r="O81" s="263"/>
      <c r="P81" s="298"/>
      <c r="Q81" s="263"/>
      <c r="R81" s="298"/>
      <c r="S81" s="72"/>
      <c r="T81" s="72"/>
      <c r="U81" s="72"/>
      <c r="V81" s="72"/>
      <c r="W81" s="72"/>
      <c r="X81" s="297"/>
      <c r="Y81" s="278"/>
      <c r="Z81" s="279"/>
      <c r="AA81" s="278"/>
      <c r="AB81" s="279"/>
      <c r="AC81" s="298"/>
      <c r="AD81" s="298"/>
      <c r="AE81" s="263"/>
      <c r="AF81" s="298"/>
      <c r="AG81" s="263"/>
      <c r="AH81" s="298"/>
      <c r="AI81" s="280"/>
      <c r="AJ81" s="298"/>
      <c r="AK81" s="263"/>
      <c r="AL81" s="72"/>
      <c r="AM81" s="72"/>
      <c r="AN81" s="72"/>
      <c r="AO81" s="72"/>
      <c r="AP81" s="72"/>
      <c r="AQ81" s="72"/>
      <c r="AR81" s="72"/>
      <c r="AS81" s="72"/>
      <c r="AT81" s="72"/>
      <c r="AU81" s="72"/>
      <c r="AV81" s="300"/>
      <c r="AW81" s="72"/>
      <c r="AX81" s="72"/>
      <c r="AY81" s="265"/>
      <c r="AZ81" s="33"/>
      <c r="BA81" s="46"/>
      <c r="BB81" s="78"/>
      <c r="BC81" s="34"/>
      <c r="BD81" s="28"/>
    </row>
    <row r="82" spans="1:60" ht="14.15" customHeight="1">
      <c r="A82" s="23"/>
      <c r="B82" s="351"/>
      <c r="C82" s="282"/>
      <c r="D82" s="28" t="s">
        <v>240</v>
      </c>
      <c r="E82" s="28"/>
      <c r="F82" s="28"/>
      <c r="G82" s="28"/>
      <c r="H82" s="468" t="s">
        <v>245</v>
      </c>
      <c r="I82" s="257"/>
      <c r="J82" s="258"/>
      <c r="K82" s="258"/>
      <c r="L82" s="258"/>
      <c r="M82" s="259"/>
      <c r="N82" s="258"/>
      <c r="O82" s="110"/>
      <c r="P82" s="261" t="s">
        <v>33</v>
      </c>
      <c r="Q82" s="25"/>
      <c r="R82" s="469" t="s">
        <v>246</v>
      </c>
      <c r="S82" s="470"/>
      <c r="T82" s="471"/>
      <c r="U82" s="471"/>
      <c r="V82" s="483"/>
      <c r="W82" s="472"/>
      <c r="X82" s="471"/>
      <c r="Y82" s="473"/>
      <c r="Z82" s="474"/>
      <c r="AB82" s="469" t="s">
        <v>289</v>
      </c>
      <c r="AC82" s="470"/>
      <c r="AD82" s="471"/>
      <c r="AE82" s="471"/>
      <c r="AF82" s="471"/>
      <c r="AG82" s="472"/>
      <c r="AH82" s="471"/>
      <c r="AI82" s="473"/>
      <c r="AJ82" s="472"/>
      <c r="AK82" s="479"/>
      <c r="AL82" s="479"/>
      <c r="AM82" s="473"/>
      <c r="AN82" s="473"/>
      <c r="AO82" s="471"/>
      <c r="AP82" s="480"/>
      <c r="AQ82" s="471"/>
      <c r="AR82" s="471"/>
      <c r="AS82" s="471"/>
      <c r="AT82" s="471"/>
      <c r="AU82" s="481"/>
      <c r="AV82" s="473"/>
      <c r="AW82" s="473"/>
      <c r="AX82" s="482"/>
      <c r="AY82" s="347"/>
      <c r="AZ82" s="33"/>
      <c r="BA82" s="46"/>
      <c r="BB82" s="78"/>
      <c r="BC82" s="34"/>
      <c r="BD82" s="28"/>
      <c r="BG82" s="35"/>
    </row>
    <row r="83" spans="1:60" ht="14.15" customHeight="1">
      <c r="A83" s="23"/>
      <c r="B83" s="351"/>
      <c r="C83" s="282"/>
      <c r="D83" s="28"/>
      <c r="E83" s="28"/>
      <c r="F83" s="28"/>
      <c r="G83" s="28"/>
      <c r="H83" s="469" t="s">
        <v>54</v>
      </c>
      <c r="I83" s="470"/>
      <c r="J83" s="471"/>
      <c r="K83" s="471"/>
      <c r="L83" s="471"/>
      <c r="M83" s="472"/>
      <c r="N83" s="471"/>
      <c r="O83" s="473"/>
      <c r="P83" s="472"/>
      <c r="Q83" s="479"/>
      <c r="R83" s="479"/>
      <c r="S83" s="473"/>
      <c r="T83" s="473"/>
      <c r="U83" s="471"/>
      <c r="V83" s="480"/>
      <c r="W83" s="471"/>
      <c r="X83" s="471"/>
      <c r="Y83" s="471"/>
      <c r="Z83" s="471"/>
      <c r="AA83" s="481"/>
      <c r="AB83" s="473"/>
      <c r="AC83" s="473"/>
      <c r="AD83" s="479"/>
      <c r="AE83" s="471"/>
      <c r="AF83" s="471"/>
      <c r="AG83" s="472"/>
      <c r="AH83" s="471"/>
      <c r="AI83" s="473"/>
      <c r="AJ83" s="472"/>
      <c r="AK83" s="479"/>
      <c r="AL83" s="479"/>
      <c r="AM83" s="473"/>
      <c r="AN83" s="473"/>
      <c r="AO83" s="471"/>
      <c r="AP83" s="480"/>
      <c r="AQ83" s="471"/>
      <c r="AR83" s="471"/>
      <c r="AS83" s="471"/>
      <c r="AT83" s="471"/>
      <c r="AU83" s="481"/>
      <c r="AV83" s="473"/>
      <c r="AW83" s="473"/>
      <c r="AX83" s="482"/>
      <c r="AY83" s="347"/>
      <c r="AZ83" s="33"/>
      <c r="BA83" s="46"/>
      <c r="BB83" s="78"/>
      <c r="BC83" s="34"/>
      <c r="BD83" s="28"/>
      <c r="BG83" s="35"/>
    </row>
    <row r="84" spans="1:60" ht="5.15" customHeight="1">
      <c r="A84" s="22"/>
      <c r="B84" s="202"/>
      <c r="C84" s="315"/>
      <c r="D84" s="73"/>
      <c r="E84" s="73"/>
      <c r="F84" s="73"/>
      <c r="G84" s="73"/>
      <c r="H84" s="316"/>
      <c r="I84" s="275"/>
      <c r="J84" s="273"/>
      <c r="K84" s="275"/>
      <c r="L84" s="273"/>
      <c r="M84" s="317"/>
      <c r="N84" s="317"/>
      <c r="O84" s="270"/>
      <c r="P84" s="317"/>
      <c r="Q84" s="270"/>
      <c r="R84" s="317"/>
      <c r="S84" s="73"/>
      <c r="T84" s="73"/>
      <c r="U84" s="73"/>
      <c r="V84" s="73"/>
      <c r="W84" s="73"/>
      <c r="X84" s="316"/>
      <c r="Y84" s="275"/>
      <c r="Z84" s="273"/>
      <c r="AA84" s="275"/>
      <c r="AB84" s="273"/>
      <c r="AC84" s="317"/>
      <c r="AD84" s="317"/>
      <c r="AE84" s="270"/>
      <c r="AF84" s="317"/>
      <c r="AG84" s="270"/>
      <c r="AH84" s="317"/>
      <c r="AI84" s="276"/>
      <c r="AJ84" s="317"/>
      <c r="AK84" s="270"/>
      <c r="AL84" s="73"/>
      <c r="AM84" s="73"/>
      <c r="AN84" s="73"/>
      <c r="AO84" s="73"/>
      <c r="AP84" s="73"/>
      <c r="AQ84" s="73"/>
      <c r="AR84" s="73"/>
      <c r="AS84" s="73"/>
      <c r="AT84" s="73"/>
      <c r="AU84" s="73"/>
      <c r="AV84" s="318"/>
      <c r="AW84" s="73"/>
      <c r="AX84" s="73"/>
      <c r="AY84" s="277"/>
      <c r="AZ84" s="33"/>
      <c r="BA84" s="46"/>
      <c r="BB84" s="78"/>
      <c r="BC84" s="34"/>
      <c r="BD84" s="28"/>
    </row>
    <row r="85" spans="1:60" ht="5.15" customHeight="1">
      <c r="A85" s="22"/>
      <c r="B85" s="202"/>
      <c r="C85" s="476"/>
      <c r="D85" s="72"/>
      <c r="E85" s="72"/>
      <c r="F85" s="72"/>
      <c r="G85" s="72"/>
      <c r="H85" s="297"/>
      <c r="I85" s="278"/>
      <c r="J85" s="279"/>
      <c r="K85" s="278"/>
      <c r="L85" s="279"/>
      <c r="M85" s="298"/>
      <c r="N85" s="298"/>
      <c r="O85" s="263"/>
      <c r="P85" s="298"/>
      <c r="Q85" s="263"/>
      <c r="R85" s="298"/>
      <c r="S85" s="72"/>
      <c r="T85" s="72"/>
      <c r="U85" s="72"/>
      <c r="V85" s="72"/>
      <c r="W85" s="72"/>
      <c r="X85" s="297"/>
      <c r="Y85" s="278"/>
      <c r="Z85" s="279"/>
      <c r="AA85" s="278"/>
      <c r="AB85" s="279"/>
      <c r="AC85" s="298"/>
      <c r="AD85" s="298"/>
      <c r="AE85" s="263"/>
      <c r="AF85" s="298"/>
      <c r="AG85" s="263"/>
      <c r="AH85" s="298"/>
      <c r="AI85" s="280"/>
      <c r="AJ85" s="298"/>
      <c r="AK85" s="263"/>
      <c r="AL85" s="72"/>
      <c r="AM85" s="72"/>
      <c r="AN85" s="72"/>
      <c r="AO85" s="72"/>
      <c r="AP85" s="72"/>
      <c r="AQ85" s="72"/>
      <c r="AR85" s="72"/>
      <c r="AS85" s="72"/>
      <c r="AT85" s="72"/>
      <c r="AU85" s="72"/>
      <c r="AV85" s="300"/>
      <c r="AW85" s="72"/>
      <c r="AX85" s="72"/>
      <c r="AY85" s="264"/>
      <c r="AZ85" s="33"/>
      <c r="BA85" s="46"/>
      <c r="BB85" s="78"/>
      <c r="BC85" s="34"/>
      <c r="BD85" s="28"/>
    </row>
    <row r="86" spans="1:60" ht="14.15" customHeight="1">
      <c r="A86" s="22"/>
      <c r="B86" s="202">
        <v>35</v>
      </c>
      <c r="C86" s="62" t="s">
        <v>243</v>
      </c>
      <c r="D86" s="332"/>
      <c r="E86" s="65"/>
      <c r="F86" s="65"/>
      <c r="G86" s="65"/>
      <c r="H86" s="65"/>
      <c r="I86" s="65"/>
      <c r="J86" s="945"/>
      <c r="K86" s="945"/>
      <c r="L86" s="945"/>
      <c r="M86" s="945"/>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125"/>
      <c r="AU86" s="65"/>
      <c r="AV86" s="65"/>
      <c r="AW86" s="65"/>
      <c r="AX86" s="65"/>
      <c r="AY86" s="65"/>
      <c r="AZ86" s="33"/>
      <c r="BA86" s="46"/>
      <c r="BB86" s="78"/>
      <c r="BC86" s="34"/>
      <c r="BD86" s="28"/>
      <c r="BG86" s="24"/>
      <c r="BH86" s="28"/>
    </row>
    <row r="87" spans="1:60" ht="5.15" customHeight="1">
      <c r="A87" s="22"/>
      <c r="B87" s="202"/>
      <c r="C87" s="296"/>
      <c r="D87" s="72"/>
      <c r="E87" s="72"/>
      <c r="F87" s="72"/>
      <c r="G87" s="72"/>
      <c r="H87" s="297"/>
      <c r="I87" s="278"/>
      <c r="J87" s="279"/>
      <c r="K87" s="278"/>
      <c r="L87" s="279"/>
      <c r="M87" s="298"/>
      <c r="N87" s="298"/>
      <c r="O87" s="263"/>
      <c r="P87" s="298"/>
      <c r="Q87" s="263"/>
      <c r="R87" s="298"/>
      <c r="S87" s="72"/>
      <c r="T87" s="72"/>
      <c r="U87" s="72"/>
      <c r="V87" s="72"/>
      <c r="W87" s="72"/>
      <c r="X87" s="297"/>
      <c r="Y87" s="278"/>
      <c r="Z87" s="279"/>
      <c r="AA87" s="278"/>
      <c r="AB87" s="279"/>
      <c r="AC87" s="298"/>
      <c r="AD87" s="298"/>
      <c r="AE87" s="263"/>
      <c r="AF87" s="298"/>
      <c r="AG87" s="263"/>
      <c r="AH87" s="298"/>
      <c r="AI87" s="280"/>
      <c r="AJ87" s="298"/>
      <c r="AK87" s="263"/>
      <c r="AL87" s="72"/>
      <c r="AM87" s="72"/>
      <c r="AN87" s="72"/>
      <c r="AO87" s="72"/>
      <c r="AP87" s="72"/>
      <c r="AQ87" s="72"/>
      <c r="AR87" s="72"/>
      <c r="AS87" s="72"/>
      <c r="AT87" s="72"/>
      <c r="AU87" s="72"/>
      <c r="AV87" s="300"/>
      <c r="AW87" s="72"/>
      <c r="AX87" s="72"/>
      <c r="AY87" s="265"/>
      <c r="AZ87" s="33"/>
      <c r="BA87" s="46"/>
      <c r="BB87" s="78"/>
      <c r="BC87" s="34"/>
      <c r="BD87" s="28"/>
    </row>
    <row r="88" spans="1:60" ht="14.15" customHeight="1">
      <c r="A88" s="23"/>
      <c r="B88" s="351"/>
      <c r="C88" s="282"/>
      <c r="D88" s="28" t="s">
        <v>240</v>
      </c>
      <c r="E88" s="28"/>
      <c r="F88" s="28"/>
      <c r="G88" s="28"/>
      <c r="H88" s="468" t="s">
        <v>241</v>
      </c>
      <c r="I88" s="257"/>
      <c r="J88" s="258"/>
      <c r="K88" s="258"/>
      <c r="L88" s="258"/>
      <c r="M88" s="259"/>
      <c r="N88" s="258"/>
      <c r="O88" s="110"/>
      <c r="P88" s="261" t="s">
        <v>33</v>
      </c>
      <c r="Q88" s="25"/>
      <c r="R88" s="469" t="s">
        <v>242</v>
      </c>
      <c r="S88" s="470"/>
      <c r="T88" s="471"/>
      <c r="U88" s="471"/>
      <c r="V88" s="483"/>
      <c r="W88" s="484" t="s">
        <v>254</v>
      </c>
      <c r="X88" s="471"/>
      <c r="Y88" s="473"/>
      <c r="Z88" s="474"/>
      <c r="AB88" s="529" t="s">
        <v>290</v>
      </c>
      <c r="AC88" s="530"/>
      <c r="AD88" s="531"/>
      <c r="AE88" s="531"/>
      <c r="AF88" s="531"/>
      <c r="AG88" s="532"/>
      <c r="AH88" s="531"/>
      <c r="AI88" s="533"/>
      <c r="AJ88" s="532"/>
      <c r="AK88" s="61"/>
      <c r="AL88" s="61"/>
      <c r="AM88" s="533"/>
      <c r="AN88" s="533"/>
      <c r="AO88" s="531"/>
      <c r="AP88" s="534"/>
      <c r="AQ88" s="531"/>
      <c r="AR88" s="531"/>
      <c r="AS88" s="531"/>
      <c r="AT88" s="531"/>
      <c r="AU88" s="535"/>
      <c r="AV88" s="533"/>
      <c r="AW88" s="533"/>
      <c r="AX88" s="70"/>
      <c r="AY88" s="347"/>
      <c r="AZ88" s="33"/>
      <c r="BA88" s="46"/>
      <c r="BB88" s="78"/>
      <c r="BC88" s="34"/>
      <c r="BD88" s="28"/>
      <c r="BG88" s="35"/>
    </row>
    <row r="89" spans="1:60" ht="14.15" customHeight="1">
      <c r="A89" s="23"/>
      <c r="B89" s="351"/>
      <c r="C89" s="282"/>
      <c r="D89" s="28"/>
      <c r="E89" s="28"/>
      <c r="F89" s="28"/>
      <c r="G89" s="28"/>
      <c r="H89" s="469" t="s">
        <v>253</v>
      </c>
      <c r="I89" s="470"/>
      <c r="J89" s="471"/>
      <c r="K89" s="471"/>
      <c r="L89" s="471"/>
      <c r="M89" s="472"/>
      <c r="N89" s="471"/>
      <c r="O89" s="473"/>
      <c r="P89" s="472"/>
      <c r="Q89" s="479"/>
      <c r="R89" s="479"/>
      <c r="S89" s="473"/>
      <c r="T89" s="473"/>
      <c r="U89" s="471"/>
      <c r="V89" s="480"/>
      <c r="W89" s="471"/>
      <c r="X89" s="471"/>
      <c r="Y89" s="471"/>
      <c r="Z89" s="471"/>
      <c r="AA89" s="481"/>
      <c r="AB89" s="473"/>
      <c r="AC89" s="473"/>
      <c r="AD89" s="479"/>
      <c r="AE89" s="471"/>
      <c r="AF89" s="471"/>
      <c r="AG89" s="472"/>
      <c r="AH89" s="471"/>
      <c r="AI89" s="473"/>
      <c r="AJ89" s="472"/>
      <c r="AK89" s="479"/>
      <c r="AL89" s="479"/>
      <c r="AM89" s="473"/>
      <c r="AN89" s="473"/>
      <c r="AO89" s="471"/>
      <c r="AP89" s="480"/>
      <c r="AQ89" s="471"/>
      <c r="AR89" s="471"/>
      <c r="AS89" s="471"/>
      <c r="AT89" s="471"/>
      <c r="AU89" s="481"/>
      <c r="AV89" s="473"/>
      <c r="AW89" s="473"/>
      <c r="AX89" s="482"/>
      <c r="AY89" s="347"/>
      <c r="AZ89" s="33"/>
      <c r="BA89" s="46"/>
      <c r="BB89" s="78"/>
      <c r="BC89" s="34"/>
      <c r="BD89" s="28"/>
      <c r="BG89" s="35"/>
    </row>
    <row r="90" spans="1:60" ht="5.15" customHeight="1">
      <c r="A90" s="22"/>
      <c r="B90" s="202"/>
      <c r="C90" s="315"/>
      <c r="D90" s="73"/>
      <c r="E90" s="73"/>
      <c r="F90" s="73"/>
      <c r="G90" s="73"/>
      <c r="H90" s="316"/>
      <c r="I90" s="275"/>
      <c r="J90" s="273"/>
      <c r="K90" s="275"/>
      <c r="L90" s="273"/>
      <c r="M90" s="317"/>
      <c r="N90" s="317"/>
      <c r="O90" s="270"/>
      <c r="P90" s="317"/>
      <c r="Q90" s="270"/>
      <c r="R90" s="317"/>
      <c r="S90" s="73"/>
      <c r="T90" s="73"/>
      <c r="U90" s="73"/>
      <c r="V90" s="73"/>
      <c r="W90" s="73"/>
      <c r="X90" s="316"/>
      <c r="Y90" s="275"/>
      <c r="Z90" s="273"/>
      <c r="AA90" s="275"/>
      <c r="AB90" s="273"/>
      <c r="AC90" s="317"/>
      <c r="AD90" s="317"/>
      <c r="AE90" s="270"/>
      <c r="AF90" s="317"/>
      <c r="AG90" s="270"/>
      <c r="AH90" s="317"/>
      <c r="AI90" s="276"/>
      <c r="AJ90" s="317"/>
      <c r="AK90" s="270"/>
      <c r="AL90" s="73"/>
      <c r="AM90" s="73"/>
      <c r="AN90" s="73"/>
      <c r="AO90" s="73"/>
      <c r="AP90" s="73"/>
      <c r="AQ90" s="73"/>
      <c r="AR90" s="73"/>
      <c r="AS90" s="73"/>
      <c r="AT90" s="73"/>
      <c r="AU90" s="73"/>
      <c r="AV90" s="318"/>
      <c r="AW90" s="73"/>
      <c r="AX90" s="73"/>
      <c r="AY90" s="277"/>
      <c r="AZ90" s="33"/>
      <c r="BA90" s="46"/>
      <c r="BB90" s="78"/>
      <c r="BC90" s="34"/>
      <c r="BD90" s="28"/>
    </row>
    <row r="91" spans="1:60" ht="5.15" customHeight="1">
      <c r="A91" s="22"/>
      <c r="B91" s="202"/>
      <c r="C91" s="476"/>
      <c r="D91" s="72"/>
      <c r="E91" s="72"/>
      <c r="F91" s="72"/>
      <c r="G91" s="72"/>
      <c r="H91" s="297"/>
      <c r="I91" s="278"/>
      <c r="J91" s="279"/>
      <c r="K91" s="278"/>
      <c r="L91" s="279"/>
      <c r="M91" s="298"/>
      <c r="N91" s="298"/>
      <c r="O91" s="263"/>
      <c r="P91" s="298"/>
      <c r="Q91" s="263"/>
      <c r="R91" s="298"/>
      <c r="S91" s="72"/>
      <c r="T91" s="72"/>
      <c r="U91" s="72"/>
      <c r="V91" s="72"/>
      <c r="W91" s="72"/>
      <c r="X91" s="297"/>
      <c r="Y91" s="278"/>
      <c r="Z91" s="279"/>
      <c r="AA91" s="278"/>
      <c r="AB91" s="279"/>
      <c r="AC91" s="298"/>
      <c r="AD91" s="298"/>
      <c r="AE91" s="263"/>
      <c r="AF91" s="298"/>
      <c r="AG91" s="263"/>
      <c r="AH91" s="298"/>
      <c r="AI91" s="280"/>
      <c r="AJ91" s="298"/>
      <c r="AK91" s="263"/>
      <c r="AL91" s="72"/>
      <c r="AM91" s="72"/>
      <c r="AN91" s="72"/>
      <c r="AO91" s="72"/>
      <c r="AP91" s="72"/>
      <c r="AQ91" s="72"/>
      <c r="AR91" s="72"/>
      <c r="AS91" s="72"/>
      <c r="AT91" s="72"/>
      <c r="AU91" s="72"/>
      <c r="AV91" s="300"/>
      <c r="AW91" s="72"/>
      <c r="AX91" s="72"/>
      <c r="AY91" s="264"/>
      <c r="AZ91" s="33"/>
      <c r="BA91" s="46"/>
      <c r="BB91" s="78"/>
      <c r="BC91" s="34"/>
      <c r="BD91" s="28"/>
    </row>
    <row r="92" spans="1:60" ht="14.15" customHeight="1">
      <c r="A92" s="22"/>
      <c r="B92" s="202">
        <v>35</v>
      </c>
      <c r="C92" s="62" t="s">
        <v>243</v>
      </c>
      <c r="D92" s="332"/>
      <c r="E92" s="65"/>
      <c r="F92" s="65"/>
      <c r="G92" s="65"/>
      <c r="H92" s="65"/>
      <c r="I92" s="65"/>
      <c r="J92" s="477"/>
      <c r="K92" s="477"/>
      <c r="L92" s="477"/>
      <c r="M92" s="477"/>
      <c r="N92" s="65"/>
      <c r="O92" s="65"/>
      <c r="P92" s="65"/>
      <c r="Q92" s="65"/>
      <c r="R92" s="65"/>
      <c r="S92" s="65"/>
      <c r="T92" s="65"/>
      <c r="U92" s="65"/>
      <c r="V92" s="65"/>
      <c r="W92" s="65"/>
      <c r="X92" s="65"/>
      <c r="Y92" s="65"/>
      <c r="Z92" s="65"/>
      <c r="AA92" s="65"/>
      <c r="AB92" s="65"/>
      <c r="AC92" s="65"/>
      <c r="AD92" s="65"/>
      <c r="AE92" s="65"/>
      <c r="AF92" s="65"/>
      <c r="AG92" s="65"/>
      <c r="AH92" s="65"/>
      <c r="AI92" s="65"/>
      <c r="AJ92" s="65"/>
      <c r="AK92" s="65"/>
      <c r="AL92" s="65"/>
      <c r="AM92" s="65"/>
      <c r="AN92" s="65"/>
      <c r="AO92" s="65"/>
      <c r="AP92" s="65"/>
      <c r="AQ92" s="65"/>
      <c r="AR92" s="65"/>
      <c r="AS92" s="65"/>
      <c r="AT92" s="125"/>
      <c r="AU92" s="65"/>
      <c r="AV92" s="65"/>
      <c r="AW92" s="65"/>
      <c r="AX92" s="65"/>
      <c r="AY92" s="65"/>
      <c r="AZ92" s="33"/>
      <c r="BA92" s="46"/>
      <c r="BB92" s="78"/>
      <c r="BC92" s="34"/>
      <c r="BD92" s="28"/>
      <c r="BG92" s="24"/>
      <c r="BH92" s="28"/>
    </row>
    <row r="93" spans="1:60" ht="14.15" customHeight="1">
      <c r="A93" s="22"/>
      <c r="B93" s="202">
        <v>35</v>
      </c>
      <c r="C93" s="331"/>
      <c r="D93" s="332"/>
      <c r="E93" s="65"/>
      <c r="F93" s="65"/>
      <c r="G93" s="65"/>
      <c r="H93" s="65"/>
      <c r="I93" s="65"/>
      <c r="J93" s="477"/>
      <c r="K93" s="477"/>
      <c r="L93" s="477"/>
      <c r="M93" s="477"/>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125"/>
      <c r="AU93" s="65"/>
      <c r="AV93" s="65"/>
      <c r="AW93" s="65"/>
      <c r="AX93" s="65"/>
      <c r="AY93" s="65"/>
      <c r="AZ93" s="33"/>
      <c r="BA93" s="46"/>
      <c r="BB93" s="335"/>
      <c r="BC93" s="336"/>
      <c r="BD93" s="28"/>
      <c r="BG93" s="24"/>
      <c r="BH93" s="28"/>
    </row>
    <row r="94" spans="1:60" ht="14.15" customHeight="1">
      <c r="A94" s="22"/>
      <c r="B94" s="202">
        <v>35</v>
      </c>
      <c r="C94" s="346" t="s">
        <v>249</v>
      </c>
      <c r="D94" s="332"/>
      <c r="E94" s="65"/>
      <c r="F94" s="65"/>
      <c r="G94" s="65"/>
      <c r="H94" s="65"/>
      <c r="I94" s="65"/>
      <c r="J94" s="945"/>
      <c r="K94" s="945"/>
      <c r="L94" s="945"/>
      <c r="M94" s="945"/>
      <c r="N94" s="65"/>
      <c r="O94" s="65"/>
      <c r="P94" s="65"/>
      <c r="Q94" s="65"/>
      <c r="R94" s="65"/>
      <c r="S94" s="65"/>
      <c r="T94" s="65"/>
      <c r="U94" s="65"/>
      <c r="V94" s="65"/>
      <c r="W94" s="65"/>
      <c r="X94" s="65"/>
      <c r="Y94" s="65"/>
      <c r="Z94" s="65"/>
      <c r="AA94" s="65"/>
      <c r="AB94" s="65"/>
      <c r="AC94" s="65"/>
      <c r="AD94" s="65"/>
      <c r="AE94" s="65"/>
      <c r="AF94" s="65"/>
      <c r="AG94" s="65"/>
      <c r="AH94" s="65"/>
      <c r="AI94" s="65"/>
      <c r="AJ94" s="65"/>
      <c r="AK94" s="65"/>
      <c r="AL94" s="65"/>
      <c r="AM94" s="65"/>
      <c r="AN94" s="65"/>
      <c r="AO94" s="65"/>
      <c r="AP94" s="65"/>
      <c r="AQ94" s="65"/>
      <c r="AR94" s="65"/>
      <c r="AS94" s="65"/>
      <c r="AT94" s="125"/>
      <c r="AU94" s="65"/>
      <c r="AV94" s="65"/>
      <c r="AW94" s="65"/>
      <c r="AX94" s="65"/>
      <c r="AY94" s="65"/>
      <c r="AZ94" s="33"/>
      <c r="BA94" s="46"/>
      <c r="BB94" s="335"/>
      <c r="BC94" s="336"/>
      <c r="BD94" s="28"/>
      <c r="BG94" s="24"/>
      <c r="BH94" s="28"/>
    </row>
    <row r="95" spans="1:60" ht="5.15" customHeight="1">
      <c r="A95" s="22"/>
      <c r="B95" s="202"/>
      <c r="C95" s="296"/>
      <c r="D95" s="72"/>
      <c r="E95" s="72"/>
      <c r="F95" s="72"/>
      <c r="G95" s="72"/>
      <c r="H95" s="297"/>
      <c r="I95" s="278"/>
      <c r="J95" s="279"/>
      <c r="K95" s="278"/>
      <c r="L95" s="279"/>
      <c r="M95" s="298"/>
      <c r="N95" s="298"/>
      <c r="O95" s="263"/>
      <c r="P95" s="298"/>
      <c r="Q95" s="263"/>
      <c r="R95" s="298"/>
      <c r="S95" s="72"/>
      <c r="T95" s="72"/>
      <c r="U95" s="72"/>
      <c r="V95" s="72"/>
      <c r="W95" s="72"/>
      <c r="X95" s="297"/>
      <c r="Y95" s="278"/>
      <c r="Z95" s="279"/>
      <c r="AA95" s="278"/>
      <c r="AB95" s="279"/>
      <c r="AC95" s="298"/>
      <c r="AD95" s="298"/>
      <c r="AE95" s="263"/>
      <c r="AF95" s="298"/>
      <c r="AG95" s="263"/>
      <c r="AH95" s="298"/>
      <c r="AI95" s="280"/>
      <c r="AJ95" s="298"/>
      <c r="AK95" s="263"/>
      <c r="AL95" s="72"/>
      <c r="AM95" s="72"/>
      <c r="AN95" s="72"/>
      <c r="AO95" s="72"/>
      <c r="AP95" s="72"/>
      <c r="AQ95" s="72"/>
      <c r="AR95" s="72"/>
      <c r="AS95" s="72"/>
      <c r="AT95" s="72"/>
      <c r="AU95" s="72"/>
      <c r="AV95" s="300"/>
      <c r="AW95" s="72"/>
      <c r="AX95" s="72"/>
      <c r="AY95" s="265"/>
      <c r="AZ95" s="33"/>
      <c r="BA95" s="46"/>
      <c r="BB95" s="335"/>
      <c r="BC95" s="336"/>
      <c r="BD95" s="28"/>
    </row>
    <row r="96" spans="1:60" ht="13.5" customHeight="1">
      <c r="A96" s="22"/>
      <c r="B96" s="45"/>
      <c r="C96" s="266"/>
      <c r="D96" s="28" t="s">
        <v>250</v>
      </c>
      <c r="E96" s="28"/>
      <c r="F96" s="28"/>
      <c r="G96" s="28"/>
      <c r="H96" s="24"/>
      <c r="I96" s="24"/>
      <c r="J96" s="24"/>
      <c r="K96" s="24"/>
      <c r="L96" s="24"/>
      <c r="M96" s="127"/>
      <c r="N96" s="75"/>
      <c r="O96" s="84"/>
      <c r="P96" s="84"/>
      <c r="Q96" s="85"/>
      <c r="R96" s="75"/>
      <c r="S96" s="75"/>
      <c r="T96" s="75"/>
      <c r="U96" s="84"/>
      <c r="V96" s="85"/>
      <c r="W96" s="75"/>
      <c r="X96" s="65"/>
      <c r="Y96" s="28"/>
      <c r="Z96" s="28"/>
      <c r="AA96" s="28"/>
      <c r="AB96" s="28"/>
      <c r="AC96" s="28"/>
      <c r="AD96" s="28"/>
      <c r="AE96" s="28"/>
      <c r="AF96" s="28"/>
      <c r="AG96" s="28"/>
      <c r="AH96" s="28"/>
      <c r="AI96" s="28"/>
      <c r="AJ96" s="28"/>
      <c r="AK96" s="28"/>
      <c r="AL96" s="28"/>
      <c r="AM96" s="31"/>
      <c r="AN96" s="31"/>
      <c r="AO96" s="31"/>
      <c r="AP96" s="31"/>
      <c r="AQ96" s="31"/>
      <c r="AR96" s="31"/>
      <c r="AS96" s="31"/>
      <c r="AT96" s="31"/>
      <c r="AU96" s="31"/>
      <c r="AV96" s="31"/>
      <c r="AW96" s="31"/>
      <c r="AX96" s="65"/>
      <c r="AY96" s="267"/>
      <c r="AZ96" s="33"/>
      <c r="BA96" s="46"/>
      <c r="BB96" s="335"/>
      <c r="BC96" s="336"/>
      <c r="BD96" s="28"/>
      <c r="BE96" s="35"/>
      <c r="BF96" s="35"/>
      <c r="BG96" s="35"/>
    </row>
    <row r="97" spans="1:60" ht="13.5" customHeight="1">
      <c r="A97" s="22"/>
      <c r="B97" s="45"/>
      <c r="C97" s="266"/>
      <c r="D97" s="28"/>
      <c r="E97" s="28"/>
      <c r="F97" s="28"/>
      <c r="G97" s="28"/>
      <c r="H97" s="348" t="s">
        <v>252</v>
      </c>
      <c r="I97" s="131"/>
      <c r="J97" s="131"/>
      <c r="K97" s="131"/>
      <c r="L97" s="132"/>
      <c r="M97" s="132"/>
      <c r="N97" s="106"/>
      <c r="O97" s="133"/>
      <c r="P97" s="134"/>
      <c r="Q97" s="133" t="s">
        <v>251</v>
      </c>
      <c r="R97" s="134"/>
      <c r="S97" s="107"/>
      <c r="T97" s="107"/>
      <c r="U97" s="107"/>
      <c r="V97" s="107"/>
      <c r="W97" s="107"/>
      <c r="X97" s="107"/>
      <c r="Y97" s="107"/>
      <c r="Z97" s="107"/>
      <c r="AA97" s="107"/>
      <c r="AB97" s="107"/>
      <c r="AC97" s="107"/>
      <c r="AD97" s="107"/>
      <c r="AE97" s="107"/>
      <c r="AF97" s="107"/>
      <c r="AG97" s="107"/>
      <c r="AH97" s="107"/>
      <c r="AI97" s="107"/>
      <c r="AJ97" s="107"/>
      <c r="AK97" s="107"/>
      <c r="AL97" s="133" t="s">
        <v>44</v>
      </c>
      <c r="AM97" s="134"/>
      <c r="AN97" s="107"/>
      <c r="AO97" s="31"/>
      <c r="AP97" s="31"/>
      <c r="AQ97" s="31"/>
      <c r="AR97" s="31"/>
      <c r="AS97" s="31"/>
      <c r="AT97" s="31"/>
      <c r="AU97" s="31"/>
      <c r="AV97" s="31"/>
      <c r="AW97" s="31"/>
      <c r="AX97" s="65"/>
      <c r="AY97" s="267"/>
      <c r="AZ97" s="33"/>
      <c r="BA97" s="46"/>
      <c r="BB97" s="335"/>
      <c r="BC97" s="336"/>
      <c r="BD97" s="28"/>
      <c r="BE97" s="35"/>
      <c r="BF97" s="35"/>
      <c r="BG97" s="35"/>
    </row>
    <row r="98" spans="1:60" ht="13.5" customHeight="1">
      <c r="A98" s="22"/>
      <c r="B98" s="45"/>
      <c r="C98" s="266"/>
      <c r="D98" s="28"/>
      <c r="E98" s="28"/>
      <c r="F98" s="28"/>
      <c r="G98" s="28"/>
      <c r="H98" s="485" t="s">
        <v>255</v>
      </c>
      <c r="I98" s="137"/>
      <c r="J98" s="137"/>
      <c r="K98" s="137"/>
      <c r="L98" s="137"/>
      <c r="M98" s="137"/>
      <c r="N98" s="137"/>
      <c r="O98" s="350"/>
      <c r="P98" s="139"/>
      <c r="Q98" s="486" t="s">
        <v>54</v>
      </c>
      <c r="R98" s="139"/>
      <c r="S98" s="108"/>
      <c r="T98" s="108"/>
      <c r="U98" s="108"/>
      <c r="V98" s="156"/>
      <c r="W98" s="110"/>
      <c r="X98" s="110"/>
      <c r="Y98" s="156"/>
      <c r="Z98" s="156"/>
      <c r="AA98" s="110"/>
      <c r="AB98" s="110"/>
      <c r="AC98" s="37"/>
      <c r="AD98" s="37"/>
      <c r="AE98" s="37"/>
      <c r="AF98" s="37"/>
      <c r="AG98" s="37"/>
      <c r="AH98" s="37"/>
      <c r="AI98" s="37"/>
      <c r="AJ98" s="37"/>
      <c r="AK98" s="97"/>
      <c r="AL98" s="140"/>
      <c r="AM98" s="141"/>
      <c r="AN98" s="142"/>
      <c r="AO98" s="31"/>
      <c r="AP98" s="31"/>
      <c r="AQ98" s="31"/>
      <c r="AR98" s="31"/>
      <c r="AS98" s="31"/>
      <c r="AT98" s="31"/>
      <c r="AU98" s="31"/>
      <c r="AV98" s="31"/>
      <c r="AW98" s="31"/>
      <c r="AX98" s="65"/>
      <c r="AY98" s="267"/>
      <c r="AZ98" s="33"/>
      <c r="BA98" s="46"/>
      <c r="BB98" s="335"/>
      <c r="BC98" s="336"/>
      <c r="BD98" s="28"/>
      <c r="BE98" s="35"/>
      <c r="BF98" s="35"/>
      <c r="BG98" s="35"/>
    </row>
    <row r="99" spans="1:60" ht="13.5" customHeight="1">
      <c r="A99" s="22"/>
      <c r="B99" s="45"/>
      <c r="C99" s="266"/>
      <c r="D99" s="28"/>
      <c r="E99" s="28"/>
      <c r="F99" s="28"/>
      <c r="G99" s="28"/>
      <c r="H99" s="485" t="s">
        <v>256</v>
      </c>
      <c r="I99" s="137"/>
      <c r="J99" s="137"/>
      <c r="K99" s="137"/>
      <c r="L99" s="137"/>
      <c r="M99" s="137"/>
      <c r="N99" s="137"/>
      <c r="O99" s="350"/>
      <c r="P99" s="139"/>
      <c r="Q99" s="486" t="s">
        <v>54</v>
      </c>
      <c r="R99" s="139"/>
      <c r="S99" s="108"/>
      <c r="T99" s="108"/>
      <c r="U99" s="108"/>
      <c r="V99" s="156"/>
      <c r="W99" s="110"/>
      <c r="X99" s="110"/>
      <c r="Y99" s="156"/>
      <c r="Z99" s="156"/>
      <c r="AA99" s="110"/>
      <c r="AB99" s="110"/>
      <c r="AC99" s="37"/>
      <c r="AD99" s="37"/>
      <c r="AE99" s="37"/>
      <c r="AF99" s="37"/>
      <c r="AG99" s="37"/>
      <c r="AH99" s="37"/>
      <c r="AI99" s="37"/>
      <c r="AJ99" s="37"/>
      <c r="AK99" s="97"/>
      <c r="AL99" s="140"/>
      <c r="AM99" s="141"/>
      <c r="AN99" s="142"/>
      <c r="AO99" s="31"/>
      <c r="AP99" s="31"/>
      <c r="AQ99" s="31"/>
      <c r="AR99" s="31"/>
      <c r="AS99" s="31"/>
      <c r="AT99" s="31"/>
      <c r="AU99" s="31"/>
      <c r="AV99" s="31"/>
      <c r="AW99" s="31"/>
      <c r="AX99" s="65"/>
      <c r="AY99" s="267"/>
      <c r="AZ99" s="33"/>
      <c r="BA99" s="46"/>
      <c r="BB99" s="335"/>
      <c r="BC99" s="336"/>
      <c r="BD99" s="28"/>
      <c r="BE99" s="35"/>
      <c r="BF99" s="35"/>
      <c r="BG99" s="35"/>
    </row>
    <row r="100" spans="1:60" ht="13.5" customHeight="1">
      <c r="A100" s="22"/>
      <c r="B100" s="45"/>
      <c r="C100" s="266"/>
      <c r="D100" s="28"/>
      <c r="E100" s="28"/>
      <c r="F100" s="28"/>
      <c r="G100" s="28"/>
      <c r="H100" s="485" t="s">
        <v>257</v>
      </c>
      <c r="I100" s="137"/>
      <c r="J100" s="137"/>
      <c r="K100" s="137"/>
      <c r="L100" s="137"/>
      <c r="M100" s="137"/>
      <c r="N100" s="137"/>
      <c r="O100" s="350"/>
      <c r="P100" s="139"/>
      <c r="Q100" s="486" t="s">
        <v>54</v>
      </c>
      <c r="R100" s="139"/>
      <c r="S100" s="108"/>
      <c r="T100" s="108"/>
      <c r="U100" s="108"/>
      <c r="V100" s="156"/>
      <c r="W100" s="110"/>
      <c r="X100" s="110"/>
      <c r="Y100" s="156"/>
      <c r="Z100" s="156"/>
      <c r="AA100" s="110"/>
      <c r="AB100" s="110"/>
      <c r="AC100" s="37"/>
      <c r="AD100" s="37"/>
      <c r="AE100" s="37"/>
      <c r="AF100" s="37"/>
      <c r="AG100" s="37"/>
      <c r="AH100" s="37"/>
      <c r="AI100" s="37"/>
      <c r="AJ100" s="37"/>
      <c r="AK100" s="97"/>
      <c r="AL100" s="140"/>
      <c r="AM100" s="141"/>
      <c r="AN100" s="142"/>
      <c r="AO100" s="31"/>
      <c r="AP100" s="31"/>
      <c r="AQ100" s="31"/>
      <c r="AR100" s="31"/>
      <c r="AS100" s="31"/>
      <c r="AT100" s="31"/>
      <c r="AU100" s="31"/>
      <c r="AV100" s="31"/>
      <c r="AW100" s="31"/>
      <c r="AX100" s="65"/>
      <c r="AY100" s="267"/>
      <c r="AZ100" s="33"/>
      <c r="BA100" s="46"/>
      <c r="BB100" s="335"/>
      <c r="BC100" s="336"/>
      <c r="BD100" s="28"/>
      <c r="BE100" s="35"/>
      <c r="BF100" s="35"/>
      <c r="BG100" s="35"/>
    </row>
    <row r="101" spans="1:60" ht="5.15" customHeight="1">
      <c r="A101" s="22"/>
      <c r="B101" s="202"/>
      <c r="C101" s="315"/>
      <c r="D101" s="73"/>
      <c r="E101" s="73"/>
      <c r="F101" s="73"/>
      <c r="G101" s="73"/>
      <c r="H101" s="316"/>
      <c r="I101" s="275"/>
      <c r="J101" s="273"/>
      <c r="K101" s="275"/>
      <c r="L101" s="273"/>
      <c r="M101" s="317"/>
      <c r="N101" s="317"/>
      <c r="O101" s="270"/>
      <c r="P101" s="317"/>
      <c r="Q101" s="270"/>
      <c r="R101" s="317"/>
      <c r="S101" s="73"/>
      <c r="T101" s="73"/>
      <c r="U101" s="73"/>
      <c r="V101" s="73"/>
      <c r="W101" s="73"/>
      <c r="X101" s="316"/>
      <c r="Y101" s="275"/>
      <c r="Z101" s="273"/>
      <c r="AA101" s="275"/>
      <c r="AB101" s="273"/>
      <c r="AC101" s="317"/>
      <c r="AD101" s="317"/>
      <c r="AE101" s="270"/>
      <c r="AF101" s="317"/>
      <c r="AG101" s="270"/>
      <c r="AH101" s="317"/>
      <c r="AI101" s="276"/>
      <c r="AJ101" s="317"/>
      <c r="AK101" s="270"/>
      <c r="AL101" s="73"/>
      <c r="AM101" s="73"/>
      <c r="AN101" s="73"/>
      <c r="AO101" s="73"/>
      <c r="AP101" s="73"/>
      <c r="AQ101" s="73"/>
      <c r="AR101" s="73"/>
      <c r="AS101" s="73"/>
      <c r="AT101" s="73"/>
      <c r="AU101" s="73"/>
      <c r="AV101" s="318"/>
      <c r="AW101" s="73"/>
      <c r="AX101" s="73"/>
      <c r="AY101" s="277"/>
      <c r="AZ101" s="33"/>
      <c r="BA101" s="46"/>
      <c r="BB101" s="335"/>
      <c r="BC101" s="336"/>
      <c r="BD101" s="28"/>
    </row>
    <row r="102" spans="1:60" ht="14.15" customHeight="1">
      <c r="A102" s="22"/>
      <c r="B102" s="202"/>
      <c r="C102" s="331"/>
      <c r="D102" s="332"/>
      <c r="E102" s="65"/>
      <c r="F102" s="65"/>
      <c r="G102" s="65"/>
      <c r="H102" s="65"/>
      <c r="I102" s="65"/>
      <c r="J102" s="354"/>
      <c r="K102" s="354"/>
      <c r="L102" s="354"/>
      <c r="M102" s="354"/>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125"/>
      <c r="AU102" s="65"/>
      <c r="AV102" s="65"/>
      <c r="AW102" s="65"/>
      <c r="AX102" s="65"/>
      <c r="AY102" s="65"/>
      <c r="AZ102" s="33"/>
      <c r="BA102" s="46"/>
      <c r="BB102" s="335"/>
      <c r="BC102" s="336"/>
      <c r="BD102" s="28"/>
      <c r="BG102" s="24"/>
      <c r="BH102" s="28"/>
    </row>
    <row r="103" spans="1:60" ht="13.5" customHeight="1">
      <c r="A103" s="22"/>
      <c r="B103" s="202">
        <v>36</v>
      </c>
      <c r="C103" s="331"/>
      <c r="D103" s="332"/>
      <c r="E103" s="65"/>
      <c r="F103" s="65"/>
      <c r="G103" s="65"/>
      <c r="H103" s="65"/>
      <c r="I103" s="65"/>
      <c r="J103" s="945"/>
      <c r="K103" s="945"/>
      <c r="L103" s="945"/>
      <c r="M103" s="945"/>
      <c r="N103" s="63"/>
      <c r="O103" s="65"/>
      <c r="P103" s="65"/>
      <c r="Q103" s="65"/>
      <c r="R103" s="28"/>
      <c r="S103" s="28"/>
      <c r="T103" s="31"/>
      <c r="U103" s="31"/>
      <c r="V103" s="31"/>
      <c r="W103" s="31"/>
      <c r="X103" s="31"/>
      <c r="Y103" s="44"/>
      <c r="Z103" s="31"/>
      <c r="AA103" s="28"/>
      <c r="AB103" s="44"/>
      <c r="AC103" s="31"/>
      <c r="AD103" s="28"/>
      <c r="AE103" s="44"/>
      <c r="AF103" s="28"/>
      <c r="AG103" s="116"/>
      <c r="AH103" s="41"/>
      <c r="AI103" s="116"/>
      <c r="AJ103" s="116"/>
      <c r="AK103" s="116"/>
      <c r="AL103" s="116"/>
      <c r="AM103" s="116"/>
      <c r="AN103" s="116"/>
      <c r="AO103" s="116"/>
      <c r="AP103" s="116"/>
      <c r="AQ103" s="116"/>
      <c r="AR103" s="116"/>
      <c r="AS103" s="116"/>
      <c r="AT103" s="116"/>
      <c r="AU103" s="116"/>
      <c r="AV103" s="116"/>
      <c r="AW103" s="116"/>
      <c r="AX103" s="116"/>
      <c r="AY103" s="116"/>
      <c r="AZ103" s="33"/>
      <c r="BA103" s="46"/>
      <c r="BB103" s="335"/>
      <c r="BC103" s="336"/>
      <c r="BD103" s="28"/>
      <c r="BG103" s="24"/>
      <c r="BH103" s="28"/>
    </row>
    <row r="104" spans="1:60" ht="13.5" customHeight="1">
      <c r="A104" s="22"/>
      <c r="B104" s="202">
        <v>37</v>
      </c>
      <c r="C104" s="331"/>
      <c r="D104" s="332"/>
      <c r="E104" s="65"/>
      <c r="F104" s="65"/>
      <c r="G104" s="65"/>
      <c r="H104" s="65"/>
      <c r="I104" s="65"/>
      <c r="J104" s="945"/>
      <c r="K104" s="945"/>
      <c r="L104" s="945"/>
      <c r="M104" s="945"/>
      <c r="N104" s="193"/>
      <c r="O104" s="195"/>
      <c r="P104" s="193"/>
      <c r="Q104" s="194"/>
      <c r="R104" s="194"/>
      <c r="S104" s="194"/>
      <c r="T104" s="196"/>
      <c r="U104" s="196"/>
      <c r="V104" s="196"/>
      <c r="W104" s="196"/>
      <c r="X104" s="196"/>
      <c r="Y104" s="195"/>
      <c r="Z104" s="196"/>
      <c r="AA104" s="194"/>
      <c r="AB104" s="195"/>
      <c r="AC104" s="196"/>
      <c r="AD104" s="194"/>
      <c r="AE104" s="195"/>
      <c r="AF104" s="194"/>
      <c r="AG104" s="194"/>
      <c r="AH104" s="195"/>
      <c r="AI104" s="194"/>
      <c r="AJ104" s="194"/>
      <c r="AK104" s="197"/>
      <c r="AL104" s="194"/>
      <c r="AM104" s="194"/>
      <c r="AN104" s="194"/>
      <c r="AO104" s="194"/>
      <c r="AP104" s="194"/>
      <c r="AQ104" s="194"/>
      <c r="AR104" s="194"/>
      <c r="AS104" s="194"/>
      <c r="AT104" s="194"/>
      <c r="AU104" s="194"/>
      <c r="AV104" s="194"/>
      <c r="AW104" s="194"/>
      <c r="AX104" s="194"/>
      <c r="AY104" s="194"/>
      <c r="AZ104" s="33"/>
      <c r="BA104" s="46"/>
      <c r="BB104" s="335"/>
      <c r="BC104" s="336"/>
      <c r="BD104" s="28"/>
      <c r="BG104" s="24"/>
      <c r="BH104" s="28"/>
    </row>
    <row r="105" spans="1:60">
      <c r="A105" s="22"/>
      <c r="B105" s="32"/>
      <c r="C105" s="28"/>
      <c r="D105" s="28"/>
      <c r="E105" s="28"/>
      <c r="F105" s="28"/>
      <c r="G105" s="28"/>
      <c r="H105" s="28"/>
      <c r="I105" s="28"/>
      <c r="J105" s="28"/>
      <c r="K105" s="28"/>
      <c r="L105" s="28"/>
      <c r="M105" s="28"/>
      <c r="N105" s="28"/>
      <c r="O105" s="28"/>
      <c r="P105" s="28"/>
      <c r="Q105" s="28"/>
      <c r="R105" s="28"/>
      <c r="S105" s="81"/>
      <c r="T105" s="81"/>
      <c r="U105" s="81"/>
      <c r="V105" s="81"/>
      <c r="W105" s="28"/>
      <c r="X105" s="28"/>
      <c r="Y105" s="81"/>
      <c r="Z105" s="81"/>
      <c r="AA105" s="28"/>
      <c r="AB105" s="28"/>
      <c r="AC105" s="28"/>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31"/>
      <c r="AZ105" s="33"/>
      <c r="BA105" s="46"/>
      <c r="BB105" s="335"/>
      <c r="BC105" s="336"/>
    </row>
    <row r="106" spans="1:60">
      <c r="A106" s="155"/>
      <c r="B106" s="95"/>
      <c r="C106" s="110"/>
      <c r="D106" s="110"/>
      <c r="E106" s="110"/>
      <c r="F106" s="110"/>
      <c r="G106" s="110"/>
      <c r="H106" s="110"/>
      <c r="I106" s="110"/>
      <c r="J106" s="110"/>
      <c r="K106" s="110"/>
      <c r="L106" s="110"/>
      <c r="M106" s="110"/>
      <c r="N106" s="110"/>
      <c r="O106" s="110"/>
      <c r="P106" s="110"/>
      <c r="Q106" s="110"/>
      <c r="R106" s="110"/>
      <c r="S106" s="156"/>
      <c r="T106" s="156"/>
      <c r="U106" s="156"/>
      <c r="V106" s="156"/>
      <c r="W106" s="110"/>
      <c r="X106" s="110"/>
      <c r="Y106" s="156"/>
      <c r="Z106" s="156"/>
      <c r="AA106" s="110"/>
      <c r="AB106" s="110"/>
      <c r="AC106" s="110"/>
      <c r="AD106" s="156"/>
      <c r="AE106" s="156"/>
      <c r="AF106" s="156"/>
      <c r="AG106" s="156"/>
      <c r="AH106" s="156"/>
      <c r="AI106" s="156"/>
      <c r="AJ106" s="156"/>
      <c r="AK106" s="156"/>
      <c r="AL106" s="156"/>
      <c r="AM106" s="156"/>
      <c r="AN106" s="156"/>
      <c r="AO106" s="156"/>
      <c r="AP106" s="156"/>
      <c r="AQ106" s="156"/>
      <c r="AR106" s="156"/>
      <c r="AS106" s="156"/>
      <c r="AT106" s="156"/>
      <c r="AU106" s="156"/>
      <c r="AV106" s="156"/>
      <c r="AW106" s="156"/>
      <c r="AX106" s="156"/>
      <c r="AY106" s="95"/>
      <c r="AZ106" s="95"/>
      <c r="BA106" s="157"/>
      <c r="BB106" s="355"/>
      <c r="BC106" s="356"/>
    </row>
  </sheetData>
  <mergeCells count="84">
    <mergeCell ref="BA62:BD62"/>
    <mergeCell ref="AG62:AJ62"/>
    <mergeCell ref="AK62:AN62"/>
    <mergeCell ref="AO62:AR62"/>
    <mergeCell ref="AS62:AV62"/>
    <mergeCell ref="AW62:AZ62"/>
    <mergeCell ref="BE58:BG58"/>
    <mergeCell ref="BE59:BG59"/>
    <mergeCell ref="X58:AA58"/>
    <mergeCell ref="X59:AA59"/>
    <mergeCell ref="X65:AA65"/>
    <mergeCell ref="AG65:AJ65"/>
    <mergeCell ref="AK65:AN65"/>
    <mergeCell ref="AS65:AV65"/>
    <mergeCell ref="AO65:AR65"/>
    <mergeCell ref="AW65:AZ65"/>
    <mergeCell ref="AS58:AV58"/>
    <mergeCell ref="AS59:AV59"/>
    <mergeCell ref="AG58:AJ58"/>
    <mergeCell ref="BA58:BD58"/>
    <mergeCell ref="BA59:BD59"/>
    <mergeCell ref="AO58:AR58"/>
    <mergeCell ref="AQ43:AS43"/>
    <mergeCell ref="AQ44:AS44"/>
    <mergeCell ref="AH43:AL43"/>
    <mergeCell ref="AH44:AL44"/>
    <mergeCell ref="AD43:AG43"/>
    <mergeCell ref="AD44:AG44"/>
    <mergeCell ref="AM43:AP43"/>
    <mergeCell ref="AM44:AP44"/>
    <mergeCell ref="R43:U43"/>
    <mergeCell ref="R44:U44"/>
    <mergeCell ref="V43:Y43"/>
    <mergeCell ref="V44:Y44"/>
    <mergeCell ref="Z43:AC43"/>
    <mergeCell ref="Z44:AC44"/>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5:BA5"/>
    <mergeCell ref="BB5:BC5"/>
    <mergeCell ref="AV2:AY2"/>
    <mergeCell ref="AZ2:BC3"/>
    <mergeCell ref="A3:H3"/>
    <mergeCell ref="I3:L3"/>
    <mergeCell ref="M3:W3"/>
    <mergeCell ref="X3:Z3"/>
    <mergeCell ref="AA3:AR3"/>
    <mergeCell ref="AS3:AU3"/>
    <mergeCell ref="AV3:AY3"/>
    <mergeCell ref="J103:M103"/>
    <mergeCell ref="J104:M104"/>
    <mergeCell ref="BA65:BD65"/>
    <mergeCell ref="J68:M68"/>
    <mergeCell ref="J70:M70"/>
    <mergeCell ref="AB65:AF65"/>
    <mergeCell ref="J94:M94"/>
    <mergeCell ref="J86:M86"/>
    <mergeCell ref="J77:M77"/>
    <mergeCell ref="J80:M80"/>
    <mergeCell ref="J78:M78"/>
    <mergeCell ref="T58:W58"/>
    <mergeCell ref="T59:W59"/>
    <mergeCell ref="AG59:AJ59"/>
    <mergeCell ref="AK58:AN58"/>
    <mergeCell ref="AK59:AN59"/>
    <mergeCell ref="X62:AA62"/>
    <mergeCell ref="AB62:AF62"/>
    <mergeCell ref="AO59:AR59"/>
    <mergeCell ref="AB58:AF58"/>
    <mergeCell ref="AB59:AF59"/>
  </mergeCells>
  <phoneticPr fontId="57"/>
  <conditionalFormatting sqref="AO58:AR59">
    <cfRule type="cellIs" dxfId="38" priority="12" operator="lessThan">
      <formula>30</formula>
    </cfRule>
    <cfRule type="expression" dxfId="37" priority="13">
      <formula>$AK$65&lt;30</formula>
    </cfRule>
  </conditionalFormatting>
  <conditionalFormatting sqref="AO62:AR62">
    <cfRule type="cellIs" dxfId="36" priority="4" operator="lessThan">
      <formula>30</formula>
    </cfRule>
  </conditionalFormatting>
  <conditionalFormatting sqref="AO65:AR65">
    <cfRule type="cellIs" dxfId="35" priority="10" operator="lessThan">
      <formula>30</formula>
    </cfRule>
  </conditionalFormatting>
  <conditionalFormatting sqref="AO62:AV62">
    <cfRule type="cellIs" dxfId="34" priority="5" operator="lessThan">
      <formula>0</formula>
    </cfRule>
    <cfRule type="expression" dxfId="33" priority="6">
      <formula>$AK$65&lt;30</formula>
    </cfRule>
  </conditionalFormatting>
  <conditionalFormatting sqref="AO65:AV65">
    <cfRule type="cellIs" dxfId="32" priority="11" operator="lessThan">
      <formula>0</formula>
    </cfRule>
    <cfRule type="expression" dxfId="31" priority="24">
      <formula>$AK$65&lt;30</formula>
    </cfRule>
  </conditionalFormatting>
  <conditionalFormatting sqref="AS58:AV59">
    <cfRule type="cellIs" dxfId="30" priority="20" operator="lessThan">
      <formula>0</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8D3B5-A6BF-4DE0-AEB8-F26B7CC024AC}">
  <dimension ref="A1:BQ106"/>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40" t="s">
        <v>4</v>
      </c>
      <c r="B1" s="740"/>
      <c r="C1" s="740"/>
      <c r="D1" s="740"/>
      <c r="E1" s="740"/>
      <c r="F1" s="740"/>
      <c r="G1" s="740"/>
      <c r="H1" s="740"/>
      <c r="I1" s="727" t="s">
        <v>5</v>
      </c>
      <c r="J1" s="727"/>
      <c r="K1" s="727"/>
      <c r="L1" s="727"/>
      <c r="M1" s="738" t="str">
        <f>変更来歴!M1</f>
        <v>ヒロセ電機株式会社</v>
      </c>
      <c r="N1" s="738"/>
      <c r="O1" s="738"/>
      <c r="P1" s="738"/>
      <c r="Q1" s="738"/>
      <c r="R1" s="738"/>
      <c r="S1" s="738"/>
      <c r="T1" s="738"/>
      <c r="U1" s="738"/>
      <c r="V1" s="738"/>
      <c r="W1" s="738"/>
      <c r="X1" s="727" t="s">
        <v>7</v>
      </c>
      <c r="Y1" s="727"/>
      <c r="Z1" s="727"/>
      <c r="AA1" s="742" t="str">
        <f>変更来歴!AA1</f>
        <v>化学物質データ申請</v>
      </c>
      <c r="AB1" s="742"/>
      <c r="AC1" s="742"/>
      <c r="AD1" s="742"/>
      <c r="AE1" s="742"/>
      <c r="AF1" s="742"/>
      <c r="AG1" s="742"/>
      <c r="AH1" s="742"/>
      <c r="AI1" s="742"/>
      <c r="AJ1" s="742"/>
      <c r="AK1" s="716" t="s">
        <v>8</v>
      </c>
      <c r="AL1" s="716"/>
      <c r="AM1" s="716"/>
      <c r="AN1" s="718" t="str">
        <f>変更来歴!AP7</f>
        <v>古竹</v>
      </c>
      <c r="AO1" s="718"/>
      <c r="AP1" s="718"/>
      <c r="AQ1" s="718"/>
      <c r="AR1" s="718"/>
      <c r="AS1" s="716" t="s">
        <v>9</v>
      </c>
      <c r="AT1" s="716"/>
      <c r="AU1" s="716"/>
      <c r="AV1" s="719">
        <f>変更来歴!AL7</f>
        <v>46125</v>
      </c>
      <c r="AW1" s="717"/>
      <c r="AX1" s="717"/>
      <c r="AY1" s="717"/>
      <c r="AZ1" s="723" t="s">
        <v>10</v>
      </c>
      <c r="BA1" s="724"/>
      <c r="BB1" s="724"/>
      <c r="BC1" s="725"/>
    </row>
    <row r="2" spans="1:59">
      <c r="A2" s="726" t="s">
        <v>16</v>
      </c>
      <c r="B2" s="726"/>
      <c r="C2" s="726"/>
      <c r="D2" s="726"/>
      <c r="E2" s="726"/>
      <c r="F2" s="726"/>
      <c r="G2" s="726"/>
      <c r="H2" s="726"/>
      <c r="I2" s="727" t="s">
        <v>11</v>
      </c>
      <c r="J2" s="727"/>
      <c r="K2" s="727"/>
      <c r="L2" s="727"/>
      <c r="M2" s="762" t="str">
        <f>変更来歴!M2</f>
        <v>　</v>
      </c>
      <c r="N2" s="762"/>
      <c r="O2" s="762"/>
      <c r="P2" s="762"/>
      <c r="Q2" s="762"/>
      <c r="R2" s="762"/>
      <c r="S2" s="762"/>
      <c r="T2" s="762"/>
      <c r="U2" s="762"/>
      <c r="V2" s="762"/>
      <c r="W2" s="762"/>
      <c r="X2" s="727"/>
      <c r="Y2" s="727"/>
      <c r="Z2" s="727"/>
      <c r="AA2" s="742"/>
      <c r="AB2" s="742"/>
      <c r="AC2" s="742"/>
      <c r="AD2" s="742"/>
      <c r="AE2" s="742"/>
      <c r="AF2" s="742"/>
      <c r="AG2" s="742"/>
      <c r="AH2" s="742"/>
      <c r="AI2" s="742"/>
      <c r="AJ2" s="742"/>
      <c r="AK2" s="716" t="s">
        <v>12</v>
      </c>
      <c r="AL2" s="716"/>
      <c r="AM2" s="716"/>
      <c r="AN2" s="718" t="str">
        <f ca="1">INDIRECT("変更来歴!AP" &amp; COUNTA(変更来歴!AP7:'変更来歴'!AP39) + 6)</f>
        <v>古竹</v>
      </c>
      <c r="AO2" s="718"/>
      <c r="AP2" s="718"/>
      <c r="AQ2" s="718"/>
      <c r="AR2" s="718"/>
      <c r="AS2" s="716" t="s">
        <v>13</v>
      </c>
      <c r="AT2" s="716"/>
      <c r="AU2" s="716"/>
      <c r="AV2" s="719">
        <f ca="1">INDIRECT("変更来歴!AL" &amp; COUNTA(変更来歴!AL7:'変更来歴'!AL39) + 6)</f>
        <v>46162</v>
      </c>
      <c r="AW2" s="717"/>
      <c r="AX2" s="717"/>
      <c r="AY2" s="717"/>
      <c r="AZ2" s="731" t="str">
        <f>変更来歴!AX2</f>
        <v>IMWF-53</v>
      </c>
      <c r="BA2" s="732"/>
      <c r="BB2" s="732"/>
      <c r="BC2" s="733"/>
    </row>
    <row r="3" spans="1:59" ht="12" customHeight="1">
      <c r="A3" s="737" t="str">
        <f>変更来歴!A3</f>
        <v>画面設計書</v>
      </c>
      <c r="B3" s="737"/>
      <c r="C3" s="737"/>
      <c r="D3" s="737"/>
      <c r="E3" s="737"/>
      <c r="F3" s="737"/>
      <c r="G3" s="737"/>
      <c r="H3" s="737"/>
      <c r="I3" s="727" t="s">
        <v>14</v>
      </c>
      <c r="J3" s="727"/>
      <c r="K3" s="727"/>
      <c r="L3" s="727"/>
      <c r="M3" s="738" t="str">
        <f ca="1">RIGHT(CELL("filename",A1),LEN(CELL("filename",A1))-FIND("]",CELL("filename",A1)))</f>
        <v>円(技術原計)</v>
      </c>
      <c r="N3" s="738"/>
      <c r="O3" s="738"/>
      <c r="P3" s="738"/>
      <c r="Q3" s="738"/>
      <c r="R3" s="738"/>
      <c r="S3" s="738"/>
      <c r="T3" s="738"/>
      <c r="U3" s="738"/>
      <c r="V3" s="738"/>
      <c r="W3" s="738"/>
      <c r="X3" s="727" t="s">
        <v>27</v>
      </c>
      <c r="Y3" s="727"/>
      <c r="Z3" s="727"/>
      <c r="AA3" s="739" t="str">
        <f ca="1">MID(CELL("filename"),FIND("]",CELL("filename"))+1,LEN(CELL("filename"))) &amp; "画面"</f>
        <v>表紙画面</v>
      </c>
      <c r="AB3" s="739"/>
      <c r="AC3" s="739"/>
      <c r="AD3" s="739"/>
      <c r="AE3" s="739"/>
      <c r="AF3" s="739"/>
      <c r="AG3" s="739"/>
      <c r="AH3" s="739"/>
      <c r="AI3" s="739"/>
      <c r="AJ3" s="739"/>
      <c r="AK3" s="739"/>
      <c r="AL3" s="739"/>
      <c r="AM3" s="739"/>
      <c r="AN3" s="739"/>
      <c r="AO3" s="739"/>
      <c r="AP3" s="739"/>
      <c r="AQ3" s="739"/>
      <c r="AR3" s="739"/>
      <c r="AS3" s="716" t="s">
        <v>15</v>
      </c>
      <c r="AT3" s="716"/>
      <c r="AU3" s="716"/>
      <c r="AV3" s="717" t="str">
        <f ca="1">INDIRECT("変更来歴!A" &amp; COUNTA(変更来歴!A7:'変更来歴'!A39) + 6)</f>
        <v>r1.2</v>
      </c>
      <c r="AW3" s="717"/>
      <c r="AX3" s="717"/>
      <c r="AY3" s="717"/>
      <c r="AZ3" s="734"/>
      <c r="BA3" s="735"/>
      <c r="BB3" s="735"/>
      <c r="BC3" s="736"/>
    </row>
    <row r="4" spans="1:59" ht="5.9" customHeight="1"/>
    <row r="5" spans="1:59" ht="13.5" customHeight="1">
      <c r="A5" s="763" t="str">
        <f ca="1">"画面レイアウト"&amp;"("&amp;MID(CELL("filename"),FIND("]",CELL("filename"))+1,LEN(CELL("filename")))&amp;")"</f>
        <v>画面レイアウト(表紙)</v>
      </c>
      <c r="B5" s="764"/>
      <c r="C5" s="764"/>
      <c r="D5" s="764"/>
      <c r="E5" s="764"/>
      <c r="F5" s="764"/>
      <c r="G5" s="764"/>
      <c r="H5" s="764"/>
      <c r="I5" s="764"/>
      <c r="J5" s="764"/>
      <c r="K5" s="764"/>
      <c r="L5" s="764"/>
      <c r="M5" s="764"/>
      <c r="N5" s="764"/>
      <c r="O5" s="764"/>
      <c r="P5" s="764"/>
      <c r="Q5" s="764"/>
      <c r="R5" s="764"/>
      <c r="S5" s="764"/>
      <c r="T5" s="764"/>
      <c r="U5" s="764"/>
      <c r="V5" s="764"/>
      <c r="W5" s="764"/>
      <c r="X5" s="764"/>
      <c r="Y5" s="764"/>
      <c r="Z5" s="764"/>
      <c r="AA5" s="764"/>
      <c r="AB5" s="764"/>
      <c r="AC5" s="764"/>
      <c r="AD5" s="764"/>
      <c r="AE5" s="764"/>
      <c r="AF5" s="764"/>
      <c r="AG5" s="764"/>
      <c r="AH5" s="764"/>
      <c r="AI5" s="764"/>
      <c r="AJ5" s="764"/>
      <c r="AK5" s="764"/>
      <c r="AL5" s="764"/>
      <c r="AM5" s="764"/>
      <c r="AN5" s="764"/>
      <c r="AO5" s="764"/>
      <c r="AP5" s="764"/>
      <c r="AQ5" s="764"/>
      <c r="AR5" s="764"/>
      <c r="AS5" s="764"/>
      <c r="AT5" s="764"/>
      <c r="AU5" s="764"/>
      <c r="AV5" s="764"/>
      <c r="AW5" s="764"/>
      <c r="AX5" s="764"/>
      <c r="AY5" s="764"/>
      <c r="AZ5" s="764"/>
      <c r="BA5" s="765"/>
      <c r="BB5" s="766" t="s">
        <v>24</v>
      </c>
      <c r="BC5" s="767"/>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286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59"/>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35"/>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111</v>
      </c>
      <c r="D26" s="28"/>
      <c r="E26" s="28"/>
      <c r="F26" s="28"/>
      <c r="H26" s="58"/>
      <c r="I26" s="59"/>
      <c r="J26" s="59"/>
      <c r="K26" s="59"/>
      <c r="L26" s="60"/>
      <c r="M26" s="59"/>
      <c r="N26" s="61"/>
      <c r="O26" s="61"/>
      <c r="P26" s="70"/>
      <c r="Q26" s="64"/>
      <c r="R26" s="28" t="s">
        <v>115</v>
      </c>
      <c r="S26" s="35"/>
      <c r="T26" s="35"/>
      <c r="U26" s="28"/>
      <c r="V26" s="28"/>
      <c r="W26" s="28"/>
      <c r="Y26" s="58"/>
      <c r="Z26" s="59"/>
      <c r="AA26" s="59"/>
      <c r="AB26" s="59"/>
      <c r="AC26" s="60"/>
      <c r="AD26" s="59"/>
      <c r="AE26" s="61"/>
      <c r="AF26" s="61"/>
      <c r="AG26" s="70"/>
      <c r="AH26" s="28"/>
      <c r="AI26" s="28"/>
      <c r="AJ26" s="35"/>
      <c r="AK26" s="28"/>
      <c r="AL26" s="28"/>
      <c r="AM26" s="28"/>
      <c r="AN26" s="28"/>
      <c r="AO26" s="35"/>
      <c r="AP26" s="102"/>
      <c r="AQ26" s="103"/>
      <c r="AR26" s="103"/>
      <c r="AS26" s="103"/>
      <c r="AT26" s="102"/>
      <c r="AU26" s="104"/>
      <c r="AV26" s="102"/>
      <c r="AW26" s="103"/>
      <c r="AX26" s="63"/>
      <c r="AY26" s="283"/>
      <c r="AZ26" s="33"/>
      <c r="BA26" s="46"/>
      <c r="BB26" s="78"/>
      <c r="BC26" s="34"/>
      <c r="BD26" s="28"/>
      <c r="BE26" s="35"/>
      <c r="BF26" s="35"/>
      <c r="BG26" s="35"/>
    </row>
    <row r="27" spans="1:59" ht="14.15" customHeight="1">
      <c r="A27" s="22"/>
      <c r="B27" s="256"/>
      <c r="C27" s="284" t="s">
        <v>117</v>
      </c>
      <c r="F27" s="285"/>
      <c r="G27" s="285"/>
      <c r="H27" s="98" t="s">
        <v>122</v>
      </c>
      <c r="I27" s="257"/>
      <c r="J27" s="258"/>
      <c r="K27" s="258"/>
      <c r="L27" s="258"/>
      <c r="M27" s="259"/>
      <c r="N27" s="258"/>
      <c r="O27" s="110"/>
      <c r="P27" s="260" t="s">
        <v>33</v>
      </c>
      <c r="R27" s="130"/>
      <c r="S27" s="35"/>
      <c r="T27" s="285" t="s">
        <v>120</v>
      </c>
      <c r="U27" s="35"/>
      <c r="V27" s="285"/>
      <c r="W27" s="285"/>
      <c r="X27" s="285"/>
      <c r="Y27" s="98" t="s">
        <v>123</v>
      </c>
      <c r="Z27" s="257"/>
      <c r="AA27" s="258"/>
      <c r="AB27" s="258"/>
      <c r="AC27" s="258"/>
      <c r="AD27" s="259"/>
      <c r="AE27" s="258"/>
      <c r="AF27" s="110"/>
      <c r="AG27" s="261" t="s">
        <v>33</v>
      </c>
      <c r="AH27" s="35"/>
      <c r="AI27" s="35"/>
      <c r="AJ27" s="35"/>
      <c r="AK27" s="285" t="s">
        <v>121</v>
      </c>
      <c r="AL27" s="35"/>
      <c r="AM27" s="285"/>
      <c r="AN27" s="35"/>
      <c r="AO27" s="35"/>
      <c r="AP27" s="98" t="s">
        <v>116</v>
      </c>
      <c r="AQ27" s="257"/>
      <c r="AR27" s="258"/>
      <c r="AS27" s="258"/>
      <c r="AT27" s="258"/>
      <c r="AU27" s="259"/>
      <c r="AV27" s="110"/>
      <c r="AW27" s="37"/>
      <c r="AX27" s="262" t="s">
        <v>33</v>
      </c>
      <c r="AY27" s="286"/>
      <c r="AZ27" s="33"/>
      <c r="BA27" s="46"/>
      <c r="BB27" s="78"/>
      <c r="BC27" s="34"/>
      <c r="BD27" s="35"/>
      <c r="BE27" s="35"/>
      <c r="BF27" s="35"/>
      <c r="BG27" s="35"/>
    </row>
    <row r="28" spans="1:59" ht="13.5" customHeight="1">
      <c r="A28" s="22"/>
      <c r="B28" s="45"/>
      <c r="C28" s="282" t="s">
        <v>125</v>
      </c>
      <c r="D28" s="28"/>
      <c r="E28" s="28"/>
      <c r="F28" s="28"/>
      <c r="H28" s="58"/>
      <c r="I28" s="59"/>
      <c r="J28" s="59"/>
      <c r="K28" s="59"/>
      <c r="L28" s="60"/>
      <c r="M28" s="59"/>
      <c r="N28" s="61"/>
      <c r="O28" s="61"/>
      <c r="P28" s="70"/>
      <c r="Q28" s="64"/>
      <c r="R28" s="28"/>
      <c r="S28" s="35"/>
      <c r="T28" s="28" t="s">
        <v>130</v>
      </c>
      <c r="U28" s="28"/>
      <c r="V28" s="28"/>
      <c r="W28" s="28"/>
      <c r="Y28" s="58"/>
      <c r="Z28" s="59"/>
      <c r="AA28" s="59"/>
      <c r="AB28" s="59"/>
      <c r="AC28" s="60"/>
      <c r="AD28" s="59"/>
      <c r="AE28" s="61"/>
      <c r="AF28" s="61"/>
      <c r="AG28" s="94" t="s">
        <v>129</v>
      </c>
      <c r="AH28" s="28"/>
      <c r="AI28" s="28"/>
      <c r="AJ28" s="35"/>
      <c r="AK28" s="28" t="s">
        <v>118</v>
      </c>
      <c r="AL28" s="28"/>
      <c r="AM28" s="28"/>
      <c r="AN28" s="28"/>
      <c r="AO28" s="35"/>
      <c r="AP28" s="58"/>
      <c r="AQ28" s="59"/>
      <c r="AR28" s="59"/>
      <c r="AS28" s="59"/>
      <c r="AT28" s="60"/>
      <c r="AU28" s="59"/>
      <c r="AV28" s="61"/>
      <c r="AW28" s="61"/>
      <c r="AX28" s="260" t="s">
        <v>33</v>
      </c>
      <c r="AY28" s="283"/>
      <c r="AZ28" s="33"/>
      <c r="BA28" s="46"/>
      <c r="BB28" s="78"/>
      <c r="BC28" s="34"/>
      <c r="BD28" s="28"/>
      <c r="BE28" s="35"/>
      <c r="BF28" s="35"/>
      <c r="BG28" s="35"/>
    </row>
    <row r="29" spans="1:59" ht="13.5" customHeight="1">
      <c r="A29" s="22"/>
      <c r="B29" s="32"/>
      <c r="C29" s="287" t="s">
        <v>124</v>
      </c>
      <c r="D29" s="41"/>
      <c r="E29" s="41"/>
      <c r="F29" s="41"/>
      <c r="G29" s="41"/>
      <c r="H29" s="163"/>
      <c r="I29" s="164"/>
      <c r="J29" s="165"/>
      <c r="K29" s="164"/>
      <c r="L29" s="165"/>
      <c r="M29" s="164"/>
      <c r="N29" s="166"/>
      <c r="O29" s="164"/>
      <c r="P29" s="165"/>
      <c r="Q29" s="165"/>
      <c r="R29" s="165"/>
      <c r="S29" s="167"/>
      <c r="T29" s="167"/>
      <c r="U29" s="167"/>
      <c r="V29" s="167"/>
      <c r="W29" s="167"/>
      <c r="X29" s="166"/>
      <c r="Y29" s="167"/>
      <c r="Z29" s="165"/>
      <c r="AA29" s="166"/>
      <c r="AB29" s="167"/>
      <c r="AC29" s="165"/>
      <c r="AD29" s="166"/>
      <c r="AE29" s="165"/>
      <c r="AF29" s="165"/>
      <c r="AG29" s="166"/>
      <c r="AH29" s="165"/>
      <c r="AI29" s="165"/>
      <c r="AJ29" s="168"/>
      <c r="AK29" s="165"/>
      <c r="AL29" s="165"/>
      <c r="AM29" s="165"/>
      <c r="AN29" s="165"/>
      <c r="AO29" s="165"/>
      <c r="AP29" s="165"/>
      <c r="AQ29" s="165"/>
      <c r="AR29" s="165"/>
      <c r="AS29" s="165"/>
      <c r="AT29" s="165"/>
      <c r="AU29" s="165"/>
      <c r="AV29" s="165"/>
      <c r="AW29" s="165"/>
      <c r="AX29" s="160" t="s">
        <v>37</v>
      </c>
      <c r="AY29" s="283"/>
      <c r="AZ29" s="33"/>
      <c r="BA29" s="46"/>
      <c r="BB29" s="78"/>
      <c r="BC29" s="34"/>
      <c r="BD29" s="28"/>
      <c r="BE29" s="35"/>
      <c r="BF29" s="35"/>
      <c r="BG29" s="35"/>
    </row>
    <row r="30" spans="1:59" ht="13.5" customHeight="1">
      <c r="A30" s="22"/>
      <c r="B30" s="32"/>
      <c r="C30" s="287"/>
      <c r="D30" s="41"/>
      <c r="E30" s="41"/>
      <c r="F30" s="41"/>
      <c r="G30" s="41"/>
      <c r="H30" s="169"/>
      <c r="I30" s="170"/>
      <c r="J30" s="171"/>
      <c r="K30" s="170"/>
      <c r="L30" s="171"/>
      <c r="M30" s="170"/>
      <c r="N30" s="172"/>
      <c r="O30" s="170"/>
      <c r="P30" s="171"/>
      <c r="Q30" s="171"/>
      <c r="R30" s="171"/>
      <c r="S30" s="173"/>
      <c r="T30" s="173"/>
      <c r="U30" s="173"/>
      <c r="V30" s="173"/>
      <c r="W30" s="173"/>
      <c r="X30" s="172"/>
      <c r="Y30" s="173"/>
      <c r="Z30" s="171"/>
      <c r="AA30" s="172"/>
      <c r="AB30" s="173"/>
      <c r="AC30" s="171"/>
      <c r="AD30" s="172"/>
      <c r="AE30" s="171"/>
      <c r="AF30" s="171"/>
      <c r="AG30" s="172"/>
      <c r="AH30" s="171"/>
      <c r="AI30" s="171"/>
      <c r="AJ30" s="174"/>
      <c r="AK30" s="171"/>
      <c r="AL30" s="171"/>
      <c r="AM30" s="171"/>
      <c r="AN30" s="171"/>
      <c r="AO30" s="171"/>
      <c r="AP30" s="171"/>
      <c r="AQ30" s="171"/>
      <c r="AR30" s="171"/>
      <c r="AS30" s="171"/>
      <c r="AT30" s="171"/>
      <c r="AU30" s="171"/>
      <c r="AV30" s="171"/>
      <c r="AW30" s="171"/>
      <c r="AX30" s="122" t="s">
        <v>33</v>
      </c>
      <c r="AY30" s="283"/>
      <c r="AZ30" s="33"/>
      <c r="BA30" s="46"/>
      <c r="BB30" s="78"/>
      <c r="BC30" s="34"/>
      <c r="BD30" s="28"/>
      <c r="BE30" s="35"/>
      <c r="BF30" s="35"/>
      <c r="BG30" s="35"/>
    </row>
    <row r="31" spans="1:59" ht="13.5" customHeight="1">
      <c r="A31" s="22"/>
      <c r="B31" s="32"/>
      <c r="C31" s="287" t="s">
        <v>126</v>
      </c>
      <c r="D31" s="41"/>
      <c r="E31" s="41"/>
      <c r="F31" s="41"/>
      <c r="G31" s="41"/>
      <c r="H31" s="163" t="s">
        <v>171</v>
      </c>
      <c r="I31" s="164"/>
      <c r="J31" s="165"/>
      <c r="K31" s="164"/>
      <c r="L31" s="165"/>
      <c r="M31" s="164"/>
      <c r="N31" s="166"/>
      <c r="O31" s="164"/>
      <c r="P31" s="165"/>
      <c r="Q31" s="165"/>
      <c r="R31" s="165"/>
      <c r="S31" s="167"/>
      <c r="T31" s="167"/>
      <c r="U31" s="167"/>
      <c r="V31" s="167"/>
      <c r="W31" s="167"/>
      <c r="X31" s="166"/>
      <c r="Y31" s="167"/>
      <c r="Z31" s="165"/>
      <c r="AA31" s="166"/>
      <c r="AB31" s="167"/>
      <c r="AC31" s="165"/>
      <c r="AD31" s="166"/>
      <c r="AE31" s="165"/>
      <c r="AF31" s="165"/>
      <c r="AG31" s="166"/>
      <c r="AH31" s="165"/>
      <c r="AI31" s="165"/>
      <c r="AJ31" s="168"/>
      <c r="AK31" s="165"/>
      <c r="AL31" s="165"/>
      <c r="AM31" s="165"/>
      <c r="AN31" s="165"/>
      <c r="AO31" s="165"/>
      <c r="AP31" s="165"/>
      <c r="AQ31" s="165"/>
      <c r="AR31" s="165"/>
      <c r="AS31" s="165"/>
      <c r="AT31" s="165"/>
      <c r="AU31" s="165"/>
      <c r="AV31" s="165"/>
      <c r="AW31" s="165"/>
      <c r="AX31" s="160" t="s">
        <v>37</v>
      </c>
      <c r="AY31" s="283"/>
      <c r="AZ31" s="33"/>
      <c r="BA31" s="46"/>
      <c r="BB31" s="78"/>
      <c r="BC31" s="34"/>
      <c r="BD31" s="28"/>
      <c r="BE31" s="35"/>
      <c r="BF31" s="35"/>
      <c r="BG31" s="35"/>
    </row>
    <row r="32" spans="1:59" ht="13.5" customHeight="1">
      <c r="A32" s="22"/>
      <c r="B32" s="32"/>
      <c r="C32" s="287"/>
      <c r="D32" s="41"/>
      <c r="E32" s="41"/>
      <c r="F32" s="41"/>
      <c r="G32" s="41"/>
      <c r="H32" s="169"/>
      <c r="I32" s="170"/>
      <c r="J32" s="171"/>
      <c r="K32" s="170"/>
      <c r="L32" s="171"/>
      <c r="M32" s="170"/>
      <c r="N32" s="172"/>
      <c r="O32" s="170"/>
      <c r="P32" s="171"/>
      <c r="Q32" s="171"/>
      <c r="R32" s="171"/>
      <c r="S32" s="173"/>
      <c r="T32" s="173"/>
      <c r="U32" s="173"/>
      <c r="V32" s="173"/>
      <c r="W32" s="173"/>
      <c r="X32" s="172"/>
      <c r="Y32" s="173"/>
      <c r="Z32" s="171"/>
      <c r="AA32" s="172"/>
      <c r="AB32" s="173"/>
      <c r="AC32" s="171"/>
      <c r="AD32" s="172"/>
      <c r="AE32" s="171"/>
      <c r="AF32" s="171"/>
      <c r="AG32" s="172"/>
      <c r="AH32" s="171"/>
      <c r="AI32" s="171"/>
      <c r="AJ32" s="174"/>
      <c r="AK32" s="171"/>
      <c r="AL32" s="171"/>
      <c r="AM32" s="171"/>
      <c r="AN32" s="171"/>
      <c r="AO32" s="171"/>
      <c r="AP32" s="171"/>
      <c r="AQ32" s="171"/>
      <c r="AR32" s="171"/>
      <c r="AS32" s="171"/>
      <c r="AT32" s="171"/>
      <c r="AU32" s="171"/>
      <c r="AV32" s="171"/>
      <c r="AW32" s="171"/>
      <c r="AX32" s="122" t="s">
        <v>33</v>
      </c>
      <c r="AY32" s="283"/>
      <c r="AZ32" s="33"/>
      <c r="BA32" s="46"/>
      <c r="BB32" s="78"/>
      <c r="BC32" s="34"/>
      <c r="BD32" s="28"/>
      <c r="BE32" s="35"/>
      <c r="BF32" s="35"/>
      <c r="BG32" s="35"/>
    </row>
    <row r="33" spans="1:62" ht="13.5" customHeight="1">
      <c r="A33" s="22"/>
      <c r="B33" s="32"/>
      <c r="C33" s="287" t="s">
        <v>127</v>
      </c>
      <c r="D33" s="41"/>
      <c r="E33" s="41"/>
      <c r="F33" s="41"/>
      <c r="G33" s="41"/>
      <c r="H33" s="163"/>
      <c r="I33" s="164"/>
      <c r="J33" s="165"/>
      <c r="K33" s="164"/>
      <c r="L33" s="165"/>
      <c r="M33" s="164"/>
      <c r="N33" s="166"/>
      <c r="O33" s="164"/>
      <c r="P33" s="165"/>
      <c r="Q33" s="165"/>
      <c r="R33" s="165"/>
      <c r="S33" s="167"/>
      <c r="T33" s="167"/>
      <c r="U33" s="167"/>
      <c r="V33" s="167"/>
      <c r="W33" s="167"/>
      <c r="X33" s="166"/>
      <c r="Y33" s="167"/>
      <c r="Z33" s="165"/>
      <c r="AA33" s="166"/>
      <c r="AB33" s="167"/>
      <c r="AC33" s="165"/>
      <c r="AD33" s="166"/>
      <c r="AE33" s="165"/>
      <c r="AF33" s="165"/>
      <c r="AG33" s="166"/>
      <c r="AH33" s="165"/>
      <c r="AI33" s="165"/>
      <c r="AJ33" s="168"/>
      <c r="AK33" s="165"/>
      <c r="AL33" s="165"/>
      <c r="AM33" s="165"/>
      <c r="AN33" s="165"/>
      <c r="AO33" s="165"/>
      <c r="AP33" s="165"/>
      <c r="AQ33" s="165"/>
      <c r="AR33" s="165"/>
      <c r="AS33" s="165"/>
      <c r="AT33" s="165"/>
      <c r="AU33" s="165"/>
      <c r="AV33" s="165"/>
      <c r="AW33" s="165"/>
      <c r="AX33" s="160" t="s">
        <v>37</v>
      </c>
      <c r="AY33" s="283"/>
      <c r="AZ33" s="33"/>
      <c r="BA33" s="46"/>
      <c r="BB33" s="78"/>
      <c r="BC33" s="34"/>
      <c r="BD33" s="28"/>
      <c r="BE33" s="35"/>
      <c r="BF33" s="35"/>
      <c r="BG33" s="35"/>
    </row>
    <row r="34" spans="1:62" ht="13.5" customHeight="1">
      <c r="A34" s="22"/>
      <c r="B34" s="32"/>
      <c r="C34" s="287"/>
      <c r="D34" s="41"/>
      <c r="E34" s="41"/>
      <c r="F34" s="41"/>
      <c r="G34" s="41"/>
      <c r="H34" s="169"/>
      <c r="I34" s="170"/>
      <c r="J34" s="171"/>
      <c r="K34" s="170"/>
      <c r="L34" s="171"/>
      <c r="M34" s="170"/>
      <c r="N34" s="172"/>
      <c r="O34" s="170"/>
      <c r="P34" s="171"/>
      <c r="Q34" s="171"/>
      <c r="R34" s="171"/>
      <c r="S34" s="173"/>
      <c r="T34" s="173"/>
      <c r="U34" s="173"/>
      <c r="V34" s="173"/>
      <c r="W34" s="173"/>
      <c r="X34" s="172"/>
      <c r="Y34" s="173"/>
      <c r="Z34" s="171"/>
      <c r="AA34" s="172"/>
      <c r="AB34" s="173"/>
      <c r="AC34" s="171"/>
      <c r="AD34" s="172"/>
      <c r="AE34" s="171"/>
      <c r="AF34" s="171"/>
      <c r="AG34" s="172"/>
      <c r="AH34" s="171"/>
      <c r="AI34" s="171"/>
      <c r="AJ34" s="174"/>
      <c r="AK34" s="171"/>
      <c r="AL34" s="171"/>
      <c r="AM34" s="171"/>
      <c r="AN34" s="171"/>
      <c r="AO34" s="171"/>
      <c r="AP34" s="171"/>
      <c r="AQ34" s="171"/>
      <c r="AR34" s="171"/>
      <c r="AS34" s="171"/>
      <c r="AT34" s="171"/>
      <c r="AU34" s="171"/>
      <c r="AV34" s="171"/>
      <c r="AW34" s="171"/>
      <c r="AX34" s="122" t="s">
        <v>33</v>
      </c>
      <c r="AY34" s="283"/>
      <c r="AZ34" s="33"/>
      <c r="BA34" s="46"/>
      <c r="BB34" s="78"/>
      <c r="BC34" s="34"/>
      <c r="BD34" s="28"/>
      <c r="BE34" s="35"/>
      <c r="BF34" s="35"/>
      <c r="BG34" s="35"/>
    </row>
    <row r="35" spans="1:62" ht="5.15" customHeight="1">
      <c r="A35" s="22"/>
      <c r="B35" s="32"/>
      <c r="C35" s="288"/>
      <c r="D35" s="289"/>
      <c r="E35" s="289"/>
      <c r="F35" s="289"/>
      <c r="G35" s="289"/>
      <c r="H35" s="290"/>
      <c r="I35" s="290"/>
      <c r="J35" s="291"/>
      <c r="K35" s="290"/>
      <c r="L35" s="291"/>
      <c r="M35" s="290"/>
      <c r="N35" s="292"/>
      <c r="O35" s="290"/>
      <c r="P35" s="291"/>
      <c r="Q35" s="291"/>
      <c r="R35" s="291"/>
      <c r="S35" s="293"/>
      <c r="T35" s="293"/>
      <c r="U35" s="293"/>
      <c r="V35" s="293"/>
      <c r="W35" s="293"/>
      <c r="X35" s="292"/>
      <c r="Y35" s="293"/>
      <c r="Z35" s="291"/>
      <c r="AA35" s="292"/>
      <c r="AB35" s="293"/>
      <c r="AC35" s="291"/>
      <c r="AD35" s="292"/>
      <c r="AE35" s="291"/>
      <c r="AF35" s="291"/>
      <c r="AG35" s="292"/>
      <c r="AH35" s="291"/>
      <c r="AI35" s="291"/>
      <c r="AJ35" s="294"/>
      <c r="AK35" s="291"/>
      <c r="AL35" s="291"/>
      <c r="AM35" s="291"/>
      <c r="AN35" s="291"/>
      <c r="AO35" s="291"/>
      <c r="AP35" s="291"/>
      <c r="AQ35" s="291"/>
      <c r="AR35" s="291"/>
      <c r="AS35" s="291"/>
      <c r="AT35" s="291"/>
      <c r="AU35" s="291"/>
      <c r="AV35" s="291"/>
      <c r="AW35" s="291"/>
      <c r="AX35" s="276"/>
      <c r="AY35" s="295"/>
      <c r="AZ35" s="33"/>
      <c r="BA35" s="46"/>
      <c r="BB35" s="78"/>
      <c r="BC35" s="34"/>
      <c r="BD35" s="28"/>
      <c r="BE35" s="35"/>
      <c r="BF35" s="35"/>
      <c r="BG35" s="35"/>
    </row>
    <row r="36" spans="1:62" ht="13.5" customHeight="1">
      <c r="A36" s="22"/>
      <c r="B36" s="202">
        <v>4</v>
      </c>
      <c r="C36" s="43"/>
      <c r="D36" s="31"/>
      <c r="E36" s="31"/>
      <c r="F36" s="31"/>
      <c r="G36" s="31"/>
      <c r="H36" s="62"/>
      <c r="I36" s="63"/>
      <c r="J36" s="63"/>
      <c r="K36" s="63"/>
      <c r="L36" s="64"/>
      <c r="M36" s="63"/>
      <c r="N36" s="65"/>
      <c r="O36" s="65"/>
      <c r="P36" s="65"/>
      <c r="Q36" s="65"/>
      <c r="R36" s="65"/>
      <c r="S36" s="75"/>
      <c r="T36" s="63"/>
      <c r="U36" s="63"/>
      <c r="V36" s="63"/>
      <c r="W36" s="63"/>
      <c r="X36" s="62"/>
      <c r="Y36" s="63"/>
      <c r="Z36" s="63"/>
      <c r="AA36" s="63"/>
      <c r="AB36" s="64"/>
      <c r="AC36" s="63"/>
      <c r="AD36" s="65"/>
      <c r="AE36" s="65"/>
      <c r="AF36" s="65"/>
      <c r="AG36" s="65"/>
      <c r="AH36" s="65"/>
      <c r="AI36" s="75"/>
      <c r="AJ36" s="63"/>
      <c r="AK36" s="63"/>
      <c r="AL36" s="63"/>
      <c r="AM36" s="63"/>
      <c r="AN36" s="125"/>
      <c r="AO36" s="62"/>
      <c r="AP36" s="62"/>
      <c r="AQ36" s="63"/>
      <c r="AR36" s="63"/>
      <c r="AS36" s="63"/>
      <c r="AT36" s="64"/>
      <c r="AU36" s="63"/>
      <c r="AV36" s="65"/>
      <c r="AW36" s="65"/>
      <c r="AX36" s="65"/>
      <c r="AY36" s="31"/>
      <c r="AZ36" s="33"/>
      <c r="BA36" s="46"/>
      <c r="BB36" s="78"/>
      <c r="BC36" s="34"/>
      <c r="BD36" s="35"/>
      <c r="BE36" s="35"/>
      <c r="BF36" s="35"/>
      <c r="BG36" s="35"/>
    </row>
    <row r="37" spans="1:62" ht="13.5" customHeight="1">
      <c r="A37" s="22"/>
      <c r="B37" s="202">
        <v>5</v>
      </c>
      <c r="C37" s="204" t="s">
        <v>63</v>
      </c>
      <c r="D37" s="28"/>
      <c r="E37" s="28"/>
      <c r="F37" s="28"/>
      <c r="G37" s="28"/>
      <c r="H37" s="121"/>
      <c r="I37" s="62"/>
      <c r="J37" s="63"/>
      <c r="K37" s="62"/>
      <c r="L37" s="63"/>
      <c r="M37" s="69"/>
      <c r="N37" s="69"/>
      <c r="O37" s="65"/>
      <c r="P37" s="69"/>
      <c r="Q37" s="65"/>
      <c r="R37" s="69"/>
      <c r="S37" s="28"/>
      <c r="T37" s="28"/>
      <c r="U37" s="28"/>
      <c r="V37" s="28"/>
      <c r="W37" s="28"/>
      <c r="X37" s="121"/>
      <c r="Y37" s="62"/>
      <c r="Z37" s="63"/>
      <c r="AA37" s="62"/>
      <c r="AB37" s="63"/>
      <c r="AC37" s="69"/>
      <c r="AD37" s="69"/>
      <c r="AE37" s="65"/>
      <c r="AF37" s="69"/>
      <c r="AG37" s="65"/>
      <c r="AH37" s="69"/>
      <c r="AI37" s="64"/>
      <c r="AJ37" s="69"/>
      <c r="AK37" s="65"/>
      <c r="AL37" s="28"/>
      <c r="AM37" s="28"/>
      <c r="AN37" s="28"/>
      <c r="AO37" s="28"/>
      <c r="AP37" s="28"/>
      <c r="AQ37" s="28"/>
      <c r="AR37" s="28"/>
      <c r="AS37" s="28"/>
      <c r="AT37" s="28"/>
      <c r="AU37" s="28"/>
      <c r="AV37" s="233" t="s">
        <v>72</v>
      </c>
      <c r="AW37" s="28"/>
      <c r="AX37" s="28"/>
      <c r="AY37" s="31"/>
      <c r="AZ37" s="33"/>
      <c r="BA37" s="46"/>
      <c r="BB37" s="159"/>
      <c r="BC37" s="115"/>
      <c r="BD37" s="28"/>
    </row>
    <row r="38" spans="1:62" ht="5.15" customHeight="1">
      <c r="A38" s="22"/>
      <c r="B38" s="202"/>
      <c r="C38" s="296"/>
      <c r="D38" s="72"/>
      <c r="E38" s="72"/>
      <c r="F38" s="72"/>
      <c r="G38" s="72"/>
      <c r="H38" s="297"/>
      <c r="I38" s="278"/>
      <c r="J38" s="279"/>
      <c r="K38" s="278"/>
      <c r="L38" s="279"/>
      <c r="M38" s="298"/>
      <c r="N38" s="298"/>
      <c r="O38" s="263"/>
      <c r="P38" s="298"/>
      <c r="Q38" s="263"/>
      <c r="R38" s="298"/>
      <c r="S38" s="72"/>
      <c r="T38" s="72"/>
      <c r="U38" s="72"/>
      <c r="V38" s="72"/>
      <c r="W38" s="72"/>
      <c r="X38" s="297"/>
      <c r="Y38" s="278"/>
      <c r="Z38" s="279"/>
      <c r="AA38" s="278"/>
      <c r="AB38" s="279"/>
      <c r="AC38" s="298"/>
      <c r="AD38" s="298"/>
      <c r="AE38" s="263"/>
      <c r="AF38" s="298"/>
      <c r="AG38" s="263"/>
      <c r="AH38" s="298"/>
      <c r="AI38" s="280"/>
      <c r="AJ38" s="298"/>
      <c r="AK38" s="263"/>
      <c r="AL38" s="72"/>
      <c r="AM38" s="72"/>
      <c r="AN38" s="72"/>
      <c r="AO38" s="72"/>
      <c r="AP38" s="72"/>
      <c r="AQ38" s="72"/>
      <c r="AR38" s="72"/>
      <c r="AS38" s="72"/>
      <c r="AT38" s="72"/>
      <c r="AU38" s="72"/>
      <c r="AV38" s="300"/>
      <c r="AW38" s="72"/>
      <c r="AX38" s="72"/>
      <c r="AY38" s="264"/>
      <c r="AZ38" s="264"/>
      <c r="BA38" s="301"/>
      <c r="BB38" s="302"/>
      <c r="BC38" s="303"/>
      <c r="BD38" s="28"/>
    </row>
    <row r="39" spans="1:62" ht="13.5" customHeight="1">
      <c r="A39" s="22"/>
      <c r="B39" s="45"/>
      <c r="C39" s="266"/>
      <c r="D39" s="28" t="s">
        <v>288</v>
      </c>
      <c r="E39" s="28"/>
      <c r="F39" s="28"/>
      <c r="G39" s="28"/>
      <c r="H39" s="86" t="s">
        <v>128</v>
      </c>
      <c r="I39" s="86"/>
      <c r="J39" s="86"/>
      <c r="K39" s="86"/>
      <c r="L39" s="86"/>
      <c r="M39" s="322"/>
      <c r="N39" s="87"/>
      <c r="O39" s="88"/>
      <c r="P39" s="88"/>
      <c r="Q39" s="89"/>
      <c r="R39" s="87"/>
      <c r="S39" s="87"/>
      <c r="T39" s="87"/>
      <c r="U39" s="88"/>
      <c r="V39" s="89"/>
      <c r="W39" s="87"/>
      <c r="X39" s="65"/>
      <c r="Y39" s="28"/>
      <c r="Z39" s="28"/>
      <c r="AA39" s="28"/>
      <c r="AB39" s="28"/>
      <c r="AC39" s="28"/>
      <c r="AD39" s="28"/>
      <c r="AE39" s="28"/>
      <c r="AF39" s="28"/>
      <c r="AG39" s="28"/>
      <c r="AH39" s="28"/>
      <c r="AI39" s="28"/>
      <c r="AJ39" s="28"/>
      <c r="AK39" s="28"/>
      <c r="AL39" s="28"/>
      <c r="AM39" s="31"/>
      <c r="AN39" s="31"/>
      <c r="AO39" s="31"/>
      <c r="AP39" s="31"/>
      <c r="AQ39" s="31"/>
      <c r="AR39" s="31"/>
      <c r="AS39" s="31"/>
      <c r="AT39" s="31"/>
      <c r="AU39" s="31"/>
      <c r="AV39" s="31"/>
      <c r="AW39" s="31"/>
      <c r="AX39" s="65"/>
      <c r="AY39" s="31"/>
      <c r="AZ39" s="52"/>
      <c r="BA39" s="93"/>
      <c r="BB39" s="327"/>
      <c r="BC39" s="328"/>
      <c r="BD39" s="28"/>
      <c r="BE39" s="35"/>
      <c r="BF39" s="35"/>
      <c r="BG39" s="35"/>
    </row>
    <row r="40" spans="1:62" ht="13.5" customHeight="1">
      <c r="A40" s="22"/>
      <c r="B40" s="202">
        <v>6</v>
      </c>
      <c r="C40" s="304" t="s">
        <v>32</v>
      </c>
      <c r="D40" s="205" t="s">
        <v>64</v>
      </c>
      <c r="E40" s="206"/>
      <c r="F40" s="206"/>
      <c r="G40" s="207"/>
      <c r="H40" s="208" t="s">
        <v>73</v>
      </c>
      <c r="I40" s="209"/>
      <c r="J40" s="209"/>
      <c r="K40" s="209"/>
      <c r="L40" s="206"/>
      <c r="M40" s="207"/>
      <c r="N40" s="205" t="s">
        <v>74</v>
      </c>
      <c r="O40" s="206"/>
      <c r="P40" s="206"/>
      <c r="Q40" s="207"/>
      <c r="R40" s="205" t="s">
        <v>75</v>
      </c>
      <c r="S40" s="206"/>
      <c r="T40" s="206"/>
      <c r="U40" s="206"/>
      <c r="V40" s="210" t="s">
        <v>87</v>
      </c>
      <c r="W40" s="211"/>
      <c r="X40" s="211"/>
      <c r="Y40" s="212"/>
      <c r="Z40" s="211" t="s">
        <v>89</v>
      </c>
      <c r="AA40" s="211"/>
      <c r="AB40" s="211"/>
      <c r="AC40" s="212"/>
      <c r="AD40" s="211" t="s">
        <v>76</v>
      </c>
      <c r="AE40" s="211"/>
      <c r="AF40" s="211"/>
      <c r="AG40" s="212"/>
      <c r="AH40" s="210" t="s">
        <v>278</v>
      </c>
      <c r="AI40" s="211"/>
      <c r="AJ40" s="211"/>
      <c r="AK40" s="211"/>
      <c r="AL40" s="212"/>
      <c r="AM40" s="210" t="s">
        <v>105</v>
      </c>
      <c r="AN40" s="211"/>
      <c r="AO40" s="211"/>
      <c r="AP40" s="211"/>
      <c r="AQ40" s="210" t="s">
        <v>83</v>
      </c>
      <c r="AR40" s="211"/>
      <c r="AS40" s="211"/>
      <c r="AT40" s="212"/>
      <c r="AU40" s="211" t="s">
        <v>85</v>
      </c>
      <c r="AV40" s="211"/>
      <c r="AW40" s="212"/>
      <c r="AX40" s="305" t="s">
        <v>86</v>
      </c>
      <c r="AY40" s="211"/>
      <c r="AZ40" s="211"/>
      <c r="BA40" s="212"/>
      <c r="BB40" s="211" t="s">
        <v>69</v>
      </c>
      <c r="BC40" s="211"/>
      <c r="BD40" s="211"/>
      <c r="BE40" s="212"/>
      <c r="BH40" s="28"/>
      <c r="BI40" s="28"/>
      <c r="BJ40" s="28"/>
    </row>
    <row r="41" spans="1:62" ht="13.5" customHeight="1">
      <c r="A41" s="22"/>
      <c r="B41" s="202">
        <v>7</v>
      </c>
      <c r="C41" s="306"/>
      <c r="D41" s="213" t="s">
        <v>30</v>
      </c>
      <c r="E41" s="216"/>
      <c r="F41" s="214"/>
      <c r="G41" s="215"/>
      <c r="H41" s="213" t="s">
        <v>30</v>
      </c>
      <c r="I41" s="216"/>
      <c r="J41" s="216"/>
      <c r="K41" s="216"/>
      <c r="L41" s="214"/>
      <c r="M41" s="215"/>
      <c r="N41" s="213"/>
      <c r="O41" s="214"/>
      <c r="P41" s="214"/>
      <c r="Q41" s="215"/>
      <c r="R41" s="213" t="s">
        <v>30</v>
      </c>
      <c r="S41" s="216"/>
      <c r="T41" s="214"/>
      <c r="U41" s="214"/>
      <c r="V41" s="217" t="s">
        <v>88</v>
      </c>
      <c r="W41" s="218"/>
      <c r="X41" s="219"/>
      <c r="Y41" s="220"/>
      <c r="Z41" s="218" t="s">
        <v>43</v>
      </c>
      <c r="AA41" s="218"/>
      <c r="AB41" s="219"/>
      <c r="AC41" s="220"/>
      <c r="AD41" s="218" t="s">
        <v>43</v>
      </c>
      <c r="AE41" s="218"/>
      <c r="AF41" s="219"/>
      <c r="AG41" s="220"/>
      <c r="AH41" s="217" t="s">
        <v>30</v>
      </c>
      <c r="AI41" s="218"/>
      <c r="AJ41" s="218"/>
      <c r="AK41" s="219"/>
      <c r="AL41" s="220"/>
      <c r="AM41" s="217" t="s">
        <v>43</v>
      </c>
      <c r="AN41" s="218"/>
      <c r="AO41" s="219"/>
      <c r="AP41" s="219"/>
      <c r="AQ41" s="217" t="s">
        <v>43</v>
      </c>
      <c r="AR41" s="218"/>
      <c r="AS41" s="219"/>
      <c r="AT41" s="220"/>
      <c r="AU41" s="218" t="s">
        <v>43</v>
      </c>
      <c r="AV41" s="218"/>
      <c r="AW41" s="220"/>
      <c r="AX41" s="307" t="s">
        <v>43</v>
      </c>
      <c r="AY41" s="218"/>
      <c r="AZ41" s="219"/>
      <c r="BA41" s="220"/>
      <c r="BB41" s="218" t="s">
        <v>43</v>
      </c>
      <c r="BC41" s="218"/>
      <c r="BD41" s="219"/>
      <c r="BE41" s="220"/>
      <c r="BH41" s="28"/>
      <c r="BI41" s="28"/>
      <c r="BJ41" s="28"/>
    </row>
    <row r="42" spans="1:62" ht="13.5" customHeight="1">
      <c r="A42" s="22"/>
      <c r="B42" s="202">
        <v>8</v>
      </c>
      <c r="C42" s="308">
        <v>1</v>
      </c>
      <c r="D42" s="148" t="s">
        <v>135</v>
      </c>
      <c r="E42" s="149"/>
      <c r="F42" s="149"/>
      <c r="G42" s="151"/>
      <c r="H42" s="242" t="s">
        <v>137</v>
      </c>
      <c r="I42" s="150"/>
      <c r="J42" s="150"/>
      <c r="K42" s="150"/>
      <c r="L42" s="161"/>
      <c r="M42" s="162"/>
      <c r="N42" s="242" t="s">
        <v>92</v>
      </c>
      <c r="O42" s="150"/>
      <c r="P42" s="150"/>
      <c r="Q42" s="99" t="s">
        <v>33</v>
      </c>
      <c r="R42" s="958">
        <v>1000</v>
      </c>
      <c r="S42" s="959"/>
      <c r="T42" s="959"/>
      <c r="U42" s="960"/>
      <c r="V42" s="946">
        <v>980</v>
      </c>
      <c r="W42" s="968"/>
      <c r="X42" s="968"/>
      <c r="Y42" s="969"/>
      <c r="Z42" s="946">
        <v>1610</v>
      </c>
      <c r="AA42" s="968"/>
      <c r="AB42" s="968"/>
      <c r="AC42" s="969"/>
      <c r="AD42" s="946">
        <v>1035</v>
      </c>
      <c r="AE42" s="968"/>
      <c r="AF42" s="968"/>
      <c r="AG42" s="969"/>
      <c r="AH42" s="946">
        <v>510.27</v>
      </c>
      <c r="AI42" s="968"/>
      <c r="AJ42" s="968"/>
      <c r="AK42" s="968"/>
      <c r="AL42" s="969"/>
      <c r="AM42" s="946">
        <v>796.03</v>
      </c>
      <c r="AN42" s="968"/>
      <c r="AO42" s="968"/>
      <c r="AP42" s="969"/>
      <c r="AQ42" s="946"/>
      <c r="AR42" s="968"/>
      <c r="AS42" s="968"/>
      <c r="AT42" s="969"/>
      <c r="AU42" s="970">
        <v>64.7</v>
      </c>
      <c r="AV42" s="971"/>
      <c r="AW42" s="972"/>
      <c r="AX42" s="309" t="s">
        <v>140</v>
      </c>
      <c r="AY42" s="150"/>
      <c r="AZ42" s="150"/>
      <c r="BA42" s="152"/>
      <c r="BB42" s="149" t="s">
        <v>30</v>
      </c>
      <c r="BC42" s="150"/>
      <c r="BD42" s="150"/>
      <c r="BE42" s="152"/>
      <c r="BH42" s="28"/>
      <c r="BI42" s="28"/>
      <c r="BJ42" s="28"/>
    </row>
    <row r="43" spans="1:62" ht="13.5" customHeight="1">
      <c r="A43" s="22"/>
      <c r="B43" s="202">
        <v>9</v>
      </c>
      <c r="C43" s="308">
        <v>2</v>
      </c>
      <c r="D43" s="148" t="s">
        <v>136</v>
      </c>
      <c r="E43" s="149"/>
      <c r="F43" s="149"/>
      <c r="G43" s="151"/>
      <c r="H43" s="242" t="s">
        <v>138</v>
      </c>
      <c r="I43" s="150"/>
      <c r="J43" s="150"/>
      <c r="K43" s="150"/>
      <c r="L43" s="161"/>
      <c r="M43" s="162"/>
      <c r="N43" s="242" t="s">
        <v>92</v>
      </c>
      <c r="O43" s="150"/>
      <c r="P43" s="150"/>
      <c r="Q43" s="99" t="s">
        <v>33</v>
      </c>
      <c r="R43" s="958">
        <v>500</v>
      </c>
      <c r="S43" s="959"/>
      <c r="T43" s="959"/>
      <c r="U43" s="960"/>
      <c r="V43" s="946">
        <v>500</v>
      </c>
      <c r="W43" s="968"/>
      <c r="X43" s="968"/>
      <c r="Y43" s="969"/>
      <c r="Z43" s="946">
        <v>794</v>
      </c>
      <c r="AA43" s="968"/>
      <c r="AB43" s="968"/>
      <c r="AC43" s="969"/>
      <c r="AD43" s="946">
        <v>630</v>
      </c>
      <c r="AE43" s="968"/>
      <c r="AF43" s="968"/>
      <c r="AG43" s="969"/>
      <c r="AH43" s="946">
        <v>247.92</v>
      </c>
      <c r="AI43" s="968"/>
      <c r="AJ43" s="968"/>
      <c r="AK43" s="968"/>
      <c r="AL43" s="969"/>
      <c r="AM43" s="946">
        <v>483.47</v>
      </c>
      <c r="AN43" s="968"/>
      <c r="AO43" s="968"/>
      <c r="AP43" s="969"/>
      <c r="AQ43" s="946"/>
      <c r="AR43" s="968"/>
      <c r="AS43" s="968"/>
      <c r="AT43" s="969"/>
      <c r="AU43" s="970">
        <v>39.4</v>
      </c>
      <c r="AV43" s="971"/>
      <c r="AW43" s="972"/>
      <c r="AX43" s="309" t="s">
        <v>140</v>
      </c>
      <c r="AY43" s="150"/>
      <c r="AZ43" s="150"/>
      <c r="BA43" s="152"/>
      <c r="BB43" s="149" t="s">
        <v>30</v>
      </c>
      <c r="BC43" s="150"/>
      <c r="BD43" s="150"/>
      <c r="BE43" s="152"/>
      <c r="BH43" s="28"/>
      <c r="BI43" s="28"/>
      <c r="BJ43" s="28"/>
    </row>
    <row r="44" spans="1:62" ht="13.5" customHeight="1">
      <c r="A44" s="22"/>
      <c r="B44" s="202">
        <v>10</v>
      </c>
      <c r="C44" s="310"/>
      <c r="D44" s="65"/>
      <c r="E44" s="65"/>
      <c r="F44" s="65"/>
      <c r="G44" s="65"/>
      <c r="H44" s="65"/>
      <c r="I44" s="65"/>
      <c r="J44" s="65"/>
      <c r="K44" s="65"/>
      <c r="L44" s="65"/>
      <c r="M44" s="62"/>
      <c r="N44" s="63"/>
      <c r="O44" s="65"/>
      <c r="P44" s="65"/>
      <c r="Q44" s="64"/>
      <c r="R44" s="63"/>
      <c r="S44" s="190"/>
      <c r="T44" s="190"/>
      <c r="U44" s="191"/>
      <c r="V44" s="192"/>
      <c r="W44" s="190"/>
      <c r="X44" s="65"/>
      <c r="Y44" s="65"/>
      <c r="Z44" s="65"/>
      <c r="AA44" s="65"/>
      <c r="AB44" s="65"/>
      <c r="AC44" s="65"/>
      <c r="AD44" s="65"/>
      <c r="AE44" s="65"/>
      <c r="AF44" s="65"/>
      <c r="AG44" s="65"/>
      <c r="AH44" s="65"/>
      <c r="AI44" s="65"/>
      <c r="AJ44" s="65"/>
      <c r="AK44" s="65"/>
      <c r="AL44" s="65"/>
      <c r="AM44" s="63"/>
      <c r="AN44" s="63"/>
      <c r="AO44" s="63"/>
      <c r="AP44" s="63"/>
      <c r="AQ44" s="63"/>
      <c r="AR44" s="63"/>
      <c r="AS44" s="63"/>
      <c r="AT44" s="63"/>
      <c r="AU44" s="63"/>
      <c r="AV44" s="63"/>
      <c r="AW44" s="63"/>
      <c r="AX44" s="63"/>
      <c r="AY44" s="63"/>
      <c r="AZ44" s="31"/>
      <c r="BA44" s="35"/>
      <c r="BB44" s="35"/>
      <c r="BC44" s="311"/>
      <c r="BD44" s="28"/>
    </row>
    <row r="45" spans="1:62" ht="13.5" customHeight="1">
      <c r="A45" s="22"/>
      <c r="B45" s="202">
        <v>11</v>
      </c>
      <c r="C45" s="312"/>
      <c r="D45" s="65"/>
      <c r="E45" s="65"/>
      <c r="F45" s="65"/>
      <c r="G45" s="65"/>
      <c r="H45" s="65"/>
      <c r="I45" s="65"/>
      <c r="J45" s="65"/>
      <c r="K45" s="65"/>
      <c r="L45" s="65"/>
      <c r="M45" s="65"/>
      <c r="N45" s="65"/>
      <c r="O45" s="65"/>
      <c r="P45" s="65"/>
      <c r="Q45" s="65"/>
      <c r="R45" s="65"/>
      <c r="S45" s="65"/>
      <c r="T45" s="65"/>
      <c r="U45" s="65"/>
      <c r="V45" s="63"/>
      <c r="W45" s="63"/>
      <c r="X45" s="75"/>
      <c r="Y45" s="63"/>
      <c r="Z45" s="63"/>
      <c r="AA45" s="69"/>
      <c r="AB45" s="65"/>
      <c r="AC45" s="63"/>
      <c r="AD45" s="65"/>
      <c r="AE45" s="65"/>
      <c r="AF45" s="65"/>
      <c r="AG45" s="69"/>
      <c r="AH45" s="65"/>
      <c r="AI45" s="75"/>
      <c r="AJ45" s="63"/>
      <c r="AK45" s="63"/>
      <c r="AL45" s="63"/>
      <c r="AM45" s="63"/>
      <c r="AN45" s="125"/>
      <c r="AO45" s="62"/>
      <c r="AP45" s="62"/>
      <c r="AQ45" s="63"/>
      <c r="AR45" s="63"/>
      <c r="AS45" s="63"/>
      <c r="AT45" s="64"/>
      <c r="AU45" s="63"/>
      <c r="AV45" s="65"/>
      <c r="AW45" s="65"/>
      <c r="AX45" s="65"/>
      <c r="AY45" s="63"/>
      <c r="AZ45" s="31"/>
      <c r="BA45" s="35"/>
      <c r="BB45" s="35"/>
      <c r="BC45" s="311"/>
      <c r="BD45" s="28"/>
    </row>
    <row r="46" spans="1:62" ht="15.75" customHeight="1">
      <c r="A46" s="22"/>
      <c r="B46" s="202">
        <v>12</v>
      </c>
      <c r="C46" s="310"/>
      <c r="D46" s="65"/>
      <c r="E46" s="65"/>
      <c r="F46" s="65"/>
      <c r="G46" s="65"/>
      <c r="H46" s="65"/>
      <c r="I46" s="65"/>
      <c r="J46" s="65"/>
      <c r="K46" s="65"/>
      <c r="L46" s="65"/>
      <c r="M46" s="62"/>
      <c r="N46" s="65"/>
      <c r="O46" s="65"/>
      <c r="P46" s="63"/>
      <c r="Q46" s="64"/>
      <c r="R46" s="63"/>
      <c r="S46" s="63"/>
      <c r="T46" s="65"/>
      <c r="U46" s="63"/>
      <c r="V46" s="65"/>
      <c r="W46" s="63"/>
      <c r="X46" s="63"/>
      <c r="Y46" s="63"/>
      <c r="Z46" s="63"/>
      <c r="AA46" s="63"/>
      <c r="AB46" s="65"/>
      <c r="AC46" s="65"/>
      <c r="AD46" s="62"/>
      <c r="AE46" s="63"/>
      <c r="AF46" s="63"/>
      <c r="AG46" s="65"/>
      <c r="AH46" s="65"/>
      <c r="AI46" s="62"/>
      <c r="AJ46" s="63"/>
      <c r="AK46" s="65"/>
      <c r="AL46" s="63"/>
      <c r="AM46" s="63"/>
      <c r="AN46" s="126"/>
      <c r="AO46" s="65"/>
      <c r="AP46" s="65"/>
      <c r="AQ46" s="125"/>
      <c r="AR46" s="65"/>
      <c r="AS46" s="65"/>
      <c r="AT46" s="63"/>
      <c r="AU46" s="63"/>
      <c r="AV46" s="63"/>
      <c r="AW46" s="63"/>
      <c r="AX46" s="63"/>
      <c r="AY46" s="63"/>
      <c r="AZ46" s="31"/>
      <c r="BA46" s="35"/>
      <c r="BB46" s="35"/>
      <c r="BC46" s="311"/>
      <c r="BD46" s="28"/>
    </row>
    <row r="47" spans="1:62" ht="13.5" customHeight="1">
      <c r="A47" s="22"/>
      <c r="B47" s="202">
        <v>13</v>
      </c>
      <c r="C47" s="310"/>
      <c r="D47" s="65"/>
      <c r="E47" s="65"/>
      <c r="F47" s="65"/>
      <c r="G47" s="65"/>
      <c r="H47" s="84"/>
      <c r="I47" s="65"/>
      <c r="J47" s="65"/>
      <c r="K47" s="65"/>
      <c r="L47" s="65"/>
      <c r="M47" s="126"/>
      <c r="N47" s="65"/>
      <c r="O47" s="65"/>
      <c r="P47" s="65"/>
      <c r="Q47" s="198"/>
      <c r="R47" s="65"/>
      <c r="S47" s="63"/>
      <c r="T47" s="63"/>
      <c r="U47" s="63"/>
      <c r="V47" s="65"/>
      <c r="W47" s="84"/>
      <c r="X47" s="65"/>
      <c r="Y47" s="65"/>
      <c r="Z47" s="65"/>
      <c r="AA47" s="65"/>
      <c r="AB47" s="65"/>
      <c r="AC47" s="65"/>
      <c r="AD47" s="65"/>
      <c r="AE47" s="65"/>
      <c r="AF47" s="65"/>
      <c r="AG47" s="65"/>
      <c r="AH47" s="126"/>
      <c r="AI47" s="65"/>
      <c r="AJ47" s="125"/>
      <c r="AK47" s="65"/>
      <c r="AL47" s="65"/>
      <c r="AM47" s="65"/>
      <c r="AN47" s="65"/>
      <c r="AO47" s="65"/>
      <c r="AP47" s="65"/>
      <c r="AQ47" s="125"/>
      <c r="AR47" s="65"/>
      <c r="AS47" s="125"/>
      <c r="AT47" s="64"/>
      <c r="AU47" s="63"/>
      <c r="AV47" s="65"/>
      <c r="AW47" s="65"/>
      <c r="AX47" s="65"/>
      <c r="AY47" s="63"/>
      <c r="AZ47" s="31"/>
      <c r="BA47" s="35"/>
      <c r="BB47" s="35"/>
      <c r="BC47" s="311"/>
      <c r="BD47" s="28"/>
    </row>
    <row r="48" spans="1:62" ht="13.5" customHeight="1">
      <c r="A48" s="22"/>
      <c r="B48" s="202">
        <v>14</v>
      </c>
      <c r="C48" s="312"/>
      <c r="D48" s="65"/>
      <c r="E48" s="65"/>
      <c r="F48" s="65"/>
      <c r="G48" s="65"/>
      <c r="H48" s="65"/>
      <c r="I48" s="65"/>
      <c r="J48" s="65"/>
      <c r="K48" s="198"/>
      <c r="L48" s="65"/>
      <c r="M48" s="65"/>
      <c r="N48" s="65"/>
      <c r="O48" s="65"/>
      <c r="P48" s="65"/>
      <c r="Q48" s="198"/>
      <c r="R48" s="65"/>
      <c r="S48" s="65"/>
      <c r="T48" s="65"/>
      <c r="U48" s="198"/>
      <c r="V48" s="65"/>
      <c r="W48" s="65"/>
      <c r="X48" s="65"/>
      <c r="Y48" s="65"/>
      <c r="Z48" s="65"/>
      <c r="AA48" s="65"/>
      <c r="AB48" s="65"/>
      <c r="AC48" s="65"/>
      <c r="AD48" s="65"/>
      <c r="AE48" s="65"/>
      <c r="AF48" s="65"/>
      <c r="AG48" s="65"/>
      <c r="AH48" s="65"/>
      <c r="AI48" s="65"/>
      <c r="AJ48" s="125"/>
      <c r="AK48" s="112"/>
      <c r="AL48" s="62"/>
      <c r="AM48" s="63"/>
      <c r="AN48" s="63"/>
      <c r="AO48" s="63"/>
      <c r="AP48" s="63"/>
      <c r="AQ48" s="64"/>
      <c r="AR48" s="63"/>
      <c r="AS48" s="65"/>
      <c r="AT48" s="65"/>
      <c r="AU48" s="65"/>
      <c r="AV48" s="65"/>
      <c r="AW48" s="65"/>
      <c r="AX48" s="65"/>
      <c r="AY48" s="63"/>
      <c r="AZ48" s="31"/>
      <c r="BA48" s="35"/>
      <c r="BB48" s="35"/>
      <c r="BC48" s="311"/>
      <c r="BD48" s="28"/>
    </row>
    <row r="49" spans="1:67" ht="13.5" customHeight="1">
      <c r="A49" s="22"/>
      <c r="B49" s="202">
        <v>15</v>
      </c>
      <c r="C49" s="313" t="s">
        <v>71</v>
      </c>
      <c r="D49" s="223"/>
      <c r="E49" s="224"/>
      <c r="F49" s="223"/>
      <c r="G49" s="224"/>
      <c r="H49" s="225"/>
      <c r="I49" s="226"/>
      <c r="J49" s="227"/>
      <c r="K49" s="227"/>
      <c r="L49" s="227"/>
      <c r="M49" s="228"/>
      <c r="N49" s="227"/>
      <c r="O49" s="227"/>
      <c r="P49" s="227"/>
      <c r="Q49" s="229"/>
      <c r="R49" s="227"/>
      <c r="S49" s="227"/>
      <c r="T49" s="227"/>
      <c r="U49" s="227"/>
      <c r="V49" s="227"/>
      <c r="W49" s="229"/>
      <c r="X49" s="227"/>
      <c r="Y49" s="227"/>
      <c r="Z49" s="227"/>
      <c r="AA49" s="229"/>
      <c r="AB49" s="227"/>
      <c r="AC49" s="227"/>
      <c r="AD49" s="227"/>
      <c r="AE49" s="227"/>
      <c r="AF49" s="227"/>
      <c r="AG49" s="232"/>
      <c r="AH49" s="227"/>
      <c r="AI49" s="227"/>
      <c r="AJ49" s="227"/>
      <c r="AK49" s="227"/>
      <c r="AL49" s="227"/>
      <c r="AM49" s="227"/>
      <c r="AN49" s="227"/>
      <c r="AO49" s="227"/>
      <c r="AP49" s="227"/>
      <c r="AQ49" s="230"/>
      <c r="AR49" s="227"/>
      <c r="AS49" s="230"/>
      <c r="AT49" s="227"/>
      <c r="AU49" s="227"/>
      <c r="AV49" s="227"/>
      <c r="AW49" s="227"/>
      <c r="AX49" s="227"/>
      <c r="AY49" s="224"/>
      <c r="AZ49" s="224"/>
      <c r="BA49" s="231"/>
      <c r="BB49" s="231"/>
      <c r="BC49" s="314"/>
      <c r="BD49" s="28"/>
    </row>
    <row r="50" spans="1:67" ht="13.5" customHeight="1">
      <c r="A50" s="22"/>
      <c r="B50" s="202">
        <v>16</v>
      </c>
      <c r="C50" s="310"/>
      <c r="D50" s="65"/>
      <c r="E50" s="65"/>
      <c r="F50" s="65"/>
      <c r="G50" s="65"/>
      <c r="H50" s="65"/>
      <c r="I50" s="65"/>
      <c r="J50" s="65"/>
      <c r="K50" s="65"/>
      <c r="L50" s="65"/>
      <c r="M50" s="62"/>
      <c r="N50" s="65"/>
      <c r="O50" s="65"/>
      <c r="P50" s="63"/>
      <c r="Q50" s="64"/>
      <c r="R50" s="63"/>
      <c r="S50" s="111"/>
      <c r="T50" s="112"/>
      <c r="U50" s="111"/>
      <c r="V50" s="112"/>
      <c r="W50" s="111"/>
      <c r="X50" s="111"/>
      <c r="Y50" s="111"/>
      <c r="Z50" s="111"/>
      <c r="AA50" s="65"/>
      <c r="AB50" s="65"/>
      <c r="AC50" s="65"/>
      <c r="AD50" s="65"/>
      <c r="AE50" s="65"/>
      <c r="AF50" s="65"/>
      <c r="AG50" s="65"/>
      <c r="AH50" s="65"/>
      <c r="AI50" s="65"/>
      <c r="AJ50" s="65"/>
      <c r="AK50" s="65"/>
      <c r="AL50" s="65"/>
      <c r="AM50" s="65"/>
      <c r="AN50" s="65"/>
      <c r="AO50" s="65"/>
      <c r="AP50" s="65"/>
      <c r="AQ50" s="65"/>
      <c r="AR50" s="65"/>
      <c r="AS50" s="65"/>
      <c r="AT50" s="65"/>
      <c r="AU50" s="65"/>
      <c r="AV50" s="65"/>
      <c r="AW50" s="65"/>
      <c r="AX50" s="65"/>
      <c r="AY50" s="63"/>
      <c r="AZ50" s="53"/>
      <c r="BA50" s="323"/>
      <c r="BB50" s="324"/>
      <c r="BC50" s="325"/>
      <c r="BD50" s="28"/>
    </row>
    <row r="51" spans="1:67" ht="13.5" customHeight="1">
      <c r="A51" s="22"/>
      <c r="B51" s="202">
        <v>17</v>
      </c>
      <c r="C51" s="310"/>
      <c r="D51" s="65"/>
      <c r="E51" s="65"/>
      <c r="F51" s="65"/>
      <c r="G51" s="65"/>
      <c r="H51" s="126"/>
      <c r="I51" s="65"/>
      <c r="J51" s="65"/>
      <c r="K51" s="65"/>
      <c r="L51" s="198"/>
      <c r="M51" s="65"/>
      <c r="N51" s="65"/>
      <c r="O51" s="65"/>
      <c r="P51" s="198"/>
      <c r="Q51" s="65"/>
      <c r="R51" s="65"/>
      <c r="S51" s="65"/>
      <c r="T51" s="198"/>
      <c r="U51" s="65"/>
      <c r="V51" s="65"/>
      <c r="W51" s="65"/>
      <c r="X51" s="65"/>
      <c r="Y51" s="65"/>
      <c r="Z51" s="65"/>
      <c r="AA51" s="65"/>
      <c r="AB51" s="65"/>
      <c r="AC51" s="65"/>
      <c r="AD51" s="65"/>
      <c r="AE51" s="65"/>
      <c r="AF51" s="65"/>
      <c r="AG51" s="65"/>
      <c r="AH51" s="65"/>
      <c r="AI51" s="65"/>
      <c r="AJ51" s="65"/>
      <c r="AK51" s="125"/>
      <c r="AL51" s="65"/>
      <c r="AM51" s="65"/>
      <c r="AN51" s="65"/>
      <c r="AO51" s="65"/>
      <c r="AP51" s="65"/>
      <c r="AQ51" s="65"/>
      <c r="AR51" s="65"/>
      <c r="AS51" s="65"/>
      <c r="AT51" s="65"/>
      <c r="AU51" s="65"/>
      <c r="AV51" s="65"/>
      <c r="AW51" s="65"/>
      <c r="AX51" s="65"/>
      <c r="AY51" s="63"/>
      <c r="AZ51" s="31"/>
      <c r="BA51" s="30"/>
      <c r="BB51" s="175"/>
      <c r="BC51" s="326"/>
      <c r="BD51" s="28"/>
    </row>
    <row r="52" spans="1:67" ht="5.15" customHeight="1">
      <c r="A52" s="22"/>
      <c r="B52" s="202"/>
      <c r="C52" s="315"/>
      <c r="D52" s="73"/>
      <c r="E52" s="73"/>
      <c r="F52" s="73"/>
      <c r="G52" s="73"/>
      <c r="H52" s="316"/>
      <c r="I52" s="275"/>
      <c r="J52" s="273"/>
      <c r="K52" s="275"/>
      <c r="L52" s="273"/>
      <c r="M52" s="317"/>
      <c r="N52" s="317"/>
      <c r="O52" s="270"/>
      <c r="P52" s="317"/>
      <c r="Q52" s="270"/>
      <c r="R52" s="317"/>
      <c r="S52" s="73"/>
      <c r="T52" s="73"/>
      <c r="U52" s="73"/>
      <c r="V52" s="73"/>
      <c r="W52" s="73"/>
      <c r="X52" s="316"/>
      <c r="Y52" s="275"/>
      <c r="Z52" s="273"/>
      <c r="AA52" s="275"/>
      <c r="AB52" s="273"/>
      <c r="AC52" s="317"/>
      <c r="AD52" s="317"/>
      <c r="AE52" s="270"/>
      <c r="AF52" s="317"/>
      <c r="AG52" s="270"/>
      <c r="AH52" s="317"/>
      <c r="AI52" s="276"/>
      <c r="AJ52" s="317"/>
      <c r="AK52" s="270"/>
      <c r="AL52" s="73"/>
      <c r="AM52" s="73"/>
      <c r="AN52" s="73"/>
      <c r="AO52" s="73"/>
      <c r="AP52" s="73"/>
      <c r="AQ52" s="73"/>
      <c r="AR52" s="73"/>
      <c r="AS52" s="73"/>
      <c r="AT52" s="73"/>
      <c r="AU52" s="73"/>
      <c r="AV52" s="318"/>
      <c r="AW52" s="73"/>
      <c r="AX52" s="73"/>
      <c r="AY52" s="269"/>
      <c r="AZ52" s="269"/>
      <c r="BA52" s="319"/>
      <c r="BB52" s="320"/>
      <c r="BC52" s="321"/>
      <c r="BD52" s="28"/>
    </row>
    <row r="53" spans="1:67" ht="13.5" customHeight="1">
      <c r="A53" s="22"/>
      <c r="B53" s="202">
        <v>18</v>
      </c>
      <c r="C53" s="75"/>
      <c r="D53" s="63"/>
      <c r="E53" s="63"/>
      <c r="F53" s="63"/>
      <c r="G53" s="63"/>
      <c r="H53" s="69"/>
      <c r="I53" s="69"/>
      <c r="J53" s="65"/>
      <c r="K53" s="69"/>
      <c r="L53" s="65"/>
      <c r="M53" s="69"/>
      <c r="N53" s="64"/>
      <c r="O53" s="69"/>
      <c r="P53" s="65"/>
      <c r="Q53" s="65"/>
      <c r="R53" s="65"/>
      <c r="S53" s="63"/>
      <c r="T53" s="63"/>
      <c r="U53" s="63"/>
      <c r="V53" s="63"/>
      <c r="W53" s="63"/>
      <c r="X53" s="64"/>
      <c r="Y53" s="63"/>
      <c r="Z53" s="65"/>
      <c r="AA53" s="64"/>
      <c r="AB53" s="63"/>
      <c r="AC53" s="65"/>
      <c r="AD53" s="64"/>
      <c r="AE53" s="65"/>
      <c r="AF53" s="65"/>
      <c r="AG53" s="64"/>
      <c r="AH53" s="65"/>
      <c r="AI53" s="65"/>
      <c r="AJ53" s="126"/>
      <c r="AK53" s="65"/>
      <c r="AL53" s="65"/>
      <c r="AM53" s="65"/>
      <c r="AN53" s="65"/>
      <c r="AO53" s="65"/>
      <c r="AP53" s="65"/>
      <c r="AQ53" s="65"/>
      <c r="AR53" s="65"/>
      <c r="AS53" s="65"/>
      <c r="AT53" s="65"/>
      <c r="AU53" s="65"/>
      <c r="AV53" s="65"/>
      <c r="AW53" s="65"/>
      <c r="AX53" s="65"/>
      <c r="AY53" s="63"/>
      <c r="AZ53" s="264"/>
      <c r="BA53" s="301"/>
      <c r="BB53" s="302"/>
      <c r="BC53" s="343"/>
      <c r="BD53" s="28"/>
    </row>
    <row r="54" spans="1:67" ht="13.5" customHeight="1">
      <c r="A54" s="22"/>
      <c r="B54" s="202">
        <v>20</v>
      </c>
      <c r="C54" s="204" t="s">
        <v>78</v>
      </c>
      <c r="D54" s="28"/>
      <c r="E54" s="28"/>
      <c r="F54" s="28"/>
      <c r="G54" s="28"/>
      <c r="H54" s="121"/>
      <c r="I54" s="62"/>
      <c r="J54" s="63"/>
      <c r="K54" s="62"/>
      <c r="L54" s="63"/>
      <c r="M54" s="69"/>
      <c r="N54" s="69"/>
      <c r="O54" s="65"/>
      <c r="P54" s="69"/>
      <c r="Q54" s="65"/>
      <c r="R54" s="69"/>
      <c r="S54" s="28"/>
      <c r="T54" s="28"/>
      <c r="U54" s="28"/>
      <c r="V54" s="28"/>
      <c r="W54" s="28"/>
      <c r="X54" s="121"/>
      <c r="Y54" s="62"/>
      <c r="Z54" s="63"/>
      <c r="AA54" s="62"/>
      <c r="AB54" s="63"/>
      <c r="AC54" s="69"/>
      <c r="AD54" s="69"/>
      <c r="AE54" s="65"/>
      <c r="AF54" s="69"/>
      <c r="AG54" s="65"/>
      <c r="AH54" s="69"/>
      <c r="AI54" s="64"/>
      <c r="AJ54" s="69"/>
      <c r="AK54" s="65"/>
      <c r="AL54" s="28"/>
      <c r="AM54" s="28"/>
      <c r="AN54" s="28"/>
      <c r="AO54" s="28"/>
      <c r="AP54" s="28"/>
      <c r="AQ54" s="28"/>
      <c r="AR54" s="28"/>
      <c r="AS54" s="28"/>
      <c r="AT54" s="28"/>
      <c r="AU54" s="28"/>
      <c r="AV54" s="233" t="s">
        <v>72</v>
      </c>
      <c r="AW54" s="28"/>
      <c r="AX54" s="28"/>
      <c r="AY54" s="31"/>
      <c r="AZ54" s="269"/>
      <c r="BA54" s="319"/>
      <c r="BB54" s="320"/>
      <c r="BC54" s="344"/>
      <c r="BD54" s="28"/>
    </row>
    <row r="55" spans="1:67" ht="5.15" customHeight="1">
      <c r="A55" s="22"/>
      <c r="B55" s="202"/>
      <c r="C55" s="296"/>
      <c r="D55" s="72"/>
      <c r="E55" s="72"/>
      <c r="F55" s="72"/>
      <c r="G55" s="72"/>
      <c r="H55" s="297"/>
      <c r="I55" s="278"/>
      <c r="J55" s="279"/>
      <c r="K55" s="278"/>
      <c r="L55" s="279"/>
      <c r="M55" s="298"/>
      <c r="N55" s="298"/>
      <c r="O55" s="263"/>
      <c r="P55" s="298"/>
      <c r="Q55" s="263"/>
      <c r="R55" s="298"/>
      <c r="S55" s="72"/>
      <c r="T55" s="72"/>
      <c r="U55" s="72"/>
      <c r="V55" s="72"/>
      <c r="W55" s="72"/>
      <c r="X55" s="297"/>
      <c r="Y55" s="278"/>
      <c r="Z55" s="279"/>
      <c r="AA55" s="278"/>
      <c r="AB55" s="279"/>
      <c r="AC55" s="298"/>
      <c r="AD55" s="298"/>
      <c r="AE55" s="263"/>
      <c r="AF55" s="298"/>
      <c r="AG55" s="263"/>
      <c r="AH55" s="298"/>
      <c r="AI55" s="280"/>
      <c r="AJ55" s="298"/>
      <c r="AK55" s="263"/>
      <c r="AL55" s="72"/>
      <c r="AM55" s="72"/>
      <c r="AN55" s="72"/>
      <c r="AO55" s="72"/>
      <c r="AP55" s="72"/>
      <c r="AQ55" s="72"/>
      <c r="AR55" s="72"/>
      <c r="AS55" s="72"/>
      <c r="AT55" s="72"/>
      <c r="AU55" s="72"/>
      <c r="AV55" s="300"/>
      <c r="AW55" s="72"/>
      <c r="AX55" s="72"/>
      <c r="AY55" s="264"/>
      <c r="AZ55" s="264"/>
      <c r="BA55" s="301"/>
      <c r="BB55" s="302"/>
      <c r="BC55" s="303"/>
      <c r="BD55" s="28"/>
    </row>
    <row r="56" spans="1:67" ht="13.5" customHeight="1">
      <c r="A56" s="22"/>
      <c r="B56" s="202">
        <v>21</v>
      </c>
      <c r="C56" s="304" t="s">
        <v>32</v>
      </c>
      <c r="D56" s="234" t="s">
        <v>260</v>
      </c>
      <c r="E56" s="235"/>
      <c r="F56" s="234" t="s">
        <v>64</v>
      </c>
      <c r="G56" s="235"/>
      <c r="H56" s="235"/>
      <c r="I56" s="236"/>
      <c r="J56" s="237" t="s">
        <v>34</v>
      </c>
      <c r="K56" s="238"/>
      <c r="L56" s="238"/>
      <c r="M56" s="238"/>
      <c r="N56" s="235"/>
      <c r="O56" s="236"/>
      <c r="P56" s="239" t="s">
        <v>67</v>
      </c>
      <c r="Q56" s="240"/>
      <c r="R56" s="240"/>
      <c r="S56" s="241"/>
      <c r="T56" s="234" t="s">
        <v>79</v>
      </c>
      <c r="U56" s="235"/>
      <c r="V56" s="235"/>
      <c r="W56" s="236"/>
      <c r="X56" s="234" t="s">
        <v>224</v>
      </c>
      <c r="Y56" s="235"/>
      <c r="Z56" s="235"/>
      <c r="AA56" s="235"/>
      <c r="AB56" s="239" t="s">
        <v>65</v>
      </c>
      <c r="AC56" s="240"/>
      <c r="AD56" s="240"/>
      <c r="AE56" s="240"/>
      <c r="AF56" s="241"/>
      <c r="AG56" s="240" t="s">
        <v>68</v>
      </c>
      <c r="AH56" s="240"/>
      <c r="AI56" s="240"/>
      <c r="AJ56" s="241"/>
      <c r="AK56" s="240" t="s">
        <v>66</v>
      </c>
      <c r="AL56" s="240"/>
      <c r="AM56" s="240"/>
      <c r="AN56" s="241"/>
      <c r="AO56" s="239" t="s">
        <v>141</v>
      </c>
      <c r="AP56" s="240"/>
      <c r="AQ56" s="240"/>
      <c r="AR56" s="241"/>
      <c r="AS56" s="239" t="s">
        <v>82</v>
      </c>
      <c r="AT56" s="240"/>
      <c r="AU56" s="240"/>
      <c r="AV56" s="240"/>
      <c r="AW56" s="239" t="s">
        <v>83</v>
      </c>
      <c r="AX56" s="240"/>
      <c r="AY56" s="240"/>
      <c r="AZ56" s="241"/>
      <c r="BA56" s="239" t="s">
        <v>84</v>
      </c>
      <c r="BB56" s="240"/>
      <c r="BC56" s="240"/>
      <c r="BD56" s="241"/>
      <c r="BE56" s="240" t="s">
        <v>85</v>
      </c>
      <c r="BF56" s="240"/>
      <c r="BG56" s="241"/>
      <c r="BH56" s="240" t="s">
        <v>86</v>
      </c>
      <c r="BI56" s="240"/>
      <c r="BJ56" s="240"/>
      <c r="BK56" s="241"/>
      <c r="BL56" s="240" t="s">
        <v>69</v>
      </c>
      <c r="BM56" s="240"/>
      <c r="BN56" s="240"/>
      <c r="BO56" s="241"/>
    </row>
    <row r="57" spans="1:67" ht="13.5" customHeight="1">
      <c r="A57" s="22"/>
      <c r="B57" s="202">
        <v>22</v>
      </c>
      <c r="C57" s="308">
        <v>1</v>
      </c>
      <c r="D57" s="148" t="str">
        <f>N42</f>
        <v>R</v>
      </c>
      <c r="E57" s="149"/>
      <c r="F57" s="148" t="str">
        <f>D42</f>
        <v>1250103874</v>
      </c>
      <c r="G57" s="149"/>
      <c r="H57" s="149"/>
      <c r="I57" s="151"/>
      <c r="J57" s="242" t="str">
        <f>H42</f>
        <v>HR25-9TP-16P(74)</v>
      </c>
      <c r="K57" s="150"/>
      <c r="L57" s="150"/>
      <c r="M57" s="150"/>
      <c r="N57" s="161"/>
      <c r="O57" s="162"/>
      <c r="P57" s="148" t="s">
        <v>144</v>
      </c>
      <c r="Q57" s="150"/>
      <c r="R57" s="150"/>
      <c r="S57" s="162"/>
      <c r="T57" s="958">
        <f>R42</f>
        <v>1000</v>
      </c>
      <c r="U57" s="959"/>
      <c r="V57" s="959"/>
      <c r="W57" s="960"/>
      <c r="X57" s="986">
        <f>AH42</f>
        <v>510.27</v>
      </c>
      <c r="Y57" s="987"/>
      <c r="Z57" s="987"/>
      <c r="AA57" s="988"/>
      <c r="AB57" s="986">
        <f>V42</f>
        <v>980</v>
      </c>
      <c r="AC57" s="987"/>
      <c r="AD57" s="987"/>
      <c r="AE57" s="987"/>
      <c r="AF57" s="988"/>
      <c r="AG57" s="986">
        <f>Z42</f>
        <v>1610</v>
      </c>
      <c r="AH57" s="987"/>
      <c r="AI57" s="987"/>
      <c r="AJ57" s="988"/>
      <c r="AK57" s="986">
        <f>AD42</f>
        <v>1035</v>
      </c>
      <c r="AL57" s="987"/>
      <c r="AM57" s="987"/>
      <c r="AN57" s="988"/>
      <c r="AO57" s="982">
        <f>AD42/AM42-1</f>
        <v>0.30020225368390641</v>
      </c>
      <c r="AP57" s="983"/>
      <c r="AQ57" s="983"/>
      <c r="AR57" s="984"/>
      <c r="AS57" s="979">
        <f>(AK57-AG57)/AG57</f>
        <v>-0.35714285714285715</v>
      </c>
      <c r="AT57" s="980"/>
      <c r="AU57" s="980"/>
      <c r="AV57" s="981"/>
      <c r="AW57" s="148"/>
      <c r="AX57" s="150"/>
      <c r="AY57" s="150"/>
      <c r="AZ57" s="162"/>
      <c r="BA57" s="982" t="str">
        <f>IFERROR(1-(AD42/AQ42),"")</f>
        <v/>
      </c>
      <c r="BB57" s="983"/>
      <c r="BC57" s="983"/>
      <c r="BD57" s="984"/>
      <c r="BE57" s="970">
        <f>AU42</f>
        <v>64.7</v>
      </c>
      <c r="BF57" s="971"/>
      <c r="BG57" s="972"/>
      <c r="BH57" s="149" t="str">
        <f>AX42</f>
        <v>サンウー</v>
      </c>
      <c r="BI57" s="150"/>
      <c r="BJ57" s="150"/>
      <c r="BK57" s="152"/>
      <c r="BL57" s="149" t="s">
        <v>30</v>
      </c>
      <c r="BM57" s="150"/>
      <c r="BN57" s="150"/>
      <c r="BO57" s="152"/>
    </row>
    <row r="58" spans="1:67" ht="13.5" customHeight="1">
      <c r="A58" s="22"/>
      <c r="B58" s="202">
        <v>23</v>
      </c>
      <c r="C58" s="308">
        <v>2</v>
      </c>
      <c r="D58" s="148" t="str">
        <f>N43</f>
        <v>R</v>
      </c>
      <c r="E58" s="149"/>
      <c r="F58" s="148" t="str">
        <f>D43</f>
        <v>1250109471</v>
      </c>
      <c r="G58" s="149"/>
      <c r="H58" s="149"/>
      <c r="I58" s="151"/>
      <c r="J58" s="242" t="str">
        <f>H43</f>
        <v>HR25-9TR-16S(71)</v>
      </c>
      <c r="K58" s="150"/>
      <c r="L58" s="150"/>
      <c r="M58" s="150"/>
      <c r="N58" s="161"/>
      <c r="O58" s="162"/>
      <c r="P58" s="148" t="s">
        <v>144</v>
      </c>
      <c r="Q58" s="150"/>
      <c r="R58" s="150"/>
      <c r="S58" s="162"/>
      <c r="T58" s="958">
        <f>R43</f>
        <v>500</v>
      </c>
      <c r="U58" s="959"/>
      <c r="V58" s="959"/>
      <c r="W58" s="960"/>
      <c r="X58" s="986">
        <f>AH43</f>
        <v>247.92</v>
      </c>
      <c r="Y58" s="987"/>
      <c r="Z58" s="987"/>
      <c r="AA58" s="988"/>
      <c r="AB58" s="986">
        <f>V43</f>
        <v>500</v>
      </c>
      <c r="AC58" s="987"/>
      <c r="AD58" s="987"/>
      <c r="AE58" s="987"/>
      <c r="AF58" s="988"/>
      <c r="AG58" s="986">
        <f>Z43</f>
        <v>794</v>
      </c>
      <c r="AH58" s="987"/>
      <c r="AI58" s="987"/>
      <c r="AJ58" s="988"/>
      <c r="AK58" s="986">
        <f>AD43</f>
        <v>630</v>
      </c>
      <c r="AL58" s="987"/>
      <c r="AM58" s="987"/>
      <c r="AN58" s="988"/>
      <c r="AO58" s="982">
        <f>AD43/AM43-1</f>
        <v>0.3030798188098538</v>
      </c>
      <c r="AP58" s="983"/>
      <c r="AQ58" s="983"/>
      <c r="AR58" s="984"/>
      <c r="AS58" s="979">
        <f>(AK58-AG58)/AG58</f>
        <v>-0.20654911838790932</v>
      </c>
      <c r="AT58" s="980"/>
      <c r="AU58" s="980"/>
      <c r="AV58" s="981"/>
      <c r="AW58" s="148"/>
      <c r="AX58" s="150"/>
      <c r="AY58" s="150"/>
      <c r="AZ58" s="162"/>
      <c r="BA58" s="982" t="str">
        <f>IFERROR(1-(AD43/AQ43),"")</f>
        <v/>
      </c>
      <c r="BB58" s="983"/>
      <c r="BC58" s="983"/>
      <c r="BD58" s="984"/>
      <c r="BE58" s="970">
        <f>AU43</f>
        <v>39.4</v>
      </c>
      <c r="BF58" s="971"/>
      <c r="BG58" s="972"/>
      <c r="BH58" s="149" t="str">
        <f>AX43</f>
        <v>サンウー</v>
      </c>
      <c r="BI58" s="150"/>
      <c r="BJ58" s="150"/>
      <c r="BK58" s="152"/>
      <c r="BL58" s="149" t="s">
        <v>30</v>
      </c>
      <c r="BM58" s="150"/>
      <c r="BN58" s="150"/>
      <c r="BO58" s="152"/>
    </row>
    <row r="59" spans="1:67" ht="13.5" customHeight="1">
      <c r="A59" s="22"/>
      <c r="B59" s="202">
        <v>20</v>
      </c>
      <c r="C59" s="337" t="s">
        <v>281</v>
      </c>
      <c r="D59" s="28"/>
      <c r="E59" s="28"/>
      <c r="F59" s="28"/>
      <c r="G59" s="28"/>
      <c r="H59" s="121"/>
      <c r="I59" s="62"/>
      <c r="J59" s="63"/>
      <c r="K59" s="62"/>
      <c r="L59" s="63"/>
      <c r="M59" s="69"/>
      <c r="N59" s="69"/>
      <c r="O59" s="65"/>
      <c r="P59" s="69"/>
      <c r="Q59" s="65"/>
      <c r="R59" s="69"/>
      <c r="S59" s="28"/>
      <c r="T59" s="28"/>
      <c r="U59" s="28"/>
      <c r="V59" s="28"/>
      <c r="W59" s="28"/>
      <c r="X59" s="121"/>
      <c r="Y59" s="62"/>
      <c r="Z59" s="63"/>
      <c r="AA59" s="62"/>
      <c r="AB59" s="63"/>
      <c r="AC59" s="69"/>
      <c r="AD59" s="69"/>
      <c r="AE59" s="65"/>
      <c r="AF59" s="69"/>
      <c r="AG59" s="65"/>
      <c r="AH59" s="69"/>
      <c r="AI59" s="64"/>
      <c r="AJ59" s="69"/>
      <c r="AK59" s="65"/>
      <c r="AL59" s="28"/>
      <c r="AM59" s="28"/>
      <c r="AN59" s="28"/>
      <c r="AO59" s="28"/>
      <c r="AP59" s="28"/>
      <c r="AQ59" s="28"/>
      <c r="AR59" s="28"/>
      <c r="AS59" s="28"/>
      <c r="AT59" s="28"/>
      <c r="AU59" s="28"/>
      <c r="AV59" s="233"/>
      <c r="AW59" s="28"/>
      <c r="AX59" s="28"/>
      <c r="AY59" s="31"/>
      <c r="AZ59" s="95"/>
      <c r="BA59" s="92"/>
      <c r="BB59" s="329"/>
      <c r="BC59" s="338"/>
      <c r="BD59" s="37"/>
      <c r="BE59" s="37"/>
    </row>
    <row r="60" spans="1:67" ht="13.5" customHeight="1">
      <c r="A60" s="22"/>
      <c r="B60" s="202">
        <v>24</v>
      </c>
      <c r="C60" s="304"/>
      <c r="D60" s="502" t="s">
        <v>280</v>
      </c>
      <c r="E60" s="503"/>
      <c r="F60" s="504" t="s">
        <v>30</v>
      </c>
      <c r="G60" s="503"/>
      <c r="H60" s="503"/>
      <c r="I60" s="505"/>
      <c r="J60" s="504" t="s">
        <v>30</v>
      </c>
      <c r="K60" s="506"/>
      <c r="L60" s="506"/>
      <c r="M60" s="506"/>
      <c r="N60" s="503"/>
      <c r="O60" s="505"/>
      <c r="P60" s="507"/>
      <c r="Q60" s="508"/>
      <c r="R60" s="508"/>
      <c r="S60" s="509"/>
      <c r="T60" s="502"/>
      <c r="U60" s="503"/>
      <c r="V60" s="503"/>
      <c r="W60" s="505"/>
      <c r="X60" s="508"/>
      <c r="Y60" s="503"/>
      <c r="Z60" s="503"/>
      <c r="AA60" s="503"/>
      <c r="AB60" s="507" t="s">
        <v>98</v>
      </c>
      <c r="AC60" s="508"/>
      <c r="AD60" s="508"/>
      <c r="AE60" s="508"/>
      <c r="AF60" s="509"/>
      <c r="AG60" s="510" t="s">
        <v>145</v>
      </c>
      <c r="AH60" s="508"/>
      <c r="AI60" s="508"/>
      <c r="AJ60" s="509"/>
      <c r="AK60" s="510" t="s">
        <v>142</v>
      </c>
      <c r="AL60" s="508"/>
      <c r="AM60" s="508"/>
      <c r="AN60" s="509"/>
      <c r="AO60" s="507" t="s">
        <v>143</v>
      </c>
      <c r="AP60" s="508"/>
      <c r="AQ60" s="508"/>
      <c r="AR60" s="509"/>
      <c r="AS60" s="507" t="s">
        <v>82</v>
      </c>
      <c r="AT60" s="508"/>
      <c r="AU60" s="508"/>
      <c r="AV60" s="508"/>
      <c r="AW60" s="507" t="s">
        <v>100</v>
      </c>
      <c r="AX60" s="508"/>
      <c r="AY60" s="508"/>
      <c r="AZ60" s="509"/>
      <c r="BA60" s="507" t="s">
        <v>101</v>
      </c>
      <c r="BB60" s="508"/>
      <c r="BC60" s="508"/>
      <c r="BD60" s="509"/>
      <c r="BE60" s="513" t="s">
        <v>30</v>
      </c>
      <c r="BF60" s="508"/>
      <c r="BG60" s="509"/>
      <c r="BH60" s="508"/>
      <c r="BI60" s="508"/>
      <c r="BJ60" s="508"/>
      <c r="BK60" s="509"/>
      <c r="BL60" s="513" t="s">
        <v>30</v>
      </c>
      <c r="BM60" s="508"/>
      <c r="BN60" s="508"/>
      <c r="BO60" s="509"/>
    </row>
    <row r="61" spans="1:67" ht="13.5" customHeight="1">
      <c r="A61" s="22"/>
      <c r="B61" s="202">
        <v>25</v>
      </c>
      <c r="C61" s="308">
        <v>1</v>
      </c>
      <c r="D61" s="148" t="s">
        <v>92</v>
      </c>
      <c r="E61" s="149"/>
      <c r="F61" s="148" t="s">
        <v>30</v>
      </c>
      <c r="G61" s="149"/>
      <c r="H61" s="149"/>
      <c r="I61" s="151"/>
      <c r="J61" s="221" t="s">
        <v>30</v>
      </c>
      <c r="K61" s="222"/>
      <c r="L61" s="222"/>
      <c r="M61" s="222"/>
      <c r="N61" s="161"/>
      <c r="O61" s="162"/>
      <c r="P61" s="148"/>
      <c r="Q61" s="150"/>
      <c r="R61" s="150"/>
      <c r="S61" s="162"/>
      <c r="T61" s="119"/>
      <c r="U61" s="120"/>
      <c r="V61" s="120"/>
      <c r="W61" s="162"/>
      <c r="X61" s="946"/>
      <c r="Y61" s="947"/>
      <c r="Z61" s="947"/>
      <c r="AA61" s="948"/>
      <c r="AB61" s="949">
        <f>SUMPRODUCT($T$57:$W$58,$AK$57:$AN$58)</f>
        <v>1350000</v>
      </c>
      <c r="AC61" s="950"/>
      <c r="AD61" s="950"/>
      <c r="AE61" s="950"/>
      <c r="AF61" s="951"/>
      <c r="AG61" s="973">
        <f>SUM(AM$42:AP$43)</f>
        <v>1279.5</v>
      </c>
      <c r="AH61" s="974"/>
      <c r="AI61" s="974"/>
      <c r="AJ61" s="975"/>
      <c r="AK61" s="973">
        <f>$AB61-SUMPRODUCT($R$42:$U$43,$AM$42:$AP$43)</f>
        <v>312235</v>
      </c>
      <c r="AL61" s="974"/>
      <c r="AM61" s="974"/>
      <c r="AN61" s="975"/>
      <c r="AO61" s="952">
        <f>$AK61/($AB61-$AK61)</f>
        <v>0.30087254821660009</v>
      </c>
      <c r="AP61" s="953"/>
      <c r="AQ61" s="953"/>
      <c r="AR61" s="954"/>
      <c r="AS61" s="952">
        <f>AW61/($AB61-AW61)</f>
        <v>-0.3273542600896861</v>
      </c>
      <c r="AT61" s="953"/>
      <c r="AU61" s="953"/>
      <c r="AV61" s="954"/>
      <c r="AW61" s="976">
        <f>$T$57*($AK$57-$AG$57)+$T$58*($AK$58-$AG$58)</f>
        <v>-657000</v>
      </c>
      <c r="AX61" s="977"/>
      <c r="AY61" s="977"/>
      <c r="AZ61" s="978"/>
      <c r="BA61" s="961">
        <f>SUMPRODUCT($T$57:$W$58,$AG$57:$AJ$58)</f>
        <v>2007000</v>
      </c>
      <c r="BB61" s="962"/>
      <c r="BC61" s="962"/>
      <c r="BD61" s="963"/>
      <c r="BE61" s="149" t="s">
        <v>30</v>
      </c>
      <c r="BF61" s="150"/>
      <c r="BG61" s="152"/>
      <c r="BH61" s="149" t="s">
        <v>30</v>
      </c>
      <c r="BI61" s="150"/>
      <c r="BJ61" s="150"/>
      <c r="BK61" s="152"/>
      <c r="BL61" s="149" t="s">
        <v>30</v>
      </c>
      <c r="BM61" s="150"/>
      <c r="BN61" s="150"/>
      <c r="BO61" s="152"/>
    </row>
    <row r="62" spans="1:67" ht="13.5" customHeight="1">
      <c r="A62" s="22"/>
      <c r="B62" s="202">
        <v>20</v>
      </c>
      <c r="C62" s="337" t="s">
        <v>279</v>
      </c>
      <c r="D62" s="28"/>
      <c r="E62" s="28"/>
      <c r="F62" s="28"/>
      <c r="G62" s="28"/>
      <c r="H62" s="121"/>
      <c r="I62" s="62"/>
      <c r="J62" s="63"/>
      <c r="K62" s="62"/>
      <c r="L62" s="63"/>
      <c r="M62" s="69"/>
      <c r="N62" s="69"/>
      <c r="O62" s="65"/>
      <c r="P62" s="69"/>
      <c r="Q62" s="65"/>
      <c r="R62" s="69"/>
      <c r="S62" s="28"/>
      <c r="T62" s="28"/>
      <c r="U62" s="28"/>
      <c r="V62" s="28"/>
      <c r="W62" s="28"/>
      <c r="X62" s="121"/>
      <c r="Y62" s="62"/>
      <c r="Z62" s="63"/>
      <c r="AA62" s="62"/>
      <c r="AB62" s="63"/>
      <c r="AC62" s="69"/>
      <c r="AD62" s="69"/>
      <c r="AE62" s="65"/>
      <c r="AF62" s="69"/>
      <c r="AG62" s="65"/>
      <c r="AH62" s="69"/>
      <c r="AI62" s="64"/>
      <c r="AJ62" s="69"/>
      <c r="AK62" s="65"/>
      <c r="AL62" s="28"/>
      <c r="AM62" s="28"/>
      <c r="AN62" s="28"/>
      <c r="AO62" s="28"/>
      <c r="AP62" s="28"/>
      <c r="AQ62" s="28"/>
      <c r="AR62" s="28"/>
      <c r="AS62" s="28"/>
      <c r="AT62" s="28"/>
      <c r="AU62" s="28"/>
      <c r="AV62" s="233"/>
      <c r="AW62" s="28"/>
      <c r="AX62" s="28"/>
      <c r="AY62" s="31"/>
      <c r="AZ62" s="95"/>
      <c r="BA62" s="92"/>
      <c r="BB62" s="329"/>
      <c r="BC62" s="338"/>
      <c r="BD62" s="37"/>
      <c r="BE62" s="37"/>
    </row>
    <row r="63" spans="1:67" ht="13.5" customHeight="1">
      <c r="A63" s="22"/>
      <c r="B63" s="202">
        <v>24</v>
      </c>
      <c r="C63" s="304"/>
      <c r="D63" s="243"/>
      <c r="E63" s="244"/>
      <c r="F63" s="243"/>
      <c r="G63" s="244"/>
      <c r="H63" s="244"/>
      <c r="I63" s="245"/>
      <c r="J63" s="246" t="s">
        <v>30</v>
      </c>
      <c r="K63" s="247"/>
      <c r="L63" s="247"/>
      <c r="M63" s="247"/>
      <c r="N63" s="244"/>
      <c r="O63" s="245"/>
      <c r="P63" s="248"/>
      <c r="Q63" s="249"/>
      <c r="R63" s="249"/>
      <c r="S63" s="250"/>
      <c r="T63" s="243"/>
      <c r="U63" s="244"/>
      <c r="V63" s="244"/>
      <c r="W63" s="245"/>
      <c r="X63" s="249"/>
      <c r="Y63" s="244"/>
      <c r="Z63" s="244"/>
      <c r="AA63" s="244"/>
      <c r="AB63" s="248" t="s">
        <v>98</v>
      </c>
      <c r="AC63" s="249"/>
      <c r="AD63" s="249"/>
      <c r="AE63" s="249"/>
      <c r="AF63" s="250"/>
      <c r="AG63" s="330" t="s">
        <v>145</v>
      </c>
      <c r="AH63" s="249"/>
      <c r="AI63" s="249"/>
      <c r="AJ63" s="250"/>
      <c r="AK63" s="330" t="s">
        <v>142</v>
      </c>
      <c r="AL63" s="249"/>
      <c r="AM63" s="249"/>
      <c r="AN63" s="250"/>
      <c r="AO63" s="248" t="s">
        <v>143</v>
      </c>
      <c r="AP63" s="249"/>
      <c r="AQ63" s="249"/>
      <c r="AR63" s="250"/>
      <c r="AS63" s="248" t="s">
        <v>82</v>
      </c>
      <c r="AT63" s="249"/>
      <c r="AU63" s="249"/>
      <c r="AV63" s="249"/>
      <c r="AW63" s="248" t="s">
        <v>100</v>
      </c>
      <c r="AX63" s="249"/>
      <c r="AY63" s="249"/>
      <c r="AZ63" s="250"/>
      <c r="BA63" s="248" t="s">
        <v>101</v>
      </c>
      <c r="BB63" s="249"/>
      <c r="BC63" s="249"/>
      <c r="BD63" s="250"/>
      <c r="BE63" s="251" t="s">
        <v>30</v>
      </c>
      <c r="BF63" s="249"/>
      <c r="BG63" s="250"/>
      <c r="BH63" s="249"/>
      <c r="BI63" s="249"/>
      <c r="BJ63" s="249"/>
      <c r="BK63" s="250"/>
      <c r="BL63" s="251" t="s">
        <v>30</v>
      </c>
      <c r="BM63" s="249"/>
      <c r="BN63" s="249"/>
      <c r="BO63" s="250"/>
    </row>
    <row r="64" spans="1:67" ht="13.5" customHeight="1">
      <c r="A64" s="22"/>
      <c r="B64" s="202">
        <v>25</v>
      </c>
      <c r="C64" s="308"/>
      <c r="D64" s="148"/>
      <c r="E64" s="149"/>
      <c r="F64" s="148"/>
      <c r="G64" s="149"/>
      <c r="H64" s="149"/>
      <c r="I64" s="151"/>
      <c r="J64" s="221"/>
      <c r="K64" s="222"/>
      <c r="L64" s="222"/>
      <c r="M64" s="222"/>
      <c r="N64" s="161"/>
      <c r="O64" s="162"/>
      <c r="P64" s="148"/>
      <c r="Q64" s="150"/>
      <c r="R64" s="150"/>
      <c r="S64" s="162"/>
      <c r="T64" s="119"/>
      <c r="U64" s="120"/>
      <c r="V64" s="120"/>
      <c r="W64" s="162"/>
      <c r="X64" s="946"/>
      <c r="Y64" s="947"/>
      <c r="Z64" s="947"/>
      <c r="AA64" s="948"/>
      <c r="AB64" s="949">
        <f>SUMPRODUCT($T$57:$W$58,$AK$57:$AN$58)</f>
        <v>1350000</v>
      </c>
      <c r="AC64" s="950"/>
      <c r="AD64" s="950"/>
      <c r="AE64" s="950"/>
      <c r="AF64" s="951"/>
      <c r="AG64" s="973">
        <f>SUM(AM$42:AP$43)</f>
        <v>1279.5</v>
      </c>
      <c r="AH64" s="974"/>
      <c r="AI64" s="974"/>
      <c r="AJ64" s="975"/>
      <c r="AK64" s="973">
        <f>$AB64-SUMPRODUCT($R$42:$U$43,$AM$42:$AP$43)</f>
        <v>312235</v>
      </c>
      <c r="AL64" s="974"/>
      <c r="AM64" s="974"/>
      <c r="AN64" s="975"/>
      <c r="AO64" s="952">
        <f>$AK64/($AB64-$AK64)</f>
        <v>0.30087254821660009</v>
      </c>
      <c r="AP64" s="953"/>
      <c r="AQ64" s="953"/>
      <c r="AR64" s="954"/>
      <c r="AS64" s="952">
        <f>AW64/($AB64-AW64)</f>
        <v>-0.3273542600896861</v>
      </c>
      <c r="AT64" s="953"/>
      <c r="AU64" s="953"/>
      <c r="AV64" s="954"/>
      <c r="AW64" s="976">
        <f>$T$57*($AK$57-$AG$57)+$T$58*($AK$58-$AG$58)</f>
        <v>-657000</v>
      </c>
      <c r="AX64" s="977"/>
      <c r="AY64" s="977"/>
      <c r="AZ64" s="978"/>
      <c r="BA64" s="961">
        <f>SUMPRODUCT($T$57:$W$58,$AG$57:$AJ$58)</f>
        <v>2007000</v>
      </c>
      <c r="BB64" s="962"/>
      <c r="BC64" s="962"/>
      <c r="BD64" s="963"/>
      <c r="BE64" s="149" t="s">
        <v>30</v>
      </c>
      <c r="BF64" s="150"/>
      <c r="BG64" s="152"/>
      <c r="BH64" s="149" t="s">
        <v>30</v>
      </c>
      <c r="BI64" s="150"/>
      <c r="BJ64" s="150"/>
      <c r="BK64" s="152"/>
      <c r="BL64" s="149" t="s">
        <v>30</v>
      </c>
      <c r="BM64" s="150"/>
      <c r="BN64" s="150"/>
      <c r="BO64" s="152"/>
    </row>
    <row r="65" spans="1:60" ht="13.5" customHeight="1">
      <c r="A65" s="22"/>
      <c r="B65" s="202">
        <v>26</v>
      </c>
      <c r="C65" s="339"/>
      <c r="D65" s="75"/>
      <c r="E65" s="75"/>
      <c r="F65" s="75"/>
      <c r="G65" s="75"/>
      <c r="H65" s="199"/>
      <c r="I65" s="199"/>
      <c r="J65" s="200"/>
      <c r="K65" s="199"/>
      <c r="L65" s="200"/>
      <c r="M65" s="199"/>
      <c r="N65" s="199"/>
      <c r="O65" s="83"/>
      <c r="P65" s="84"/>
      <c r="Q65" s="84"/>
      <c r="R65" s="84"/>
      <c r="S65" s="75"/>
      <c r="T65" s="75"/>
      <c r="U65" s="75"/>
      <c r="V65" s="75"/>
      <c r="W65" s="75"/>
      <c r="X65" s="85"/>
      <c r="Y65" s="75"/>
      <c r="Z65" s="84"/>
      <c r="AA65" s="85"/>
      <c r="AB65" s="75"/>
      <c r="AC65" s="84"/>
      <c r="AD65" s="85"/>
      <c r="AE65" s="84"/>
      <c r="AF65" s="84"/>
      <c r="AG65" s="85"/>
      <c r="AH65" s="84"/>
      <c r="AI65" s="84"/>
      <c r="AJ65" s="90"/>
      <c r="AK65" s="84"/>
      <c r="AL65" s="84"/>
      <c r="AM65" s="84"/>
      <c r="AN65" s="84"/>
      <c r="AO65" s="84"/>
      <c r="AP65" s="84"/>
      <c r="AQ65" s="84"/>
      <c r="AR65" s="84"/>
      <c r="AS65" s="65"/>
      <c r="AT65" s="65"/>
      <c r="AU65" s="65"/>
      <c r="AV65" s="65"/>
      <c r="AW65" s="65"/>
      <c r="AX65" s="65"/>
      <c r="AY65" s="63"/>
      <c r="AZ65" s="264"/>
      <c r="BA65" s="30"/>
      <c r="BB65" s="175"/>
      <c r="BC65" s="345"/>
      <c r="BD65" s="28"/>
    </row>
    <row r="66" spans="1:60" ht="13.5" customHeight="1">
      <c r="A66" s="22"/>
      <c r="B66" s="202">
        <v>27</v>
      </c>
      <c r="C66" s="340"/>
      <c r="D66"/>
      <c r="E66"/>
      <c r="F66"/>
      <c r="G66"/>
      <c r="H66"/>
      <c r="I66"/>
      <c r="J66"/>
      <c r="K66"/>
      <c r="L66"/>
      <c r="M66"/>
      <c r="N66"/>
      <c r="O66"/>
      <c r="P66"/>
      <c r="Q66"/>
      <c r="S66" s="35"/>
      <c r="T66" s="35"/>
      <c r="U66" s="35"/>
      <c r="V66" s="35"/>
      <c r="Y66" s="35"/>
      <c r="Z66" s="35"/>
      <c r="AD66" s="35"/>
      <c r="AE66" s="35"/>
      <c r="AF66" s="35"/>
      <c r="AG66" s="35"/>
      <c r="AH66" s="35"/>
      <c r="AI66" s="35"/>
      <c r="AJ66" s="35"/>
      <c r="AK66" s="35"/>
      <c r="AL66" s="84"/>
      <c r="AM66" s="84"/>
      <c r="AN66" s="84"/>
      <c r="AO66" s="84"/>
      <c r="AP66" s="84"/>
      <c r="AQ66" s="84"/>
      <c r="AR66" s="84"/>
      <c r="AS66" s="254"/>
      <c r="AT66" s="35"/>
      <c r="AU66" s="35"/>
      <c r="AV66" s="65"/>
      <c r="AW66" s="65"/>
      <c r="AX66" s="65"/>
      <c r="AY66" s="63"/>
      <c r="AZ66" s="31"/>
      <c r="BA66" s="30"/>
      <c r="BB66" s="175"/>
      <c r="BC66" s="345"/>
      <c r="BD66" s="28"/>
    </row>
    <row r="67" spans="1:60" ht="13.5" customHeight="1">
      <c r="A67" s="22"/>
      <c r="B67" s="202">
        <v>28</v>
      </c>
      <c r="C67" s="341"/>
      <c r="D67" s="71"/>
      <c r="E67" s="71"/>
      <c r="F67" s="71"/>
      <c r="G67" s="71"/>
      <c r="H67" s="71"/>
      <c r="I67" s="71"/>
      <c r="J67" s="71"/>
      <c r="K67" s="68"/>
      <c r="L67" s="68"/>
      <c r="M67" s="68"/>
      <c r="N67" s="91"/>
      <c r="O67" s="68"/>
      <c r="P67" s="68"/>
      <c r="Q67" s="68"/>
      <c r="R67" s="68"/>
      <c r="S67" s="68"/>
      <c r="T67" s="68"/>
      <c r="U67" s="68"/>
      <c r="V67" s="68"/>
      <c r="W67" s="91"/>
      <c r="X67" s="68"/>
      <c r="Y67" s="68"/>
      <c r="Z67" s="68"/>
      <c r="AA67" s="68"/>
      <c r="AB67" s="68"/>
      <c r="AC67" s="68"/>
      <c r="AD67" s="68"/>
      <c r="AE67" s="68"/>
      <c r="AF67" s="68"/>
      <c r="AG67" s="68"/>
      <c r="AH67" s="68"/>
      <c r="AI67" s="68"/>
      <c r="AJ67" s="68"/>
      <c r="AK67" s="68"/>
      <c r="AL67" s="68"/>
      <c r="AM67" s="65"/>
      <c r="AN67" s="65"/>
      <c r="AO67" s="65"/>
      <c r="AP67" s="65"/>
      <c r="AQ67" s="65"/>
      <c r="AR67" s="65"/>
      <c r="AS67" s="65"/>
      <c r="AT67" s="35"/>
      <c r="AU67" s="65"/>
      <c r="AV67" s="65"/>
      <c r="AW67" s="65"/>
      <c r="AX67" s="65"/>
      <c r="AY67" s="65"/>
      <c r="AZ67" s="31"/>
      <c r="BA67" s="30"/>
      <c r="BB67" s="175"/>
      <c r="BC67" s="345"/>
      <c r="BD67" s="28"/>
      <c r="BG67" s="24"/>
      <c r="BH67" s="28"/>
    </row>
    <row r="68" spans="1:60" ht="13.5" customHeight="1">
      <c r="A68" s="22"/>
      <c r="B68" s="202">
        <v>29</v>
      </c>
      <c r="C68" s="342"/>
      <c r="D68" s="332"/>
      <c r="E68" s="65"/>
      <c r="F68" s="65"/>
      <c r="G68" s="65"/>
      <c r="H68" s="65"/>
      <c r="I68" s="65"/>
      <c r="J68" s="964"/>
      <c r="K68" s="965"/>
      <c r="L68" s="965"/>
      <c r="M68" s="965"/>
      <c r="N68"/>
      <c r="O68"/>
      <c r="P68"/>
      <c r="Q68"/>
      <c r="R68"/>
      <c r="S68"/>
      <c r="T68"/>
      <c r="U68"/>
      <c r="V68"/>
      <c r="W68" s="65"/>
      <c r="X68" s="65"/>
      <c r="Y68" s="65"/>
      <c r="Z68" s="65"/>
      <c r="AA68" s="65"/>
      <c r="AB68" s="65"/>
      <c r="AC68" s="65"/>
      <c r="AD68" s="65"/>
      <c r="AE68" s="65"/>
      <c r="AF68" s="65"/>
      <c r="AG68" s="65"/>
      <c r="AH68" s="65"/>
      <c r="AI68" s="65"/>
      <c r="AJ68" s="65"/>
      <c r="AK68" s="65"/>
      <c r="AL68" s="65"/>
      <c r="AM68" s="198"/>
      <c r="AN68" s="198"/>
      <c r="AO68" s="198"/>
      <c r="AP68" s="198"/>
      <c r="AQ68" s="198"/>
      <c r="AR68" s="198"/>
      <c r="AS68" s="254"/>
      <c r="AT68" s="35"/>
      <c r="AU68" s="35"/>
      <c r="AV68" s="254"/>
      <c r="AW68" s="198"/>
      <c r="AX68" s="198"/>
      <c r="AY68" s="198"/>
      <c r="AZ68" s="31"/>
      <c r="BA68" s="30"/>
      <c r="BB68" s="175"/>
      <c r="BC68" s="345"/>
      <c r="BD68" s="28"/>
      <c r="BG68" s="24"/>
      <c r="BH68" s="28"/>
    </row>
    <row r="69" spans="1:60" ht="5.15" customHeight="1">
      <c r="A69" s="22"/>
      <c r="B69" s="202"/>
      <c r="C69" s="315"/>
      <c r="D69" s="73"/>
      <c r="E69" s="73"/>
      <c r="F69" s="73"/>
      <c r="G69" s="73"/>
      <c r="H69" s="316"/>
      <c r="I69" s="275"/>
      <c r="J69" s="273"/>
      <c r="K69" s="275"/>
      <c r="L69" s="273"/>
      <c r="M69" s="317"/>
      <c r="N69" s="317"/>
      <c r="O69" s="270"/>
      <c r="P69" s="317"/>
      <c r="Q69" s="270"/>
      <c r="R69" s="317"/>
      <c r="S69" s="73"/>
      <c r="T69" s="73"/>
      <c r="U69" s="73"/>
      <c r="V69" s="73"/>
      <c r="W69" s="73"/>
      <c r="X69" s="316"/>
      <c r="Y69" s="275"/>
      <c r="Z69" s="273"/>
      <c r="AA69" s="275"/>
      <c r="AB69" s="273"/>
      <c r="AC69" s="317"/>
      <c r="AD69" s="317"/>
      <c r="AE69" s="270"/>
      <c r="AF69" s="317"/>
      <c r="AG69" s="270"/>
      <c r="AH69" s="317"/>
      <c r="AI69" s="276"/>
      <c r="AJ69" s="317"/>
      <c r="AK69" s="270"/>
      <c r="AL69" s="73"/>
      <c r="AM69" s="73"/>
      <c r="AN69" s="73"/>
      <c r="AO69" s="73"/>
      <c r="AP69" s="73"/>
      <c r="AQ69" s="73"/>
      <c r="AR69" s="73"/>
      <c r="AS69" s="73"/>
      <c r="AT69" s="73"/>
      <c r="AU69" s="73"/>
      <c r="AV69" s="318"/>
      <c r="AW69" s="73"/>
      <c r="AX69" s="73"/>
      <c r="AY69" s="269"/>
      <c r="AZ69" s="269"/>
      <c r="BA69" s="319"/>
      <c r="BB69" s="320"/>
      <c r="BC69" s="344"/>
      <c r="BD69" s="28"/>
    </row>
    <row r="70" spans="1:60" ht="13.5" customHeight="1">
      <c r="A70" s="22"/>
      <c r="B70" s="202">
        <v>31</v>
      </c>
      <c r="C70" s="331"/>
      <c r="D70" s="332"/>
      <c r="E70" s="65"/>
      <c r="F70" s="65"/>
      <c r="G70" s="65"/>
      <c r="H70" s="65"/>
      <c r="I70" s="65"/>
      <c r="J70" s="966"/>
      <c r="K70" s="966"/>
      <c r="L70" s="966"/>
      <c r="M70" s="966"/>
      <c r="N70" s="65"/>
      <c r="O70" s="65"/>
      <c r="P70" s="65"/>
      <c r="Q70" s="65"/>
      <c r="R70" s="65"/>
      <c r="S70" s="65"/>
      <c r="T70" s="65"/>
      <c r="U70" s="65"/>
      <c r="V70" s="65"/>
      <c r="W70" s="65"/>
      <c r="X70" s="65"/>
      <c r="Y70" s="65"/>
      <c r="Z70" s="65"/>
      <c r="AA70" s="65"/>
      <c r="AB70" s="65"/>
      <c r="AC70" s="65"/>
      <c r="AD70" s="65"/>
      <c r="AE70" s="65"/>
      <c r="AF70" s="65"/>
      <c r="AG70" s="65"/>
      <c r="AH70" s="65"/>
      <c r="AI70" s="65"/>
      <c r="AJ70" s="65"/>
      <c r="AK70" s="65"/>
      <c r="AL70" s="65"/>
      <c r="AM70" s="198"/>
      <c r="AN70" s="198"/>
      <c r="AO70" s="198"/>
      <c r="AP70" s="198"/>
      <c r="AQ70" s="198"/>
      <c r="AR70" s="198"/>
      <c r="AS70" s="198"/>
      <c r="AT70" s="198"/>
      <c r="AU70" s="198"/>
      <c r="AV70" s="198"/>
      <c r="AW70" s="198"/>
      <c r="AX70" s="198"/>
      <c r="AY70" s="198"/>
      <c r="AZ70" s="33"/>
      <c r="BA70" s="46"/>
      <c r="BB70" s="78"/>
      <c r="BC70" s="34"/>
      <c r="BD70" s="28"/>
      <c r="BG70" s="24"/>
      <c r="BH70" s="28"/>
    </row>
    <row r="71" spans="1:60" ht="14.15" customHeight="1">
      <c r="A71" s="22"/>
      <c r="B71" s="129"/>
      <c r="C71" s="346" t="s">
        <v>131</v>
      </c>
      <c r="D71" s="28"/>
      <c r="E71" s="28"/>
      <c r="F71" s="28"/>
      <c r="G71" s="28"/>
      <c r="S71" s="35"/>
      <c r="T71" s="35"/>
      <c r="U71" s="35"/>
      <c r="V71" s="35"/>
      <c r="Y71" s="35"/>
      <c r="Z71" s="35"/>
      <c r="AD71" s="35"/>
      <c r="AE71" s="35"/>
      <c r="AF71" s="35"/>
      <c r="AG71" s="35"/>
      <c r="AH71" s="35"/>
      <c r="AI71" s="35"/>
      <c r="AJ71" s="28"/>
      <c r="AK71" s="28"/>
      <c r="AL71" s="28"/>
      <c r="AM71" s="130"/>
      <c r="AN71" s="130"/>
      <c r="AO71" s="35"/>
      <c r="AP71" s="35"/>
      <c r="AQ71" s="35"/>
      <c r="AR71" s="35"/>
      <c r="AS71" s="35"/>
      <c r="AT71" s="35"/>
      <c r="AU71" s="35"/>
      <c r="AV71" s="35"/>
      <c r="AW71" s="35"/>
      <c r="AX71" s="65"/>
      <c r="AY71" s="65"/>
      <c r="AZ71" s="33"/>
      <c r="BA71" s="46"/>
      <c r="BB71" s="78"/>
      <c r="BC71" s="34"/>
      <c r="BD71" s="28"/>
      <c r="BG71" s="35"/>
    </row>
    <row r="72" spans="1:60" ht="5.15" customHeight="1">
      <c r="A72" s="22"/>
      <c r="B72" s="202"/>
      <c r="C72" s="296"/>
      <c r="D72" s="72"/>
      <c r="E72" s="72"/>
      <c r="F72" s="72"/>
      <c r="G72" s="72"/>
      <c r="H72" s="297"/>
      <c r="I72" s="278"/>
      <c r="J72" s="279"/>
      <c r="K72" s="278"/>
      <c r="L72" s="279"/>
      <c r="M72" s="298"/>
      <c r="N72" s="298"/>
      <c r="O72" s="263"/>
      <c r="P72" s="298"/>
      <c r="Q72" s="263"/>
      <c r="R72" s="298"/>
      <c r="S72" s="72"/>
      <c r="T72" s="72"/>
      <c r="U72" s="72"/>
      <c r="V72" s="72"/>
      <c r="W72" s="72"/>
      <c r="X72" s="297"/>
      <c r="Y72" s="278"/>
      <c r="Z72" s="279"/>
      <c r="AA72" s="278"/>
      <c r="AB72" s="279"/>
      <c r="AC72" s="298"/>
      <c r="AD72" s="298"/>
      <c r="AE72" s="263"/>
      <c r="AF72" s="298"/>
      <c r="AG72" s="263"/>
      <c r="AH72" s="298"/>
      <c r="AI72" s="280"/>
      <c r="AJ72" s="298"/>
      <c r="AK72" s="263"/>
      <c r="AL72" s="72"/>
      <c r="AM72" s="72"/>
      <c r="AN72" s="72"/>
      <c r="AO72" s="72"/>
      <c r="AP72" s="72"/>
      <c r="AQ72" s="72"/>
      <c r="AR72" s="72"/>
      <c r="AS72" s="72"/>
      <c r="AT72" s="72"/>
      <c r="AU72" s="72"/>
      <c r="AV72" s="300"/>
      <c r="AW72" s="72"/>
      <c r="AX72" s="72"/>
      <c r="AY72" s="265"/>
      <c r="AZ72" s="33"/>
      <c r="BA72" s="46"/>
      <c r="BB72" s="78"/>
      <c r="BC72" s="34"/>
      <c r="BD72" s="28"/>
    </row>
    <row r="73" spans="1:60" ht="14.15" customHeight="1">
      <c r="A73" s="23"/>
      <c r="B73" s="351"/>
      <c r="C73" s="282"/>
      <c r="D73" s="28"/>
      <c r="E73" s="28"/>
      <c r="F73" s="28"/>
      <c r="G73" s="28"/>
      <c r="H73" s="28"/>
      <c r="I73" s="28"/>
      <c r="J73" s="28"/>
      <c r="K73" s="28"/>
      <c r="L73" s="28"/>
      <c r="M73" s="28"/>
      <c r="N73" s="28"/>
      <c r="O73" s="28"/>
      <c r="P73" s="28"/>
      <c r="Q73" s="25"/>
      <c r="S73" s="35"/>
      <c r="T73" s="28"/>
      <c r="U73" s="28"/>
      <c r="V73" s="28"/>
      <c r="W73" s="28"/>
      <c r="X73" s="28"/>
      <c r="Y73" s="28"/>
      <c r="Z73" s="28"/>
      <c r="AC73" s="28"/>
      <c r="AD73" s="28"/>
      <c r="AE73" s="35"/>
      <c r="AF73" s="35"/>
      <c r="AG73" s="35"/>
      <c r="AH73" s="35"/>
      <c r="AI73" s="35"/>
      <c r="AJ73" s="28"/>
      <c r="AK73" s="28"/>
      <c r="AL73" s="28"/>
      <c r="AM73" s="35"/>
      <c r="AN73" s="35"/>
      <c r="AO73" s="135"/>
      <c r="AP73" s="136"/>
      <c r="AQ73" s="130"/>
      <c r="AR73" s="130"/>
      <c r="AS73" s="130"/>
      <c r="AT73" s="130"/>
      <c r="AU73" s="81"/>
      <c r="AV73" s="35"/>
      <c r="AW73" s="35"/>
      <c r="AX73" s="65"/>
      <c r="AY73" s="347"/>
      <c r="AZ73" s="33"/>
      <c r="BA73" s="46"/>
      <c r="BB73" s="78"/>
      <c r="BC73" s="34"/>
      <c r="BD73" s="28"/>
      <c r="BG73" s="35"/>
    </row>
    <row r="74" spans="1:60" ht="14.15" customHeight="1">
      <c r="A74" s="23"/>
      <c r="B74" s="351"/>
      <c r="C74" s="352"/>
      <c r="D74" s="348" t="s">
        <v>38</v>
      </c>
      <c r="E74" s="131"/>
      <c r="F74" s="131"/>
      <c r="G74" s="131"/>
      <c r="H74" s="132"/>
      <c r="I74" s="132"/>
      <c r="J74" s="106"/>
      <c r="K74" s="133"/>
      <c r="L74" s="134"/>
      <c r="M74" s="144"/>
      <c r="N74" s="144"/>
      <c r="O74" s="131"/>
      <c r="P74" s="134"/>
      <c r="Q74" s="107"/>
      <c r="R74" s="133" t="s">
        <v>40</v>
      </c>
      <c r="S74" s="134"/>
      <c r="T74" s="107"/>
      <c r="U74" s="107"/>
      <c r="V74" s="133" t="s">
        <v>44</v>
      </c>
      <c r="W74" s="134"/>
      <c r="X74" s="107"/>
      <c r="Y74" s="35"/>
      <c r="Z74" s="35"/>
      <c r="AC74" s="28"/>
      <c r="AD74" s="28"/>
      <c r="AE74" s="28"/>
      <c r="AF74" s="35"/>
      <c r="AG74" s="35"/>
      <c r="AH74" s="28"/>
      <c r="AI74" s="28"/>
      <c r="AJ74" s="28"/>
      <c r="AK74" s="81"/>
      <c r="AL74" s="28"/>
      <c r="AM74" s="28"/>
      <c r="AN74" s="28"/>
      <c r="AO74" s="28"/>
      <c r="AP74" s="28"/>
      <c r="AQ74" s="65"/>
      <c r="AR74" s="65"/>
      <c r="AS74" s="65"/>
      <c r="AT74" s="125"/>
      <c r="AU74" s="65"/>
      <c r="AV74" s="65"/>
      <c r="AW74" s="65"/>
      <c r="AX74" s="65"/>
      <c r="AY74" s="347"/>
      <c r="AZ74" s="33"/>
      <c r="BA74" s="46"/>
      <c r="BB74" s="78"/>
      <c r="BC74" s="34"/>
      <c r="BD74" s="28"/>
      <c r="BE74" s="35"/>
      <c r="BF74" s="35"/>
      <c r="BG74" s="35"/>
    </row>
    <row r="75" spans="1:60" ht="13.5" customHeight="1">
      <c r="A75" s="22"/>
      <c r="B75" s="353"/>
      <c r="C75" s="352"/>
      <c r="D75" s="349" t="s">
        <v>45</v>
      </c>
      <c r="E75" s="137"/>
      <c r="F75" s="137"/>
      <c r="G75" s="137"/>
      <c r="H75" s="137"/>
      <c r="I75" s="137"/>
      <c r="J75" s="137"/>
      <c r="K75" s="350"/>
      <c r="L75" s="139"/>
      <c r="M75" s="108"/>
      <c r="N75" s="108"/>
      <c r="O75" s="145"/>
      <c r="P75" s="139"/>
      <c r="Q75" s="109"/>
      <c r="R75" s="138" t="s">
        <v>41</v>
      </c>
      <c r="S75" s="139"/>
      <c r="T75" s="108"/>
      <c r="U75" s="109"/>
      <c r="V75" s="140"/>
      <c r="W75" s="141"/>
      <c r="X75" s="142"/>
      <c r="Y75" s="116"/>
      <c r="Z75" s="41"/>
      <c r="AA75" s="116"/>
      <c r="AB75" s="116"/>
      <c r="AC75" s="116"/>
      <c r="AD75" s="116"/>
      <c r="AE75" s="116"/>
      <c r="AF75" s="116"/>
      <c r="AG75" s="116"/>
      <c r="AH75" s="116"/>
      <c r="AI75" s="116"/>
      <c r="AJ75" s="116"/>
      <c r="AK75" s="116"/>
      <c r="AL75" s="116"/>
      <c r="AM75" s="116"/>
      <c r="AN75" s="116"/>
      <c r="AO75" s="116"/>
      <c r="AP75" s="116"/>
      <c r="AQ75" s="65"/>
      <c r="AR75" s="65"/>
      <c r="AS75" s="65"/>
      <c r="AT75" s="125"/>
      <c r="AU75" s="65"/>
      <c r="AV75" s="65"/>
      <c r="AW75" s="65"/>
      <c r="AX75" s="65"/>
      <c r="AY75" s="347"/>
      <c r="AZ75" s="33"/>
      <c r="BA75" s="46"/>
      <c r="BB75" s="78"/>
      <c r="BC75" s="34"/>
      <c r="BD75" s="28"/>
      <c r="BE75" s="35"/>
      <c r="BF75" s="35"/>
      <c r="BG75" s="35"/>
    </row>
    <row r="76" spans="1:60" ht="5.15" customHeight="1">
      <c r="A76" s="22"/>
      <c r="B76" s="202"/>
      <c r="C76" s="315"/>
      <c r="D76" s="73"/>
      <c r="E76" s="73"/>
      <c r="F76" s="73"/>
      <c r="G76" s="73"/>
      <c r="H76" s="316"/>
      <c r="I76" s="275"/>
      <c r="J76" s="273"/>
      <c r="K76" s="275"/>
      <c r="L76" s="273"/>
      <c r="M76" s="317"/>
      <c r="N76" s="317"/>
      <c r="O76" s="270"/>
      <c r="P76" s="317"/>
      <c r="Q76" s="270"/>
      <c r="R76" s="317"/>
      <c r="S76" s="73"/>
      <c r="T76" s="73"/>
      <c r="U76" s="73"/>
      <c r="V76" s="73"/>
      <c r="W76" s="73"/>
      <c r="X76" s="316"/>
      <c r="Y76" s="275"/>
      <c r="Z76" s="273"/>
      <c r="AA76" s="275"/>
      <c r="AB76" s="273"/>
      <c r="AC76" s="317"/>
      <c r="AD76" s="317"/>
      <c r="AE76" s="270"/>
      <c r="AF76" s="317"/>
      <c r="AG76" s="270"/>
      <c r="AH76" s="317"/>
      <c r="AI76" s="276"/>
      <c r="AJ76" s="317"/>
      <c r="AK76" s="270"/>
      <c r="AL76" s="73"/>
      <c r="AM76" s="73"/>
      <c r="AN76" s="73"/>
      <c r="AO76" s="73"/>
      <c r="AP76" s="73"/>
      <c r="AQ76" s="73"/>
      <c r="AR76" s="73"/>
      <c r="AS76" s="73"/>
      <c r="AT76" s="73"/>
      <c r="AU76" s="73"/>
      <c r="AV76" s="318"/>
      <c r="AW76" s="73"/>
      <c r="AX76" s="73"/>
      <c r="AY76" s="277"/>
      <c r="AZ76" s="33"/>
      <c r="BA76" s="46"/>
      <c r="BB76" s="78"/>
      <c r="BC76" s="34"/>
      <c r="BD76" s="28"/>
    </row>
    <row r="77" spans="1:60" ht="14.15" customHeight="1">
      <c r="A77" s="22"/>
      <c r="B77" s="202">
        <v>34</v>
      </c>
      <c r="C77" s="331"/>
      <c r="D77" s="332"/>
      <c r="E77" s="65"/>
      <c r="F77" s="65"/>
      <c r="G77" s="65"/>
      <c r="H77" s="65"/>
      <c r="I77" s="65"/>
      <c r="J77" s="985"/>
      <c r="K77" s="985"/>
      <c r="L77" s="985"/>
      <c r="M77" s="985"/>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65"/>
      <c r="AN77" s="65"/>
      <c r="AO77" s="65"/>
      <c r="AP77" s="135"/>
      <c r="AQ77" s="135"/>
      <c r="AR77" s="65"/>
      <c r="AS77" s="65"/>
      <c r="AT77" s="125"/>
      <c r="AU77" s="65"/>
      <c r="AV77" s="65"/>
      <c r="AW77" s="65"/>
      <c r="AX77" s="65"/>
      <c r="AY77" s="65"/>
      <c r="AZ77" s="33"/>
      <c r="BA77" s="46"/>
      <c r="BB77" s="78"/>
      <c r="BC77" s="34"/>
      <c r="BD77" s="28"/>
      <c r="BG77" s="24"/>
      <c r="BH77" s="28"/>
    </row>
    <row r="78" spans="1:60" ht="14.15" customHeight="1">
      <c r="A78" s="22"/>
      <c r="B78" s="202">
        <v>35</v>
      </c>
      <c r="C78" s="346" t="s">
        <v>247</v>
      </c>
      <c r="D78" s="332"/>
      <c r="E78" s="65"/>
      <c r="F78" s="65"/>
      <c r="G78" s="65"/>
      <c r="H78" s="65"/>
      <c r="I78" s="65"/>
      <c r="J78" s="945"/>
      <c r="K78" s="945"/>
      <c r="L78" s="945"/>
      <c r="M78" s="945"/>
      <c r="N78" s="65"/>
      <c r="O78" s="65"/>
      <c r="P78" s="65"/>
      <c r="Q78" s="65"/>
      <c r="R78" s="65"/>
      <c r="S78" s="65"/>
      <c r="T78" s="65"/>
      <c r="U78" s="65"/>
      <c r="V78" s="65"/>
      <c r="W78" s="65"/>
      <c r="X78" s="65"/>
      <c r="Y78" s="65"/>
      <c r="Z78" s="65"/>
      <c r="AA78" s="65"/>
      <c r="AB78" s="65"/>
      <c r="AC78" s="65"/>
      <c r="AD78" s="65"/>
      <c r="AE78" s="65"/>
      <c r="AF78" s="65"/>
      <c r="AG78" s="65"/>
      <c r="AH78" s="65"/>
      <c r="AI78" s="65"/>
      <c r="AJ78" s="65"/>
      <c r="AK78" s="65"/>
      <c r="AL78" s="65"/>
      <c r="AM78" s="65"/>
      <c r="AN78" s="65"/>
      <c r="AO78" s="65"/>
      <c r="AP78" s="65"/>
      <c r="AQ78" s="65"/>
      <c r="AR78" s="65"/>
      <c r="AS78" s="65"/>
      <c r="AT78" s="125"/>
      <c r="AU78" s="65"/>
      <c r="AV78" s="65"/>
      <c r="AW78" s="65"/>
      <c r="AX78" s="65"/>
      <c r="AY78" s="65"/>
      <c r="AZ78" s="33"/>
      <c r="BA78" s="46"/>
      <c r="BB78" s="335"/>
      <c r="BC78" s="336"/>
      <c r="BD78" s="28"/>
      <c r="BG78" s="24"/>
      <c r="BH78" s="28"/>
    </row>
    <row r="79" spans="1:60" ht="14.15" customHeight="1">
      <c r="A79" s="22"/>
      <c r="B79" s="202">
        <v>35</v>
      </c>
      <c r="C79" s="331"/>
      <c r="D79" s="478" t="s">
        <v>248</v>
      </c>
      <c r="E79" s="65"/>
      <c r="F79" s="65"/>
      <c r="G79" s="65"/>
      <c r="H79" s="65"/>
      <c r="I79" s="65"/>
      <c r="J79" s="477"/>
      <c r="K79" s="477"/>
      <c r="L79" s="477"/>
      <c r="M79" s="477"/>
      <c r="N79" s="65"/>
      <c r="O79" s="65"/>
      <c r="P79" s="65"/>
      <c r="Q79" s="65"/>
      <c r="R79" s="65"/>
      <c r="S79" s="65"/>
      <c r="T79" s="65"/>
      <c r="U79" s="65"/>
      <c r="V79" s="65"/>
      <c r="W79" s="65"/>
      <c r="X79" s="65"/>
      <c r="Y79" s="65"/>
      <c r="Z79" s="65"/>
      <c r="AA79" s="65"/>
      <c r="AB79" s="65"/>
      <c r="AC79" s="65"/>
      <c r="AD79" s="65"/>
      <c r="AE79" s="65"/>
      <c r="AF79" s="65"/>
      <c r="AG79" s="65"/>
      <c r="AH79" s="65"/>
      <c r="AI79" s="65"/>
      <c r="AJ79" s="65"/>
      <c r="AK79" s="65"/>
      <c r="AL79" s="65"/>
      <c r="AM79" s="65"/>
      <c r="AN79" s="65"/>
      <c r="AO79" s="65"/>
      <c r="AP79" s="65"/>
      <c r="AQ79" s="65"/>
      <c r="AR79" s="65"/>
      <c r="AS79" s="65"/>
      <c r="AT79" s="125"/>
      <c r="AU79" s="65"/>
      <c r="AV79" s="65"/>
      <c r="AW79" s="65"/>
      <c r="AX79" s="65"/>
      <c r="AY79" s="65"/>
      <c r="AZ79" s="33"/>
      <c r="BA79" s="46"/>
      <c r="BB79" s="335"/>
      <c r="BC79" s="336"/>
      <c r="BD79" s="28"/>
      <c r="BG79" s="24"/>
      <c r="BH79" s="28"/>
    </row>
    <row r="80" spans="1:60" ht="14.15" customHeight="1">
      <c r="A80" s="22"/>
      <c r="B80" s="202">
        <v>35</v>
      </c>
      <c r="C80" s="331"/>
      <c r="D80" s="332"/>
      <c r="E80" s="65"/>
      <c r="F80" s="65"/>
      <c r="G80" s="65"/>
      <c r="H80" s="65"/>
      <c r="I80" s="65"/>
      <c r="J80" s="967"/>
      <c r="K80" s="967"/>
      <c r="L80" s="967"/>
      <c r="M80" s="967"/>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65"/>
      <c r="AN80" s="65"/>
      <c r="AO80" s="65"/>
      <c r="AP80" s="65"/>
      <c r="AQ80" s="65"/>
      <c r="AR80" s="65"/>
      <c r="AS80" s="65"/>
      <c r="AT80" s="125"/>
      <c r="AU80" s="65"/>
      <c r="AV80" s="65"/>
      <c r="AW80" s="65"/>
      <c r="AX80" s="65"/>
      <c r="AY80" s="65"/>
      <c r="AZ80" s="33"/>
      <c r="BA80" s="46"/>
      <c r="BB80" s="335"/>
      <c r="BC80" s="336"/>
      <c r="BD80" s="28"/>
      <c r="BG80" s="24"/>
      <c r="BH80" s="28"/>
    </row>
    <row r="81" spans="1:60" ht="5.15" customHeight="1">
      <c r="A81" s="22"/>
      <c r="B81" s="202"/>
      <c r="C81" s="296"/>
      <c r="D81" s="72"/>
      <c r="E81" s="72"/>
      <c r="F81" s="72"/>
      <c r="G81" s="72"/>
      <c r="H81" s="297"/>
      <c r="I81" s="278"/>
      <c r="J81" s="279"/>
      <c r="K81" s="278"/>
      <c r="L81" s="279"/>
      <c r="M81" s="298"/>
      <c r="N81" s="298"/>
      <c r="O81" s="263"/>
      <c r="P81" s="298"/>
      <c r="Q81" s="263"/>
      <c r="R81" s="298"/>
      <c r="S81" s="72"/>
      <c r="T81" s="72"/>
      <c r="U81" s="72"/>
      <c r="V81" s="72"/>
      <c r="W81" s="72"/>
      <c r="X81" s="297"/>
      <c r="Y81" s="278"/>
      <c r="Z81" s="279"/>
      <c r="AA81" s="278"/>
      <c r="AB81" s="279"/>
      <c r="AC81" s="298"/>
      <c r="AD81" s="298"/>
      <c r="AE81" s="263"/>
      <c r="AF81" s="298"/>
      <c r="AG81" s="263"/>
      <c r="AH81" s="298"/>
      <c r="AI81" s="280"/>
      <c r="AJ81" s="298"/>
      <c r="AK81" s="263"/>
      <c r="AL81" s="72"/>
      <c r="AM81" s="72"/>
      <c r="AN81" s="72"/>
      <c r="AO81" s="72"/>
      <c r="AP81" s="72"/>
      <c r="AQ81" s="72"/>
      <c r="AR81" s="72"/>
      <c r="AS81" s="72"/>
      <c r="AT81" s="72"/>
      <c r="AU81" s="72"/>
      <c r="AV81" s="300"/>
      <c r="AW81" s="72"/>
      <c r="AX81" s="72"/>
      <c r="AY81" s="265"/>
      <c r="AZ81" s="33"/>
      <c r="BA81" s="46"/>
      <c r="BB81" s="78"/>
      <c r="BC81" s="34"/>
      <c r="BD81" s="28"/>
    </row>
    <row r="82" spans="1:60" ht="14.15" customHeight="1">
      <c r="A82" s="23"/>
      <c r="B82" s="351"/>
      <c r="C82" s="282"/>
      <c r="D82" s="28" t="s">
        <v>240</v>
      </c>
      <c r="E82" s="28"/>
      <c r="F82" s="28"/>
      <c r="G82" s="28"/>
      <c r="H82" s="468" t="s">
        <v>245</v>
      </c>
      <c r="I82" s="257"/>
      <c r="J82" s="258"/>
      <c r="K82" s="258"/>
      <c r="L82" s="258"/>
      <c r="M82" s="259"/>
      <c r="N82" s="258"/>
      <c r="O82" s="110"/>
      <c r="P82" s="261" t="s">
        <v>33</v>
      </c>
      <c r="Q82" s="25"/>
      <c r="R82" s="469" t="s">
        <v>246</v>
      </c>
      <c r="S82" s="470"/>
      <c r="T82" s="471"/>
      <c r="U82" s="471"/>
      <c r="V82" s="483"/>
      <c r="W82" s="472"/>
      <c r="X82" s="471"/>
      <c r="Y82" s="473"/>
      <c r="Z82" s="474"/>
      <c r="AB82" s="469" t="s">
        <v>289</v>
      </c>
      <c r="AC82" s="470"/>
      <c r="AD82" s="471"/>
      <c r="AE82" s="471"/>
      <c r="AF82" s="471"/>
      <c r="AG82" s="472"/>
      <c r="AH82" s="471"/>
      <c r="AI82" s="473"/>
      <c r="AJ82" s="472"/>
      <c r="AK82" s="479"/>
      <c r="AL82" s="479"/>
      <c r="AM82" s="473"/>
      <c r="AN82" s="473"/>
      <c r="AO82" s="471"/>
      <c r="AP82" s="480"/>
      <c r="AQ82" s="471"/>
      <c r="AR82" s="471"/>
      <c r="AS82" s="471"/>
      <c r="AT82" s="471"/>
      <c r="AU82" s="481"/>
      <c r="AV82" s="473"/>
      <c r="AW82" s="473"/>
      <c r="AX82" s="482"/>
      <c r="AY82" s="347"/>
      <c r="AZ82" s="33"/>
      <c r="BA82" s="46"/>
      <c r="BB82" s="78"/>
      <c r="BC82" s="34"/>
      <c r="BD82" s="28"/>
      <c r="BG82" s="35"/>
    </row>
    <row r="83" spans="1:60" ht="14.15" customHeight="1">
      <c r="A83" s="23"/>
      <c r="B83" s="351"/>
      <c r="C83" s="282"/>
      <c r="D83" s="28"/>
      <c r="E83" s="28"/>
      <c r="F83" s="28"/>
      <c r="G83" s="28"/>
      <c r="H83" s="469" t="s">
        <v>54</v>
      </c>
      <c r="I83" s="470"/>
      <c r="J83" s="471"/>
      <c r="K83" s="471"/>
      <c r="L83" s="471"/>
      <c r="M83" s="472"/>
      <c r="N83" s="471"/>
      <c r="O83" s="473"/>
      <c r="P83" s="472"/>
      <c r="Q83" s="479"/>
      <c r="R83" s="479"/>
      <c r="S83" s="473"/>
      <c r="T83" s="473"/>
      <c r="U83" s="471"/>
      <c r="V83" s="480"/>
      <c r="W83" s="471"/>
      <c r="X83" s="471"/>
      <c r="Y83" s="471"/>
      <c r="Z83" s="471"/>
      <c r="AA83" s="481"/>
      <c r="AB83" s="473"/>
      <c r="AC83" s="473"/>
      <c r="AD83" s="479"/>
      <c r="AE83" s="471"/>
      <c r="AF83" s="471"/>
      <c r="AG83" s="472"/>
      <c r="AH83" s="471"/>
      <c r="AI83" s="473"/>
      <c r="AJ83" s="472"/>
      <c r="AK83" s="479"/>
      <c r="AL83" s="479"/>
      <c r="AM83" s="473"/>
      <c r="AN83" s="473"/>
      <c r="AO83" s="471"/>
      <c r="AP83" s="480"/>
      <c r="AQ83" s="471"/>
      <c r="AR83" s="471"/>
      <c r="AS83" s="471"/>
      <c r="AT83" s="471"/>
      <c r="AU83" s="481"/>
      <c r="AV83" s="473"/>
      <c r="AW83" s="473"/>
      <c r="AX83" s="482"/>
      <c r="AY83" s="347"/>
      <c r="AZ83" s="33"/>
      <c r="BA83" s="46"/>
      <c r="BB83" s="78"/>
      <c r="BC83" s="34"/>
      <c r="BD83" s="28"/>
      <c r="BG83" s="35"/>
    </row>
    <row r="84" spans="1:60" ht="5.15" customHeight="1">
      <c r="A84" s="22"/>
      <c r="B84" s="202"/>
      <c r="C84" s="315"/>
      <c r="D84" s="73"/>
      <c r="E84" s="73"/>
      <c r="F84" s="73"/>
      <c r="G84" s="73"/>
      <c r="H84" s="316"/>
      <c r="I84" s="275"/>
      <c r="J84" s="273"/>
      <c r="K84" s="275"/>
      <c r="L84" s="273"/>
      <c r="M84" s="317"/>
      <c r="N84" s="317"/>
      <c r="O84" s="270"/>
      <c r="P84" s="317"/>
      <c r="Q84" s="270"/>
      <c r="R84" s="317"/>
      <c r="S84" s="73"/>
      <c r="T84" s="73"/>
      <c r="U84" s="73"/>
      <c r="V84" s="73"/>
      <c r="W84" s="73"/>
      <c r="X84" s="316"/>
      <c r="Y84" s="275"/>
      <c r="Z84" s="273"/>
      <c r="AA84" s="275"/>
      <c r="AB84" s="273"/>
      <c r="AC84" s="317"/>
      <c r="AD84" s="317"/>
      <c r="AE84" s="270"/>
      <c r="AF84" s="317"/>
      <c r="AG84" s="270"/>
      <c r="AH84" s="317"/>
      <c r="AI84" s="276"/>
      <c r="AJ84" s="317"/>
      <c r="AK84" s="270"/>
      <c r="AL84" s="73"/>
      <c r="AM84" s="73"/>
      <c r="AN84" s="73"/>
      <c r="AO84" s="73"/>
      <c r="AP84" s="73"/>
      <c r="AQ84" s="73"/>
      <c r="AR84" s="73"/>
      <c r="AS84" s="73"/>
      <c r="AT84" s="73"/>
      <c r="AU84" s="73"/>
      <c r="AV84" s="318"/>
      <c r="AW84" s="73"/>
      <c r="AX84" s="73"/>
      <c r="AY84" s="277"/>
      <c r="AZ84" s="33"/>
      <c r="BA84" s="46"/>
      <c r="BB84" s="78"/>
      <c r="BC84" s="34"/>
      <c r="BD84" s="28"/>
    </row>
    <row r="85" spans="1:60" ht="5.15" customHeight="1">
      <c r="A85" s="22"/>
      <c r="B85" s="202"/>
      <c r="C85" s="476"/>
      <c r="D85" s="72"/>
      <c r="E85" s="72"/>
      <c r="F85" s="72"/>
      <c r="G85" s="72"/>
      <c r="H85" s="297"/>
      <c r="I85" s="278"/>
      <c r="J85" s="279"/>
      <c r="K85" s="278"/>
      <c r="L85" s="279"/>
      <c r="M85" s="298"/>
      <c r="N85" s="298"/>
      <c r="O85" s="263"/>
      <c r="P85" s="298"/>
      <c r="Q85" s="263"/>
      <c r="R85" s="298"/>
      <c r="S85" s="72"/>
      <c r="T85" s="72"/>
      <c r="U85" s="72"/>
      <c r="V85" s="72"/>
      <c r="W85" s="72"/>
      <c r="X85" s="297"/>
      <c r="Y85" s="278"/>
      <c r="Z85" s="279"/>
      <c r="AA85" s="278"/>
      <c r="AB85" s="279"/>
      <c r="AC85" s="298"/>
      <c r="AD85" s="298"/>
      <c r="AE85" s="263"/>
      <c r="AF85" s="298"/>
      <c r="AG85" s="263"/>
      <c r="AH85" s="298"/>
      <c r="AI85" s="280"/>
      <c r="AJ85" s="298"/>
      <c r="AK85" s="263"/>
      <c r="AL85" s="72"/>
      <c r="AM85" s="72"/>
      <c r="AN85" s="72"/>
      <c r="AO85" s="72"/>
      <c r="AP85" s="72"/>
      <c r="AQ85" s="72"/>
      <c r="AR85" s="72"/>
      <c r="AS85" s="72"/>
      <c r="AT85" s="72"/>
      <c r="AU85" s="72"/>
      <c r="AV85" s="300"/>
      <c r="AW85" s="72"/>
      <c r="AX85" s="72"/>
      <c r="AY85" s="264"/>
      <c r="AZ85" s="33"/>
      <c r="BA85" s="46"/>
      <c r="BB85" s="78"/>
      <c r="BC85" s="34"/>
      <c r="BD85" s="28"/>
    </row>
    <row r="86" spans="1:60" ht="14.15" customHeight="1">
      <c r="A86" s="22"/>
      <c r="B86" s="202">
        <v>35</v>
      </c>
      <c r="C86" s="62" t="s">
        <v>243</v>
      </c>
      <c r="D86" s="332"/>
      <c r="E86" s="65"/>
      <c r="F86" s="65"/>
      <c r="G86" s="65"/>
      <c r="H86" s="65"/>
      <c r="I86" s="65"/>
      <c r="J86" s="945"/>
      <c r="K86" s="945"/>
      <c r="L86" s="945"/>
      <c r="M86" s="945"/>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125"/>
      <c r="AU86" s="65"/>
      <c r="AV86" s="65"/>
      <c r="AW86" s="65"/>
      <c r="AX86" s="65"/>
      <c r="AY86" s="65"/>
      <c r="AZ86" s="33"/>
      <c r="BA86" s="46"/>
      <c r="BB86" s="335"/>
      <c r="BC86" s="336"/>
      <c r="BD86" s="28"/>
      <c r="BG86" s="24"/>
      <c r="BH86" s="28"/>
    </row>
    <row r="87" spans="1:60" ht="5.15" customHeight="1">
      <c r="A87" s="22"/>
      <c r="B87" s="202"/>
      <c r="C87" s="296"/>
      <c r="D87" s="72"/>
      <c r="E87" s="72"/>
      <c r="F87" s="72"/>
      <c r="G87" s="72"/>
      <c r="H87" s="297"/>
      <c r="I87" s="278"/>
      <c r="J87" s="279"/>
      <c r="K87" s="278"/>
      <c r="L87" s="279"/>
      <c r="M87" s="298"/>
      <c r="N87" s="298"/>
      <c r="O87" s="263"/>
      <c r="P87" s="298"/>
      <c r="Q87" s="263"/>
      <c r="R87" s="298"/>
      <c r="S87" s="72"/>
      <c r="T87" s="72"/>
      <c r="U87" s="72"/>
      <c r="V87" s="72"/>
      <c r="W87" s="72"/>
      <c r="X87" s="297"/>
      <c r="Y87" s="278"/>
      <c r="Z87" s="279"/>
      <c r="AA87" s="278"/>
      <c r="AB87" s="279"/>
      <c r="AC87" s="298"/>
      <c r="AD87" s="298"/>
      <c r="AE87" s="263"/>
      <c r="AF87" s="298"/>
      <c r="AG87" s="263"/>
      <c r="AH87" s="298"/>
      <c r="AI87" s="280"/>
      <c r="AJ87" s="298"/>
      <c r="AK87" s="263"/>
      <c r="AL87" s="72"/>
      <c r="AM87" s="72"/>
      <c r="AN87" s="72"/>
      <c r="AO87" s="72"/>
      <c r="AP87" s="72"/>
      <c r="AQ87" s="72"/>
      <c r="AR87" s="72"/>
      <c r="AS87" s="72"/>
      <c r="AT87" s="72"/>
      <c r="AU87" s="72"/>
      <c r="AV87" s="300"/>
      <c r="AW87" s="72"/>
      <c r="AX87" s="72"/>
      <c r="AY87" s="265"/>
      <c r="AZ87" s="33"/>
      <c r="BA87" s="46"/>
      <c r="BB87" s="78"/>
      <c r="BC87" s="34"/>
      <c r="BD87" s="28"/>
    </row>
    <row r="88" spans="1:60" ht="14.15" customHeight="1">
      <c r="A88" s="23"/>
      <c r="B88" s="351"/>
      <c r="C88" s="282"/>
      <c r="D88" s="28" t="s">
        <v>240</v>
      </c>
      <c r="E88" s="28"/>
      <c r="F88" s="28"/>
      <c r="G88" s="28"/>
      <c r="H88" s="468" t="s">
        <v>241</v>
      </c>
      <c r="I88" s="257"/>
      <c r="J88" s="258"/>
      <c r="K88" s="258"/>
      <c r="L88" s="258"/>
      <c r="M88" s="259"/>
      <c r="N88" s="258"/>
      <c r="O88" s="110"/>
      <c r="P88" s="261" t="s">
        <v>33</v>
      </c>
      <c r="Q88" s="25"/>
      <c r="R88" s="469" t="s">
        <v>242</v>
      </c>
      <c r="S88" s="470"/>
      <c r="T88" s="471"/>
      <c r="U88" s="471"/>
      <c r="V88" s="483"/>
      <c r="W88" s="484" t="s">
        <v>254</v>
      </c>
      <c r="X88" s="471"/>
      <c r="Y88" s="473"/>
      <c r="Z88" s="474"/>
      <c r="AB88" s="529" t="s">
        <v>290</v>
      </c>
      <c r="AC88" s="530"/>
      <c r="AD88" s="531"/>
      <c r="AE88" s="531"/>
      <c r="AF88" s="531"/>
      <c r="AG88" s="532"/>
      <c r="AH88" s="531"/>
      <c r="AI88" s="533"/>
      <c r="AJ88" s="532"/>
      <c r="AK88" s="61"/>
      <c r="AL88" s="61"/>
      <c r="AM88" s="533"/>
      <c r="AN88" s="533"/>
      <c r="AO88" s="531"/>
      <c r="AP88" s="534"/>
      <c r="AQ88" s="531"/>
      <c r="AR88" s="531"/>
      <c r="AS88" s="531"/>
      <c r="AT88" s="531"/>
      <c r="AU88" s="535"/>
      <c r="AV88" s="533"/>
      <c r="AW88" s="533"/>
      <c r="AX88" s="70"/>
      <c r="AY88" s="347"/>
      <c r="AZ88" s="33"/>
      <c r="BA88" s="46"/>
      <c r="BB88" s="78"/>
      <c r="BC88" s="34"/>
      <c r="BD88" s="28"/>
      <c r="BG88" s="35"/>
    </row>
    <row r="89" spans="1:60" ht="14.15" customHeight="1">
      <c r="A89" s="23"/>
      <c r="B89" s="351"/>
      <c r="C89" s="282"/>
      <c r="D89" s="28"/>
      <c r="E89" s="28"/>
      <c r="F89" s="28"/>
      <c r="G89" s="28"/>
      <c r="H89" s="469" t="s">
        <v>253</v>
      </c>
      <c r="I89" s="470"/>
      <c r="J89" s="471"/>
      <c r="K89" s="471"/>
      <c r="L89" s="471"/>
      <c r="M89" s="472"/>
      <c r="N89" s="471"/>
      <c r="O89" s="473"/>
      <c r="P89" s="472"/>
      <c r="Q89" s="479"/>
      <c r="R89" s="479"/>
      <c r="S89" s="473"/>
      <c r="T89" s="473"/>
      <c r="U89" s="471"/>
      <c r="V89" s="480"/>
      <c r="W89" s="471"/>
      <c r="X89" s="471"/>
      <c r="Y89" s="471"/>
      <c r="Z89" s="471"/>
      <c r="AA89" s="481"/>
      <c r="AB89" s="473"/>
      <c r="AC89" s="473"/>
      <c r="AD89" s="479"/>
      <c r="AE89" s="471"/>
      <c r="AF89" s="471"/>
      <c r="AG89" s="472"/>
      <c r="AH89" s="471"/>
      <c r="AI89" s="473"/>
      <c r="AJ89" s="472"/>
      <c r="AK89" s="479"/>
      <c r="AL89" s="479"/>
      <c r="AM89" s="473"/>
      <c r="AN89" s="473"/>
      <c r="AO89" s="471"/>
      <c r="AP89" s="480"/>
      <c r="AQ89" s="471"/>
      <c r="AR89" s="471"/>
      <c r="AS89" s="471"/>
      <c r="AT89" s="471"/>
      <c r="AU89" s="481"/>
      <c r="AV89" s="473"/>
      <c r="AW89" s="473"/>
      <c r="AX89" s="482"/>
      <c r="AY89" s="347"/>
      <c r="AZ89" s="33"/>
      <c r="BA89" s="46"/>
      <c r="BB89" s="78"/>
      <c r="BC89" s="34"/>
      <c r="BD89" s="28"/>
      <c r="BG89" s="35"/>
    </row>
    <row r="90" spans="1:60" ht="5.15" customHeight="1">
      <c r="A90" s="22"/>
      <c r="B90" s="202"/>
      <c r="C90" s="315"/>
      <c r="D90" s="73"/>
      <c r="E90" s="73"/>
      <c r="F90" s="73"/>
      <c r="G90" s="73"/>
      <c r="H90" s="316"/>
      <c r="I90" s="275"/>
      <c r="J90" s="273"/>
      <c r="K90" s="275"/>
      <c r="L90" s="273"/>
      <c r="M90" s="317"/>
      <c r="N90" s="317"/>
      <c r="O90" s="270"/>
      <c r="P90" s="317"/>
      <c r="Q90" s="270"/>
      <c r="R90" s="317"/>
      <c r="S90" s="73"/>
      <c r="T90" s="73"/>
      <c r="U90" s="73"/>
      <c r="V90" s="73"/>
      <c r="W90" s="73"/>
      <c r="X90" s="316"/>
      <c r="Y90" s="275"/>
      <c r="Z90" s="273"/>
      <c r="AA90" s="275"/>
      <c r="AB90" s="273"/>
      <c r="AC90" s="317"/>
      <c r="AD90" s="317"/>
      <c r="AE90" s="270"/>
      <c r="AF90" s="317"/>
      <c r="AG90" s="270"/>
      <c r="AH90" s="317"/>
      <c r="AI90" s="276"/>
      <c r="AJ90" s="317"/>
      <c r="AK90" s="270"/>
      <c r="AL90" s="73"/>
      <c r="AM90" s="73"/>
      <c r="AN90" s="73"/>
      <c r="AO90" s="73"/>
      <c r="AP90" s="73"/>
      <c r="AQ90" s="73"/>
      <c r="AR90" s="73"/>
      <c r="AS90" s="73"/>
      <c r="AT90" s="73"/>
      <c r="AU90" s="73"/>
      <c r="AV90" s="318"/>
      <c r="AW90" s="73"/>
      <c r="AX90" s="73"/>
      <c r="AY90" s="277"/>
      <c r="AZ90" s="33"/>
      <c r="BA90" s="46"/>
      <c r="BB90" s="78"/>
      <c r="BC90" s="34"/>
      <c r="BD90" s="28"/>
    </row>
    <row r="91" spans="1:60" ht="5.15" customHeight="1">
      <c r="A91" s="22"/>
      <c r="B91" s="202"/>
      <c r="C91" s="476"/>
      <c r="D91" s="72"/>
      <c r="E91" s="72"/>
      <c r="F91" s="72"/>
      <c r="G91" s="72"/>
      <c r="H91" s="297"/>
      <c r="I91" s="278"/>
      <c r="J91" s="279"/>
      <c r="K91" s="278"/>
      <c r="L91" s="279"/>
      <c r="M91" s="298"/>
      <c r="N91" s="298"/>
      <c r="O91" s="263"/>
      <c r="P91" s="298"/>
      <c r="Q91" s="263"/>
      <c r="R91" s="298"/>
      <c r="S91" s="72"/>
      <c r="T91" s="72"/>
      <c r="U91" s="72"/>
      <c r="V91" s="72"/>
      <c r="W91" s="72"/>
      <c r="X91" s="297"/>
      <c r="Y91" s="278"/>
      <c r="Z91" s="279"/>
      <c r="AA91" s="278"/>
      <c r="AB91" s="279"/>
      <c r="AC91" s="298"/>
      <c r="AD91" s="298"/>
      <c r="AE91" s="263"/>
      <c r="AF91" s="298"/>
      <c r="AG91" s="263"/>
      <c r="AH91" s="298"/>
      <c r="AI91" s="280"/>
      <c r="AJ91" s="298"/>
      <c r="AK91" s="263"/>
      <c r="AL91" s="72"/>
      <c r="AM91" s="72"/>
      <c r="AN91" s="72"/>
      <c r="AO91" s="72"/>
      <c r="AP91" s="72"/>
      <c r="AQ91" s="72"/>
      <c r="AR91" s="72"/>
      <c r="AS91" s="72"/>
      <c r="AT91" s="72"/>
      <c r="AU91" s="72"/>
      <c r="AV91" s="300"/>
      <c r="AW91" s="72"/>
      <c r="AX91" s="72"/>
      <c r="AY91" s="264"/>
      <c r="AZ91" s="33"/>
      <c r="BA91" s="46"/>
      <c r="BB91" s="335"/>
      <c r="BC91" s="336"/>
      <c r="BD91" s="28"/>
    </row>
    <row r="92" spans="1:60" ht="14.15" customHeight="1">
      <c r="A92" s="22"/>
      <c r="B92" s="202">
        <v>35</v>
      </c>
      <c r="C92" s="62" t="s">
        <v>243</v>
      </c>
      <c r="D92" s="332"/>
      <c r="E92" s="65"/>
      <c r="F92" s="65"/>
      <c r="G92" s="65"/>
      <c r="H92" s="65"/>
      <c r="I92" s="65"/>
      <c r="J92" s="477"/>
      <c r="K92" s="477"/>
      <c r="L92" s="477"/>
      <c r="M92" s="477"/>
      <c r="N92" s="65"/>
      <c r="O92" s="65"/>
      <c r="P92" s="65"/>
      <c r="Q92" s="65"/>
      <c r="R92" s="65"/>
      <c r="S92" s="65"/>
      <c r="T92" s="65"/>
      <c r="U92" s="65"/>
      <c r="V92" s="65"/>
      <c r="W92" s="65"/>
      <c r="X92" s="65"/>
      <c r="Y92" s="65"/>
      <c r="Z92" s="65"/>
      <c r="AA92" s="65"/>
      <c r="AB92" s="65"/>
      <c r="AC92" s="65"/>
      <c r="AD92" s="65"/>
      <c r="AE92" s="65"/>
      <c r="AF92" s="65"/>
      <c r="AG92" s="65"/>
      <c r="AH92" s="65"/>
      <c r="AI92" s="65"/>
      <c r="AJ92" s="65"/>
      <c r="AK92" s="65"/>
      <c r="AL92" s="65"/>
      <c r="AM92" s="65"/>
      <c r="AN92" s="65"/>
      <c r="AO92" s="65"/>
      <c r="AP92" s="65"/>
      <c r="AQ92" s="65"/>
      <c r="AR92" s="65"/>
      <c r="AS92" s="65"/>
      <c r="AT92" s="125"/>
      <c r="AU92" s="65"/>
      <c r="AV92" s="65"/>
      <c r="AW92" s="65"/>
      <c r="AX92" s="65"/>
      <c r="AY92" s="65"/>
      <c r="AZ92" s="33"/>
      <c r="BA92" s="46"/>
      <c r="BB92" s="335"/>
      <c r="BC92" s="336"/>
      <c r="BD92" s="28"/>
      <c r="BG92" s="24"/>
      <c r="BH92" s="28"/>
    </row>
    <row r="93" spans="1:60" ht="14.15" customHeight="1">
      <c r="A93" s="22"/>
      <c r="B93" s="202">
        <v>35</v>
      </c>
      <c r="C93" s="331"/>
      <c r="D93" s="332"/>
      <c r="E93" s="65"/>
      <c r="F93" s="65"/>
      <c r="G93" s="65"/>
      <c r="H93" s="65"/>
      <c r="I93" s="65"/>
      <c r="J93" s="477"/>
      <c r="K93" s="477"/>
      <c r="L93" s="477"/>
      <c r="M93" s="477"/>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125"/>
      <c r="AU93" s="65"/>
      <c r="AV93" s="65"/>
      <c r="AW93" s="65"/>
      <c r="AX93" s="65"/>
      <c r="AY93" s="65"/>
      <c r="AZ93" s="33"/>
      <c r="BA93" s="46"/>
      <c r="BB93" s="335"/>
      <c r="BC93" s="336"/>
      <c r="BD93" s="28"/>
      <c r="BG93" s="24"/>
      <c r="BH93" s="28"/>
    </row>
    <row r="94" spans="1:60" ht="14.15" customHeight="1">
      <c r="A94" s="22"/>
      <c r="B94" s="202">
        <v>35</v>
      </c>
      <c r="C94" s="346" t="s">
        <v>249</v>
      </c>
      <c r="D94" s="332"/>
      <c r="E94" s="65"/>
      <c r="F94" s="65"/>
      <c r="G94" s="65"/>
      <c r="H94" s="65"/>
      <c r="I94" s="65"/>
      <c r="J94" s="945"/>
      <c r="K94" s="945"/>
      <c r="L94" s="945"/>
      <c r="M94" s="945"/>
      <c r="N94" s="65"/>
      <c r="O94" s="65"/>
      <c r="P94" s="65"/>
      <c r="Q94" s="65"/>
      <c r="R94" s="65"/>
      <c r="S94" s="65"/>
      <c r="T94" s="65"/>
      <c r="U94" s="65"/>
      <c r="V94" s="65"/>
      <c r="W94" s="65"/>
      <c r="X94" s="65"/>
      <c r="Y94" s="65"/>
      <c r="Z94" s="65"/>
      <c r="AA94" s="65"/>
      <c r="AB94" s="65"/>
      <c r="AC94" s="65"/>
      <c r="AD94" s="65"/>
      <c r="AE94" s="65"/>
      <c r="AF94" s="65"/>
      <c r="AG94" s="65"/>
      <c r="AH94" s="65"/>
      <c r="AI94" s="65"/>
      <c r="AJ94" s="65"/>
      <c r="AK94" s="65"/>
      <c r="AL94" s="65"/>
      <c r="AM94" s="65"/>
      <c r="AN94" s="65"/>
      <c r="AO94" s="65"/>
      <c r="AP94" s="65"/>
      <c r="AQ94" s="65"/>
      <c r="AR94" s="65"/>
      <c r="AS94" s="65"/>
      <c r="AT94" s="125"/>
      <c r="AU94" s="65"/>
      <c r="AV94" s="65"/>
      <c r="AW94" s="65"/>
      <c r="AX94" s="65"/>
      <c r="AY94" s="65"/>
      <c r="AZ94" s="33"/>
      <c r="BA94" s="46"/>
      <c r="BB94" s="335"/>
      <c r="BC94" s="336"/>
      <c r="BD94" s="28"/>
      <c r="BG94" s="24"/>
      <c r="BH94" s="28"/>
    </row>
    <row r="95" spans="1:60" ht="5.15" customHeight="1">
      <c r="A95" s="22"/>
      <c r="B95" s="202"/>
      <c r="C95" s="296"/>
      <c r="D95" s="72"/>
      <c r="E95" s="72"/>
      <c r="F95" s="72"/>
      <c r="G95" s="72"/>
      <c r="H95" s="297"/>
      <c r="I95" s="278"/>
      <c r="J95" s="279"/>
      <c r="K95" s="278"/>
      <c r="L95" s="279"/>
      <c r="M95" s="298"/>
      <c r="N95" s="298"/>
      <c r="O95" s="263"/>
      <c r="P95" s="298"/>
      <c r="Q95" s="263"/>
      <c r="R95" s="298"/>
      <c r="S95" s="72"/>
      <c r="T95" s="72"/>
      <c r="U95" s="72"/>
      <c r="V95" s="72"/>
      <c r="W95" s="72"/>
      <c r="X95" s="297"/>
      <c r="Y95" s="278"/>
      <c r="Z95" s="279"/>
      <c r="AA95" s="278"/>
      <c r="AB95" s="279"/>
      <c r="AC95" s="298"/>
      <c r="AD95" s="298"/>
      <c r="AE95" s="263"/>
      <c r="AF95" s="298"/>
      <c r="AG95" s="263"/>
      <c r="AH95" s="298"/>
      <c r="AI95" s="280"/>
      <c r="AJ95" s="298"/>
      <c r="AK95" s="263"/>
      <c r="AL95" s="72"/>
      <c r="AM95" s="72"/>
      <c r="AN95" s="72"/>
      <c r="AO95" s="72"/>
      <c r="AP95" s="72"/>
      <c r="AQ95" s="72"/>
      <c r="AR95" s="72"/>
      <c r="AS95" s="72"/>
      <c r="AT95" s="72"/>
      <c r="AU95" s="72"/>
      <c r="AV95" s="300"/>
      <c r="AW95" s="72"/>
      <c r="AX95" s="72"/>
      <c r="AY95" s="265"/>
      <c r="AZ95" s="33"/>
      <c r="BA95" s="46"/>
      <c r="BB95" s="335"/>
      <c r="BC95" s="336"/>
      <c r="BD95" s="28"/>
    </row>
    <row r="96" spans="1:60" ht="13.5" customHeight="1">
      <c r="A96" s="22"/>
      <c r="B96" s="45"/>
      <c r="C96" s="266"/>
      <c r="D96" s="28" t="s">
        <v>250</v>
      </c>
      <c r="E96" s="28"/>
      <c r="F96" s="28"/>
      <c r="G96" s="28"/>
      <c r="H96" s="24"/>
      <c r="I96" s="24"/>
      <c r="J96" s="24"/>
      <c r="K96" s="24"/>
      <c r="L96" s="24"/>
      <c r="M96" s="127"/>
      <c r="N96" s="75"/>
      <c r="O96" s="84"/>
      <c r="P96" s="84"/>
      <c r="Q96" s="85"/>
      <c r="R96" s="75"/>
      <c r="S96" s="75"/>
      <c r="T96" s="75"/>
      <c r="U96" s="84"/>
      <c r="V96" s="85"/>
      <c r="W96" s="75"/>
      <c r="X96" s="65"/>
      <c r="Y96" s="28"/>
      <c r="Z96" s="28"/>
      <c r="AA96" s="28"/>
      <c r="AB96" s="28"/>
      <c r="AC96" s="28"/>
      <c r="AD96" s="28"/>
      <c r="AE96" s="28"/>
      <c r="AF96" s="28"/>
      <c r="AG96" s="28"/>
      <c r="AH96" s="28"/>
      <c r="AI96" s="28"/>
      <c r="AJ96" s="28"/>
      <c r="AK96" s="28"/>
      <c r="AL96" s="28"/>
      <c r="AM96" s="31"/>
      <c r="AN96" s="31"/>
      <c r="AO96" s="31"/>
      <c r="AP96" s="31"/>
      <c r="AQ96" s="31"/>
      <c r="AR96" s="31"/>
      <c r="AS96" s="31"/>
      <c r="AT96" s="31"/>
      <c r="AU96" s="31"/>
      <c r="AV96" s="31"/>
      <c r="AW96" s="31"/>
      <c r="AX96" s="65"/>
      <c r="AY96" s="267"/>
      <c r="AZ96" s="33"/>
      <c r="BA96" s="46"/>
      <c r="BB96" s="335"/>
      <c r="BC96" s="336"/>
      <c r="BD96" s="28"/>
      <c r="BE96" s="35"/>
      <c r="BF96" s="35"/>
      <c r="BG96" s="35"/>
    </row>
    <row r="97" spans="1:69" ht="13.5" customHeight="1">
      <c r="A97" s="22"/>
      <c r="B97" s="45"/>
      <c r="C97" s="266"/>
      <c r="D97" s="28"/>
      <c r="E97" s="28"/>
      <c r="F97" s="28"/>
      <c r="G97" s="28"/>
      <c r="H97" s="348" t="s">
        <v>252</v>
      </c>
      <c r="I97" s="131"/>
      <c r="J97" s="131"/>
      <c r="K97" s="131"/>
      <c r="L97" s="132"/>
      <c r="M97" s="132"/>
      <c r="N97" s="106"/>
      <c r="O97" s="133"/>
      <c r="P97" s="134"/>
      <c r="Q97" s="133" t="s">
        <v>251</v>
      </c>
      <c r="R97" s="134"/>
      <c r="S97" s="107"/>
      <c r="T97" s="107"/>
      <c r="U97" s="107"/>
      <c r="V97" s="107"/>
      <c r="W97" s="107"/>
      <c r="X97" s="107"/>
      <c r="Y97" s="107"/>
      <c r="Z97" s="107"/>
      <c r="AA97" s="107"/>
      <c r="AB97" s="107"/>
      <c r="AC97" s="107"/>
      <c r="AD97" s="107"/>
      <c r="AE97" s="107"/>
      <c r="AF97" s="107"/>
      <c r="AG97" s="107"/>
      <c r="AH97" s="107"/>
      <c r="AI97" s="107"/>
      <c r="AJ97" s="107"/>
      <c r="AK97" s="107"/>
      <c r="AL97" s="133" t="s">
        <v>44</v>
      </c>
      <c r="AM97" s="134"/>
      <c r="AN97" s="107"/>
      <c r="AO97" s="31"/>
      <c r="AP97" s="31"/>
      <c r="AQ97" s="31"/>
      <c r="AR97" s="31"/>
      <c r="AS97" s="31"/>
      <c r="AT97" s="31"/>
      <c r="AU97" s="31"/>
      <c r="AV97" s="31"/>
      <c r="AW97" s="31"/>
      <c r="AX97" s="65"/>
      <c r="AY97" s="267"/>
      <c r="AZ97" s="33"/>
      <c r="BA97" s="46"/>
      <c r="BB97" s="335"/>
      <c r="BC97" s="336"/>
      <c r="BD97" s="28"/>
      <c r="BE97" s="35"/>
      <c r="BF97" s="35"/>
      <c r="BG97" s="35"/>
    </row>
    <row r="98" spans="1:69" ht="13.5" customHeight="1">
      <c r="A98" s="22"/>
      <c r="B98" s="45"/>
      <c r="C98" s="266"/>
      <c r="D98" s="28"/>
      <c r="E98" s="28"/>
      <c r="F98" s="28"/>
      <c r="G98" s="28"/>
      <c r="H98" s="485" t="s">
        <v>255</v>
      </c>
      <c r="I98" s="137"/>
      <c r="J98" s="137"/>
      <c r="K98" s="137"/>
      <c r="L98" s="137"/>
      <c r="M98" s="137"/>
      <c r="N98" s="137"/>
      <c r="O98" s="350"/>
      <c r="P98" s="139"/>
      <c r="Q98" s="486" t="s">
        <v>54</v>
      </c>
      <c r="R98" s="139"/>
      <c r="S98" s="108"/>
      <c r="T98" s="108"/>
      <c r="U98" s="108"/>
      <c r="V98" s="156"/>
      <c r="W98" s="110"/>
      <c r="X98" s="110"/>
      <c r="Y98" s="156"/>
      <c r="Z98" s="156"/>
      <c r="AA98" s="110"/>
      <c r="AB98" s="110"/>
      <c r="AC98" s="37"/>
      <c r="AD98" s="37"/>
      <c r="AE98" s="37"/>
      <c r="AF98" s="37"/>
      <c r="AG98" s="37"/>
      <c r="AH98" s="37"/>
      <c r="AI98" s="37"/>
      <c r="AJ98" s="37"/>
      <c r="AK98" s="97"/>
      <c r="AL98" s="140"/>
      <c r="AM98" s="141"/>
      <c r="AN98" s="142"/>
      <c r="AO98" s="31"/>
      <c r="AP98" s="31"/>
      <c r="AQ98" s="31"/>
      <c r="AR98" s="31"/>
      <c r="AS98" s="31"/>
      <c r="AT98" s="31"/>
      <c r="AU98" s="31"/>
      <c r="AV98" s="31"/>
      <c r="AW98" s="31"/>
      <c r="AX98" s="65"/>
      <c r="AY98" s="267"/>
      <c r="AZ98" s="33"/>
      <c r="BA98" s="46"/>
      <c r="BB98" s="335"/>
      <c r="BC98" s="336"/>
      <c r="BD98" s="28"/>
      <c r="BE98" s="35"/>
      <c r="BF98" s="35"/>
      <c r="BG98" s="35"/>
    </row>
    <row r="99" spans="1:69" ht="13.5" customHeight="1">
      <c r="A99" s="22"/>
      <c r="B99" s="45"/>
      <c r="C99" s="266"/>
      <c r="D99" s="28"/>
      <c r="E99" s="28"/>
      <c r="F99" s="28"/>
      <c r="G99" s="28"/>
      <c r="H99" s="485" t="s">
        <v>256</v>
      </c>
      <c r="I99" s="137"/>
      <c r="J99" s="137"/>
      <c r="K99" s="137"/>
      <c r="L99" s="137"/>
      <c r="M99" s="137"/>
      <c r="N99" s="137"/>
      <c r="O99" s="350"/>
      <c r="P99" s="139"/>
      <c r="Q99" s="486" t="s">
        <v>54</v>
      </c>
      <c r="R99" s="139"/>
      <c r="S99" s="108"/>
      <c r="T99" s="108"/>
      <c r="U99" s="108"/>
      <c r="V99" s="156"/>
      <c r="W99" s="110"/>
      <c r="X99" s="110"/>
      <c r="Y99" s="156"/>
      <c r="Z99" s="156"/>
      <c r="AA99" s="110"/>
      <c r="AB99" s="110"/>
      <c r="AC99" s="37"/>
      <c r="AD99" s="37"/>
      <c r="AE99" s="37"/>
      <c r="AF99" s="37"/>
      <c r="AG99" s="37"/>
      <c r="AH99" s="37"/>
      <c r="AI99" s="37"/>
      <c r="AJ99" s="37"/>
      <c r="AK99" s="97"/>
      <c r="AL99" s="140"/>
      <c r="AM99" s="141"/>
      <c r="AN99" s="142"/>
      <c r="AO99" s="31"/>
      <c r="AP99" s="31"/>
      <c r="AQ99" s="31"/>
      <c r="AR99" s="31"/>
      <c r="AS99" s="31"/>
      <c r="AT99" s="31"/>
      <c r="AU99" s="31"/>
      <c r="AV99" s="31"/>
      <c r="AW99" s="31"/>
      <c r="AX99" s="65"/>
      <c r="AY99" s="267"/>
      <c r="AZ99" s="33"/>
      <c r="BA99" s="46"/>
      <c r="BB99" s="335"/>
      <c r="BC99" s="336"/>
      <c r="BD99" s="28"/>
      <c r="BE99" s="35"/>
      <c r="BF99" s="35"/>
      <c r="BG99" s="35"/>
    </row>
    <row r="100" spans="1:69" ht="13.5" customHeight="1">
      <c r="A100" s="22"/>
      <c r="B100" s="45"/>
      <c r="C100" s="266"/>
      <c r="D100" s="28"/>
      <c r="E100" s="28"/>
      <c r="F100" s="28"/>
      <c r="G100" s="28"/>
      <c r="H100" s="485" t="s">
        <v>257</v>
      </c>
      <c r="I100" s="137"/>
      <c r="J100" s="137"/>
      <c r="K100" s="137"/>
      <c r="L100" s="137"/>
      <c r="M100" s="137"/>
      <c r="N100" s="137"/>
      <c r="O100" s="350"/>
      <c r="P100" s="139"/>
      <c r="Q100" s="486" t="s">
        <v>54</v>
      </c>
      <c r="R100" s="139"/>
      <c r="S100" s="108"/>
      <c r="T100" s="108"/>
      <c r="U100" s="108"/>
      <c r="V100" s="156"/>
      <c r="W100" s="110"/>
      <c r="X100" s="110"/>
      <c r="Y100" s="156"/>
      <c r="Z100" s="156"/>
      <c r="AA100" s="110"/>
      <c r="AB100" s="110"/>
      <c r="AC100" s="37"/>
      <c r="AD100" s="37"/>
      <c r="AE100" s="37"/>
      <c r="AF100" s="37"/>
      <c r="AG100" s="37"/>
      <c r="AH100" s="37"/>
      <c r="AI100" s="37"/>
      <c r="AJ100" s="37"/>
      <c r="AK100" s="97"/>
      <c r="AL100" s="140"/>
      <c r="AM100" s="141"/>
      <c r="AN100" s="142"/>
      <c r="AO100" s="31"/>
      <c r="AP100" s="31"/>
      <c r="AQ100" s="31"/>
      <c r="AR100" s="31"/>
      <c r="AS100" s="31"/>
      <c r="AT100" s="31"/>
      <c r="AU100" s="31"/>
      <c r="AV100" s="31"/>
      <c r="AW100" s="31"/>
      <c r="AX100" s="65"/>
      <c r="AY100" s="267"/>
      <c r="AZ100" s="33"/>
      <c r="BA100" s="46"/>
      <c r="BB100" s="335"/>
      <c r="BC100" s="336"/>
      <c r="BD100" s="28"/>
      <c r="BE100" s="35"/>
      <c r="BF100" s="35"/>
      <c r="BG100" s="35"/>
    </row>
    <row r="101" spans="1:69" ht="5.15" customHeight="1">
      <c r="A101" s="22"/>
      <c r="B101" s="202"/>
      <c r="C101" s="315"/>
      <c r="D101" s="73"/>
      <c r="E101" s="73"/>
      <c r="F101" s="73"/>
      <c r="G101" s="73"/>
      <c r="H101" s="316"/>
      <c r="I101" s="275"/>
      <c r="J101" s="273"/>
      <c r="K101" s="275"/>
      <c r="L101" s="273"/>
      <c r="M101" s="317"/>
      <c r="N101" s="317"/>
      <c r="O101" s="270"/>
      <c r="P101" s="317"/>
      <c r="Q101" s="270"/>
      <c r="R101" s="317"/>
      <c r="S101" s="73"/>
      <c r="T101" s="73"/>
      <c r="U101" s="73"/>
      <c r="V101" s="73"/>
      <c r="W101" s="73"/>
      <c r="X101" s="316"/>
      <c r="Y101" s="275"/>
      <c r="Z101" s="273"/>
      <c r="AA101" s="275"/>
      <c r="AB101" s="273"/>
      <c r="AC101" s="317"/>
      <c r="AD101" s="317"/>
      <c r="AE101" s="270"/>
      <c r="AF101" s="317"/>
      <c r="AG101" s="270"/>
      <c r="AH101" s="317"/>
      <c r="AI101" s="276"/>
      <c r="AJ101" s="317"/>
      <c r="AK101" s="270"/>
      <c r="AL101" s="73"/>
      <c r="AM101" s="73"/>
      <c r="AN101" s="73"/>
      <c r="AO101" s="73"/>
      <c r="AP101" s="73"/>
      <c r="AQ101" s="73"/>
      <c r="AR101" s="73"/>
      <c r="AS101" s="73"/>
      <c r="AT101" s="73"/>
      <c r="AU101" s="73"/>
      <c r="AV101" s="318"/>
      <c r="AW101" s="73"/>
      <c r="AX101" s="73"/>
      <c r="AY101" s="277"/>
      <c r="AZ101" s="33"/>
      <c r="BA101" s="46"/>
      <c r="BB101" s="335"/>
      <c r="BC101" s="336"/>
      <c r="BD101" s="28"/>
    </row>
    <row r="102" spans="1:69" ht="14.15" customHeight="1">
      <c r="A102" s="22"/>
      <c r="B102" s="202"/>
      <c r="C102" s="331"/>
      <c r="D102" s="332"/>
      <c r="E102" s="65"/>
      <c r="F102" s="65"/>
      <c r="G102" s="65"/>
      <c r="H102" s="65"/>
      <c r="I102" s="65"/>
      <c r="J102" s="354"/>
      <c r="K102" s="354"/>
      <c r="L102" s="354"/>
      <c r="M102" s="354"/>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125"/>
      <c r="AU102" s="65"/>
      <c r="AV102" s="65"/>
      <c r="AW102" s="65"/>
      <c r="AX102" s="65"/>
      <c r="AY102" s="65"/>
      <c r="AZ102" s="33"/>
      <c r="BA102" s="46"/>
      <c r="BB102" s="335"/>
      <c r="BC102" s="336"/>
      <c r="BD102" s="28"/>
      <c r="BG102" s="24"/>
      <c r="BH102" s="28"/>
    </row>
    <row r="103" spans="1:69" ht="13.5" customHeight="1">
      <c r="A103" s="22"/>
      <c r="B103" s="202">
        <v>36</v>
      </c>
      <c r="C103" s="331"/>
      <c r="D103" s="332"/>
      <c r="E103" s="65"/>
      <c r="F103" s="65"/>
      <c r="G103" s="65"/>
      <c r="H103" s="65"/>
      <c r="I103" s="65"/>
      <c r="J103" s="945"/>
      <c r="K103" s="945"/>
      <c r="L103" s="945"/>
      <c r="M103" s="945"/>
      <c r="N103" s="63"/>
      <c r="O103" s="65"/>
      <c r="P103" s="65"/>
      <c r="Q103" s="65"/>
      <c r="R103" s="28"/>
      <c r="S103" s="28"/>
      <c r="T103" s="31"/>
      <c r="U103" s="31"/>
      <c r="V103" s="31"/>
      <c r="W103" s="31"/>
      <c r="X103" s="31"/>
      <c r="Y103" s="44"/>
      <c r="Z103" s="31"/>
      <c r="AA103" s="28"/>
      <c r="AB103" s="44"/>
      <c r="AC103" s="31"/>
      <c r="AD103" s="28"/>
      <c r="AE103" s="44"/>
      <c r="AF103" s="28"/>
      <c r="AG103" s="116"/>
      <c r="AH103" s="41"/>
      <c r="AI103" s="116"/>
      <c r="AJ103" s="116"/>
      <c r="AK103" s="116"/>
      <c r="AL103" s="116"/>
      <c r="AM103" s="116"/>
      <c r="AN103" s="116"/>
      <c r="AO103" s="116"/>
      <c r="AP103" s="116"/>
      <c r="AQ103" s="116"/>
      <c r="AR103" s="116"/>
      <c r="AS103" s="116"/>
      <c r="AT103" s="116"/>
      <c r="AU103" s="116"/>
      <c r="AV103" s="116"/>
      <c r="AW103" s="116"/>
      <c r="AX103" s="116"/>
      <c r="AY103" s="116"/>
      <c r="AZ103" s="33"/>
      <c r="BA103" s="46"/>
      <c r="BB103" s="78"/>
      <c r="BC103" s="34"/>
      <c r="BD103" s="28"/>
      <c r="BG103" s="24"/>
      <c r="BH103" s="28"/>
    </row>
    <row r="104" spans="1:69" ht="13.5" customHeight="1">
      <c r="A104" s="22"/>
      <c r="B104" s="202">
        <v>37</v>
      </c>
      <c r="C104" s="331"/>
      <c r="D104" s="332"/>
      <c r="E104" s="65"/>
      <c r="F104" s="65"/>
      <c r="G104" s="65"/>
      <c r="H104" s="65"/>
      <c r="I104" s="65"/>
      <c r="J104" s="945"/>
      <c r="K104" s="945"/>
      <c r="L104" s="945"/>
      <c r="M104" s="945"/>
      <c r="N104" s="193"/>
      <c r="O104" s="195"/>
      <c r="P104" s="193"/>
      <c r="Q104" s="194"/>
      <c r="R104" s="194"/>
      <c r="S104" s="194"/>
      <c r="T104" s="196"/>
      <c r="U104" s="196"/>
      <c r="V104" s="196"/>
      <c r="W104" s="196"/>
      <c r="X104" s="196"/>
      <c r="Y104" s="195"/>
      <c r="Z104" s="196"/>
      <c r="AA104" s="194"/>
      <c r="AB104" s="195"/>
      <c r="AC104" s="196"/>
      <c r="AD104" s="194"/>
      <c r="AE104" s="195"/>
      <c r="AF104" s="194"/>
      <c r="AG104" s="194"/>
      <c r="AH104" s="195"/>
      <c r="AI104" s="194"/>
      <c r="AJ104" s="194"/>
      <c r="AK104" s="197"/>
      <c r="AL104" s="194"/>
      <c r="AM104" s="194"/>
      <c r="AN104" s="194"/>
      <c r="AO104" s="194"/>
      <c r="AP104" s="194"/>
      <c r="AQ104" s="194"/>
      <c r="AR104" s="194"/>
      <c r="AS104" s="194"/>
      <c r="AT104" s="194"/>
      <c r="AU104" s="194"/>
      <c r="AV104" s="194"/>
      <c r="AW104" s="194"/>
      <c r="AX104" s="194"/>
      <c r="AY104" s="194"/>
      <c r="AZ104" s="33"/>
      <c r="BA104" s="46"/>
      <c r="BB104" s="78"/>
      <c r="BC104" s="34"/>
      <c r="BD104" s="28"/>
      <c r="BG104" s="24"/>
      <c r="BH104" s="28"/>
    </row>
    <row r="105" spans="1:69">
      <c r="A105" s="22"/>
      <c r="B105" s="32"/>
      <c r="C105" s="28"/>
      <c r="D105" s="28"/>
      <c r="E105" s="28"/>
      <c r="F105" s="28"/>
      <c r="G105" s="28"/>
      <c r="H105" s="28"/>
      <c r="I105" s="28"/>
      <c r="J105" s="28"/>
      <c r="K105" s="28"/>
      <c r="L105" s="28"/>
      <c r="M105" s="28"/>
      <c r="N105" s="28"/>
      <c r="O105" s="28"/>
      <c r="P105" s="28"/>
      <c r="Q105" s="28"/>
      <c r="R105" s="28"/>
      <c r="S105" s="81"/>
      <c r="T105" s="81"/>
      <c r="U105" s="81"/>
      <c r="V105" s="81"/>
      <c r="W105" s="28"/>
      <c r="X105" s="28"/>
      <c r="Y105" s="81"/>
      <c r="Z105" s="81"/>
      <c r="AA105" s="28"/>
      <c r="AB105" s="28"/>
      <c r="AC105" s="28"/>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31"/>
      <c r="AZ105" s="33"/>
      <c r="BA105" s="46"/>
      <c r="BB105" s="78"/>
      <c r="BC105" s="34"/>
    </row>
    <row r="106" spans="1:69" s="81" customFormat="1">
      <c r="A106" s="155"/>
      <c r="B106" s="95"/>
      <c r="C106" s="110"/>
      <c r="D106" s="110"/>
      <c r="E106" s="110"/>
      <c r="F106" s="110"/>
      <c r="G106" s="110"/>
      <c r="H106" s="110"/>
      <c r="I106" s="110"/>
      <c r="J106" s="110"/>
      <c r="K106" s="110"/>
      <c r="L106" s="110"/>
      <c r="M106" s="110"/>
      <c r="N106" s="110"/>
      <c r="O106" s="110"/>
      <c r="P106" s="110"/>
      <c r="Q106" s="110"/>
      <c r="R106" s="110"/>
      <c r="S106" s="156"/>
      <c r="T106" s="156"/>
      <c r="U106" s="156"/>
      <c r="V106" s="156"/>
      <c r="W106" s="110"/>
      <c r="X106" s="110"/>
      <c r="Y106" s="156"/>
      <c r="Z106" s="156"/>
      <c r="AA106" s="110"/>
      <c r="AB106" s="110"/>
      <c r="AC106" s="110"/>
      <c r="AD106" s="156"/>
      <c r="AE106" s="156"/>
      <c r="AF106" s="156"/>
      <c r="AG106" s="156"/>
      <c r="AH106" s="156"/>
      <c r="AI106" s="156"/>
      <c r="AJ106" s="156"/>
      <c r="AK106" s="156"/>
      <c r="AL106" s="156"/>
      <c r="AM106" s="156"/>
      <c r="AN106" s="156"/>
      <c r="AO106" s="156"/>
      <c r="AP106" s="156"/>
      <c r="AQ106" s="156"/>
      <c r="AR106" s="156"/>
      <c r="AS106" s="156"/>
      <c r="AT106" s="156"/>
      <c r="AU106" s="156"/>
      <c r="AV106" s="156"/>
      <c r="AW106" s="156"/>
      <c r="AX106" s="156"/>
      <c r="AY106" s="95"/>
      <c r="AZ106" s="95"/>
      <c r="BA106" s="157"/>
      <c r="BB106" s="79"/>
      <c r="BC106" s="40"/>
      <c r="BE106" s="28"/>
      <c r="BF106" s="28"/>
      <c r="BG106" s="28"/>
      <c r="BH106" s="35"/>
      <c r="BI106" s="35"/>
      <c r="BJ106" s="35"/>
      <c r="BK106" s="35"/>
      <c r="BL106" s="35"/>
      <c r="BM106" s="35"/>
      <c r="BN106" s="35"/>
      <c r="BO106" s="35"/>
      <c r="BP106" s="35"/>
      <c r="BQ106" s="35"/>
    </row>
  </sheetData>
  <mergeCells count="86">
    <mergeCell ref="AW61:AZ61"/>
    <mergeCell ref="BA61:BD61"/>
    <mergeCell ref="X61:AA61"/>
    <mergeCell ref="AB61:AF61"/>
    <mergeCell ref="AG61:AJ61"/>
    <mergeCell ref="AK61:AN61"/>
    <mergeCell ref="AO61:AR61"/>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V2:AY2"/>
    <mergeCell ref="AZ2:BC3"/>
    <mergeCell ref="A3:H3"/>
    <mergeCell ref="I3:L3"/>
    <mergeCell ref="M3:W3"/>
    <mergeCell ref="X3:Z3"/>
    <mergeCell ref="AA3:AR3"/>
    <mergeCell ref="AS3:AU3"/>
    <mergeCell ref="AV3:AY3"/>
    <mergeCell ref="A5:BA5"/>
    <mergeCell ref="BB5:BC5"/>
    <mergeCell ref="R42:U42"/>
    <mergeCell ref="V42:Y42"/>
    <mergeCell ref="Z42:AC42"/>
    <mergeCell ref="AD42:AG42"/>
    <mergeCell ref="AH42:AL42"/>
    <mergeCell ref="AQ42:AT42"/>
    <mergeCell ref="AU42:AW42"/>
    <mergeCell ref="AQ43:AT43"/>
    <mergeCell ref="AU43:AW43"/>
    <mergeCell ref="T57:W57"/>
    <mergeCell ref="X57:AA57"/>
    <mergeCell ref="AB57:AF57"/>
    <mergeCell ref="AG57:AJ57"/>
    <mergeCell ref="AK57:AN57"/>
    <mergeCell ref="AS57:AV57"/>
    <mergeCell ref="R43:U43"/>
    <mergeCell ref="V43:Y43"/>
    <mergeCell ref="Z43:AC43"/>
    <mergeCell ref="AD43:AG43"/>
    <mergeCell ref="AH43:AL43"/>
    <mergeCell ref="AK64:AN64"/>
    <mergeCell ref="AO64:AR64"/>
    <mergeCell ref="AS64:AV64"/>
    <mergeCell ref="BE57:BG57"/>
    <mergeCell ref="T58:W58"/>
    <mergeCell ref="X58:AA58"/>
    <mergeCell ref="AB58:AF58"/>
    <mergeCell ref="AG58:AJ58"/>
    <mergeCell ref="AK58:AN58"/>
    <mergeCell ref="AS58:AV58"/>
    <mergeCell ref="BE58:BG58"/>
    <mergeCell ref="BA57:BD57"/>
    <mergeCell ref="BA58:BD58"/>
    <mergeCell ref="AW64:AZ64"/>
    <mergeCell ref="BA64:BD64"/>
    <mergeCell ref="AS61:AV61"/>
    <mergeCell ref="J86:M86"/>
    <mergeCell ref="J94:M94"/>
    <mergeCell ref="J103:M103"/>
    <mergeCell ref="J104:M104"/>
    <mergeCell ref="AM42:AP42"/>
    <mergeCell ref="AM43:AP43"/>
    <mergeCell ref="AO57:AR57"/>
    <mergeCell ref="AO58:AR58"/>
    <mergeCell ref="J68:M68"/>
    <mergeCell ref="J70:M70"/>
    <mergeCell ref="J77:M77"/>
    <mergeCell ref="X64:AA64"/>
    <mergeCell ref="AB64:AF64"/>
    <mergeCell ref="AG64:AJ64"/>
    <mergeCell ref="J78:M78"/>
    <mergeCell ref="J80:M80"/>
  </mergeCells>
  <phoneticPr fontId="57"/>
  <conditionalFormatting sqref="AO61:AV61">
    <cfRule type="cellIs" dxfId="29" priority="1" operator="lessThan">
      <formula>0</formula>
    </cfRule>
    <cfRule type="expression" dxfId="28" priority="2">
      <formula>$AK$64&lt;30</formula>
    </cfRule>
  </conditionalFormatting>
  <conditionalFormatting sqref="AO64:AV64">
    <cfRule type="cellIs" dxfId="27" priority="6" operator="lessThan">
      <formula>0</formula>
    </cfRule>
    <cfRule type="expression" dxfId="26" priority="10">
      <formula>$AK$64&lt;30</formula>
    </cfRule>
  </conditionalFormatting>
  <conditionalFormatting sqref="AS57:AV58">
    <cfRule type="cellIs" dxfId="25" priority="8" operator="lessThan">
      <formula>0</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2DBC6-994B-4366-A549-4789C391367A}">
  <dimension ref="A1:BV116"/>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40" t="s">
        <v>4</v>
      </c>
      <c r="B1" s="740"/>
      <c r="C1" s="740"/>
      <c r="D1" s="740"/>
      <c r="E1" s="740"/>
      <c r="F1" s="740"/>
      <c r="G1" s="740"/>
      <c r="H1" s="740"/>
      <c r="I1" s="727" t="s">
        <v>5</v>
      </c>
      <c r="J1" s="727"/>
      <c r="K1" s="727"/>
      <c r="L1" s="727"/>
      <c r="M1" s="738" t="str">
        <f>変更来歴!M1</f>
        <v>ヒロセ電機株式会社</v>
      </c>
      <c r="N1" s="738"/>
      <c r="O1" s="738"/>
      <c r="P1" s="738"/>
      <c r="Q1" s="738"/>
      <c r="R1" s="738"/>
      <c r="S1" s="738"/>
      <c r="T1" s="738"/>
      <c r="U1" s="738"/>
      <c r="V1" s="738"/>
      <c r="W1" s="738"/>
      <c r="X1" s="727" t="s">
        <v>7</v>
      </c>
      <c r="Y1" s="727"/>
      <c r="Z1" s="727"/>
      <c r="AA1" s="742" t="str">
        <f>変更来歴!AA1</f>
        <v>化学物質データ申請</v>
      </c>
      <c r="AB1" s="742"/>
      <c r="AC1" s="742"/>
      <c r="AD1" s="742"/>
      <c r="AE1" s="742"/>
      <c r="AF1" s="742"/>
      <c r="AG1" s="742"/>
      <c r="AH1" s="742"/>
      <c r="AI1" s="742"/>
      <c r="AJ1" s="742"/>
      <c r="AK1" s="716" t="s">
        <v>8</v>
      </c>
      <c r="AL1" s="716"/>
      <c r="AM1" s="716"/>
      <c r="AN1" s="718" t="str">
        <f>変更来歴!AP7</f>
        <v>古竹</v>
      </c>
      <c r="AO1" s="718"/>
      <c r="AP1" s="718"/>
      <c r="AQ1" s="718"/>
      <c r="AR1" s="718"/>
      <c r="AS1" s="716" t="s">
        <v>9</v>
      </c>
      <c r="AT1" s="716"/>
      <c r="AU1" s="716"/>
      <c r="AV1" s="719">
        <f>変更来歴!AL7</f>
        <v>46125</v>
      </c>
      <c r="AW1" s="717"/>
      <c r="AX1" s="717"/>
      <c r="AY1" s="717"/>
      <c r="AZ1" s="723" t="s">
        <v>10</v>
      </c>
      <c r="BA1" s="724"/>
      <c r="BB1" s="724"/>
      <c r="BC1" s="725"/>
    </row>
    <row r="2" spans="1:59">
      <c r="A2" s="726" t="s">
        <v>16</v>
      </c>
      <c r="B2" s="726"/>
      <c r="C2" s="726"/>
      <c r="D2" s="726"/>
      <c r="E2" s="726"/>
      <c r="F2" s="726"/>
      <c r="G2" s="726"/>
      <c r="H2" s="726"/>
      <c r="I2" s="727" t="s">
        <v>11</v>
      </c>
      <c r="J2" s="727"/>
      <c r="K2" s="727"/>
      <c r="L2" s="727"/>
      <c r="M2" s="762" t="str">
        <f>変更来歴!M2</f>
        <v>　</v>
      </c>
      <c r="N2" s="762"/>
      <c r="O2" s="762"/>
      <c r="P2" s="762"/>
      <c r="Q2" s="762"/>
      <c r="R2" s="762"/>
      <c r="S2" s="762"/>
      <c r="T2" s="762"/>
      <c r="U2" s="762"/>
      <c r="V2" s="762"/>
      <c r="W2" s="762"/>
      <c r="X2" s="727"/>
      <c r="Y2" s="727"/>
      <c r="Z2" s="727"/>
      <c r="AA2" s="742"/>
      <c r="AB2" s="742"/>
      <c r="AC2" s="742"/>
      <c r="AD2" s="742"/>
      <c r="AE2" s="742"/>
      <c r="AF2" s="742"/>
      <c r="AG2" s="742"/>
      <c r="AH2" s="742"/>
      <c r="AI2" s="742"/>
      <c r="AJ2" s="742"/>
      <c r="AK2" s="716" t="s">
        <v>12</v>
      </c>
      <c r="AL2" s="716"/>
      <c r="AM2" s="716"/>
      <c r="AN2" s="718" t="str">
        <f ca="1">INDIRECT("変更来歴!AP" &amp; COUNTA(変更来歴!AP7:'変更来歴'!AP39) + 6)</f>
        <v>古竹</v>
      </c>
      <c r="AO2" s="718"/>
      <c r="AP2" s="718"/>
      <c r="AQ2" s="718"/>
      <c r="AR2" s="718"/>
      <c r="AS2" s="716" t="s">
        <v>13</v>
      </c>
      <c r="AT2" s="716"/>
      <c r="AU2" s="716"/>
      <c r="AV2" s="719">
        <f ca="1">INDIRECT("変更来歴!AL" &amp; COUNTA(変更来歴!AL7:'変更来歴'!AL39) + 6)</f>
        <v>46162</v>
      </c>
      <c r="AW2" s="717"/>
      <c r="AX2" s="717"/>
      <c r="AY2" s="717"/>
      <c r="AZ2" s="731" t="str">
        <f>変更来歴!AX2</f>
        <v>IMWF-53</v>
      </c>
      <c r="BA2" s="732"/>
      <c r="BB2" s="732"/>
      <c r="BC2" s="733"/>
    </row>
    <row r="3" spans="1:59" ht="12" customHeight="1">
      <c r="A3" s="737" t="str">
        <f>変更来歴!A3</f>
        <v>画面設計書</v>
      </c>
      <c r="B3" s="737"/>
      <c r="C3" s="737"/>
      <c r="D3" s="737"/>
      <c r="E3" s="737"/>
      <c r="F3" s="737"/>
      <c r="G3" s="737"/>
      <c r="H3" s="737"/>
      <c r="I3" s="727" t="s">
        <v>14</v>
      </c>
      <c r="J3" s="727"/>
      <c r="K3" s="727"/>
      <c r="L3" s="727"/>
      <c r="M3" s="738" t="str">
        <f ca="1">RIGHT(CELL("filename",A1),LEN(CELL("filename",A1))-FIND("]",CELL("filename",A1)))</f>
        <v>円(コリア原計)</v>
      </c>
      <c r="N3" s="738"/>
      <c r="O3" s="738"/>
      <c r="P3" s="738"/>
      <c r="Q3" s="738"/>
      <c r="R3" s="738"/>
      <c r="S3" s="738"/>
      <c r="T3" s="738"/>
      <c r="U3" s="738"/>
      <c r="V3" s="738"/>
      <c r="W3" s="738"/>
      <c r="X3" s="727" t="s">
        <v>27</v>
      </c>
      <c r="Y3" s="727"/>
      <c r="Z3" s="727"/>
      <c r="AA3" s="739" t="str">
        <f ca="1">MID(CELL("filename"),FIND("]",CELL("filename"))+1,LEN(CELL("filename"))) &amp; "画面"</f>
        <v>表紙画面</v>
      </c>
      <c r="AB3" s="739"/>
      <c r="AC3" s="739"/>
      <c r="AD3" s="739"/>
      <c r="AE3" s="739"/>
      <c r="AF3" s="739"/>
      <c r="AG3" s="739"/>
      <c r="AH3" s="739"/>
      <c r="AI3" s="739"/>
      <c r="AJ3" s="739"/>
      <c r="AK3" s="739"/>
      <c r="AL3" s="739"/>
      <c r="AM3" s="739"/>
      <c r="AN3" s="739"/>
      <c r="AO3" s="739"/>
      <c r="AP3" s="739"/>
      <c r="AQ3" s="739"/>
      <c r="AR3" s="739"/>
      <c r="AS3" s="716" t="s">
        <v>15</v>
      </c>
      <c r="AT3" s="716"/>
      <c r="AU3" s="716"/>
      <c r="AV3" s="717" t="str">
        <f ca="1">INDIRECT("変更来歴!A" &amp; COUNTA(変更来歴!A7:'変更来歴'!A39) + 6)</f>
        <v>r1.2</v>
      </c>
      <c r="AW3" s="717"/>
      <c r="AX3" s="717"/>
      <c r="AY3" s="717"/>
      <c r="AZ3" s="734"/>
      <c r="BA3" s="735"/>
      <c r="BB3" s="735"/>
      <c r="BC3" s="736"/>
    </row>
    <row r="4" spans="1:59" ht="5.9" customHeight="1"/>
    <row r="5" spans="1:59" ht="13.5" customHeight="1">
      <c r="A5" s="763" t="str">
        <f ca="1">"画面レイアウト"&amp;"("&amp;MID(CELL("filename"),FIND("]",CELL("filename"))+1,LEN(CELL("filename")))&amp;")"</f>
        <v>画面レイアウト(表紙)</v>
      </c>
      <c r="B5" s="764"/>
      <c r="C5" s="764"/>
      <c r="D5" s="764"/>
      <c r="E5" s="764"/>
      <c r="F5" s="764"/>
      <c r="G5" s="764"/>
      <c r="H5" s="764"/>
      <c r="I5" s="764"/>
      <c r="J5" s="764"/>
      <c r="K5" s="764"/>
      <c r="L5" s="764"/>
      <c r="M5" s="764"/>
      <c r="N5" s="764"/>
      <c r="O5" s="764"/>
      <c r="P5" s="764"/>
      <c r="Q5" s="764"/>
      <c r="R5" s="764"/>
      <c r="S5" s="764"/>
      <c r="T5" s="764"/>
      <c r="U5" s="764"/>
      <c r="V5" s="764"/>
      <c r="W5" s="764"/>
      <c r="X5" s="764"/>
      <c r="Y5" s="764"/>
      <c r="Z5" s="764"/>
      <c r="AA5" s="764"/>
      <c r="AB5" s="764"/>
      <c r="AC5" s="764"/>
      <c r="AD5" s="764"/>
      <c r="AE5" s="764"/>
      <c r="AF5" s="764"/>
      <c r="AG5" s="764"/>
      <c r="AH5" s="764"/>
      <c r="AI5" s="764"/>
      <c r="AJ5" s="764"/>
      <c r="AK5" s="764"/>
      <c r="AL5" s="764"/>
      <c r="AM5" s="764"/>
      <c r="AN5" s="764"/>
      <c r="AO5" s="764"/>
      <c r="AP5" s="764"/>
      <c r="AQ5" s="764"/>
      <c r="AR5" s="764"/>
      <c r="AS5" s="764"/>
      <c r="AT5" s="764"/>
      <c r="AU5" s="764"/>
      <c r="AV5" s="764"/>
      <c r="AW5" s="764"/>
      <c r="AX5" s="764"/>
      <c r="AY5" s="764"/>
      <c r="AZ5" s="764"/>
      <c r="BA5" s="765"/>
      <c r="BB5" s="766" t="s">
        <v>24</v>
      </c>
      <c r="BC5" s="767"/>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286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59"/>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35"/>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111</v>
      </c>
      <c r="D26" s="28"/>
      <c r="E26" s="28"/>
      <c r="F26" s="28"/>
      <c r="H26" s="58"/>
      <c r="I26" s="59"/>
      <c r="J26" s="59"/>
      <c r="K26" s="59"/>
      <c r="L26" s="60"/>
      <c r="M26" s="59"/>
      <c r="N26" s="61"/>
      <c r="O26" s="61"/>
      <c r="P26" s="70"/>
      <c r="Q26" s="64"/>
      <c r="R26" s="28" t="s">
        <v>115</v>
      </c>
      <c r="S26" s="35"/>
      <c r="T26" s="35"/>
      <c r="U26" s="28"/>
      <c r="V26" s="28"/>
      <c r="W26" s="28"/>
      <c r="Y26" s="58"/>
      <c r="Z26" s="59"/>
      <c r="AA26" s="59"/>
      <c r="AB26" s="59"/>
      <c r="AC26" s="60"/>
      <c r="AD26" s="59"/>
      <c r="AE26" s="61"/>
      <c r="AF26" s="61"/>
      <c r="AG26" s="70"/>
      <c r="AH26" s="28"/>
      <c r="AI26" s="28"/>
      <c r="AJ26" s="35"/>
      <c r="AK26" s="28"/>
      <c r="AL26" s="28"/>
      <c r="AM26" s="28"/>
      <c r="AN26" s="28"/>
      <c r="AO26" s="35"/>
      <c r="AP26" s="102"/>
      <c r="AQ26" s="103"/>
      <c r="AR26" s="103"/>
      <c r="AS26" s="103"/>
      <c r="AT26" s="102"/>
      <c r="AU26" s="104"/>
      <c r="AV26" s="102"/>
      <c r="AW26" s="103"/>
      <c r="AX26" s="63"/>
      <c r="AY26" s="283"/>
      <c r="AZ26" s="33"/>
      <c r="BA26" s="46"/>
      <c r="BB26" s="78"/>
      <c r="BC26" s="34"/>
      <c r="BD26" s="28"/>
      <c r="BE26" s="35"/>
      <c r="BF26" s="35"/>
      <c r="BG26" s="35"/>
    </row>
    <row r="27" spans="1:59" ht="14.15" customHeight="1">
      <c r="A27" s="22"/>
      <c r="B27" s="256"/>
      <c r="C27" s="284" t="s">
        <v>117</v>
      </c>
      <c r="F27" s="285"/>
      <c r="G27" s="285"/>
      <c r="H27" s="98" t="s">
        <v>122</v>
      </c>
      <c r="I27" s="257"/>
      <c r="J27" s="258"/>
      <c r="K27" s="258"/>
      <c r="L27" s="258"/>
      <c r="M27" s="259"/>
      <c r="N27" s="258"/>
      <c r="O27" s="110"/>
      <c r="P27" s="260" t="s">
        <v>33</v>
      </c>
      <c r="R27" s="130"/>
      <c r="S27" s="35"/>
      <c r="T27" s="285" t="s">
        <v>120</v>
      </c>
      <c r="U27" s="35"/>
      <c r="V27" s="285"/>
      <c r="W27" s="285"/>
      <c r="X27" s="285"/>
      <c r="Y27" s="98" t="s">
        <v>123</v>
      </c>
      <c r="Z27" s="257"/>
      <c r="AA27" s="258"/>
      <c r="AB27" s="258"/>
      <c r="AC27" s="258"/>
      <c r="AD27" s="259"/>
      <c r="AE27" s="258"/>
      <c r="AF27" s="110"/>
      <c r="AG27" s="261" t="s">
        <v>33</v>
      </c>
      <c r="AH27" s="35"/>
      <c r="AI27" s="35"/>
      <c r="AJ27" s="35"/>
      <c r="AK27" s="285" t="s">
        <v>121</v>
      </c>
      <c r="AL27" s="35"/>
      <c r="AM27" s="285"/>
      <c r="AN27" s="35"/>
      <c r="AO27" s="35"/>
      <c r="AP27" s="98" t="s">
        <v>116</v>
      </c>
      <c r="AQ27" s="257"/>
      <c r="AR27" s="258"/>
      <c r="AS27" s="258"/>
      <c r="AT27" s="258"/>
      <c r="AU27" s="259"/>
      <c r="AV27" s="110"/>
      <c r="AW27" s="37"/>
      <c r="AX27" s="262" t="s">
        <v>33</v>
      </c>
      <c r="AY27" s="286"/>
      <c r="AZ27" s="33"/>
      <c r="BA27" s="46"/>
      <c r="BB27" s="78"/>
      <c r="BC27" s="34"/>
      <c r="BD27" s="35"/>
      <c r="BE27" s="35"/>
      <c r="BF27" s="35"/>
      <c r="BG27" s="35"/>
    </row>
    <row r="28" spans="1:59" ht="13.5" customHeight="1">
      <c r="A28" s="22"/>
      <c r="B28" s="45"/>
      <c r="C28" s="282" t="s">
        <v>125</v>
      </c>
      <c r="D28" s="28"/>
      <c r="E28" s="28"/>
      <c r="F28" s="28"/>
      <c r="H28" s="58"/>
      <c r="I28" s="59"/>
      <c r="J28" s="59"/>
      <c r="K28" s="59"/>
      <c r="L28" s="60"/>
      <c r="M28" s="59"/>
      <c r="N28" s="61"/>
      <c r="O28" s="61"/>
      <c r="P28" s="70"/>
      <c r="Q28" s="64"/>
      <c r="R28" s="28"/>
      <c r="S28" s="35"/>
      <c r="T28" s="28" t="s">
        <v>130</v>
      </c>
      <c r="U28" s="28"/>
      <c r="V28" s="28"/>
      <c r="W28" s="28"/>
      <c r="Y28" s="58"/>
      <c r="Z28" s="59"/>
      <c r="AA28" s="59"/>
      <c r="AB28" s="59"/>
      <c r="AC28" s="60"/>
      <c r="AD28" s="59"/>
      <c r="AE28" s="61"/>
      <c r="AF28" s="61"/>
      <c r="AG28" s="94" t="s">
        <v>129</v>
      </c>
      <c r="AH28" s="28"/>
      <c r="AI28" s="28"/>
      <c r="AJ28" s="35"/>
      <c r="AK28" s="28" t="s">
        <v>118</v>
      </c>
      <c r="AL28" s="28"/>
      <c r="AM28" s="28"/>
      <c r="AN28" s="28"/>
      <c r="AO28" s="35"/>
      <c r="AP28" s="58"/>
      <c r="AQ28" s="59"/>
      <c r="AR28" s="59"/>
      <c r="AS28" s="59"/>
      <c r="AT28" s="60"/>
      <c r="AU28" s="59"/>
      <c r="AV28" s="61"/>
      <c r="AW28" s="61"/>
      <c r="AX28" s="260" t="s">
        <v>33</v>
      </c>
      <c r="AY28" s="283"/>
      <c r="AZ28" s="33"/>
      <c r="BA28" s="46"/>
      <c r="BB28" s="78"/>
      <c r="BC28" s="34"/>
      <c r="BD28" s="28"/>
      <c r="BE28" s="35"/>
      <c r="BF28" s="35"/>
      <c r="BG28" s="35"/>
    </row>
    <row r="29" spans="1:59" ht="13.5" customHeight="1">
      <c r="A29" s="22"/>
      <c r="B29" s="32"/>
      <c r="C29" s="287" t="s">
        <v>124</v>
      </c>
      <c r="D29" s="41"/>
      <c r="E29" s="41"/>
      <c r="F29" s="41"/>
      <c r="G29" s="41"/>
      <c r="H29" s="163"/>
      <c r="I29" s="164"/>
      <c r="J29" s="165"/>
      <c r="K29" s="164"/>
      <c r="L29" s="165"/>
      <c r="M29" s="164"/>
      <c r="N29" s="166"/>
      <c r="O29" s="164"/>
      <c r="P29" s="165"/>
      <c r="Q29" s="165"/>
      <c r="R29" s="165"/>
      <c r="S29" s="167"/>
      <c r="T29" s="167"/>
      <c r="U29" s="167"/>
      <c r="V29" s="167"/>
      <c r="W29" s="167"/>
      <c r="X29" s="166"/>
      <c r="Y29" s="167"/>
      <c r="Z29" s="165"/>
      <c r="AA29" s="166"/>
      <c r="AB29" s="167"/>
      <c r="AC29" s="165"/>
      <c r="AD29" s="166"/>
      <c r="AE29" s="165"/>
      <c r="AF29" s="165"/>
      <c r="AG29" s="166"/>
      <c r="AH29" s="165"/>
      <c r="AI29" s="165"/>
      <c r="AJ29" s="168"/>
      <c r="AK29" s="165"/>
      <c r="AL29" s="165"/>
      <c r="AM29" s="165"/>
      <c r="AN29" s="165"/>
      <c r="AO29" s="165"/>
      <c r="AP29" s="165"/>
      <c r="AQ29" s="165"/>
      <c r="AR29" s="165"/>
      <c r="AS29" s="165"/>
      <c r="AT29" s="165"/>
      <c r="AU29" s="165"/>
      <c r="AV29" s="165"/>
      <c r="AW29" s="165"/>
      <c r="AX29" s="160" t="s">
        <v>37</v>
      </c>
      <c r="AY29" s="283"/>
      <c r="AZ29" s="33"/>
      <c r="BA29" s="46"/>
      <c r="BB29" s="78"/>
      <c r="BC29" s="34"/>
      <c r="BD29" s="28"/>
      <c r="BE29" s="35"/>
      <c r="BF29" s="35"/>
      <c r="BG29" s="35"/>
    </row>
    <row r="30" spans="1:59" ht="13.5" customHeight="1">
      <c r="A30" s="22"/>
      <c r="B30" s="32"/>
      <c r="C30" s="287"/>
      <c r="D30" s="41"/>
      <c r="E30" s="41"/>
      <c r="F30" s="41"/>
      <c r="G30" s="41"/>
      <c r="H30" s="169"/>
      <c r="I30" s="170"/>
      <c r="J30" s="171"/>
      <c r="K30" s="170"/>
      <c r="L30" s="171"/>
      <c r="M30" s="170"/>
      <c r="N30" s="172"/>
      <c r="O30" s="170"/>
      <c r="P30" s="171"/>
      <c r="Q30" s="171"/>
      <c r="R30" s="171"/>
      <c r="S30" s="173"/>
      <c r="T30" s="173"/>
      <c r="U30" s="173"/>
      <c r="V30" s="173"/>
      <c r="W30" s="173"/>
      <c r="X30" s="172"/>
      <c r="Y30" s="173"/>
      <c r="Z30" s="171"/>
      <c r="AA30" s="172"/>
      <c r="AB30" s="173"/>
      <c r="AC30" s="171"/>
      <c r="AD30" s="172"/>
      <c r="AE30" s="171"/>
      <c r="AF30" s="171"/>
      <c r="AG30" s="172"/>
      <c r="AH30" s="171"/>
      <c r="AI30" s="171"/>
      <c r="AJ30" s="174"/>
      <c r="AK30" s="171"/>
      <c r="AL30" s="171"/>
      <c r="AM30" s="171"/>
      <c r="AN30" s="171"/>
      <c r="AO30" s="171"/>
      <c r="AP30" s="171"/>
      <c r="AQ30" s="171"/>
      <c r="AR30" s="171"/>
      <c r="AS30" s="171"/>
      <c r="AT30" s="171"/>
      <c r="AU30" s="171"/>
      <c r="AV30" s="171"/>
      <c r="AW30" s="171"/>
      <c r="AX30" s="122" t="s">
        <v>33</v>
      </c>
      <c r="AY30" s="283"/>
      <c r="AZ30" s="33"/>
      <c r="BA30" s="46"/>
      <c r="BB30" s="78"/>
      <c r="BC30" s="34"/>
      <c r="BD30" s="28"/>
      <c r="BE30" s="35"/>
      <c r="BF30" s="35"/>
      <c r="BG30" s="35"/>
    </row>
    <row r="31" spans="1:59" ht="13.5" customHeight="1">
      <c r="A31" s="22"/>
      <c r="B31" s="32"/>
      <c r="C31" s="287" t="s">
        <v>126</v>
      </c>
      <c r="D31" s="41"/>
      <c r="E31" s="41"/>
      <c r="F31" s="41"/>
      <c r="G31" s="41"/>
      <c r="H31" s="163" t="s">
        <v>171</v>
      </c>
      <c r="I31" s="164"/>
      <c r="J31" s="165"/>
      <c r="K31" s="164"/>
      <c r="L31" s="165"/>
      <c r="M31" s="164"/>
      <c r="N31" s="166"/>
      <c r="O31" s="164"/>
      <c r="P31" s="165"/>
      <c r="Q31" s="165"/>
      <c r="R31" s="165"/>
      <c r="S31" s="167"/>
      <c r="T31" s="167"/>
      <c r="U31" s="167"/>
      <c r="V31" s="167"/>
      <c r="W31" s="167"/>
      <c r="X31" s="166"/>
      <c r="Y31" s="167"/>
      <c r="Z31" s="165"/>
      <c r="AA31" s="166"/>
      <c r="AB31" s="167"/>
      <c r="AC31" s="165"/>
      <c r="AD31" s="166"/>
      <c r="AE31" s="165"/>
      <c r="AF31" s="165"/>
      <c r="AG31" s="166"/>
      <c r="AH31" s="165"/>
      <c r="AI31" s="165"/>
      <c r="AJ31" s="168"/>
      <c r="AK31" s="165"/>
      <c r="AL31" s="165"/>
      <c r="AM31" s="165"/>
      <c r="AN31" s="165"/>
      <c r="AO31" s="165"/>
      <c r="AP31" s="165"/>
      <c r="AQ31" s="165"/>
      <c r="AR31" s="165"/>
      <c r="AS31" s="165"/>
      <c r="AT31" s="165"/>
      <c r="AU31" s="165"/>
      <c r="AV31" s="165"/>
      <c r="AW31" s="165"/>
      <c r="AX31" s="160" t="s">
        <v>37</v>
      </c>
      <c r="AY31" s="283"/>
      <c r="AZ31" s="33"/>
      <c r="BA31" s="46"/>
      <c r="BB31" s="78"/>
      <c r="BC31" s="34"/>
      <c r="BD31" s="28"/>
      <c r="BE31" s="35"/>
      <c r="BF31" s="35"/>
      <c r="BG31" s="35"/>
    </row>
    <row r="32" spans="1:59" ht="13.5" customHeight="1">
      <c r="A32" s="22"/>
      <c r="B32" s="32"/>
      <c r="C32" s="287"/>
      <c r="D32" s="41"/>
      <c r="E32" s="41"/>
      <c r="F32" s="41"/>
      <c r="G32" s="41"/>
      <c r="H32" s="169"/>
      <c r="I32" s="170"/>
      <c r="J32" s="171"/>
      <c r="K32" s="170"/>
      <c r="L32" s="171"/>
      <c r="M32" s="170"/>
      <c r="N32" s="172"/>
      <c r="O32" s="170"/>
      <c r="P32" s="171"/>
      <c r="Q32" s="171"/>
      <c r="R32" s="171"/>
      <c r="S32" s="173"/>
      <c r="T32" s="173"/>
      <c r="U32" s="173"/>
      <c r="V32" s="173"/>
      <c r="W32" s="173"/>
      <c r="X32" s="172"/>
      <c r="Y32" s="173"/>
      <c r="Z32" s="171"/>
      <c r="AA32" s="172"/>
      <c r="AB32" s="173"/>
      <c r="AC32" s="171"/>
      <c r="AD32" s="172"/>
      <c r="AE32" s="171"/>
      <c r="AF32" s="171"/>
      <c r="AG32" s="172"/>
      <c r="AH32" s="171"/>
      <c r="AI32" s="171"/>
      <c r="AJ32" s="174"/>
      <c r="AK32" s="171"/>
      <c r="AL32" s="171"/>
      <c r="AM32" s="171"/>
      <c r="AN32" s="171"/>
      <c r="AO32" s="171"/>
      <c r="AP32" s="171"/>
      <c r="AQ32" s="171"/>
      <c r="AR32" s="171"/>
      <c r="AS32" s="171"/>
      <c r="AT32" s="171"/>
      <c r="AU32" s="171"/>
      <c r="AV32" s="171"/>
      <c r="AW32" s="171"/>
      <c r="AX32" s="122" t="s">
        <v>33</v>
      </c>
      <c r="AY32" s="283"/>
      <c r="AZ32" s="33"/>
      <c r="BA32" s="46"/>
      <c r="BB32" s="78"/>
      <c r="BC32" s="34"/>
      <c r="BD32" s="28"/>
      <c r="BE32" s="35"/>
      <c r="BF32" s="35"/>
      <c r="BG32" s="35"/>
    </row>
    <row r="33" spans="1:74" ht="13.5" customHeight="1">
      <c r="A33" s="22"/>
      <c r="B33" s="32"/>
      <c r="C33" s="287" t="s">
        <v>127</v>
      </c>
      <c r="D33" s="41"/>
      <c r="E33" s="41"/>
      <c r="F33" s="41"/>
      <c r="G33" s="41"/>
      <c r="H33" s="163"/>
      <c r="I33" s="164"/>
      <c r="J33" s="165"/>
      <c r="K33" s="164"/>
      <c r="L33" s="165"/>
      <c r="M33" s="164"/>
      <c r="N33" s="166"/>
      <c r="O33" s="164"/>
      <c r="P33" s="165"/>
      <c r="Q33" s="165"/>
      <c r="R33" s="165"/>
      <c r="S33" s="167"/>
      <c r="T33" s="167"/>
      <c r="U33" s="167"/>
      <c r="V33" s="167"/>
      <c r="W33" s="167"/>
      <c r="X33" s="166"/>
      <c r="Y33" s="167"/>
      <c r="Z33" s="165"/>
      <c r="AA33" s="166"/>
      <c r="AB33" s="167"/>
      <c r="AC33" s="165"/>
      <c r="AD33" s="166"/>
      <c r="AE33" s="165"/>
      <c r="AF33" s="165"/>
      <c r="AG33" s="166"/>
      <c r="AH33" s="165"/>
      <c r="AI33" s="165"/>
      <c r="AJ33" s="168"/>
      <c r="AK33" s="165"/>
      <c r="AL33" s="165"/>
      <c r="AM33" s="165"/>
      <c r="AN33" s="165"/>
      <c r="AO33" s="165"/>
      <c r="AP33" s="165"/>
      <c r="AQ33" s="165"/>
      <c r="AR33" s="165"/>
      <c r="AS33" s="165"/>
      <c r="AT33" s="165"/>
      <c r="AU33" s="165"/>
      <c r="AV33" s="165"/>
      <c r="AW33" s="165"/>
      <c r="AX33" s="160" t="s">
        <v>37</v>
      </c>
      <c r="AY33" s="283"/>
      <c r="AZ33" s="33"/>
      <c r="BA33" s="46"/>
      <c r="BB33" s="78"/>
      <c r="BC33" s="34"/>
      <c r="BD33" s="28"/>
      <c r="BE33" s="35"/>
      <c r="BF33" s="35"/>
      <c r="BG33" s="35"/>
    </row>
    <row r="34" spans="1:74" ht="13.5" customHeight="1">
      <c r="A34" s="22"/>
      <c r="B34" s="32"/>
      <c r="C34" s="287"/>
      <c r="D34" s="41"/>
      <c r="E34" s="41"/>
      <c r="F34" s="41"/>
      <c r="G34" s="41"/>
      <c r="H34" s="169"/>
      <c r="I34" s="170"/>
      <c r="J34" s="171"/>
      <c r="K34" s="170"/>
      <c r="L34" s="171"/>
      <c r="M34" s="170"/>
      <c r="N34" s="172"/>
      <c r="O34" s="170"/>
      <c r="P34" s="171"/>
      <c r="Q34" s="171"/>
      <c r="R34" s="171"/>
      <c r="S34" s="173"/>
      <c r="T34" s="173"/>
      <c r="U34" s="173"/>
      <c r="V34" s="173"/>
      <c r="W34" s="173"/>
      <c r="X34" s="172"/>
      <c r="Y34" s="173"/>
      <c r="Z34" s="171"/>
      <c r="AA34" s="172"/>
      <c r="AB34" s="173"/>
      <c r="AC34" s="171"/>
      <c r="AD34" s="172"/>
      <c r="AE34" s="171"/>
      <c r="AF34" s="171"/>
      <c r="AG34" s="172"/>
      <c r="AH34" s="171"/>
      <c r="AI34" s="171"/>
      <c r="AJ34" s="174"/>
      <c r="AK34" s="171"/>
      <c r="AL34" s="171"/>
      <c r="AM34" s="171"/>
      <c r="AN34" s="171"/>
      <c r="AO34" s="171"/>
      <c r="AP34" s="171"/>
      <c r="AQ34" s="171"/>
      <c r="AR34" s="171"/>
      <c r="AS34" s="171"/>
      <c r="AT34" s="171"/>
      <c r="AU34" s="171"/>
      <c r="AV34" s="171"/>
      <c r="AW34" s="171"/>
      <c r="AX34" s="122" t="s">
        <v>33</v>
      </c>
      <c r="AY34" s="283"/>
      <c r="AZ34" s="33"/>
      <c r="BA34" s="46"/>
      <c r="BB34" s="78"/>
      <c r="BC34" s="34"/>
      <c r="BD34" s="28"/>
      <c r="BE34" s="35"/>
      <c r="BF34" s="35"/>
      <c r="BG34" s="35"/>
    </row>
    <row r="35" spans="1:74" ht="5.15" customHeight="1">
      <c r="A35" s="22"/>
      <c r="B35" s="32"/>
      <c r="C35" s="288"/>
      <c r="D35" s="289"/>
      <c r="E35" s="289"/>
      <c r="F35" s="289"/>
      <c r="G35" s="289"/>
      <c r="H35" s="290"/>
      <c r="I35" s="290"/>
      <c r="J35" s="291"/>
      <c r="K35" s="290"/>
      <c r="L35" s="291"/>
      <c r="M35" s="290"/>
      <c r="N35" s="292"/>
      <c r="O35" s="290"/>
      <c r="P35" s="291"/>
      <c r="Q35" s="291"/>
      <c r="R35" s="291"/>
      <c r="S35" s="293"/>
      <c r="T35" s="293"/>
      <c r="U35" s="293"/>
      <c r="V35" s="293"/>
      <c r="W35" s="293"/>
      <c r="X35" s="292"/>
      <c r="Y35" s="293"/>
      <c r="Z35" s="291"/>
      <c r="AA35" s="292"/>
      <c r="AB35" s="293"/>
      <c r="AC35" s="291"/>
      <c r="AD35" s="292"/>
      <c r="AE35" s="291"/>
      <c r="AF35" s="291"/>
      <c r="AG35" s="292"/>
      <c r="AH35" s="291"/>
      <c r="AI35" s="291"/>
      <c r="AJ35" s="294"/>
      <c r="AK35" s="291"/>
      <c r="AL35" s="291"/>
      <c r="AM35" s="291"/>
      <c r="AN35" s="291"/>
      <c r="AO35" s="291"/>
      <c r="AP35" s="291"/>
      <c r="AQ35" s="291"/>
      <c r="AR35" s="291"/>
      <c r="AS35" s="291"/>
      <c r="AT35" s="291"/>
      <c r="AU35" s="291"/>
      <c r="AV35" s="291"/>
      <c r="AW35" s="291"/>
      <c r="AX35" s="276"/>
      <c r="AY35" s="295"/>
      <c r="AZ35" s="33"/>
      <c r="BA35" s="46"/>
      <c r="BB35" s="78"/>
      <c r="BC35" s="34"/>
      <c r="BD35" s="28"/>
      <c r="BE35" s="35"/>
      <c r="BF35" s="35"/>
      <c r="BG35" s="35"/>
    </row>
    <row r="36" spans="1:74" ht="13.5" customHeight="1">
      <c r="A36" s="22"/>
      <c r="B36" s="32"/>
      <c r="C36" s="41"/>
      <c r="D36" s="41"/>
      <c r="E36" s="41"/>
      <c r="F36" s="41"/>
      <c r="G36" s="41"/>
      <c r="H36" s="364"/>
      <c r="I36" s="364"/>
      <c r="J36" s="365"/>
      <c r="K36" s="364"/>
      <c r="L36" s="365"/>
      <c r="M36" s="364"/>
      <c r="N36" s="366"/>
      <c r="O36" s="364"/>
      <c r="P36" s="365"/>
      <c r="Q36" s="365"/>
      <c r="R36" s="365"/>
      <c r="S36" s="367"/>
      <c r="T36" s="367"/>
      <c r="U36" s="367"/>
      <c r="V36" s="367"/>
      <c r="W36" s="367"/>
      <c r="X36" s="366"/>
      <c r="Y36" s="367"/>
      <c r="Z36" s="365"/>
      <c r="AA36" s="366"/>
      <c r="AB36" s="367"/>
      <c r="AC36" s="365"/>
      <c r="AD36" s="366"/>
      <c r="AE36" s="365"/>
      <c r="AF36" s="365"/>
      <c r="AG36" s="366"/>
      <c r="AH36" s="365"/>
      <c r="AI36" s="365"/>
      <c r="AJ36" s="368"/>
      <c r="AK36" s="365"/>
      <c r="AL36" s="365"/>
      <c r="AM36" s="365"/>
      <c r="AN36" s="365"/>
      <c r="AO36" s="365"/>
      <c r="AP36" s="365"/>
      <c r="AQ36" s="365"/>
      <c r="AR36" s="365"/>
      <c r="AS36" s="365"/>
      <c r="AT36" s="365"/>
      <c r="AU36" s="365"/>
      <c r="AV36" s="365"/>
      <c r="AW36" s="365"/>
      <c r="AX36" s="280"/>
      <c r="AY36" s="279"/>
      <c r="AZ36" s="33"/>
      <c r="BA36" s="46"/>
      <c r="BB36" s="78"/>
      <c r="BC36" s="34"/>
      <c r="BD36" s="28"/>
      <c r="BE36" s="35"/>
      <c r="BF36" s="35"/>
      <c r="BG36" s="35"/>
    </row>
    <row r="37" spans="1:74" ht="13.5" customHeight="1">
      <c r="A37" s="22"/>
      <c r="B37" s="202">
        <v>5</v>
      </c>
      <c r="C37" s="204" t="s">
        <v>264</v>
      </c>
      <c r="D37" s="28"/>
      <c r="E37" s="28"/>
      <c r="F37" s="28"/>
      <c r="G37" s="28"/>
      <c r="H37" s="121"/>
      <c r="I37" s="62"/>
      <c r="J37" s="62"/>
      <c r="K37" s="63"/>
      <c r="L37" s="69"/>
      <c r="M37" s="69"/>
      <c r="N37" s="65"/>
      <c r="O37" s="69"/>
      <c r="P37" s="65"/>
      <c r="Q37" s="65"/>
      <c r="R37" s="69"/>
      <c r="S37" s="28"/>
      <c r="T37" s="28"/>
      <c r="U37" s="28"/>
      <c r="V37" s="28"/>
      <c r="W37" s="28"/>
      <c r="X37" s="121"/>
      <c r="Y37" s="62"/>
      <c r="Z37" s="63"/>
      <c r="AA37" s="62"/>
      <c r="AB37" s="63"/>
      <c r="AC37" s="69"/>
      <c r="AD37" s="69"/>
      <c r="AE37" s="65"/>
      <c r="AF37" s="69"/>
      <c r="AG37" s="65"/>
      <c r="AH37" s="69"/>
      <c r="AI37" s="64"/>
      <c r="AJ37" s="69"/>
      <c r="AK37" s="65"/>
      <c r="AL37" s="28"/>
      <c r="AM37" s="28"/>
      <c r="AN37" s="28"/>
      <c r="AO37" s="28"/>
      <c r="AP37" s="28"/>
      <c r="AQ37" s="28"/>
      <c r="AR37" s="28"/>
      <c r="AS37" s="28"/>
      <c r="AT37" s="28"/>
      <c r="AU37" s="28"/>
      <c r="AV37" s="233"/>
      <c r="AW37" s="28"/>
      <c r="AX37" s="28"/>
      <c r="AY37" s="31"/>
      <c r="AZ37" s="33"/>
      <c r="BA37" s="46"/>
      <c r="BB37" s="159"/>
      <c r="BC37" s="115"/>
      <c r="BD37" s="28"/>
    </row>
    <row r="38" spans="1:74" ht="5.15" customHeight="1">
      <c r="A38" s="22"/>
      <c r="B38" s="202"/>
      <c r="C38" s="296"/>
      <c r="D38" s="72"/>
      <c r="E38" s="72"/>
      <c r="F38" s="72"/>
      <c r="G38" s="72"/>
      <c r="H38" s="297"/>
      <c r="I38" s="278"/>
      <c r="J38" s="278"/>
      <c r="K38" s="279"/>
      <c r="L38" s="298"/>
      <c r="M38" s="298"/>
      <c r="N38" s="263"/>
      <c r="O38" s="298"/>
      <c r="P38" s="263"/>
      <c r="Q38" s="263"/>
      <c r="R38" s="298"/>
      <c r="S38" s="72"/>
      <c r="T38" s="72"/>
      <c r="U38" s="72"/>
      <c r="V38" s="72"/>
      <c r="W38" s="72"/>
      <c r="X38" s="297"/>
      <c r="Y38" s="278"/>
      <c r="Z38" s="279"/>
      <c r="AA38" s="278"/>
      <c r="AB38" s="279"/>
      <c r="AC38" s="298"/>
      <c r="AD38" s="298"/>
      <c r="AE38" s="263"/>
      <c r="AF38" s="298"/>
      <c r="AG38" s="263"/>
      <c r="AH38" s="298"/>
      <c r="AI38" s="280"/>
      <c r="AJ38" s="298"/>
      <c r="AK38" s="263"/>
      <c r="AL38" s="72"/>
      <c r="AM38" s="72"/>
      <c r="AN38" s="72"/>
      <c r="AO38" s="72"/>
      <c r="AP38" s="72"/>
      <c r="AQ38" s="72"/>
      <c r="AR38" s="72"/>
      <c r="AS38" s="72"/>
      <c r="AT38" s="72"/>
      <c r="AU38" s="72"/>
      <c r="AV38" s="300"/>
      <c r="AW38" s="72"/>
      <c r="AX38" s="72"/>
      <c r="AY38" s="265"/>
      <c r="AZ38" s="33"/>
      <c r="BA38" s="46"/>
      <c r="BB38" s="159"/>
      <c r="BC38" s="115"/>
      <c r="BD38" s="28"/>
    </row>
    <row r="39" spans="1:74" ht="13.9" customHeight="1">
      <c r="A39" s="22"/>
      <c r="B39" s="202"/>
      <c r="C39" s="501" t="s">
        <v>282</v>
      </c>
      <c r="D39" s="28"/>
      <c r="E39" s="28"/>
      <c r="F39" s="28"/>
      <c r="G39" s="86" t="s">
        <v>277</v>
      </c>
      <c r="H39" s="86"/>
      <c r="I39" s="86"/>
      <c r="J39" s="86"/>
      <c r="K39" s="86"/>
      <c r="L39" s="322"/>
      <c r="M39" s="75"/>
      <c r="N39" s="65"/>
      <c r="O39" s="69"/>
      <c r="P39" s="65"/>
      <c r="Q39" s="65"/>
      <c r="R39" s="69"/>
      <c r="S39" s="28"/>
      <c r="T39" s="28"/>
      <c r="U39" s="28"/>
      <c r="V39" s="28"/>
      <c r="W39" s="28"/>
      <c r="X39" s="121"/>
      <c r="Y39" s="62"/>
      <c r="Z39" s="63"/>
      <c r="AA39" s="62"/>
      <c r="AB39" s="63"/>
      <c r="AC39" s="69"/>
      <c r="AD39" s="69"/>
      <c r="AE39" s="65"/>
      <c r="AF39" s="69"/>
      <c r="AG39" s="65"/>
      <c r="AH39" s="69"/>
      <c r="AI39" s="64"/>
      <c r="AJ39" s="69"/>
      <c r="AK39" s="65"/>
      <c r="AL39" s="28"/>
      <c r="AM39" s="28"/>
      <c r="AN39" s="28"/>
      <c r="AO39" s="28"/>
      <c r="AP39" s="28"/>
      <c r="AQ39" s="28"/>
      <c r="AR39" s="28"/>
      <c r="AS39" s="28"/>
      <c r="AT39" s="28"/>
      <c r="AU39" s="28"/>
      <c r="AV39" s="233"/>
      <c r="AW39" s="28"/>
      <c r="AX39" s="28"/>
      <c r="AY39" s="267"/>
      <c r="AZ39" s="33"/>
      <c r="BA39" s="46"/>
      <c r="BB39" s="159"/>
      <c r="BC39" s="115"/>
      <c r="BD39" s="28"/>
    </row>
    <row r="40" spans="1:74" ht="13.5" customHeight="1">
      <c r="A40" s="22"/>
      <c r="B40" s="202">
        <v>6</v>
      </c>
      <c r="C40" s="304" t="s">
        <v>32</v>
      </c>
      <c r="D40" s="205" t="s">
        <v>262</v>
      </c>
      <c r="E40" s="206"/>
      <c r="F40" s="206"/>
      <c r="G40" s="207"/>
      <c r="H40" s="208" t="s">
        <v>276</v>
      </c>
      <c r="I40" s="209"/>
      <c r="J40" s="209"/>
      <c r="K40" s="206"/>
      <c r="L40" s="207"/>
      <c r="M40" s="515"/>
      <c r="N40" s="28"/>
      <c r="O40" s="28"/>
      <c r="P40" s="28"/>
      <c r="Q40" s="28"/>
      <c r="R40" s="28"/>
      <c r="S40" s="35"/>
      <c r="T40" s="35"/>
      <c r="U40" s="35"/>
      <c r="V40" s="35"/>
      <c r="Y40" s="35"/>
      <c r="Z40" s="35"/>
      <c r="AD40" s="35"/>
      <c r="AE40" s="35"/>
      <c r="AF40" s="35"/>
      <c r="AG40" s="35"/>
      <c r="AH40" s="35"/>
      <c r="AI40" s="35"/>
      <c r="AJ40" s="35"/>
      <c r="AK40" s="35"/>
      <c r="AL40" s="35"/>
      <c r="AM40" s="35"/>
      <c r="AN40" s="35"/>
      <c r="AO40" s="35"/>
      <c r="AP40" s="35"/>
      <c r="AQ40" s="35"/>
      <c r="AR40" s="35"/>
      <c r="AS40" s="35"/>
      <c r="AT40" s="35"/>
      <c r="AU40" s="35"/>
      <c r="AV40" s="35"/>
      <c r="AW40" s="35"/>
      <c r="AX40" s="35"/>
      <c r="AY40" s="311"/>
      <c r="AZ40" s="33"/>
      <c r="BA40" s="46"/>
      <c r="BB40" s="159"/>
      <c r="BC40" s="115"/>
      <c r="BD40" s="35"/>
      <c r="BE40" s="35"/>
      <c r="BF40" s="35"/>
      <c r="BG40" s="35"/>
    </row>
    <row r="41" spans="1:74" ht="13.5" customHeight="1">
      <c r="A41" s="22"/>
      <c r="B41" s="202">
        <v>8</v>
      </c>
      <c r="C41" s="308">
        <v>1</v>
      </c>
      <c r="D41" s="148" t="s">
        <v>148</v>
      </c>
      <c r="E41" s="149"/>
      <c r="F41" s="149"/>
      <c r="G41" s="151"/>
      <c r="H41" s="1010">
        <v>110</v>
      </c>
      <c r="I41" s="947"/>
      <c r="J41" s="947"/>
      <c r="K41" s="947"/>
      <c r="L41" s="948"/>
      <c r="M41" s="28"/>
      <c r="N41" s="28"/>
      <c r="O41" s="28"/>
      <c r="P41" s="28"/>
      <c r="Q41" s="28"/>
      <c r="R41" s="28"/>
      <c r="S41" s="35"/>
      <c r="T41" s="35"/>
      <c r="U41" s="35"/>
      <c r="V41" s="35"/>
      <c r="Y41" s="35"/>
      <c r="Z41" s="35"/>
      <c r="AD41" s="35"/>
      <c r="AE41" s="35"/>
      <c r="AF41" s="35"/>
      <c r="AG41" s="35"/>
      <c r="AH41" s="35"/>
      <c r="AI41" s="35"/>
      <c r="AJ41" s="35"/>
      <c r="AK41" s="35"/>
      <c r="AL41" s="35"/>
      <c r="AM41" s="35"/>
      <c r="AN41" s="35"/>
      <c r="AO41" s="35"/>
      <c r="AP41" s="35"/>
      <c r="AQ41" s="35"/>
      <c r="AR41" s="35"/>
      <c r="AS41" s="35"/>
      <c r="AT41" s="35"/>
      <c r="AU41" s="35"/>
      <c r="AV41" s="35"/>
      <c r="AW41" s="35"/>
      <c r="AX41" s="35"/>
      <c r="AY41" s="311"/>
      <c r="AZ41" s="33"/>
      <c r="BA41" s="46"/>
      <c r="BB41" s="159"/>
      <c r="BC41" s="115"/>
      <c r="BD41" s="35"/>
      <c r="BE41" s="35"/>
      <c r="BF41" s="35"/>
      <c r="BG41" s="35"/>
    </row>
    <row r="42" spans="1:74" ht="13.5" customHeight="1">
      <c r="A42" s="22"/>
      <c r="B42" s="202">
        <v>9</v>
      </c>
      <c r="C42" s="308">
        <v>2</v>
      </c>
      <c r="D42" s="148" t="s">
        <v>263</v>
      </c>
      <c r="E42" s="149"/>
      <c r="F42" s="149"/>
      <c r="G42" s="151"/>
      <c r="H42" s="1010">
        <v>125</v>
      </c>
      <c r="I42" s="947"/>
      <c r="J42" s="947"/>
      <c r="K42" s="947"/>
      <c r="L42" s="948"/>
      <c r="M42" s="28"/>
      <c r="N42" s="28"/>
      <c r="O42" s="28"/>
      <c r="P42" s="28"/>
      <c r="Q42" s="28"/>
      <c r="R42" s="28"/>
      <c r="S42" s="35"/>
      <c r="T42" s="35"/>
      <c r="U42" s="35"/>
      <c r="V42" s="35"/>
      <c r="Y42" s="35"/>
      <c r="Z42" s="35"/>
      <c r="AD42" s="35"/>
      <c r="AE42" s="35"/>
      <c r="AF42" s="35"/>
      <c r="AG42" s="35"/>
      <c r="AH42" s="35"/>
      <c r="AI42" s="35"/>
      <c r="AJ42" s="35"/>
      <c r="AK42" s="35"/>
      <c r="AL42" s="35"/>
      <c r="AM42" s="35"/>
      <c r="AN42" s="35"/>
      <c r="AO42" s="35"/>
      <c r="AP42" s="35"/>
      <c r="AQ42" s="35"/>
      <c r="AR42" s="35"/>
      <c r="AS42" s="35"/>
      <c r="AT42" s="35"/>
      <c r="AU42" s="35"/>
      <c r="AV42" s="35"/>
      <c r="AW42" s="35"/>
      <c r="AX42" s="35"/>
      <c r="AY42" s="311"/>
      <c r="AZ42" s="33"/>
      <c r="BA42" s="46"/>
      <c r="BB42" s="159"/>
      <c r="BC42" s="115"/>
      <c r="BD42" s="35"/>
      <c r="BE42" s="35"/>
      <c r="BF42" s="35"/>
      <c r="BG42" s="35"/>
    </row>
    <row r="43" spans="1:74" ht="5.15" customHeight="1">
      <c r="A43" s="22"/>
      <c r="B43" s="202"/>
      <c r="C43" s="315"/>
      <c r="D43" s="73"/>
      <c r="E43" s="73"/>
      <c r="F43" s="73"/>
      <c r="G43" s="73"/>
      <c r="H43" s="316"/>
      <c r="I43" s="275"/>
      <c r="J43" s="275"/>
      <c r="K43" s="273"/>
      <c r="L43" s="317"/>
      <c r="M43" s="317"/>
      <c r="N43" s="270"/>
      <c r="O43" s="317"/>
      <c r="P43" s="270"/>
      <c r="Q43" s="270"/>
      <c r="R43" s="317"/>
      <c r="S43" s="73"/>
      <c r="T43" s="73"/>
      <c r="U43" s="73"/>
      <c r="V43" s="73"/>
      <c r="W43" s="73"/>
      <c r="X43" s="316"/>
      <c r="Y43" s="275"/>
      <c r="Z43" s="273"/>
      <c r="AA43" s="275"/>
      <c r="AB43" s="273"/>
      <c r="AC43" s="317"/>
      <c r="AD43" s="317"/>
      <c r="AE43" s="270"/>
      <c r="AF43" s="317"/>
      <c r="AG43" s="270"/>
      <c r="AH43" s="317"/>
      <c r="AI43" s="276"/>
      <c r="AJ43" s="317"/>
      <c r="AK43" s="270"/>
      <c r="AL43" s="73"/>
      <c r="AM43" s="73"/>
      <c r="AN43" s="73"/>
      <c r="AO43" s="73"/>
      <c r="AP43" s="73"/>
      <c r="AQ43" s="73"/>
      <c r="AR43" s="73"/>
      <c r="AS43" s="73"/>
      <c r="AT43" s="73"/>
      <c r="AU43" s="73"/>
      <c r="AV43" s="318"/>
      <c r="AW43" s="73"/>
      <c r="AX43" s="73"/>
      <c r="AY43" s="277"/>
      <c r="AZ43" s="33"/>
      <c r="BA43" s="46"/>
      <c r="BB43" s="159"/>
      <c r="BC43" s="115"/>
      <c r="BD43" s="28"/>
    </row>
    <row r="44" spans="1:74" ht="13.5" customHeight="1">
      <c r="A44" s="22"/>
      <c r="B44" s="202">
        <v>10</v>
      </c>
      <c r="C44" s="492"/>
      <c r="D44" s="65"/>
      <c r="E44" s="65"/>
      <c r="F44" s="65"/>
      <c r="G44" s="65"/>
      <c r="H44" s="65"/>
      <c r="I44" s="65"/>
      <c r="J44" s="65"/>
      <c r="K44" s="65"/>
      <c r="L44" s="65"/>
      <c r="M44" s="62"/>
      <c r="N44" s="63"/>
      <c r="O44" s="65"/>
      <c r="P44" s="65"/>
      <c r="Q44" s="64"/>
      <c r="R44" s="63"/>
      <c r="S44" s="190"/>
      <c r="T44" s="190"/>
      <c r="U44" s="191"/>
      <c r="V44" s="192"/>
      <c r="W44" s="190"/>
      <c r="X44" s="65"/>
      <c r="Y44" s="65"/>
      <c r="Z44" s="65"/>
      <c r="AA44" s="65"/>
      <c r="AB44" s="65"/>
      <c r="AC44" s="65"/>
      <c r="AD44" s="65"/>
      <c r="AE44" s="65"/>
      <c r="AF44" s="65"/>
      <c r="AG44" s="65"/>
      <c r="AH44" s="65"/>
      <c r="AI44" s="65"/>
      <c r="AJ44" s="65"/>
      <c r="AK44" s="65"/>
      <c r="AL44" s="65"/>
      <c r="AM44" s="63"/>
      <c r="AN44" s="63"/>
      <c r="AO44" s="63"/>
      <c r="AP44" s="63"/>
      <c r="AQ44" s="63"/>
      <c r="AR44" s="63"/>
      <c r="AS44" s="63"/>
      <c r="AT44" s="63"/>
      <c r="AU44" s="63"/>
      <c r="AV44" s="63"/>
      <c r="AW44" s="63"/>
      <c r="AX44" s="63"/>
      <c r="AY44" s="63"/>
      <c r="AZ44" s="33"/>
      <c r="BA44" s="46"/>
      <c r="BB44" s="159"/>
      <c r="BC44" s="115"/>
      <c r="BD44" s="28"/>
    </row>
    <row r="45" spans="1:74" ht="13.5" customHeight="1">
      <c r="A45" s="22"/>
      <c r="B45" s="202">
        <v>5</v>
      </c>
      <c r="C45" s="204" t="s">
        <v>63</v>
      </c>
      <c r="D45" s="28"/>
      <c r="E45" s="28"/>
      <c r="F45" s="28"/>
      <c r="G45" s="28"/>
      <c r="H45" s="121"/>
      <c r="I45" s="62"/>
      <c r="J45" s="63"/>
      <c r="K45" s="62"/>
      <c r="L45" s="63"/>
      <c r="M45" s="69"/>
      <c r="N45" s="69"/>
      <c r="O45" s="65"/>
      <c r="P45" s="69"/>
      <c r="Q45" s="65"/>
      <c r="R45" s="69"/>
      <c r="S45" s="28"/>
      <c r="T45" s="28"/>
      <c r="U45" s="28"/>
      <c r="V45" s="28"/>
      <c r="W45" s="28"/>
      <c r="X45" s="121"/>
      <c r="Y45" s="62"/>
      <c r="Z45" s="63"/>
      <c r="AA45" s="62"/>
      <c r="AB45" s="63"/>
      <c r="AC45" s="69"/>
      <c r="AD45" s="69"/>
      <c r="AE45" s="65"/>
      <c r="AF45" s="69"/>
      <c r="AG45" s="65"/>
      <c r="AH45" s="69"/>
      <c r="AI45" s="64"/>
      <c r="AJ45" s="69"/>
      <c r="AK45" s="65"/>
      <c r="AL45" s="28"/>
      <c r="AM45" s="28"/>
      <c r="AN45" s="28"/>
      <c r="AO45" s="28"/>
      <c r="AP45" s="28"/>
      <c r="AQ45" s="28"/>
      <c r="AR45" s="28"/>
      <c r="AS45" s="28"/>
      <c r="AT45" s="28"/>
      <c r="AU45" s="28"/>
      <c r="AV45" s="233"/>
      <c r="AW45" s="28"/>
      <c r="AX45" s="28"/>
      <c r="AY45" s="31"/>
      <c r="AZ45" s="33"/>
      <c r="BA45" s="46"/>
      <c r="BB45" s="159"/>
      <c r="BC45" s="115"/>
      <c r="BD45" s="28"/>
    </row>
    <row r="46" spans="1:74" ht="5.15" customHeight="1">
      <c r="A46" s="22"/>
      <c r="B46" s="202"/>
      <c r="C46" s="296"/>
      <c r="D46" s="72"/>
      <c r="E46" s="72"/>
      <c r="F46" s="72"/>
      <c r="G46" s="72"/>
      <c r="H46" s="297"/>
      <c r="I46" s="278"/>
      <c r="J46" s="279"/>
      <c r="K46" s="278"/>
      <c r="L46" s="279"/>
      <c r="M46" s="298"/>
      <c r="N46" s="298"/>
      <c r="O46" s="263"/>
      <c r="P46" s="298"/>
      <c r="Q46" s="263"/>
      <c r="R46" s="298"/>
      <c r="S46" s="72"/>
      <c r="T46" s="72"/>
      <c r="U46" s="72"/>
      <c r="V46" s="72"/>
      <c r="W46" s="72"/>
      <c r="X46" s="297"/>
      <c r="Y46" s="278"/>
      <c r="Z46" s="279"/>
      <c r="AA46" s="278"/>
      <c r="AB46" s="279"/>
      <c r="AC46" s="298"/>
      <c r="AD46" s="298"/>
      <c r="AE46" s="263"/>
      <c r="AF46" s="298"/>
      <c r="AG46" s="263"/>
      <c r="AH46" s="298"/>
      <c r="AI46" s="280"/>
      <c r="AJ46" s="298"/>
      <c r="AK46" s="263"/>
      <c r="AL46" s="72"/>
      <c r="AM46" s="72"/>
      <c r="AN46" s="72"/>
      <c r="AO46" s="72"/>
      <c r="AP46" s="72"/>
      <c r="AQ46" s="72"/>
      <c r="AR46" s="72"/>
      <c r="AS46" s="72"/>
      <c r="AT46" s="72"/>
      <c r="AU46" s="72"/>
      <c r="AV46" s="300"/>
      <c r="AW46" s="72"/>
      <c r="AX46" s="72"/>
      <c r="AY46" s="264"/>
      <c r="AZ46" s="264"/>
      <c r="BA46" s="301"/>
      <c r="BB46" s="302"/>
      <c r="BC46" s="303"/>
      <c r="BD46" s="28"/>
    </row>
    <row r="47" spans="1:74" ht="13.5" customHeight="1">
      <c r="A47" s="22"/>
      <c r="B47" s="45"/>
      <c r="C47" s="266"/>
      <c r="D47" s="28" t="s">
        <v>288</v>
      </c>
      <c r="E47" s="28"/>
      <c r="F47" s="28"/>
      <c r="G47" s="28"/>
      <c r="H47" s="86" t="s">
        <v>146</v>
      </c>
      <c r="I47" s="86"/>
      <c r="J47" s="86"/>
      <c r="K47" s="86"/>
      <c r="L47" s="86"/>
      <c r="M47" s="322"/>
      <c r="N47" s="87"/>
      <c r="O47" s="88"/>
      <c r="P47" s="88"/>
      <c r="Q47" s="89"/>
      <c r="R47" s="87"/>
      <c r="S47" s="87"/>
      <c r="T47" s="87"/>
      <c r="U47" s="88"/>
      <c r="V47" s="89"/>
      <c r="W47" s="87"/>
      <c r="X47" s="65"/>
      <c r="Y47" s="28"/>
      <c r="Z47" s="28"/>
      <c r="AA47" s="28"/>
      <c r="AB47" s="28"/>
      <c r="AC47" s="28"/>
      <c r="AD47" s="28"/>
      <c r="AE47" s="28"/>
      <c r="AF47" s="28"/>
      <c r="AG47" s="28"/>
      <c r="AH47" s="28"/>
      <c r="AI47" s="28"/>
      <c r="AJ47" s="28"/>
      <c r="AK47" s="28"/>
      <c r="AL47" s="28"/>
      <c r="AM47" s="31"/>
      <c r="AN47" s="31"/>
      <c r="AO47" s="31"/>
      <c r="AP47" s="31"/>
      <c r="AQ47" s="31"/>
      <c r="AR47" s="31"/>
      <c r="AS47" s="31"/>
      <c r="AT47" s="31"/>
      <c r="AU47" s="31"/>
      <c r="AV47" s="31"/>
      <c r="AW47" s="31"/>
      <c r="AX47" s="65"/>
      <c r="AY47" s="31"/>
      <c r="AZ47" s="52"/>
      <c r="BA47" s="93"/>
      <c r="BB47" s="327"/>
      <c r="BC47" s="328"/>
      <c r="BD47" s="28"/>
      <c r="BE47" s="35"/>
      <c r="BF47" s="35"/>
      <c r="BG47" s="35"/>
    </row>
    <row r="48" spans="1:74" ht="13.5" customHeight="1">
      <c r="A48" s="22"/>
      <c r="B48" s="202">
        <v>6</v>
      </c>
      <c r="C48" s="304" t="s">
        <v>32</v>
      </c>
      <c r="D48" s="205" t="s">
        <v>64</v>
      </c>
      <c r="E48" s="206"/>
      <c r="F48" s="206"/>
      <c r="G48" s="207"/>
      <c r="H48" s="208" t="s">
        <v>73</v>
      </c>
      <c r="I48" s="209"/>
      <c r="J48" s="209"/>
      <c r="K48" s="209"/>
      <c r="L48" s="206"/>
      <c r="M48" s="207"/>
      <c r="N48" s="205" t="s">
        <v>74</v>
      </c>
      <c r="O48" s="206"/>
      <c r="P48" s="206"/>
      <c r="Q48" s="207"/>
      <c r="R48" s="205" t="s">
        <v>75</v>
      </c>
      <c r="S48" s="206"/>
      <c r="T48" s="206"/>
      <c r="U48" s="206"/>
      <c r="V48" s="210" t="s">
        <v>292</v>
      </c>
      <c r="W48" s="211"/>
      <c r="X48" s="211"/>
      <c r="Y48" s="212"/>
      <c r="Z48" s="210" t="s">
        <v>150</v>
      </c>
      <c r="AA48" s="211"/>
      <c r="AB48" s="211"/>
      <c r="AC48" s="212"/>
      <c r="AD48" s="210" t="s">
        <v>293</v>
      </c>
      <c r="AE48" s="211"/>
      <c r="AF48" s="211"/>
      <c r="AG48" s="212"/>
      <c r="AH48" s="211" t="s">
        <v>76</v>
      </c>
      <c r="AI48" s="211"/>
      <c r="AJ48" s="211"/>
      <c r="AK48" s="212"/>
      <c r="AL48" s="211" t="s">
        <v>89</v>
      </c>
      <c r="AM48" s="211"/>
      <c r="AN48" s="211"/>
      <c r="AO48" s="212"/>
      <c r="AP48" s="210" t="s">
        <v>153</v>
      </c>
      <c r="AQ48" s="211"/>
      <c r="AR48" s="211"/>
      <c r="AS48" s="211"/>
      <c r="AT48" s="210" t="s">
        <v>154</v>
      </c>
      <c r="AU48" s="211"/>
      <c r="AV48" s="211"/>
      <c r="AW48" s="211"/>
      <c r="AX48" s="210" t="s">
        <v>83</v>
      </c>
      <c r="AY48" s="211"/>
      <c r="AZ48" s="211"/>
      <c r="BA48" s="212"/>
      <c r="BB48" s="210" t="s">
        <v>87</v>
      </c>
      <c r="BC48" s="211"/>
      <c r="BD48" s="211"/>
      <c r="BE48" s="212"/>
      <c r="BF48" s="210" t="s">
        <v>156</v>
      </c>
      <c r="BG48" s="211"/>
      <c r="BH48" s="211"/>
      <c r="BI48" s="212"/>
      <c r="BJ48" s="305" t="s">
        <v>86</v>
      </c>
      <c r="BK48" s="211"/>
      <c r="BL48" s="211"/>
      <c r="BM48" s="212"/>
      <c r="BN48" s="211" t="s">
        <v>69</v>
      </c>
      <c r="BO48" s="211"/>
      <c r="BP48" s="211"/>
      <c r="BQ48" s="212"/>
      <c r="BR48" s="28"/>
      <c r="BS48" s="28"/>
      <c r="BT48" s="28"/>
      <c r="BU48" s="28"/>
      <c r="BV48" s="28"/>
    </row>
    <row r="49" spans="1:74" ht="13.5" customHeight="1">
      <c r="A49" s="22"/>
      <c r="B49" s="202">
        <v>7</v>
      </c>
      <c r="C49" s="306"/>
      <c r="D49" s="213" t="s">
        <v>30</v>
      </c>
      <c r="E49" s="216"/>
      <c r="F49" s="214"/>
      <c r="G49" s="215"/>
      <c r="H49" s="213" t="s">
        <v>30</v>
      </c>
      <c r="I49" s="216"/>
      <c r="J49" s="216"/>
      <c r="K49" s="216"/>
      <c r="L49" s="214"/>
      <c r="M49" s="215"/>
      <c r="N49" s="213" t="s">
        <v>30</v>
      </c>
      <c r="O49" s="214"/>
      <c r="P49" s="214"/>
      <c r="Q49" s="215"/>
      <c r="R49" s="213" t="s">
        <v>30</v>
      </c>
      <c r="S49" s="216"/>
      <c r="T49" s="214"/>
      <c r="U49" s="214"/>
      <c r="V49" s="217" t="s">
        <v>43</v>
      </c>
      <c r="W49" s="218"/>
      <c r="X49" s="219"/>
      <c r="Y49" s="220"/>
      <c r="Z49" s="217" t="s">
        <v>30</v>
      </c>
      <c r="AA49" s="218"/>
      <c r="AB49" s="219"/>
      <c r="AC49" s="220"/>
      <c r="AD49" s="217" t="s">
        <v>43</v>
      </c>
      <c r="AE49" s="218"/>
      <c r="AF49" s="219"/>
      <c r="AG49" s="220"/>
      <c r="AH49" s="218" t="s">
        <v>30</v>
      </c>
      <c r="AI49" s="500"/>
      <c r="AJ49" s="219"/>
      <c r="AK49" s="220"/>
      <c r="AL49" s="500"/>
      <c r="AM49" s="218"/>
      <c r="AN49" s="219"/>
      <c r="AO49" s="220"/>
      <c r="AP49" s="217" t="s">
        <v>43</v>
      </c>
      <c r="AQ49" s="218"/>
      <c r="AR49" s="219"/>
      <c r="AS49" s="219"/>
      <c r="AT49" s="217" t="s">
        <v>155</v>
      </c>
      <c r="AU49" s="218"/>
      <c r="AV49" s="219"/>
      <c r="AW49" s="219"/>
      <c r="AX49" s="217" t="s">
        <v>155</v>
      </c>
      <c r="AY49" s="218"/>
      <c r="AZ49" s="219"/>
      <c r="BA49" s="220"/>
      <c r="BB49" s="217" t="s">
        <v>88</v>
      </c>
      <c r="BC49" s="218"/>
      <c r="BD49" s="219"/>
      <c r="BE49" s="220"/>
      <c r="BF49" s="217" t="s">
        <v>157</v>
      </c>
      <c r="BG49" s="218"/>
      <c r="BH49" s="219"/>
      <c r="BI49" s="220"/>
      <c r="BJ49" s="307" t="s">
        <v>43</v>
      </c>
      <c r="BK49" s="218"/>
      <c r="BL49" s="219"/>
      <c r="BM49" s="220"/>
      <c r="BN49" s="218" t="s">
        <v>43</v>
      </c>
      <c r="BO49" s="218"/>
      <c r="BP49" s="219"/>
      <c r="BQ49" s="220"/>
      <c r="BR49" s="28"/>
      <c r="BS49" s="28"/>
      <c r="BT49" s="28"/>
      <c r="BU49" s="28"/>
      <c r="BV49" s="28"/>
    </row>
    <row r="50" spans="1:74" ht="13.5" customHeight="1">
      <c r="A50" s="22"/>
      <c r="B50" s="202">
        <v>8</v>
      </c>
      <c r="C50" s="308">
        <v>1</v>
      </c>
      <c r="D50" s="148" t="s">
        <v>158</v>
      </c>
      <c r="E50" s="149"/>
      <c r="F50" s="149"/>
      <c r="G50" s="151"/>
      <c r="H50" s="242" t="s">
        <v>159</v>
      </c>
      <c r="I50" s="150"/>
      <c r="J50" s="150"/>
      <c r="K50" s="150"/>
      <c r="L50" s="161"/>
      <c r="M50" s="162"/>
      <c r="N50" s="242" t="s">
        <v>160</v>
      </c>
      <c r="O50" s="150"/>
      <c r="P50" s="150"/>
      <c r="Q50" s="99" t="s">
        <v>33</v>
      </c>
      <c r="R50" s="958">
        <v>70000</v>
      </c>
      <c r="S50" s="959"/>
      <c r="T50" s="959"/>
      <c r="U50" s="960"/>
      <c r="V50" s="148" t="s">
        <v>148</v>
      </c>
      <c r="W50" s="150"/>
      <c r="X50" s="150"/>
      <c r="Y50" s="99" t="s">
        <v>33</v>
      </c>
      <c r="Z50" s="998">
        <v>6.7299999999999999E-2</v>
      </c>
      <c r="AA50" s="999"/>
      <c r="AB50" s="999"/>
      <c r="AC50" s="1000"/>
      <c r="AD50" s="148" t="s">
        <v>148</v>
      </c>
      <c r="AE50" s="150"/>
      <c r="AF50" s="150"/>
      <c r="AG50" s="99" t="s">
        <v>33</v>
      </c>
      <c r="AH50" s="998">
        <v>0.1211</v>
      </c>
      <c r="AI50" s="999"/>
      <c r="AJ50" s="999"/>
      <c r="AK50" s="1000"/>
      <c r="AL50" s="998"/>
      <c r="AM50" s="999"/>
      <c r="AN50" s="999"/>
      <c r="AO50" s="1000"/>
      <c r="AP50" s="1007">
        <v>0.01</v>
      </c>
      <c r="AQ50" s="1008"/>
      <c r="AR50" s="1008"/>
      <c r="AS50" s="1009"/>
      <c r="AT50" s="998">
        <v>0.13589999999999999</v>
      </c>
      <c r="AU50" s="999"/>
      <c r="AV50" s="999"/>
      <c r="AW50" s="1000"/>
      <c r="AX50" s="998">
        <v>0.151</v>
      </c>
      <c r="AY50" s="999"/>
      <c r="AZ50" s="999"/>
      <c r="BA50" s="1000"/>
      <c r="BB50" s="998">
        <v>0.151</v>
      </c>
      <c r="BC50" s="999"/>
      <c r="BD50" s="999"/>
      <c r="BE50" s="1000"/>
      <c r="BF50" s="998">
        <v>6.1000000000000004E-3</v>
      </c>
      <c r="BG50" s="999"/>
      <c r="BH50" s="999"/>
      <c r="BI50" s="1000"/>
      <c r="BJ50" s="992"/>
      <c r="BK50" s="993"/>
      <c r="BL50" s="993"/>
      <c r="BM50" s="994"/>
      <c r="BN50" s="149" t="s">
        <v>30</v>
      </c>
      <c r="BO50" s="150"/>
      <c r="BP50" s="150"/>
      <c r="BQ50" s="152"/>
      <c r="BR50" s="28"/>
      <c r="BS50" s="28"/>
      <c r="BT50" s="28"/>
      <c r="BU50" s="28"/>
      <c r="BV50" s="28"/>
    </row>
    <row r="51" spans="1:74" ht="13.5" customHeight="1">
      <c r="A51" s="22"/>
      <c r="B51" s="202">
        <v>9</v>
      </c>
      <c r="C51" s="308">
        <v>2</v>
      </c>
      <c r="D51" s="148"/>
      <c r="E51" s="149"/>
      <c r="F51" s="149"/>
      <c r="G51" s="151"/>
      <c r="H51" s="242"/>
      <c r="I51" s="150"/>
      <c r="J51" s="150"/>
      <c r="K51" s="150"/>
      <c r="L51" s="161"/>
      <c r="M51" s="162"/>
      <c r="N51" s="242"/>
      <c r="O51" s="150"/>
      <c r="P51" s="150"/>
      <c r="Q51" s="99" t="s">
        <v>33</v>
      </c>
      <c r="R51" s="958"/>
      <c r="S51" s="959"/>
      <c r="T51" s="959"/>
      <c r="U51" s="960"/>
      <c r="V51" s="148"/>
      <c r="W51" s="150"/>
      <c r="X51" s="150"/>
      <c r="Y51" s="99" t="s">
        <v>33</v>
      </c>
      <c r="Z51" s="946"/>
      <c r="AA51" s="968"/>
      <c r="AB51" s="968"/>
      <c r="AC51" s="969"/>
      <c r="AD51" s="148"/>
      <c r="AE51" s="150"/>
      <c r="AF51" s="150"/>
      <c r="AG51" s="99" t="s">
        <v>33</v>
      </c>
      <c r="AH51" s="946"/>
      <c r="AI51" s="968"/>
      <c r="AJ51" s="968"/>
      <c r="AK51" s="969"/>
      <c r="AL51" s="946"/>
      <c r="AM51" s="968"/>
      <c r="AN51" s="968"/>
      <c r="AO51" s="969"/>
      <c r="AP51" s="946"/>
      <c r="AQ51" s="968"/>
      <c r="AR51" s="968"/>
      <c r="AS51" s="969"/>
      <c r="AT51" s="946"/>
      <c r="AU51" s="968"/>
      <c r="AV51" s="968"/>
      <c r="AW51" s="969"/>
      <c r="AX51" s="946"/>
      <c r="AY51" s="968"/>
      <c r="AZ51" s="968"/>
      <c r="BA51" s="969"/>
      <c r="BB51" s="946"/>
      <c r="BC51" s="968"/>
      <c r="BD51" s="968"/>
      <c r="BE51" s="969"/>
      <c r="BF51" s="946"/>
      <c r="BG51" s="968"/>
      <c r="BH51" s="968"/>
      <c r="BI51" s="969"/>
      <c r="BJ51" s="148"/>
      <c r="BK51" s="150"/>
      <c r="BL51" s="150"/>
      <c r="BM51" s="152"/>
      <c r="BN51" s="149"/>
      <c r="BO51" s="150"/>
      <c r="BP51" s="150"/>
      <c r="BQ51" s="152"/>
      <c r="BR51" s="28"/>
      <c r="BS51" s="28"/>
      <c r="BT51" s="28"/>
      <c r="BU51" s="28"/>
      <c r="BV51" s="28"/>
    </row>
    <row r="52" spans="1:74" ht="13.5" customHeight="1">
      <c r="A52" s="22"/>
      <c r="B52" s="202">
        <v>10</v>
      </c>
      <c r="C52" s="310"/>
      <c r="D52" s="65"/>
      <c r="E52" s="65"/>
      <c r="F52" s="65"/>
      <c r="G52" s="65"/>
      <c r="H52" s="65"/>
      <c r="I52" s="65"/>
      <c r="J52" s="65"/>
      <c r="K52" s="65"/>
      <c r="L52" s="65"/>
      <c r="M52" s="62"/>
      <c r="N52" s="63"/>
      <c r="O52" s="65"/>
      <c r="P52" s="65"/>
      <c r="Q52" s="64"/>
      <c r="R52" s="63"/>
      <c r="S52" s="190"/>
      <c r="T52" s="190"/>
      <c r="U52" s="191"/>
      <c r="V52" s="192"/>
      <c r="W52" s="190"/>
      <c r="X52" s="65"/>
      <c r="Y52" s="65"/>
      <c r="Z52" s="65"/>
      <c r="AB52" s="65"/>
      <c r="AC52" s="65"/>
      <c r="AD52" s="65"/>
      <c r="AE52" s="65"/>
      <c r="AF52" s="65"/>
      <c r="AG52" s="65"/>
      <c r="AH52" s="65"/>
      <c r="AI52" s="65"/>
      <c r="AJ52" s="65"/>
      <c r="AK52" s="65"/>
      <c r="AL52" s="65"/>
      <c r="AM52" s="63"/>
      <c r="AN52" s="63"/>
      <c r="AO52" s="63"/>
      <c r="AP52" s="63"/>
      <c r="AQ52" s="63"/>
      <c r="AR52" s="63"/>
      <c r="AS52" s="63"/>
      <c r="AT52" s="63"/>
      <c r="AU52" s="63"/>
      <c r="AV52" s="63"/>
      <c r="AW52" s="63"/>
      <c r="AX52" s="63"/>
      <c r="AY52" s="63"/>
      <c r="AZ52" s="31"/>
      <c r="BA52" s="35"/>
      <c r="BB52" s="35"/>
      <c r="BC52" s="311"/>
      <c r="BD52" s="28"/>
    </row>
    <row r="53" spans="1:74" ht="13.5" customHeight="1">
      <c r="A53" s="22"/>
      <c r="B53" s="202">
        <v>11</v>
      </c>
      <c r="C53" s="312"/>
      <c r="D53" s="65"/>
      <c r="E53" s="65"/>
      <c r="F53" s="65"/>
      <c r="G53" s="65"/>
      <c r="H53" s="65"/>
      <c r="I53" s="65"/>
      <c r="J53" s="65"/>
      <c r="K53" s="65"/>
      <c r="L53" s="65"/>
      <c r="M53" s="65"/>
      <c r="N53" s="65"/>
      <c r="O53" s="65"/>
      <c r="P53" s="65"/>
      <c r="Q53" s="65"/>
      <c r="R53" s="65"/>
      <c r="S53" s="65"/>
      <c r="T53" s="65"/>
      <c r="U53" s="65"/>
      <c r="V53" s="63"/>
      <c r="W53" s="63"/>
      <c r="X53" s="75"/>
      <c r="Y53" s="63"/>
      <c r="Z53" s="63"/>
      <c r="AA53" s="69"/>
      <c r="AB53" s="65"/>
      <c r="AC53" s="63"/>
      <c r="AD53" s="65"/>
      <c r="AE53" s="65"/>
      <c r="AF53" s="65"/>
      <c r="AG53" s="69"/>
      <c r="AH53" s="65"/>
      <c r="AI53" s="75"/>
      <c r="AJ53" s="63"/>
      <c r="AK53" s="63"/>
      <c r="AL53" s="63"/>
      <c r="AM53" s="63"/>
      <c r="AN53" s="125"/>
      <c r="AO53" s="62"/>
      <c r="AP53" s="62"/>
      <c r="AQ53" s="63"/>
      <c r="AR53" s="63"/>
      <c r="AS53" s="63"/>
      <c r="AT53" s="64"/>
      <c r="AU53" s="63"/>
      <c r="AV53" s="65"/>
      <c r="AW53" s="65"/>
      <c r="AX53" s="65"/>
      <c r="AY53" s="63"/>
      <c r="AZ53" s="31"/>
      <c r="BA53" s="35"/>
      <c r="BB53" s="35"/>
      <c r="BC53" s="311"/>
      <c r="BD53" s="28"/>
    </row>
    <row r="54" spans="1:74" ht="15.75" customHeight="1">
      <c r="A54" s="22"/>
      <c r="B54" s="202">
        <v>12</v>
      </c>
      <c r="C54" s="310"/>
      <c r="D54" s="65"/>
      <c r="E54" s="65"/>
      <c r="F54" s="65"/>
      <c r="G54" s="65"/>
      <c r="H54" s="65"/>
      <c r="I54" s="65"/>
      <c r="J54" s="65"/>
      <c r="K54" s="65"/>
      <c r="L54" s="65"/>
      <c r="M54" s="62"/>
      <c r="N54" s="65"/>
      <c r="O54" s="65"/>
      <c r="P54" s="63"/>
      <c r="Q54" s="64"/>
      <c r="R54" s="63"/>
      <c r="S54" s="63"/>
      <c r="T54" s="65"/>
      <c r="U54" s="63"/>
      <c r="V54" s="65"/>
      <c r="W54" s="63"/>
      <c r="X54" s="63"/>
      <c r="Y54" s="63"/>
      <c r="Z54" s="63"/>
      <c r="AA54" s="63"/>
      <c r="AB54" s="65"/>
      <c r="AC54" s="65"/>
      <c r="AD54" s="62"/>
      <c r="AE54" s="63"/>
      <c r="AF54" s="63"/>
      <c r="AG54" s="65"/>
      <c r="AH54" s="65"/>
      <c r="AI54" s="62"/>
      <c r="AJ54" s="63"/>
      <c r="AK54" s="65"/>
      <c r="AL54" s="63"/>
      <c r="AM54" s="63"/>
      <c r="AN54" s="126"/>
      <c r="AO54" s="65"/>
      <c r="AP54" s="65"/>
      <c r="AQ54" s="125"/>
      <c r="AR54" s="65"/>
      <c r="AS54" s="65"/>
      <c r="AT54" s="63"/>
      <c r="AU54" s="63"/>
      <c r="AV54" s="63"/>
      <c r="AW54" s="63"/>
      <c r="AX54" s="63"/>
      <c r="AY54" s="63"/>
      <c r="AZ54" s="31"/>
      <c r="BA54" s="35"/>
      <c r="BB54" s="35"/>
      <c r="BC54" s="311"/>
      <c r="BD54" s="28"/>
    </row>
    <row r="55" spans="1:74" ht="13.5" customHeight="1">
      <c r="A55" s="22"/>
      <c r="B55" s="202">
        <v>13</v>
      </c>
      <c r="C55" s="310"/>
      <c r="D55" s="65"/>
      <c r="E55" s="65"/>
      <c r="F55" s="65"/>
      <c r="G55" s="65"/>
      <c r="H55" s="84"/>
      <c r="I55" s="65"/>
      <c r="J55" s="65"/>
      <c r="K55" s="65"/>
      <c r="L55" s="65"/>
      <c r="M55" s="126"/>
      <c r="N55" s="65"/>
      <c r="O55" s="65"/>
      <c r="P55" s="65"/>
      <c r="Q55" s="198"/>
      <c r="R55" s="65"/>
      <c r="S55" s="63"/>
      <c r="T55" s="63"/>
      <c r="U55" s="63"/>
      <c r="V55" s="65"/>
      <c r="W55" s="84"/>
      <c r="X55" s="65"/>
      <c r="Y55" s="65"/>
      <c r="Z55" s="65"/>
      <c r="AA55" s="65"/>
      <c r="AB55" s="65"/>
      <c r="AC55" s="65"/>
      <c r="AD55" s="65"/>
      <c r="AE55" s="65"/>
      <c r="AF55" s="65"/>
      <c r="AG55" s="65"/>
      <c r="AH55" s="126"/>
      <c r="AI55" s="65"/>
      <c r="AJ55" s="125"/>
      <c r="AK55" s="65"/>
      <c r="AL55" s="65"/>
      <c r="AM55" s="65"/>
      <c r="AN55" s="65"/>
      <c r="AO55" s="65"/>
      <c r="AP55" s="65"/>
      <c r="AQ55" s="125"/>
      <c r="AR55" s="65"/>
      <c r="AS55" s="125"/>
      <c r="AT55" s="64"/>
      <c r="AU55" s="63"/>
      <c r="AV55" s="65"/>
      <c r="AW55" s="65"/>
      <c r="AX55" s="65"/>
      <c r="AY55" s="63"/>
      <c r="AZ55" s="31"/>
      <c r="BA55" s="35"/>
      <c r="BB55" s="35"/>
      <c r="BC55" s="311"/>
      <c r="BD55" s="28"/>
    </row>
    <row r="56" spans="1:74" ht="13.5" customHeight="1">
      <c r="A56" s="22"/>
      <c r="B56" s="202">
        <v>14</v>
      </c>
      <c r="C56" s="312"/>
      <c r="D56" s="65"/>
      <c r="E56" s="65"/>
      <c r="F56" s="65"/>
      <c r="G56" s="65"/>
      <c r="H56" s="65"/>
      <c r="I56" s="65"/>
      <c r="J56" s="65"/>
      <c r="K56" s="198"/>
      <c r="L56" s="65"/>
      <c r="M56" s="65"/>
      <c r="N56" s="65"/>
      <c r="O56" s="65"/>
      <c r="P56" s="65"/>
      <c r="Q56" s="198"/>
      <c r="R56" s="65"/>
      <c r="S56" s="65"/>
      <c r="T56" s="65"/>
      <c r="U56" s="198"/>
      <c r="V56" s="65"/>
      <c r="W56" s="65"/>
      <c r="X56" s="65"/>
      <c r="Y56" s="65"/>
      <c r="Z56" s="65"/>
      <c r="AA56" s="65"/>
      <c r="AB56" s="65"/>
      <c r="AC56" s="65"/>
      <c r="AD56" s="65"/>
      <c r="AE56" s="65"/>
      <c r="AF56" s="65"/>
      <c r="AG56" s="65"/>
      <c r="AH56" s="65"/>
      <c r="AI56" s="65"/>
      <c r="AJ56" s="125"/>
      <c r="AK56" s="112"/>
      <c r="AL56" s="62"/>
      <c r="AM56" s="63"/>
      <c r="AN56" s="63"/>
      <c r="AO56" s="63"/>
      <c r="AP56" s="63"/>
      <c r="AQ56" s="64"/>
      <c r="AR56" s="63"/>
      <c r="AS56" s="65"/>
      <c r="AT56" s="65"/>
      <c r="AU56" s="65"/>
      <c r="AV56" s="65"/>
      <c r="AW56" s="65"/>
      <c r="AX56" s="65"/>
      <c r="AY56" s="63"/>
      <c r="AZ56" s="31"/>
      <c r="BA56" s="35"/>
      <c r="BB56" s="35"/>
      <c r="BC56" s="311"/>
      <c r="BD56" s="28"/>
    </row>
    <row r="57" spans="1:74" ht="13.5" customHeight="1">
      <c r="A57" s="22"/>
      <c r="B57" s="202">
        <v>15</v>
      </c>
      <c r="C57" s="313" t="s">
        <v>71</v>
      </c>
      <c r="D57" s="223"/>
      <c r="E57" s="224"/>
      <c r="F57" s="223"/>
      <c r="G57" s="224"/>
      <c r="H57" s="225"/>
      <c r="I57" s="226"/>
      <c r="J57" s="227"/>
      <c r="K57" s="227"/>
      <c r="L57" s="227"/>
      <c r="M57" s="228"/>
      <c r="N57" s="227"/>
      <c r="O57" s="227"/>
      <c r="P57" s="227"/>
      <c r="Q57" s="229"/>
      <c r="R57" s="227"/>
      <c r="S57" s="227"/>
      <c r="T57" s="227"/>
      <c r="U57" s="227"/>
      <c r="V57" s="227"/>
      <c r="W57" s="229"/>
      <c r="X57" s="227"/>
      <c r="Y57" s="227"/>
      <c r="Z57" s="227"/>
      <c r="AA57" s="229"/>
      <c r="AB57" s="227"/>
      <c r="AC57" s="227"/>
      <c r="AD57" s="227"/>
      <c r="AE57" s="227"/>
      <c r="AF57" s="227"/>
      <c r="AG57" s="232"/>
      <c r="AH57" s="227"/>
      <c r="AI57" s="227"/>
      <c r="AJ57" s="227"/>
      <c r="AK57" s="227"/>
      <c r="AL57" s="227"/>
      <c r="AM57" s="227"/>
      <c r="AN57" s="227"/>
      <c r="AO57" s="227"/>
      <c r="AP57" s="227"/>
      <c r="AQ57" s="230"/>
      <c r="AR57" s="227"/>
      <c r="AS57" s="230"/>
      <c r="AT57" s="227"/>
      <c r="AU57" s="227"/>
      <c r="AV57" s="227"/>
      <c r="AW57" s="227"/>
      <c r="AX57" s="227"/>
      <c r="AY57" s="224"/>
      <c r="AZ57" s="224"/>
      <c r="BA57" s="231"/>
      <c r="BB57" s="231"/>
      <c r="BC57" s="314"/>
      <c r="BD57" s="28"/>
    </row>
    <row r="58" spans="1:74" ht="13.5" customHeight="1">
      <c r="A58" s="22"/>
      <c r="B58" s="202">
        <v>16</v>
      </c>
      <c r="C58" s="310"/>
      <c r="D58" s="65"/>
      <c r="E58" s="65"/>
      <c r="F58" s="65"/>
      <c r="G58" s="65"/>
      <c r="H58" s="65"/>
      <c r="I58" s="65"/>
      <c r="J58" s="65"/>
      <c r="K58" s="65"/>
      <c r="L58" s="65"/>
      <c r="M58" s="62"/>
      <c r="N58" s="65"/>
      <c r="O58" s="65"/>
      <c r="P58" s="63"/>
      <c r="Q58" s="64"/>
      <c r="R58" s="63"/>
      <c r="S58" s="111"/>
      <c r="T58" s="112"/>
      <c r="U58" s="111"/>
      <c r="V58" s="112"/>
      <c r="W58" s="111"/>
      <c r="X58" s="111"/>
      <c r="Y58" s="111"/>
      <c r="Z58" s="111"/>
      <c r="AA58" s="65"/>
      <c r="AB58" s="65"/>
      <c r="AC58" s="65"/>
      <c r="AD58" s="65"/>
      <c r="AE58" s="65"/>
      <c r="AF58" s="65"/>
      <c r="AG58" s="65"/>
      <c r="AH58" s="65"/>
      <c r="AI58" s="65"/>
      <c r="AJ58" s="65"/>
      <c r="AK58" s="65"/>
      <c r="AL58" s="65"/>
      <c r="AM58" s="65"/>
      <c r="AN58" s="65"/>
      <c r="AO58" s="65"/>
      <c r="AP58" s="65"/>
      <c r="AQ58" s="65"/>
      <c r="AR58" s="65"/>
      <c r="AS58" s="65"/>
      <c r="AT58" s="65"/>
      <c r="AU58" s="65"/>
      <c r="AV58" s="65"/>
      <c r="AW58" s="65"/>
      <c r="AX58" s="65"/>
      <c r="AY58" s="63"/>
      <c r="AZ58" s="53"/>
      <c r="BA58" s="323"/>
      <c r="BB58" s="324"/>
      <c r="BC58" s="325"/>
      <c r="BD58" s="28"/>
    </row>
    <row r="59" spans="1:74" ht="13.5" customHeight="1">
      <c r="A59" s="22"/>
      <c r="B59" s="202">
        <v>17</v>
      </c>
      <c r="C59" s="310"/>
      <c r="D59" s="65"/>
      <c r="E59" s="65"/>
      <c r="F59" s="65"/>
      <c r="G59" s="65"/>
      <c r="H59" s="126"/>
      <c r="I59" s="65"/>
      <c r="J59" s="65"/>
      <c r="K59" s="65"/>
      <c r="L59" s="198"/>
      <c r="M59" s="65"/>
      <c r="N59" s="65"/>
      <c r="O59" s="65"/>
      <c r="P59" s="198"/>
      <c r="Q59" s="65"/>
      <c r="R59" s="65"/>
      <c r="S59" s="65"/>
      <c r="T59" s="198"/>
      <c r="U59" s="65"/>
      <c r="V59" s="65"/>
      <c r="W59" s="65"/>
      <c r="X59" s="65"/>
      <c r="Y59" s="65"/>
      <c r="Z59" s="65"/>
      <c r="AA59" s="65"/>
      <c r="AB59" s="65"/>
      <c r="AC59" s="65"/>
      <c r="AD59" s="65"/>
      <c r="AE59" s="65"/>
      <c r="AF59" s="65"/>
      <c r="AG59" s="65"/>
      <c r="AH59" s="65"/>
      <c r="AI59" s="65"/>
      <c r="AJ59" s="65"/>
      <c r="AK59" s="125"/>
      <c r="AL59" s="65"/>
      <c r="AM59" s="65"/>
      <c r="AN59" s="65"/>
      <c r="AO59" s="65"/>
      <c r="AP59" s="65"/>
      <c r="AQ59" s="65"/>
      <c r="AR59" s="65"/>
      <c r="AS59" s="65"/>
      <c r="AT59" s="65"/>
      <c r="AU59" s="65"/>
      <c r="AV59" s="65"/>
      <c r="AW59" s="65"/>
      <c r="AX59" s="65"/>
      <c r="AY59" s="63"/>
      <c r="AZ59" s="31"/>
      <c r="BA59" s="30"/>
      <c r="BB59" s="175"/>
      <c r="BC59" s="326"/>
      <c r="BD59" s="28"/>
    </row>
    <row r="60" spans="1:74" ht="5.15" customHeight="1">
      <c r="A60" s="22"/>
      <c r="B60" s="202"/>
      <c r="C60" s="315"/>
      <c r="D60" s="73"/>
      <c r="E60" s="73"/>
      <c r="F60" s="73"/>
      <c r="G60" s="73"/>
      <c r="H60" s="316"/>
      <c r="I60" s="275"/>
      <c r="J60" s="273"/>
      <c r="K60" s="275"/>
      <c r="L60" s="273"/>
      <c r="M60" s="317"/>
      <c r="N60" s="317"/>
      <c r="O60" s="270"/>
      <c r="P60" s="317"/>
      <c r="Q60" s="270"/>
      <c r="R60" s="317"/>
      <c r="S60" s="73"/>
      <c r="T60" s="73"/>
      <c r="U60" s="73"/>
      <c r="V60" s="73"/>
      <c r="W60" s="73"/>
      <c r="X60" s="316"/>
      <c r="Y60" s="275"/>
      <c r="Z60" s="273"/>
      <c r="AA60" s="275"/>
      <c r="AB60" s="273"/>
      <c r="AC60" s="317"/>
      <c r="AD60" s="317"/>
      <c r="AE60" s="270"/>
      <c r="AF60" s="317"/>
      <c r="AG60" s="270"/>
      <c r="AH60" s="317"/>
      <c r="AI60" s="276"/>
      <c r="AJ60" s="317"/>
      <c r="AK60" s="270"/>
      <c r="AL60" s="73"/>
      <c r="AM60" s="73"/>
      <c r="AN60" s="73"/>
      <c r="AO60" s="73"/>
      <c r="AP60" s="73"/>
      <c r="AQ60" s="73"/>
      <c r="AR60" s="73"/>
      <c r="AS60" s="73"/>
      <c r="AT60" s="73"/>
      <c r="AU60" s="73"/>
      <c r="AV60" s="318"/>
      <c r="AW60" s="73"/>
      <c r="AX60" s="73"/>
      <c r="AY60" s="269"/>
      <c r="AZ60" s="269"/>
      <c r="BA60" s="319"/>
      <c r="BB60" s="320"/>
      <c r="BC60" s="321"/>
      <c r="BD60" s="28"/>
    </row>
    <row r="61" spans="1:74" ht="13.5" customHeight="1">
      <c r="A61" s="22"/>
      <c r="B61" s="202">
        <v>18</v>
      </c>
      <c r="C61" s="75"/>
      <c r="D61" s="63"/>
      <c r="E61" s="63"/>
      <c r="F61" s="63"/>
      <c r="G61" s="63"/>
      <c r="H61" s="69"/>
      <c r="I61" s="69"/>
      <c r="J61" s="65"/>
      <c r="K61" s="69"/>
      <c r="L61" s="65"/>
      <c r="M61" s="69"/>
      <c r="N61" s="64"/>
      <c r="O61" s="69"/>
      <c r="P61" s="65"/>
      <c r="Q61" s="65"/>
      <c r="R61" s="65"/>
      <c r="S61" s="63"/>
      <c r="T61" s="63"/>
      <c r="U61" s="63"/>
      <c r="V61" s="63"/>
      <c r="W61" s="63"/>
      <c r="X61" s="64"/>
      <c r="Y61" s="63"/>
      <c r="Z61" s="65"/>
      <c r="AA61" s="64"/>
      <c r="AB61" s="63"/>
      <c r="AC61" s="65"/>
      <c r="AD61" s="64"/>
      <c r="AE61" s="65"/>
      <c r="AF61" s="65"/>
      <c r="AG61" s="64"/>
      <c r="AH61" s="65"/>
      <c r="AI61" s="65"/>
      <c r="AJ61" s="126"/>
      <c r="AK61" s="65"/>
      <c r="AL61" s="65"/>
      <c r="AM61" s="65"/>
      <c r="AN61" s="65"/>
      <c r="AO61" s="65"/>
      <c r="AP61" s="65"/>
      <c r="AQ61" s="65"/>
      <c r="AR61" s="65"/>
      <c r="AS61" s="65"/>
      <c r="AT61" s="65"/>
      <c r="AU61" s="65"/>
      <c r="AV61" s="65"/>
      <c r="AW61" s="65"/>
      <c r="AX61" s="65"/>
      <c r="AY61" s="63"/>
      <c r="AZ61" s="264"/>
      <c r="BA61" s="301"/>
      <c r="BB61" s="302"/>
      <c r="BC61" s="343"/>
      <c r="BD61" s="28"/>
    </row>
    <row r="62" spans="1:74" ht="13.5" customHeight="1">
      <c r="A62" s="22"/>
      <c r="B62" s="202">
        <v>20</v>
      </c>
      <c r="C62" s="204" t="s">
        <v>78</v>
      </c>
      <c r="D62" s="28"/>
      <c r="E62" s="28"/>
      <c r="F62" s="28"/>
      <c r="G62" s="28"/>
      <c r="H62" s="121"/>
      <c r="I62" s="62"/>
      <c r="J62" s="63"/>
      <c r="K62" s="62"/>
      <c r="L62" s="63"/>
      <c r="M62" s="69"/>
      <c r="N62" s="69"/>
      <c r="O62" s="65"/>
      <c r="P62" s="69"/>
      <c r="Q62" s="65"/>
      <c r="R62" s="69"/>
      <c r="S62" s="28"/>
      <c r="T62" s="28"/>
      <c r="U62" s="28"/>
      <c r="V62" s="28"/>
      <c r="W62" s="28"/>
      <c r="X62" s="121"/>
      <c r="Y62" s="62"/>
      <c r="Z62" s="63"/>
      <c r="AA62" s="62"/>
      <c r="AB62" s="63"/>
      <c r="AC62" s="69"/>
      <c r="AD62" s="69"/>
      <c r="AE62" s="65"/>
      <c r="AF62" s="69"/>
      <c r="AG62" s="65"/>
      <c r="AH62" s="69"/>
      <c r="AI62" s="64"/>
      <c r="AJ62" s="69"/>
      <c r="AK62" s="65"/>
      <c r="AL62" s="28"/>
      <c r="AM62" s="28"/>
      <c r="AN62" s="28"/>
      <c r="AO62" s="28"/>
      <c r="AP62" s="28"/>
      <c r="AQ62" s="28"/>
      <c r="AR62" s="28"/>
      <c r="AS62" s="28"/>
      <c r="AT62" s="28"/>
      <c r="AU62" s="28"/>
      <c r="AV62" s="233" t="s">
        <v>72</v>
      </c>
      <c r="AW62" s="28"/>
      <c r="AX62" s="28"/>
      <c r="AY62" s="31"/>
      <c r="AZ62" s="269"/>
      <c r="BA62" s="319"/>
      <c r="BB62" s="320"/>
      <c r="BC62" s="344"/>
      <c r="BD62" s="28"/>
    </row>
    <row r="63" spans="1:74" ht="5.15" customHeight="1">
      <c r="A63" s="22"/>
      <c r="B63" s="202"/>
      <c r="C63" s="296"/>
      <c r="D63" s="72"/>
      <c r="E63" s="72"/>
      <c r="F63" s="72"/>
      <c r="G63" s="72"/>
      <c r="H63" s="297"/>
      <c r="I63" s="278"/>
      <c r="J63" s="279"/>
      <c r="K63" s="278"/>
      <c r="L63" s="279"/>
      <c r="M63" s="298"/>
      <c r="N63" s="298"/>
      <c r="O63" s="263"/>
      <c r="P63" s="298"/>
      <c r="Q63" s="263"/>
      <c r="R63" s="298"/>
      <c r="S63" s="72"/>
      <c r="T63" s="72"/>
      <c r="U63" s="72"/>
      <c r="V63" s="72"/>
      <c r="W63" s="72"/>
      <c r="X63" s="297"/>
      <c r="Y63" s="278"/>
      <c r="Z63" s="279"/>
      <c r="AA63" s="278"/>
      <c r="AB63" s="279"/>
      <c r="AC63" s="298"/>
      <c r="AD63" s="298"/>
      <c r="AE63" s="263"/>
      <c r="AF63" s="298"/>
      <c r="AG63" s="263"/>
      <c r="AH63" s="298"/>
      <c r="AI63" s="280"/>
      <c r="AJ63" s="298"/>
      <c r="AK63" s="263"/>
      <c r="AL63" s="72"/>
      <c r="AM63" s="72"/>
      <c r="AN63" s="72"/>
      <c r="AO63" s="72"/>
      <c r="AP63" s="72"/>
      <c r="AQ63" s="72"/>
      <c r="AR63" s="72"/>
      <c r="AS63" s="72"/>
      <c r="AT63" s="72"/>
      <c r="AU63" s="72"/>
      <c r="AV63" s="300"/>
      <c r="AW63" s="72"/>
      <c r="AX63" s="72"/>
      <c r="AY63" s="264"/>
      <c r="AZ63" s="264"/>
      <c r="BA63" s="301"/>
      <c r="BB63" s="302"/>
      <c r="BC63" s="303"/>
      <c r="BD63" s="28"/>
    </row>
    <row r="64" spans="1:74" ht="13.5" customHeight="1">
      <c r="A64" s="22"/>
      <c r="B64" s="202">
        <v>21</v>
      </c>
      <c r="C64" s="304" t="s">
        <v>32</v>
      </c>
      <c r="D64" s="234" t="s">
        <v>260</v>
      </c>
      <c r="E64" s="235"/>
      <c r="F64" s="234" t="s">
        <v>64</v>
      </c>
      <c r="G64" s="235"/>
      <c r="H64" s="235"/>
      <c r="I64" s="236"/>
      <c r="J64" s="237" t="s">
        <v>34</v>
      </c>
      <c r="K64" s="238"/>
      <c r="L64" s="238"/>
      <c r="M64" s="238"/>
      <c r="N64" s="235"/>
      <c r="O64" s="236"/>
      <c r="P64" s="239" t="s">
        <v>67</v>
      </c>
      <c r="Q64" s="240"/>
      <c r="R64" s="240"/>
      <c r="S64" s="241"/>
      <c r="T64" s="234" t="s">
        <v>79</v>
      </c>
      <c r="U64" s="235"/>
      <c r="V64" s="235"/>
      <c r="W64" s="236"/>
      <c r="X64" s="234" t="s">
        <v>150</v>
      </c>
      <c r="Y64" s="235"/>
      <c r="Z64" s="235"/>
      <c r="AA64" s="235"/>
      <c r="AB64" s="239" t="s">
        <v>65</v>
      </c>
      <c r="AC64" s="240"/>
      <c r="AD64" s="240"/>
      <c r="AE64" s="240"/>
      <c r="AF64" s="241"/>
      <c r="AG64" s="240" t="s">
        <v>68</v>
      </c>
      <c r="AH64" s="240"/>
      <c r="AI64" s="240"/>
      <c r="AJ64" s="241"/>
      <c r="AK64" s="240" t="s">
        <v>66</v>
      </c>
      <c r="AL64" s="240"/>
      <c r="AM64" s="240"/>
      <c r="AN64" s="241"/>
      <c r="AO64" s="239" t="s">
        <v>161</v>
      </c>
      <c r="AP64" s="240"/>
      <c r="AQ64" s="240"/>
      <c r="AR64" s="241"/>
      <c r="AS64" s="239" t="s">
        <v>82</v>
      </c>
      <c r="AT64" s="240"/>
      <c r="AU64" s="240"/>
      <c r="AV64" s="240"/>
      <c r="AW64" s="357" t="s">
        <v>83</v>
      </c>
      <c r="AX64" s="240"/>
      <c r="AY64" s="240"/>
      <c r="AZ64" s="241"/>
      <c r="BA64" s="239" t="s">
        <v>84</v>
      </c>
      <c r="BB64" s="240"/>
      <c r="BC64" s="240"/>
      <c r="BD64" s="241"/>
      <c r="BE64" s="240" t="s">
        <v>85</v>
      </c>
      <c r="BF64" s="240"/>
      <c r="BG64" s="241"/>
      <c r="BH64" s="240" t="s">
        <v>86</v>
      </c>
      <c r="BI64" s="240"/>
      <c r="BJ64" s="240"/>
      <c r="BK64" s="241"/>
      <c r="BL64" s="240" t="s">
        <v>69</v>
      </c>
      <c r="BM64" s="240"/>
      <c r="BN64" s="240"/>
      <c r="BO64" s="241"/>
    </row>
    <row r="65" spans="1:67" ht="13.5" customHeight="1">
      <c r="A65" s="22"/>
      <c r="B65" s="202">
        <v>22</v>
      </c>
      <c r="C65" s="308">
        <v>1</v>
      </c>
      <c r="D65" s="148" t="str">
        <f>N50</f>
        <v>KFH</v>
      </c>
      <c r="E65" s="149"/>
      <c r="F65" s="148" t="str">
        <f>D50</f>
        <v>4800215830</v>
      </c>
      <c r="G65" s="149"/>
      <c r="H65" s="149"/>
      <c r="I65" s="151"/>
      <c r="J65" s="242" t="str">
        <f>H50</f>
        <v>TF38-20S-0.5SV(830)</v>
      </c>
      <c r="K65" s="150"/>
      <c r="L65" s="150"/>
      <c r="M65" s="150"/>
      <c r="N65" s="161"/>
      <c r="O65" s="162"/>
      <c r="P65" s="148" t="s">
        <v>147</v>
      </c>
      <c r="Q65" s="150"/>
      <c r="R65" s="150"/>
      <c r="S65" s="162"/>
      <c r="T65" s="958">
        <f>R50</f>
        <v>70000</v>
      </c>
      <c r="U65" s="959"/>
      <c r="V65" s="959"/>
      <c r="W65" s="960"/>
      <c r="X65" s="1001">
        <f>SUM(Z50:AC51)</f>
        <v>6.7299999999999999E-2</v>
      </c>
      <c r="Y65" s="1002"/>
      <c r="Z65" s="1002"/>
      <c r="AA65" s="1003"/>
      <c r="AB65" s="1004">
        <f>BB50</f>
        <v>0.151</v>
      </c>
      <c r="AC65" s="1005"/>
      <c r="AD65" s="1005"/>
      <c r="AE65" s="1005"/>
      <c r="AF65" s="1006"/>
      <c r="AG65" s="998">
        <f>AL50</f>
        <v>0</v>
      </c>
      <c r="AH65" s="999"/>
      <c r="AI65" s="999"/>
      <c r="AJ65" s="1000"/>
      <c r="AK65" s="998">
        <f>AH50</f>
        <v>0.1211</v>
      </c>
      <c r="AL65" s="999"/>
      <c r="AM65" s="999"/>
      <c r="AN65" s="1000"/>
      <c r="AO65" s="982">
        <f>1-Z50/AT50</f>
        <v>0.50478292862398821</v>
      </c>
      <c r="AP65" s="983"/>
      <c r="AQ65" s="983"/>
      <c r="AR65" s="984"/>
      <c r="AS65" s="979" t="str">
        <f>IFERROR((AK65-AG65)/AG65,"")</f>
        <v/>
      </c>
      <c r="AT65" s="980"/>
      <c r="AU65" s="980"/>
      <c r="AV65" s="981"/>
      <c r="AW65" s="998">
        <f>AX50</f>
        <v>0.151</v>
      </c>
      <c r="AX65" s="999"/>
      <c r="AY65" s="999"/>
      <c r="AZ65" s="1000"/>
      <c r="BA65" s="982">
        <f>1-(AH50/AX50)</f>
        <v>0.19801324503311257</v>
      </c>
      <c r="BB65" s="983"/>
      <c r="BC65" s="983"/>
      <c r="BD65" s="984"/>
      <c r="BE65" s="1001">
        <f>BF50</f>
        <v>6.1000000000000004E-3</v>
      </c>
      <c r="BF65" s="1002"/>
      <c r="BG65" s="1003"/>
      <c r="BH65" s="992"/>
      <c r="BI65" s="993"/>
      <c r="BJ65" s="993"/>
      <c r="BK65" s="994"/>
      <c r="BL65" s="149" t="s">
        <v>30</v>
      </c>
      <c r="BM65" s="150"/>
      <c r="BN65" s="150"/>
      <c r="BO65" s="152"/>
    </row>
    <row r="66" spans="1:67" ht="13.5" customHeight="1">
      <c r="A66" s="22"/>
      <c r="B66" s="202">
        <v>23</v>
      </c>
      <c r="C66" s="308">
        <v>2</v>
      </c>
      <c r="D66" s="148"/>
      <c r="E66" s="149"/>
      <c r="F66" s="148" t="s">
        <v>30</v>
      </c>
      <c r="G66" s="149"/>
      <c r="H66" s="149"/>
      <c r="I66" s="151"/>
      <c r="J66" s="242"/>
      <c r="K66" s="150"/>
      <c r="L66" s="150"/>
      <c r="M66" s="150"/>
      <c r="N66" s="161"/>
      <c r="O66" s="162"/>
      <c r="P66" s="148"/>
      <c r="Q66" s="150"/>
      <c r="R66" s="150"/>
      <c r="S66" s="162"/>
      <c r="T66" s="958"/>
      <c r="U66" s="959"/>
      <c r="V66" s="959"/>
      <c r="W66" s="960"/>
      <c r="X66" s="946"/>
      <c r="Y66" s="968"/>
      <c r="Z66" s="968"/>
      <c r="AA66" s="969"/>
      <c r="AB66" s="995"/>
      <c r="AC66" s="996"/>
      <c r="AD66" s="996"/>
      <c r="AE66" s="996"/>
      <c r="AF66" s="997"/>
      <c r="AG66" s="946"/>
      <c r="AH66" s="968"/>
      <c r="AI66" s="968"/>
      <c r="AJ66" s="969"/>
      <c r="AK66" s="946"/>
      <c r="AL66" s="968"/>
      <c r="AM66" s="968"/>
      <c r="AN66" s="969"/>
      <c r="AO66" s="982"/>
      <c r="AP66" s="983"/>
      <c r="AQ66" s="983"/>
      <c r="AR66" s="984"/>
      <c r="AS66" s="979"/>
      <c r="AT66" s="980"/>
      <c r="AU66" s="980"/>
      <c r="AV66" s="981"/>
      <c r="AW66" s="946"/>
      <c r="AX66" s="968"/>
      <c r="AY66" s="968"/>
      <c r="AZ66" s="969"/>
      <c r="BA66" s="982"/>
      <c r="BB66" s="983"/>
      <c r="BC66" s="983"/>
      <c r="BD66" s="984"/>
      <c r="BE66" s="970"/>
      <c r="BF66" s="971"/>
      <c r="BG66" s="972"/>
      <c r="BH66" s="149"/>
      <c r="BI66" s="150"/>
      <c r="BJ66" s="150"/>
      <c r="BK66" s="152"/>
      <c r="BL66" s="149"/>
      <c r="BM66" s="150"/>
      <c r="BN66" s="150"/>
      <c r="BO66" s="152"/>
    </row>
    <row r="67" spans="1:67" ht="13.5" customHeight="1">
      <c r="A67" s="22"/>
      <c r="B67" s="202">
        <v>20</v>
      </c>
      <c r="C67" s="337" t="s">
        <v>281</v>
      </c>
      <c r="D67" s="28"/>
      <c r="E67" s="28"/>
      <c r="F67" s="28"/>
      <c r="G67" s="28"/>
      <c r="H67" s="121"/>
      <c r="I67" s="62"/>
      <c r="J67" s="63"/>
      <c r="K67" s="62"/>
      <c r="L67" s="63"/>
      <c r="M67" s="69"/>
      <c r="N67" s="69"/>
      <c r="O67" s="65"/>
      <c r="P67" s="69"/>
      <c r="Q67" s="65"/>
      <c r="R67" s="69"/>
      <c r="S67" s="28"/>
      <c r="T67" s="28"/>
      <c r="U67" s="28"/>
      <c r="V67" s="28"/>
      <c r="W67" s="28"/>
      <c r="X67" s="121"/>
      <c r="Y67" s="62"/>
      <c r="Z67" s="63"/>
      <c r="AA67" s="62"/>
      <c r="AB67" s="63"/>
      <c r="AC67" s="69"/>
      <c r="AD67" s="69"/>
      <c r="AE67" s="65"/>
      <c r="AF67" s="69"/>
      <c r="AG67" s="65"/>
      <c r="AH67" s="69"/>
      <c r="AI67" s="64"/>
      <c r="AJ67" s="69"/>
      <c r="AK67" s="65"/>
      <c r="AL67" s="28"/>
      <c r="AM67" s="28"/>
      <c r="AN67" s="28"/>
      <c r="AO67" s="28"/>
      <c r="AP67" s="28"/>
      <c r="AQ67" s="28"/>
      <c r="AR67" s="28"/>
      <c r="AS67" s="28"/>
      <c r="AT67" s="28"/>
      <c r="AU67" s="28"/>
      <c r="AV67" s="233"/>
      <c r="AW67" s="28"/>
      <c r="AX67" s="28"/>
      <c r="AY67" s="31"/>
      <c r="AZ67" s="95"/>
      <c r="BA67" s="92"/>
      <c r="BB67" s="329"/>
      <c r="BC67" s="338"/>
      <c r="BD67" s="37"/>
      <c r="BE67" s="37"/>
    </row>
    <row r="68" spans="1:67" ht="13.5" customHeight="1">
      <c r="A68" s="22"/>
      <c r="B68" s="202">
        <v>24</v>
      </c>
      <c r="C68" s="304"/>
      <c r="D68" s="502" t="s">
        <v>280</v>
      </c>
      <c r="E68" s="503"/>
      <c r="F68" s="504" t="s">
        <v>294</v>
      </c>
      <c r="G68" s="503"/>
      <c r="H68" s="503"/>
      <c r="I68" s="505"/>
      <c r="J68" s="504" t="s">
        <v>30</v>
      </c>
      <c r="K68" s="506"/>
      <c r="L68" s="506"/>
      <c r="M68" s="506"/>
      <c r="N68" s="503"/>
      <c r="O68" s="505"/>
      <c r="P68" s="507"/>
      <c r="Q68" s="508"/>
      <c r="R68" s="508"/>
      <c r="S68" s="509"/>
      <c r="T68" s="502" t="s">
        <v>102</v>
      </c>
      <c r="U68" s="503"/>
      <c r="V68" s="503"/>
      <c r="W68" s="509"/>
      <c r="X68" s="510" t="s">
        <v>234</v>
      </c>
      <c r="Y68" s="508"/>
      <c r="Z68" s="508"/>
      <c r="AA68" s="509"/>
      <c r="AB68" s="513" t="s">
        <v>30</v>
      </c>
      <c r="AC68" s="508"/>
      <c r="AD68" s="508"/>
      <c r="AE68" s="508"/>
      <c r="AF68" s="508"/>
      <c r="AG68" s="511" t="s">
        <v>163</v>
      </c>
      <c r="AH68" s="508"/>
      <c r="AI68" s="508"/>
      <c r="AJ68" s="509"/>
      <c r="AK68" s="514" t="s">
        <v>164</v>
      </c>
      <c r="AL68" s="508"/>
      <c r="AM68" s="508"/>
      <c r="AN68" s="509"/>
      <c r="AO68" s="507" t="s">
        <v>82</v>
      </c>
      <c r="AP68" s="508"/>
      <c r="AQ68" s="508"/>
      <c r="AR68" s="508"/>
      <c r="AS68" s="507" t="s">
        <v>100</v>
      </c>
      <c r="AT68" s="508"/>
      <c r="AU68" s="508"/>
      <c r="AV68" s="509"/>
      <c r="AW68" s="511" t="s">
        <v>30</v>
      </c>
      <c r="AX68" s="508"/>
      <c r="AY68" s="508"/>
      <c r="AZ68" s="509"/>
      <c r="BA68" s="511" t="s">
        <v>30</v>
      </c>
      <c r="BB68" s="508"/>
      <c r="BC68" s="508"/>
      <c r="BD68" s="509"/>
      <c r="BE68" s="508"/>
      <c r="BF68" s="508"/>
      <c r="BG68" s="509"/>
      <c r="BH68" s="508"/>
      <c r="BI68" s="508"/>
      <c r="BJ68" s="508"/>
      <c r="BK68" s="509"/>
      <c r="BL68" s="508"/>
      <c r="BM68" s="508"/>
      <c r="BN68" s="508"/>
      <c r="BO68" s="509"/>
    </row>
    <row r="69" spans="1:67" ht="13.5" customHeight="1">
      <c r="A69" s="22"/>
      <c r="B69" s="202">
        <v>25</v>
      </c>
      <c r="C69" s="308">
        <v>1</v>
      </c>
      <c r="D69" s="148" t="s">
        <v>160</v>
      </c>
      <c r="E69" s="149"/>
      <c r="F69" s="148" t="s">
        <v>148</v>
      </c>
      <c r="G69" s="149"/>
      <c r="H69" s="149"/>
      <c r="I69" s="151"/>
      <c r="J69" s="221"/>
      <c r="K69" s="222"/>
      <c r="L69" s="222"/>
      <c r="M69" s="222"/>
      <c r="N69" s="161"/>
      <c r="O69" s="162"/>
      <c r="P69" s="148"/>
      <c r="Q69" s="150"/>
      <c r="R69" s="150"/>
      <c r="S69" s="162"/>
      <c r="T69" s="958">
        <f>SUMPRODUCT($T$65:$W$66,$AK$65:$AN$66)</f>
        <v>8477</v>
      </c>
      <c r="U69" s="959"/>
      <c r="V69" s="959"/>
      <c r="W69" s="960"/>
      <c r="X69" s="973">
        <f>SUMPRODUCT(R46:U47,Z46:AC47)</f>
        <v>0</v>
      </c>
      <c r="Y69" s="974"/>
      <c r="Z69" s="974"/>
      <c r="AA69" s="975"/>
      <c r="AB69" s="252"/>
      <c r="AC69" s="252"/>
      <c r="AD69" s="252"/>
      <c r="AE69" s="252"/>
      <c r="AF69" s="252"/>
      <c r="AG69" s="973">
        <f>$T69-$X69</f>
        <v>8477</v>
      </c>
      <c r="AH69" s="974"/>
      <c r="AI69" s="974"/>
      <c r="AJ69" s="975"/>
      <c r="AK69" s="989">
        <f>AG69/T69</f>
        <v>1</v>
      </c>
      <c r="AL69" s="990"/>
      <c r="AM69" s="990"/>
      <c r="AN69" s="991"/>
      <c r="AO69" s="952">
        <f>IFERROR(AS69/($T69-AS69),"")</f>
        <v>-0.5</v>
      </c>
      <c r="AP69" s="953"/>
      <c r="AQ69" s="953"/>
      <c r="AR69" s="954"/>
      <c r="AS69" s="976">
        <f>$T$65*($AG$65-$AK$65)+$T$66*($AG$66-$AK$66)</f>
        <v>-8477</v>
      </c>
      <c r="AT69" s="977"/>
      <c r="AU69" s="977"/>
      <c r="AV69" s="978"/>
      <c r="AW69" s="961"/>
      <c r="AX69" s="962"/>
      <c r="AY69" s="962"/>
      <c r="AZ69" s="963"/>
      <c r="BA69" s="148" t="s">
        <v>30</v>
      </c>
      <c r="BB69" s="150"/>
      <c r="BC69" s="150"/>
      <c r="BD69" s="152"/>
      <c r="BE69" s="149" t="s">
        <v>30</v>
      </c>
      <c r="BF69" s="150"/>
      <c r="BG69" s="152"/>
      <c r="BH69" s="149" t="s">
        <v>30</v>
      </c>
      <c r="BI69" s="150"/>
      <c r="BJ69" s="150"/>
      <c r="BK69" s="152"/>
      <c r="BL69" s="149" t="s">
        <v>30</v>
      </c>
      <c r="BM69" s="150"/>
      <c r="BN69" s="150"/>
      <c r="BO69" s="152"/>
    </row>
    <row r="70" spans="1:67" ht="13.5" customHeight="1">
      <c r="A70" s="22"/>
      <c r="B70" s="202">
        <v>25</v>
      </c>
      <c r="C70" s="308">
        <v>2</v>
      </c>
      <c r="D70" s="148" t="s">
        <v>160</v>
      </c>
      <c r="E70" s="149"/>
      <c r="F70" s="148" t="s">
        <v>207</v>
      </c>
      <c r="G70" s="149"/>
      <c r="H70" s="149"/>
      <c r="I70" s="151"/>
      <c r="J70" s="221"/>
      <c r="K70" s="222"/>
      <c r="L70" s="222"/>
      <c r="M70" s="222"/>
      <c r="N70" s="161"/>
      <c r="O70" s="162"/>
      <c r="P70" s="148"/>
      <c r="Q70" s="150"/>
      <c r="R70" s="150"/>
      <c r="S70" s="162"/>
      <c r="T70" s="958">
        <f>SUMPRODUCT($T$65:$W$66,$AK$65:$AN$66)</f>
        <v>8477</v>
      </c>
      <c r="U70" s="959"/>
      <c r="V70" s="959"/>
      <c r="W70" s="960"/>
      <c r="X70" s="973">
        <f>SUMPRODUCT(R47:U48,Z47:AC48)</f>
        <v>0</v>
      </c>
      <c r="Y70" s="974"/>
      <c r="Z70" s="974"/>
      <c r="AA70" s="975"/>
      <c r="AB70" s="252"/>
      <c r="AC70" s="252"/>
      <c r="AD70" s="252"/>
      <c r="AE70" s="252"/>
      <c r="AF70" s="252"/>
      <c r="AG70" s="973">
        <f>$T70-$X70</f>
        <v>8477</v>
      </c>
      <c r="AH70" s="974"/>
      <c r="AI70" s="974"/>
      <c r="AJ70" s="975"/>
      <c r="AK70" s="989">
        <f>AG70/T70</f>
        <v>1</v>
      </c>
      <c r="AL70" s="990"/>
      <c r="AM70" s="990"/>
      <c r="AN70" s="991"/>
      <c r="AO70" s="952">
        <f>IFERROR(AS70/($T70-AS70),"")</f>
        <v>-0.5</v>
      </c>
      <c r="AP70" s="953"/>
      <c r="AQ70" s="953"/>
      <c r="AR70" s="954"/>
      <c r="AS70" s="976">
        <f>$T$65*($AG$65-$AK$65)+$T$66*($AG$66-$AK$66)</f>
        <v>-8477</v>
      </c>
      <c r="AT70" s="977"/>
      <c r="AU70" s="977"/>
      <c r="AV70" s="978"/>
      <c r="AW70" s="961"/>
      <c r="AX70" s="962"/>
      <c r="AY70" s="962"/>
      <c r="AZ70" s="963"/>
      <c r="BA70" s="148" t="s">
        <v>30</v>
      </c>
      <c r="BB70" s="150"/>
      <c r="BC70" s="150"/>
      <c r="BD70" s="152"/>
      <c r="BE70" s="149" t="s">
        <v>30</v>
      </c>
      <c r="BF70" s="150"/>
      <c r="BG70" s="152"/>
      <c r="BH70" s="149" t="s">
        <v>30</v>
      </c>
      <c r="BI70" s="150"/>
      <c r="BJ70" s="150"/>
      <c r="BK70" s="152"/>
      <c r="BL70" s="149" t="s">
        <v>30</v>
      </c>
      <c r="BM70" s="150"/>
      <c r="BN70" s="150"/>
      <c r="BO70" s="152"/>
    </row>
    <row r="71" spans="1:67" ht="13.5" customHeight="1">
      <c r="A71" s="22"/>
      <c r="B71" s="202">
        <v>20</v>
      </c>
      <c r="C71" s="337" t="s">
        <v>279</v>
      </c>
      <c r="D71" s="28"/>
      <c r="E71" s="28"/>
      <c r="F71" s="28"/>
      <c r="G71" s="28"/>
      <c r="H71" s="121"/>
      <c r="I71" s="62"/>
      <c r="J71" s="63"/>
      <c r="K71" s="62"/>
      <c r="L71" s="63"/>
      <c r="M71" s="69"/>
      <c r="N71" s="69"/>
      <c r="O71" s="65"/>
      <c r="P71" s="69"/>
      <c r="Q71" s="65"/>
      <c r="R71" s="69"/>
      <c r="S71" s="28"/>
      <c r="T71" s="28"/>
      <c r="U71" s="28"/>
      <c r="V71" s="28"/>
      <c r="W71" s="28"/>
      <c r="X71" s="121"/>
      <c r="Y71" s="62"/>
      <c r="Z71" s="63"/>
      <c r="AA71" s="62"/>
      <c r="AB71" s="63"/>
      <c r="AC71" s="69"/>
      <c r="AD71" s="69"/>
      <c r="AE71" s="65"/>
      <c r="AF71" s="69"/>
      <c r="AG71" s="65"/>
      <c r="AH71" s="69"/>
      <c r="AI71" s="64"/>
      <c r="AJ71" s="69"/>
      <c r="AK71" s="65"/>
      <c r="AL71" s="28"/>
      <c r="AM71" s="28"/>
      <c r="AN71" s="28"/>
      <c r="AO71" s="28"/>
      <c r="AP71" s="28"/>
      <c r="AQ71" s="28"/>
      <c r="AR71" s="28"/>
      <c r="AS71" s="28"/>
      <c r="AT71" s="28"/>
      <c r="AU71" s="28"/>
      <c r="AV71" s="233"/>
      <c r="AW71" s="28"/>
      <c r="AX71" s="28"/>
      <c r="AY71" s="31"/>
      <c r="AZ71" s="95"/>
      <c r="BA71" s="92"/>
      <c r="BB71" s="329"/>
      <c r="BC71" s="338"/>
      <c r="BD71" s="37"/>
      <c r="BE71" s="37"/>
    </row>
    <row r="72" spans="1:67" ht="13.5" customHeight="1">
      <c r="A72" s="22"/>
      <c r="B72" s="202">
        <v>24</v>
      </c>
      <c r="C72" s="304"/>
      <c r="D72" s="243"/>
      <c r="E72" s="244"/>
      <c r="F72" s="243" t="s">
        <v>296</v>
      </c>
      <c r="G72" s="244"/>
      <c r="H72" s="244"/>
      <c r="I72" s="245"/>
      <c r="J72" s="246" t="s">
        <v>30</v>
      </c>
      <c r="K72" s="247"/>
      <c r="L72" s="247"/>
      <c r="M72" s="247"/>
      <c r="N72" s="244"/>
      <c r="O72" s="245"/>
      <c r="P72" s="248"/>
      <c r="Q72" s="249"/>
      <c r="R72" s="249"/>
      <c r="S72" s="250"/>
      <c r="T72" s="243" t="s">
        <v>102</v>
      </c>
      <c r="U72" s="244"/>
      <c r="V72" s="244"/>
      <c r="W72" s="250"/>
      <c r="X72" s="330" t="s">
        <v>234</v>
      </c>
      <c r="Y72" s="249"/>
      <c r="Z72" s="249"/>
      <c r="AA72" s="250"/>
      <c r="AB72" s="251" t="s">
        <v>30</v>
      </c>
      <c r="AC72" s="249"/>
      <c r="AD72" s="249"/>
      <c r="AE72" s="249"/>
      <c r="AF72" s="249"/>
      <c r="AG72" s="253" t="s">
        <v>163</v>
      </c>
      <c r="AH72" s="249"/>
      <c r="AI72" s="249"/>
      <c r="AJ72" s="250"/>
      <c r="AK72" s="358" t="s">
        <v>164</v>
      </c>
      <c r="AL72" s="249"/>
      <c r="AM72" s="249"/>
      <c r="AN72" s="250"/>
      <c r="AO72" s="248" t="s">
        <v>82</v>
      </c>
      <c r="AP72" s="249"/>
      <c r="AQ72" s="249"/>
      <c r="AR72" s="249"/>
      <c r="AS72" s="248" t="s">
        <v>100</v>
      </c>
      <c r="AT72" s="249"/>
      <c r="AU72" s="249"/>
      <c r="AV72" s="250"/>
      <c r="AW72" s="253" t="s">
        <v>30</v>
      </c>
      <c r="AX72" s="249"/>
      <c r="AY72" s="249"/>
      <c r="AZ72" s="250"/>
      <c r="BA72" s="253" t="s">
        <v>30</v>
      </c>
      <c r="BB72" s="249"/>
      <c r="BC72" s="249"/>
      <c r="BD72" s="250"/>
      <c r="BE72" s="249"/>
      <c r="BF72" s="249"/>
      <c r="BG72" s="250"/>
      <c r="BH72" s="249"/>
      <c r="BI72" s="249"/>
      <c r="BJ72" s="249"/>
      <c r="BK72" s="250"/>
      <c r="BL72" s="249"/>
      <c r="BM72" s="249"/>
      <c r="BN72" s="249"/>
      <c r="BO72" s="250"/>
    </row>
    <row r="73" spans="1:67" ht="13.5" customHeight="1">
      <c r="A73" s="22"/>
      <c r="B73" s="202">
        <v>25</v>
      </c>
      <c r="C73" s="308"/>
      <c r="D73" s="148"/>
      <c r="E73" s="149"/>
      <c r="F73" s="148" t="s">
        <v>148</v>
      </c>
      <c r="G73" s="149"/>
      <c r="H73" s="149"/>
      <c r="I73" s="151"/>
      <c r="J73" s="221"/>
      <c r="K73" s="222"/>
      <c r="L73" s="222"/>
      <c r="M73" s="222"/>
      <c r="N73" s="161"/>
      <c r="O73" s="162"/>
      <c r="P73" s="148"/>
      <c r="Q73" s="150"/>
      <c r="R73" s="150"/>
      <c r="S73" s="162"/>
      <c r="T73" s="958">
        <f>SUMPRODUCT($T$65:$W$66,$AK$65:$AN$66)</f>
        <v>8477</v>
      </c>
      <c r="U73" s="959"/>
      <c r="V73" s="959"/>
      <c r="W73" s="960"/>
      <c r="X73" s="973">
        <f>SUMPRODUCT(R49:U50,Z49:AC50)</f>
        <v>4711</v>
      </c>
      <c r="Y73" s="974"/>
      <c r="Z73" s="974"/>
      <c r="AA73" s="975"/>
      <c r="AB73" s="252"/>
      <c r="AC73" s="252"/>
      <c r="AD73" s="252"/>
      <c r="AE73" s="252"/>
      <c r="AF73" s="252"/>
      <c r="AG73" s="973">
        <f>$T73-$X73</f>
        <v>3766</v>
      </c>
      <c r="AH73" s="974"/>
      <c r="AI73" s="974"/>
      <c r="AJ73" s="975"/>
      <c r="AK73" s="989">
        <f>AG73/T73</f>
        <v>0.44426094137076794</v>
      </c>
      <c r="AL73" s="990"/>
      <c r="AM73" s="990"/>
      <c r="AN73" s="991"/>
      <c r="AO73" s="952">
        <f>IFERROR(AS73/($T73-AS73),"")</f>
        <v>-0.5</v>
      </c>
      <c r="AP73" s="953"/>
      <c r="AQ73" s="953"/>
      <c r="AR73" s="954"/>
      <c r="AS73" s="976">
        <f>$T$65*($AG$65-$AK$65)+$T$66*($AG$66-$AK$66)</f>
        <v>-8477</v>
      </c>
      <c r="AT73" s="977"/>
      <c r="AU73" s="977"/>
      <c r="AV73" s="978"/>
      <c r="AW73" s="961"/>
      <c r="AX73" s="962"/>
      <c r="AY73" s="962"/>
      <c r="AZ73" s="963"/>
      <c r="BA73" s="148" t="s">
        <v>30</v>
      </c>
      <c r="BB73" s="150"/>
      <c r="BC73" s="150"/>
      <c r="BD73" s="152"/>
      <c r="BE73" s="149" t="s">
        <v>30</v>
      </c>
      <c r="BF73" s="150"/>
      <c r="BG73" s="152"/>
      <c r="BH73" s="149" t="s">
        <v>30</v>
      </c>
      <c r="BI73" s="150"/>
      <c r="BJ73" s="150"/>
      <c r="BK73" s="152"/>
      <c r="BL73" s="149" t="s">
        <v>30</v>
      </c>
      <c r="BM73" s="150"/>
      <c r="BN73" s="150"/>
      <c r="BO73" s="152"/>
    </row>
    <row r="74" spans="1:67" ht="13.5" customHeight="1">
      <c r="A74" s="22"/>
      <c r="B74" s="202">
        <v>25</v>
      </c>
      <c r="C74" s="308"/>
      <c r="D74" s="148"/>
      <c r="E74" s="149"/>
      <c r="F74" s="148" t="s">
        <v>207</v>
      </c>
      <c r="G74" s="149"/>
      <c r="H74" s="149"/>
      <c r="I74" s="151"/>
      <c r="J74" s="221"/>
      <c r="K74" s="222"/>
      <c r="L74" s="222"/>
      <c r="M74" s="222"/>
      <c r="N74" s="161"/>
      <c r="O74" s="162"/>
      <c r="P74" s="148"/>
      <c r="Q74" s="150"/>
      <c r="R74" s="150"/>
      <c r="S74" s="162"/>
      <c r="T74" s="958">
        <f>SUMPRODUCT($T$65:$W$66,$AK$65:$AN$66)</f>
        <v>8477</v>
      </c>
      <c r="U74" s="959"/>
      <c r="V74" s="959"/>
      <c r="W74" s="960"/>
      <c r="X74" s="973">
        <f>SUMPRODUCT(R50:U51,Z50:AC51)</f>
        <v>4711</v>
      </c>
      <c r="Y74" s="974"/>
      <c r="Z74" s="974"/>
      <c r="AA74" s="975"/>
      <c r="AB74" s="252"/>
      <c r="AC74" s="252"/>
      <c r="AD74" s="252"/>
      <c r="AE74" s="252"/>
      <c r="AF74" s="252"/>
      <c r="AG74" s="973">
        <f>$T74-$X74</f>
        <v>3766</v>
      </c>
      <c r="AH74" s="974"/>
      <c r="AI74" s="974"/>
      <c r="AJ74" s="975"/>
      <c r="AK74" s="989">
        <f>AG74/T74</f>
        <v>0.44426094137076794</v>
      </c>
      <c r="AL74" s="990"/>
      <c r="AM74" s="990"/>
      <c r="AN74" s="991"/>
      <c r="AO74" s="952">
        <f>IFERROR(AS74/($T74-AS74),"")</f>
        <v>-0.5</v>
      </c>
      <c r="AP74" s="953"/>
      <c r="AQ74" s="953"/>
      <c r="AR74" s="954"/>
      <c r="AS74" s="976">
        <f>$T$65*($AG$65-$AK$65)+$T$66*($AG$66-$AK$66)</f>
        <v>-8477</v>
      </c>
      <c r="AT74" s="977"/>
      <c r="AU74" s="977"/>
      <c r="AV74" s="978"/>
      <c r="AW74" s="961"/>
      <c r="AX74" s="962"/>
      <c r="AY74" s="962"/>
      <c r="AZ74" s="963"/>
      <c r="BA74" s="148" t="s">
        <v>30</v>
      </c>
      <c r="BB74" s="150"/>
      <c r="BC74" s="150"/>
      <c r="BD74" s="152"/>
      <c r="BE74" s="149" t="s">
        <v>30</v>
      </c>
      <c r="BF74" s="150"/>
      <c r="BG74" s="152"/>
      <c r="BH74" s="149" t="s">
        <v>30</v>
      </c>
      <c r="BI74" s="150"/>
      <c r="BJ74" s="150"/>
      <c r="BK74" s="152"/>
      <c r="BL74" s="149" t="s">
        <v>30</v>
      </c>
      <c r="BM74" s="150"/>
      <c r="BN74" s="150"/>
      <c r="BO74" s="152"/>
    </row>
    <row r="75" spans="1:67" ht="13.5" customHeight="1">
      <c r="A75" s="22"/>
      <c r="B75" s="202">
        <v>26</v>
      </c>
      <c r="C75" s="339"/>
      <c r="D75" s="75"/>
      <c r="E75" s="75"/>
      <c r="F75" s="75"/>
      <c r="G75" s="75"/>
      <c r="H75" s="199"/>
      <c r="I75" s="199"/>
      <c r="J75" s="200"/>
      <c r="K75" s="199"/>
      <c r="L75" s="200"/>
      <c r="M75" s="199"/>
      <c r="N75" s="199"/>
      <c r="O75" s="83"/>
      <c r="P75" s="84"/>
      <c r="Q75" s="84"/>
      <c r="R75" s="84"/>
      <c r="S75" s="75"/>
      <c r="T75" s="75"/>
      <c r="U75" s="75"/>
      <c r="V75" s="75"/>
      <c r="W75" s="75"/>
      <c r="X75" s="85"/>
      <c r="Y75" s="75"/>
      <c r="Z75" s="84"/>
      <c r="AA75" s="85"/>
      <c r="AB75" s="75"/>
      <c r="AC75" s="84"/>
      <c r="AD75" s="85"/>
      <c r="AE75" s="84"/>
      <c r="AF75" s="84"/>
      <c r="AG75" s="85"/>
      <c r="AH75" s="84"/>
      <c r="AI75" s="84"/>
      <c r="AJ75" s="90"/>
      <c r="AK75" s="84"/>
      <c r="AL75" s="84"/>
      <c r="AM75" s="84"/>
      <c r="AN75" s="84"/>
      <c r="AO75" s="84"/>
      <c r="AP75" s="84"/>
      <c r="AQ75" s="84"/>
      <c r="AR75" s="84"/>
      <c r="AS75" s="65"/>
      <c r="AT75" s="65"/>
      <c r="AU75" s="65"/>
      <c r="AV75" s="65"/>
      <c r="AW75" s="65"/>
      <c r="AX75" s="65"/>
      <c r="AY75" s="63"/>
      <c r="AZ75" s="264"/>
      <c r="BA75" s="301"/>
      <c r="BB75" s="302"/>
      <c r="BC75" s="343"/>
      <c r="BD75" s="28"/>
    </row>
    <row r="76" spans="1:67" ht="13.5" customHeight="1">
      <c r="A76" s="22"/>
      <c r="B76" s="202">
        <v>27</v>
      </c>
      <c r="C76" s="340"/>
      <c r="D76"/>
      <c r="E76"/>
      <c r="F76"/>
      <c r="G76"/>
      <c r="H76"/>
      <c r="I76"/>
      <c r="J76"/>
      <c r="K76"/>
      <c r="L76"/>
      <c r="M76"/>
      <c r="N76"/>
      <c r="O76"/>
      <c r="P76"/>
      <c r="Q76"/>
      <c r="S76" s="35"/>
      <c r="T76" s="35"/>
      <c r="U76" s="35"/>
      <c r="V76" s="35"/>
      <c r="Y76" s="35"/>
      <c r="Z76" s="35"/>
      <c r="AD76" s="35"/>
      <c r="AE76" s="35"/>
      <c r="AF76" s="35"/>
      <c r="AG76" s="35"/>
      <c r="AH76" s="35"/>
      <c r="AI76" s="35"/>
      <c r="AJ76" s="35"/>
      <c r="AK76" s="35"/>
      <c r="AL76" s="84"/>
      <c r="AM76" s="84"/>
      <c r="AN76" s="84"/>
      <c r="AO76" s="84"/>
      <c r="AP76" s="84"/>
      <c r="AQ76" s="84"/>
      <c r="AR76" s="84"/>
      <c r="AS76" s="254"/>
      <c r="AT76" s="35"/>
      <c r="AU76" s="35"/>
      <c r="AV76" s="65"/>
      <c r="AW76" s="65"/>
      <c r="AX76" s="65"/>
      <c r="AY76" s="63"/>
      <c r="AZ76" s="31"/>
      <c r="BA76" s="30"/>
      <c r="BB76" s="175"/>
      <c r="BC76" s="345"/>
      <c r="BD76" s="28"/>
    </row>
    <row r="77" spans="1:67" ht="13.5" customHeight="1">
      <c r="A77" s="22"/>
      <c r="B77" s="202">
        <v>28</v>
      </c>
      <c r="C77" s="341"/>
      <c r="D77" s="71"/>
      <c r="E77" s="71"/>
      <c r="F77" s="71"/>
      <c r="G77" s="71"/>
      <c r="H77" s="71"/>
      <c r="I77" s="71"/>
      <c r="J77" s="71"/>
      <c r="K77" s="68"/>
      <c r="L77" s="68"/>
      <c r="M77" s="68"/>
      <c r="N77" s="91"/>
      <c r="O77" s="68"/>
      <c r="P77" s="68"/>
      <c r="Q77" s="68"/>
      <c r="R77" s="68"/>
      <c r="S77" s="68"/>
      <c r="T77" s="68"/>
      <c r="U77" s="68"/>
      <c r="V77" s="68"/>
      <c r="W77" s="91"/>
      <c r="X77" s="68"/>
      <c r="Y77" s="68"/>
      <c r="Z77" s="68"/>
      <c r="AA77" s="68"/>
      <c r="AB77" s="68"/>
      <c r="AC77" s="68"/>
      <c r="AD77" s="68"/>
      <c r="AE77" s="68"/>
      <c r="AF77" s="68"/>
      <c r="AG77" s="68"/>
      <c r="AH77" s="68"/>
      <c r="AI77" s="68"/>
      <c r="AJ77" s="68"/>
      <c r="AK77" s="68"/>
      <c r="AL77" s="68"/>
      <c r="AM77" s="65"/>
      <c r="AN77" s="65"/>
      <c r="AO77" s="65"/>
      <c r="AP77" s="65"/>
      <c r="AQ77" s="65"/>
      <c r="AR77" s="65"/>
      <c r="AS77" s="65"/>
      <c r="AT77" s="35"/>
      <c r="AU77" s="65"/>
      <c r="AV77" s="65"/>
      <c r="AW77" s="65"/>
      <c r="AX77" s="65"/>
      <c r="AY77" s="65"/>
      <c r="AZ77" s="31"/>
      <c r="BA77" s="30"/>
      <c r="BB77" s="175"/>
      <c r="BC77" s="345"/>
      <c r="BD77" s="28"/>
      <c r="BG77" s="24"/>
      <c r="BH77" s="28"/>
    </row>
    <row r="78" spans="1:67" ht="13.5" customHeight="1">
      <c r="A78" s="22"/>
      <c r="B78" s="202">
        <v>29</v>
      </c>
      <c r="C78" s="342"/>
      <c r="D78" s="332"/>
      <c r="E78" s="65"/>
      <c r="F78" s="65"/>
      <c r="G78" s="65"/>
      <c r="H78" s="65"/>
      <c r="I78" s="65"/>
      <c r="J78" s="964"/>
      <c r="K78" s="965"/>
      <c r="L78" s="965"/>
      <c r="M78" s="965"/>
      <c r="N78"/>
      <c r="O78"/>
      <c r="P78"/>
      <c r="Q78"/>
      <c r="R78"/>
      <c r="S78"/>
      <c r="T78"/>
      <c r="U78"/>
      <c r="V78"/>
      <c r="W78" s="65"/>
      <c r="X78" s="65"/>
      <c r="Y78" s="65"/>
      <c r="Z78" s="65"/>
      <c r="AA78" s="65"/>
      <c r="AB78" s="65"/>
      <c r="AC78" s="65"/>
      <c r="AD78" s="65"/>
      <c r="AE78" s="65"/>
      <c r="AF78" s="65"/>
      <c r="AG78" s="65"/>
      <c r="AH78" s="65"/>
      <c r="AI78" s="65"/>
      <c r="AJ78" s="65"/>
      <c r="AK78" s="65"/>
      <c r="AL78" s="65"/>
      <c r="AM78" s="198"/>
      <c r="AN78" s="198"/>
      <c r="AO78" s="198"/>
      <c r="AP78" s="198"/>
      <c r="AQ78" s="198"/>
      <c r="AR78" s="198"/>
      <c r="AS78" s="254"/>
      <c r="AT78" s="35"/>
      <c r="AU78" s="35"/>
      <c r="AV78" s="254"/>
      <c r="AW78" s="198"/>
      <c r="AX78" s="198"/>
      <c r="AY78" s="198"/>
      <c r="AZ78" s="31"/>
      <c r="BA78" s="30"/>
      <c r="BB78" s="175"/>
      <c r="BC78" s="345"/>
      <c r="BD78" s="28"/>
      <c r="BG78" s="24"/>
      <c r="BH78" s="28"/>
    </row>
    <row r="79" spans="1:67" ht="5.15" customHeight="1">
      <c r="A79" s="22"/>
      <c r="B79" s="202"/>
      <c r="C79" s="315"/>
      <c r="D79" s="73"/>
      <c r="E79" s="73"/>
      <c r="F79" s="73"/>
      <c r="G79" s="73"/>
      <c r="H79" s="316"/>
      <c r="I79" s="275"/>
      <c r="J79" s="273"/>
      <c r="K79" s="275"/>
      <c r="L79" s="273"/>
      <c r="M79" s="317"/>
      <c r="N79" s="317"/>
      <c r="O79" s="270"/>
      <c r="P79" s="317"/>
      <c r="Q79" s="270"/>
      <c r="R79" s="317"/>
      <c r="S79" s="73"/>
      <c r="T79" s="73"/>
      <c r="U79" s="73"/>
      <c r="V79" s="73"/>
      <c r="W79" s="73"/>
      <c r="X79" s="316"/>
      <c r="Y79" s="275"/>
      <c r="Z79" s="273"/>
      <c r="AA79" s="275"/>
      <c r="AB79" s="273"/>
      <c r="AC79" s="317"/>
      <c r="AD79" s="317"/>
      <c r="AE79" s="270"/>
      <c r="AF79" s="317"/>
      <c r="AG79" s="270"/>
      <c r="AH79" s="317"/>
      <c r="AI79" s="276"/>
      <c r="AJ79" s="317"/>
      <c r="AK79" s="270"/>
      <c r="AL79" s="73"/>
      <c r="AM79" s="73"/>
      <c r="AN79" s="73"/>
      <c r="AO79" s="73"/>
      <c r="AP79" s="73"/>
      <c r="AQ79" s="73"/>
      <c r="AR79" s="73"/>
      <c r="AS79" s="73"/>
      <c r="AT79" s="73"/>
      <c r="AU79" s="73"/>
      <c r="AV79" s="318"/>
      <c r="AW79" s="73"/>
      <c r="AX79" s="73"/>
      <c r="AY79" s="269"/>
      <c r="AZ79" s="269"/>
      <c r="BA79" s="319"/>
      <c r="BB79" s="320"/>
      <c r="BC79" s="344"/>
      <c r="BD79" s="28"/>
    </row>
    <row r="80" spans="1:67" ht="13.5" customHeight="1">
      <c r="A80" s="22"/>
      <c r="B80" s="202">
        <v>31</v>
      </c>
      <c r="C80" s="331"/>
      <c r="D80" s="332"/>
      <c r="E80" s="65"/>
      <c r="F80" s="65"/>
      <c r="G80" s="65"/>
      <c r="H80" s="65"/>
      <c r="I80" s="65"/>
      <c r="J80" s="966"/>
      <c r="K80" s="966"/>
      <c r="L80" s="966"/>
      <c r="M80" s="966"/>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198"/>
      <c r="AN80" s="198"/>
      <c r="AO80" s="198"/>
      <c r="AP80" s="198"/>
      <c r="AQ80" s="198"/>
      <c r="AR80" s="198"/>
      <c r="AS80" s="198"/>
      <c r="AT80" s="198"/>
      <c r="AU80" s="198"/>
      <c r="AV80" s="198"/>
      <c r="AW80" s="198"/>
      <c r="AX80" s="198"/>
      <c r="AY80" s="198"/>
      <c r="AZ80" s="33"/>
      <c r="BA80" s="46"/>
      <c r="BB80" s="78"/>
      <c r="BC80" s="34"/>
      <c r="BD80" s="28"/>
      <c r="BG80" s="24"/>
      <c r="BH80" s="28"/>
    </row>
    <row r="81" spans="1:60" ht="14.15" customHeight="1">
      <c r="A81" s="22"/>
      <c r="B81" s="129"/>
      <c r="C81" s="346" t="s">
        <v>131</v>
      </c>
      <c r="D81" s="28"/>
      <c r="E81" s="28"/>
      <c r="F81" s="28"/>
      <c r="G81" s="28"/>
      <c r="S81" s="35"/>
      <c r="T81" s="35"/>
      <c r="U81" s="35"/>
      <c r="V81" s="35"/>
      <c r="Y81" s="35"/>
      <c r="Z81" s="35"/>
      <c r="AD81" s="35"/>
      <c r="AE81" s="35"/>
      <c r="AF81" s="35"/>
      <c r="AG81" s="35"/>
      <c r="AH81" s="35"/>
      <c r="AI81" s="35"/>
      <c r="AJ81" s="28"/>
      <c r="AK81" s="28"/>
      <c r="AL81" s="28"/>
      <c r="AM81" s="130"/>
      <c r="AN81" s="130"/>
      <c r="AO81" s="35"/>
      <c r="AP81" s="35"/>
      <c r="AQ81" s="35"/>
      <c r="AR81" s="35"/>
      <c r="AS81" s="35"/>
      <c r="AT81" s="35"/>
      <c r="AU81" s="35"/>
      <c r="AV81" s="35"/>
      <c r="AW81" s="35"/>
      <c r="AX81" s="65"/>
      <c r="AY81" s="65"/>
      <c r="AZ81" s="33"/>
      <c r="BA81" s="46"/>
      <c r="BB81" s="78"/>
      <c r="BC81" s="34"/>
      <c r="BD81" s="28"/>
      <c r="BG81" s="35"/>
    </row>
    <row r="82" spans="1:60" ht="5.15" customHeight="1">
      <c r="A82" s="22"/>
      <c r="B82" s="202"/>
      <c r="C82" s="296"/>
      <c r="D82" s="72"/>
      <c r="E82" s="72"/>
      <c r="F82" s="72"/>
      <c r="G82" s="72"/>
      <c r="H82" s="297"/>
      <c r="I82" s="278"/>
      <c r="J82" s="279"/>
      <c r="K82" s="278"/>
      <c r="L82" s="279"/>
      <c r="M82" s="298"/>
      <c r="N82" s="298"/>
      <c r="O82" s="263"/>
      <c r="P82" s="298"/>
      <c r="Q82" s="263"/>
      <c r="R82" s="298"/>
      <c r="S82" s="72"/>
      <c r="T82" s="72"/>
      <c r="U82" s="72"/>
      <c r="V82" s="72"/>
      <c r="W82" s="72"/>
      <c r="X82" s="297"/>
      <c r="Y82" s="278"/>
      <c r="Z82" s="279"/>
      <c r="AA82" s="278"/>
      <c r="AB82" s="279"/>
      <c r="AC82" s="298"/>
      <c r="AD82" s="298"/>
      <c r="AE82" s="263"/>
      <c r="AF82" s="298"/>
      <c r="AG82" s="263"/>
      <c r="AH82" s="298"/>
      <c r="AI82" s="280"/>
      <c r="AJ82" s="298"/>
      <c r="AK82" s="263"/>
      <c r="AL82" s="72"/>
      <c r="AM82" s="72"/>
      <c r="AN82" s="72"/>
      <c r="AO82" s="72"/>
      <c r="AP82" s="72"/>
      <c r="AQ82" s="72"/>
      <c r="AR82" s="72"/>
      <c r="AS82" s="72"/>
      <c r="AT82" s="72"/>
      <c r="AU82" s="72"/>
      <c r="AV82" s="300"/>
      <c r="AW82" s="72"/>
      <c r="AX82" s="72"/>
      <c r="AY82" s="265"/>
      <c r="AZ82" s="33"/>
      <c r="BA82" s="46"/>
      <c r="BB82" s="78"/>
      <c r="BC82" s="34"/>
      <c r="BD82" s="28"/>
    </row>
    <row r="83" spans="1:60" ht="14.15" customHeight="1">
      <c r="A83" s="23"/>
      <c r="B83" s="351"/>
      <c r="C83" s="282"/>
      <c r="D83" s="28"/>
      <c r="E83" s="28"/>
      <c r="F83" s="28"/>
      <c r="G83" s="28"/>
      <c r="H83" s="28"/>
      <c r="I83" s="28"/>
      <c r="J83" s="28"/>
      <c r="K83" s="28"/>
      <c r="L83" s="28"/>
      <c r="M83" s="28"/>
      <c r="N83" s="28"/>
      <c r="O83" s="28"/>
      <c r="P83" s="28"/>
      <c r="Q83" s="25"/>
      <c r="S83" s="35"/>
      <c r="T83" s="28"/>
      <c r="U83" s="28"/>
      <c r="V83" s="28"/>
      <c r="W83" s="28"/>
      <c r="X83" s="28"/>
      <c r="Y83" s="28"/>
      <c r="Z83" s="28"/>
      <c r="AC83" s="28"/>
      <c r="AD83" s="28"/>
      <c r="AE83" s="35"/>
      <c r="AF83" s="35"/>
      <c r="AG83" s="35"/>
      <c r="AH83" s="35"/>
      <c r="AI83" s="35"/>
      <c r="AJ83" s="28"/>
      <c r="AK83" s="28"/>
      <c r="AL83" s="28"/>
      <c r="AM83" s="35"/>
      <c r="AN83" s="35"/>
      <c r="AO83" s="135"/>
      <c r="AP83" s="136"/>
      <c r="AQ83" s="130"/>
      <c r="AR83" s="130"/>
      <c r="AS83" s="130"/>
      <c r="AT83" s="130"/>
      <c r="AU83" s="81"/>
      <c r="AV83" s="35"/>
      <c r="AW83" s="35"/>
      <c r="AX83" s="65"/>
      <c r="AY83" s="347"/>
      <c r="AZ83" s="33"/>
      <c r="BA83" s="46"/>
      <c r="BB83" s="78"/>
      <c r="BC83" s="34"/>
      <c r="BD83" s="28"/>
      <c r="BG83" s="35"/>
    </row>
    <row r="84" spans="1:60" ht="14.15" customHeight="1">
      <c r="A84" s="23"/>
      <c r="B84" s="351"/>
      <c r="C84" s="352"/>
      <c r="D84" s="348" t="s">
        <v>38</v>
      </c>
      <c r="E84" s="131"/>
      <c r="F84" s="131"/>
      <c r="G84" s="131"/>
      <c r="H84" s="132"/>
      <c r="I84" s="132"/>
      <c r="J84" s="106"/>
      <c r="K84" s="133"/>
      <c r="L84" s="134"/>
      <c r="M84" s="144"/>
      <c r="N84" s="144"/>
      <c r="O84" s="131"/>
      <c r="P84" s="134"/>
      <c r="Q84" s="107"/>
      <c r="R84" s="133" t="s">
        <v>40</v>
      </c>
      <c r="S84" s="134"/>
      <c r="T84" s="107"/>
      <c r="U84" s="107"/>
      <c r="V84" s="133" t="s">
        <v>44</v>
      </c>
      <c r="W84" s="134"/>
      <c r="X84" s="107"/>
      <c r="Y84" s="35"/>
      <c r="Z84" s="35"/>
      <c r="AC84" s="28"/>
      <c r="AD84" s="28"/>
      <c r="AE84" s="28"/>
      <c r="AF84" s="35"/>
      <c r="AG84" s="35"/>
      <c r="AH84" s="28"/>
      <c r="AI84" s="28"/>
      <c r="AJ84" s="28"/>
      <c r="AK84" s="81"/>
      <c r="AL84" s="28"/>
      <c r="AM84" s="28"/>
      <c r="AN84" s="28"/>
      <c r="AO84" s="28"/>
      <c r="AP84" s="28"/>
      <c r="AQ84" s="65"/>
      <c r="AR84" s="65"/>
      <c r="AS84" s="65"/>
      <c r="AT84" s="125"/>
      <c r="AU84" s="65"/>
      <c r="AV84" s="65"/>
      <c r="AW84" s="65"/>
      <c r="AX84" s="65"/>
      <c r="AY84" s="347"/>
      <c r="AZ84" s="33"/>
      <c r="BA84" s="46"/>
      <c r="BB84" s="78"/>
      <c r="BC84" s="34"/>
      <c r="BD84" s="28"/>
      <c r="BE84" s="35"/>
      <c r="BF84" s="35"/>
      <c r="BG84" s="35"/>
    </row>
    <row r="85" spans="1:60" ht="13.5" customHeight="1">
      <c r="A85" s="22"/>
      <c r="B85" s="353"/>
      <c r="C85" s="352"/>
      <c r="D85" s="349" t="s">
        <v>45</v>
      </c>
      <c r="E85" s="137"/>
      <c r="F85" s="137"/>
      <c r="G85" s="137"/>
      <c r="H85" s="137"/>
      <c r="I85" s="137"/>
      <c r="J85" s="137"/>
      <c r="K85" s="350"/>
      <c r="L85" s="139"/>
      <c r="M85" s="108"/>
      <c r="N85" s="108"/>
      <c r="O85" s="145"/>
      <c r="P85" s="139"/>
      <c r="Q85" s="109"/>
      <c r="R85" s="138" t="s">
        <v>41</v>
      </c>
      <c r="S85" s="139"/>
      <c r="T85" s="108"/>
      <c r="U85" s="109"/>
      <c r="V85" s="140"/>
      <c r="W85" s="141"/>
      <c r="X85" s="142"/>
      <c r="Y85" s="116"/>
      <c r="Z85" s="41"/>
      <c r="AA85" s="116"/>
      <c r="AB85" s="116"/>
      <c r="AC85" s="116"/>
      <c r="AD85" s="116"/>
      <c r="AE85" s="116"/>
      <c r="AF85" s="116"/>
      <c r="AG85" s="116"/>
      <c r="AH85" s="116"/>
      <c r="AI85" s="116"/>
      <c r="AJ85" s="116"/>
      <c r="AK85" s="116"/>
      <c r="AL85" s="116"/>
      <c r="AM85" s="116"/>
      <c r="AN85" s="116"/>
      <c r="AO85" s="116"/>
      <c r="AP85" s="116"/>
      <c r="AQ85" s="65"/>
      <c r="AR85" s="65"/>
      <c r="AS85" s="65"/>
      <c r="AT85" s="125"/>
      <c r="AU85" s="65"/>
      <c r="AV85" s="65"/>
      <c r="AW85" s="65"/>
      <c r="AX85" s="65"/>
      <c r="AY85" s="347"/>
      <c r="AZ85" s="33"/>
      <c r="BA85" s="46"/>
      <c r="BB85" s="78"/>
      <c r="BC85" s="34"/>
      <c r="BD85" s="28"/>
      <c r="BE85" s="35"/>
      <c r="BF85" s="35"/>
      <c r="BG85" s="35"/>
    </row>
    <row r="86" spans="1:60" ht="5.15" customHeight="1">
      <c r="A86" s="22"/>
      <c r="B86" s="202"/>
      <c r="C86" s="315"/>
      <c r="D86" s="73"/>
      <c r="E86" s="73"/>
      <c r="F86" s="73"/>
      <c r="G86" s="73"/>
      <c r="H86" s="316"/>
      <c r="I86" s="275"/>
      <c r="J86" s="273"/>
      <c r="K86" s="275"/>
      <c r="L86" s="273"/>
      <c r="M86" s="317"/>
      <c r="N86" s="317"/>
      <c r="O86" s="270"/>
      <c r="P86" s="317"/>
      <c r="Q86" s="270"/>
      <c r="R86" s="317"/>
      <c r="S86" s="73"/>
      <c r="T86" s="73"/>
      <c r="U86" s="73"/>
      <c r="V86" s="73"/>
      <c r="W86" s="73"/>
      <c r="X86" s="316"/>
      <c r="Y86" s="275"/>
      <c r="Z86" s="273"/>
      <c r="AA86" s="275"/>
      <c r="AB86" s="273"/>
      <c r="AC86" s="317"/>
      <c r="AD86" s="317"/>
      <c r="AE86" s="270"/>
      <c r="AF86" s="317"/>
      <c r="AG86" s="270"/>
      <c r="AH86" s="317"/>
      <c r="AI86" s="276"/>
      <c r="AJ86" s="317"/>
      <c r="AK86" s="270"/>
      <c r="AL86" s="73"/>
      <c r="AM86" s="73"/>
      <c r="AN86" s="73"/>
      <c r="AO86" s="73"/>
      <c r="AP86" s="73"/>
      <c r="AQ86" s="73"/>
      <c r="AR86" s="73"/>
      <c r="AS86" s="73"/>
      <c r="AT86" s="73"/>
      <c r="AU86" s="73"/>
      <c r="AV86" s="318"/>
      <c r="AW86" s="73"/>
      <c r="AX86" s="73"/>
      <c r="AY86" s="277"/>
      <c r="AZ86" s="33"/>
      <c r="BA86" s="46"/>
      <c r="BB86" s="78"/>
      <c r="BC86" s="34"/>
      <c r="BD86" s="28"/>
    </row>
    <row r="87" spans="1:60" ht="14.15" customHeight="1">
      <c r="A87" s="22"/>
      <c r="B87" s="202">
        <v>34</v>
      </c>
      <c r="C87" s="331"/>
      <c r="D87" s="332"/>
      <c r="E87" s="65"/>
      <c r="F87" s="65"/>
      <c r="G87" s="65"/>
      <c r="H87" s="65"/>
      <c r="I87" s="65"/>
      <c r="J87" s="985"/>
      <c r="K87" s="985"/>
      <c r="L87" s="985"/>
      <c r="M87" s="985"/>
      <c r="N87" s="65"/>
      <c r="O87" s="65"/>
      <c r="P87" s="65"/>
      <c r="Q87" s="65"/>
      <c r="R87" s="65"/>
      <c r="S87" s="65"/>
      <c r="T87" s="65"/>
      <c r="U87" s="65"/>
      <c r="V87" s="65"/>
      <c r="W87" s="65"/>
      <c r="X87" s="65"/>
      <c r="Y87" s="65"/>
      <c r="Z87" s="65"/>
      <c r="AA87" s="65"/>
      <c r="AB87" s="65"/>
      <c r="AC87" s="65"/>
      <c r="AD87" s="65"/>
      <c r="AE87" s="65"/>
      <c r="AF87" s="65"/>
      <c r="AG87" s="65"/>
      <c r="AH87" s="65"/>
      <c r="AI87" s="65"/>
      <c r="AJ87" s="65"/>
      <c r="AK87" s="65"/>
      <c r="AL87" s="65"/>
      <c r="AM87" s="65"/>
      <c r="AN87" s="65"/>
      <c r="AO87" s="65"/>
      <c r="AP87" s="135"/>
      <c r="AQ87" s="135"/>
      <c r="AR87" s="65"/>
      <c r="AS87" s="65"/>
      <c r="AT87" s="125"/>
      <c r="AU87" s="65"/>
      <c r="AV87" s="65"/>
      <c r="AW87" s="65"/>
      <c r="AX87" s="65"/>
      <c r="AY87" s="65"/>
      <c r="AZ87" s="33"/>
      <c r="BA87" s="46"/>
      <c r="BB87" s="78"/>
      <c r="BC87" s="34"/>
      <c r="BD87" s="28"/>
      <c r="BG87" s="24"/>
      <c r="BH87" s="28"/>
    </row>
    <row r="88" spans="1:60" ht="14.15" customHeight="1">
      <c r="A88" s="22"/>
      <c r="B88" s="202">
        <v>35</v>
      </c>
      <c r="C88" s="346" t="s">
        <v>247</v>
      </c>
      <c r="D88" s="332"/>
      <c r="E88" s="65"/>
      <c r="F88" s="65"/>
      <c r="G88" s="65"/>
      <c r="H88" s="65"/>
      <c r="I88" s="65"/>
      <c r="J88" s="945"/>
      <c r="K88" s="945"/>
      <c r="L88" s="945"/>
      <c r="M88" s="945"/>
      <c r="N88" s="65"/>
      <c r="O88" s="65"/>
      <c r="P88" s="65"/>
      <c r="Q88" s="65"/>
      <c r="R88" s="65"/>
      <c r="S88" s="65"/>
      <c r="T88" s="65"/>
      <c r="U88" s="65"/>
      <c r="V88" s="65"/>
      <c r="W88" s="65"/>
      <c r="X88" s="65"/>
      <c r="Y88" s="65"/>
      <c r="Z88" s="65"/>
      <c r="AA88" s="65"/>
      <c r="AB88" s="65"/>
      <c r="AC88" s="65"/>
      <c r="AD88" s="65"/>
      <c r="AE88" s="65"/>
      <c r="AF88" s="65"/>
      <c r="AG88" s="65"/>
      <c r="AH88" s="65"/>
      <c r="AI88" s="65"/>
      <c r="AJ88" s="65"/>
      <c r="AK88" s="65"/>
      <c r="AL88" s="65"/>
      <c r="AM88" s="65"/>
      <c r="AN88" s="65"/>
      <c r="AO88" s="65"/>
      <c r="AP88" s="65"/>
      <c r="AQ88" s="65"/>
      <c r="AR88" s="65"/>
      <c r="AS88" s="65"/>
      <c r="AT88" s="125"/>
      <c r="AU88" s="65"/>
      <c r="AV88" s="65"/>
      <c r="AW88" s="65"/>
      <c r="AX88" s="65"/>
      <c r="AY88" s="65"/>
      <c r="AZ88" s="33"/>
      <c r="BA88" s="46"/>
      <c r="BB88" s="335"/>
      <c r="BC88" s="336"/>
      <c r="BD88" s="28"/>
      <c r="BG88" s="24"/>
      <c r="BH88" s="28"/>
    </row>
    <row r="89" spans="1:60" ht="14.15" customHeight="1">
      <c r="A89" s="22"/>
      <c r="B89" s="202">
        <v>35</v>
      </c>
      <c r="C89" s="331"/>
      <c r="D89" s="478" t="s">
        <v>248</v>
      </c>
      <c r="E89" s="65"/>
      <c r="F89" s="65"/>
      <c r="G89" s="65"/>
      <c r="H89" s="65"/>
      <c r="I89" s="65"/>
      <c r="J89" s="477"/>
      <c r="K89" s="477"/>
      <c r="L89" s="477"/>
      <c r="M89" s="477"/>
      <c r="N89" s="65"/>
      <c r="O89" s="65"/>
      <c r="P89" s="65"/>
      <c r="Q89" s="65"/>
      <c r="R89" s="65"/>
      <c r="S89" s="65"/>
      <c r="T89" s="65"/>
      <c r="U89" s="65"/>
      <c r="V89" s="65"/>
      <c r="W89" s="65"/>
      <c r="X89" s="65"/>
      <c r="Y89" s="65"/>
      <c r="Z89" s="65"/>
      <c r="AA89" s="65"/>
      <c r="AB89" s="65"/>
      <c r="AC89" s="65"/>
      <c r="AD89" s="65"/>
      <c r="AE89" s="65"/>
      <c r="AF89" s="65"/>
      <c r="AG89" s="65"/>
      <c r="AH89" s="65"/>
      <c r="AI89" s="65"/>
      <c r="AJ89" s="65"/>
      <c r="AK89" s="65"/>
      <c r="AL89" s="65"/>
      <c r="AM89" s="65"/>
      <c r="AN89" s="65"/>
      <c r="AO89" s="65"/>
      <c r="AP89" s="65"/>
      <c r="AQ89" s="65"/>
      <c r="AR89" s="65"/>
      <c r="AS89" s="65"/>
      <c r="AT89" s="125"/>
      <c r="AU89" s="65"/>
      <c r="AV89" s="65"/>
      <c r="AW89" s="65"/>
      <c r="AX89" s="65"/>
      <c r="AY89" s="65"/>
      <c r="AZ89" s="33"/>
      <c r="BA89" s="46"/>
      <c r="BB89" s="335"/>
      <c r="BC89" s="336"/>
      <c r="BD89" s="28"/>
      <c r="BG89" s="24"/>
      <c r="BH89" s="28"/>
    </row>
    <row r="90" spans="1:60" ht="14.15" customHeight="1">
      <c r="A90" s="22"/>
      <c r="B90" s="202">
        <v>35</v>
      </c>
      <c r="C90" s="331"/>
      <c r="D90" s="332"/>
      <c r="E90" s="65"/>
      <c r="F90" s="65"/>
      <c r="G90" s="65"/>
      <c r="H90" s="65"/>
      <c r="I90" s="65"/>
      <c r="J90" s="967"/>
      <c r="K90" s="967"/>
      <c r="L90" s="967"/>
      <c r="M90" s="967"/>
      <c r="N90" s="65"/>
      <c r="O90" s="65"/>
      <c r="P90" s="65"/>
      <c r="Q90" s="65"/>
      <c r="R90" s="65"/>
      <c r="S90" s="65"/>
      <c r="T90" s="65"/>
      <c r="U90" s="65"/>
      <c r="V90" s="65"/>
      <c r="W90" s="65"/>
      <c r="X90" s="65"/>
      <c r="Y90" s="65"/>
      <c r="Z90" s="65"/>
      <c r="AA90" s="65"/>
      <c r="AB90" s="65"/>
      <c r="AC90" s="65"/>
      <c r="AD90" s="65"/>
      <c r="AE90" s="65"/>
      <c r="AF90" s="65"/>
      <c r="AG90" s="65"/>
      <c r="AH90" s="65"/>
      <c r="AI90" s="65"/>
      <c r="AJ90" s="65"/>
      <c r="AK90" s="65"/>
      <c r="AL90" s="65"/>
      <c r="AM90" s="65"/>
      <c r="AN90" s="65"/>
      <c r="AO90" s="65"/>
      <c r="AP90" s="65"/>
      <c r="AQ90" s="65"/>
      <c r="AR90" s="65"/>
      <c r="AS90" s="65"/>
      <c r="AT90" s="125"/>
      <c r="AU90" s="65"/>
      <c r="AV90" s="65"/>
      <c r="AW90" s="65"/>
      <c r="AX90" s="65"/>
      <c r="AY90" s="65"/>
      <c r="AZ90" s="33"/>
      <c r="BA90" s="46"/>
      <c r="BB90" s="335"/>
      <c r="BC90" s="336"/>
      <c r="BD90" s="28"/>
      <c r="BG90" s="24"/>
      <c r="BH90" s="28"/>
    </row>
    <row r="91" spans="1:60" ht="5.15" customHeight="1">
      <c r="A91" s="22"/>
      <c r="B91" s="202"/>
      <c r="C91" s="296"/>
      <c r="D91" s="72"/>
      <c r="E91" s="72"/>
      <c r="F91" s="72"/>
      <c r="G91" s="72"/>
      <c r="H91" s="297"/>
      <c r="I91" s="278"/>
      <c r="J91" s="279"/>
      <c r="K91" s="278"/>
      <c r="L91" s="279"/>
      <c r="M91" s="298"/>
      <c r="N91" s="298"/>
      <c r="O91" s="263"/>
      <c r="P91" s="298"/>
      <c r="Q91" s="263"/>
      <c r="R91" s="298"/>
      <c r="S91" s="72"/>
      <c r="T91" s="72"/>
      <c r="U91" s="72"/>
      <c r="V91" s="72"/>
      <c r="W91" s="72"/>
      <c r="X91" s="297"/>
      <c r="Y91" s="278"/>
      <c r="Z91" s="279"/>
      <c r="AA91" s="278"/>
      <c r="AB91" s="279"/>
      <c r="AC91" s="298"/>
      <c r="AD91" s="298"/>
      <c r="AE91" s="263"/>
      <c r="AF91" s="298"/>
      <c r="AG91" s="263"/>
      <c r="AH91" s="298"/>
      <c r="AI91" s="280"/>
      <c r="AJ91" s="298"/>
      <c r="AK91" s="263"/>
      <c r="AL91" s="72"/>
      <c r="AM91" s="72"/>
      <c r="AN91" s="72"/>
      <c r="AO91" s="72"/>
      <c r="AP91" s="72"/>
      <c r="AQ91" s="72"/>
      <c r="AR91" s="72"/>
      <c r="AS91" s="72"/>
      <c r="AT91" s="72"/>
      <c r="AU91" s="72"/>
      <c r="AV91" s="300"/>
      <c r="AW91" s="72"/>
      <c r="AX91" s="72"/>
      <c r="AY91" s="265"/>
      <c r="AZ91" s="33"/>
      <c r="BA91" s="46"/>
      <c r="BB91" s="78"/>
      <c r="BC91" s="34"/>
      <c r="BD91" s="28"/>
    </row>
    <row r="92" spans="1:60" ht="14.15" customHeight="1">
      <c r="A92" s="23"/>
      <c r="B92" s="351"/>
      <c r="C92" s="282"/>
      <c r="D92" s="28" t="s">
        <v>240</v>
      </c>
      <c r="E92" s="28"/>
      <c r="F92" s="28"/>
      <c r="G92" s="28"/>
      <c r="H92" s="468" t="s">
        <v>245</v>
      </c>
      <c r="I92" s="257"/>
      <c r="J92" s="258"/>
      <c r="K92" s="258"/>
      <c r="L92" s="258"/>
      <c r="M92" s="259"/>
      <c r="N92" s="258"/>
      <c r="O92" s="110"/>
      <c r="P92" s="261" t="s">
        <v>33</v>
      </c>
      <c r="Q92" s="25"/>
      <c r="R92" s="469" t="s">
        <v>246</v>
      </c>
      <c r="S92" s="470"/>
      <c r="T92" s="471"/>
      <c r="U92" s="471"/>
      <c r="V92" s="483"/>
      <c r="W92" s="472"/>
      <c r="X92" s="471"/>
      <c r="Y92" s="473"/>
      <c r="Z92" s="474"/>
      <c r="AB92" s="469" t="s">
        <v>289</v>
      </c>
      <c r="AC92" s="470"/>
      <c r="AD92" s="471"/>
      <c r="AE92" s="471"/>
      <c r="AF92" s="471"/>
      <c r="AG92" s="472"/>
      <c r="AH92" s="471"/>
      <c r="AI92" s="473"/>
      <c r="AJ92" s="472"/>
      <c r="AK92" s="479"/>
      <c r="AL92" s="479"/>
      <c r="AM92" s="473"/>
      <c r="AN92" s="473"/>
      <c r="AO92" s="471"/>
      <c r="AP92" s="480"/>
      <c r="AQ92" s="471"/>
      <c r="AR92" s="471"/>
      <c r="AS92" s="471"/>
      <c r="AT92" s="471"/>
      <c r="AU92" s="481"/>
      <c r="AV92" s="473"/>
      <c r="AW92" s="473"/>
      <c r="AX92" s="482"/>
      <c r="AY92" s="347"/>
      <c r="AZ92" s="33"/>
      <c r="BA92" s="46"/>
      <c r="BB92" s="78"/>
      <c r="BC92" s="34"/>
      <c r="BD92" s="28"/>
      <c r="BG92" s="35"/>
    </row>
    <row r="93" spans="1:60" ht="14.15" customHeight="1">
      <c r="A93" s="23"/>
      <c r="B93" s="351"/>
      <c r="C93" s="282"/>
      <c r="D93" s="28"/>
      <c r="E93" s="28"/>
      <c r="F93" s="28"/>
      <c r="G93" s="28"/>
      <c r="H93" s="469" t="s">
        <v>54</v>
      </c>
      <c r="I93" s="470"/>
      <c r="J93" s="471"/>
      <c r="K93" s="471"/>
      <c r="L93" s="471"/>
      <c r="M93" s="472"/>
      <c r="N93" s="471"/>
      <c r="O93" s="473"/>
      <c r="P93" s="472"/>
      <c r="Q93" s="479"/>
      <c r="R93" s="479"/>
      <c r="S93" s="473"/>
      <c r="T93" s="473"/>
      <c r="U93" s="471"/>
      <c r="V93" s="480"/>
      <c r="W93" s="471"/>
      <c r="X93" s="471"/>
      <c r="Y93" s="471"/>
      <c r="Z93" s="471"/>
      <c r="AA93" s="481"/>
      <c r="AB93" s="473"/>
      <c r="AC93" s="473"/>
      <c r="AD93" s="479"/>
      <c r="AE93" s="471"/>
      <c r="AF93" s="471"/>
      <c r="AG93" s="472"/>
      <c r="AH93" s="471"/>
      <c r="AI93" s="473"/>
      <c r="AJ93" s="472"/>
      <c r="AK93" s="479"/>
      <c r="AL93" s="479"/>
      <c r="AM93" s="473"/>
      <c r="AN93" s="473"/>
      <c r="AO93" s="471"/>
      <c r="AP93" s="480"/>
      <c r="AQ93" s="471"/>
      <c r="AR93" s="471"/>
      <c r="AS93" s="471"/>
      <c r="AT93" s="471"/>
      <c r="AU93" s="481"/>
      <c r="AV93" s="473"/>
      <c r="AW93" s="473"/>
      <c r="AX93" s="482"/>
      <c r="AY93" s="347"/>
      <c r="AZ93" s="33"/>
      <c r="BA93" s="46"/>
      <c r="BB93" s="78"/>
      <c r="BC93" s="34"/>
      <c r="BD93" s="28"/>
      <c r="BG93" s="35"/>
    </row>
    <row r="94" spans="1:60" ht="5.15" customHeight="1">
      <c r="A94" s="22"/>
      <c r="B94" s="202"/>
      <c r="C94" s="315"/>
      <c r="D94" s="73"/>
      <c r="E94" s="73"/>
      <c r="F94" s="73"/>
      <c r="G94" s="73"/>
      <c r="H94" s="316"/>
      <c r="I94" s="275"/>
      <c r="J94" s="273"/>
      <c r="K94" s="275"/>
      <c r="L94" s="273"/>
      <c r="M94" s="317"/>
      <c r="N94" s="317"/>
      <c r="O94" s="270"/>
      <c r="P94" s="317"/>
      <c r="Q94" s="270"/>
      <c r="R94" s="317"/>
      <c r="S94" s="73"/>
      <c r="T94" s="73"/>
      <c r="U94" s="73"/>
      <c r="V94" s="73"/>
      <c r="W94" s="73"/>
      <c r="X94" s="316"/>
      <c r="Y94" s="275"/>
      <c r="Z94" s="273"/>
      <c r="AA94" s="275"/>
      <c r="AB94" s="273"/>
      <c r="AC94" s="317"/>
      <c r="AD94" s="317"/>
      <c r="AE94" s="270"/>
      <c r="AF94" s="317"/>
      <c r="AG94" s="270"/>
      <c r="AH94" s="317"/>
      <c r="AI94" s="276"/>
      <c r="AJ94" s="317"/>
      <c r="AK94" s="270"/>
      <c r="AL94" s="73"/>
      <c r="AM94" s="73"/>
      <c r="AN94" s="73"/>
      <c r="AO94" s="73"/>
      <c r="AP94" s="73"/>
      <c r="AQ94" s="73"/>
      <c r="AR94" s="73"/>
      <c r="AS94" s="73"/>
      <c r="AT94" s="73"/>
      <c r="AU94" s="73"/>
      <c r="AV94" s="318"/>
      <c r="AW94" s="73"/>
      <c r="AX94" s="73"/>
      <c r="AY94" s="277"/>
      <c r="AZ94" s="33"/>
      <c r="BA94" s="46"/>
      <c r="BB94" s="78"/>
      <c r="BC94" s="34"/>
      <c r="BD94" s="28"/>
    </row>
    <row r="95" spans="1:60" ht="5.15" customHeight="1">
      <c r="A95" s="22"/>
      <c r="B95" s="202"/>
      <c r="C95" s="476"/>
      <c r="D95" s="72"/>
      <c r="E95" s="72"/>
      <c r="F95" s="72"/>
      <c r="G95" s="72"/>
      <c r="H95" s="297"/>
      <c r="I95" s="278"/>
      <c r="J95" s="279"/>
      <c r="K95" s="278"/>
      <c r="L95" s="279"/>
      <c r="M95" s="298"/>
      <c r="N95" s="298"/>
      <c r="O95" s="263"/>
      <c r="P95" s="298"/>
      <c r="Q95" s="263"/>
      <c r="R95" s="298"/>
      <c r="S95" s="72"/>
      <c r="T95" s="72"/>
      <c r="U95" s="72"/>
      <c r="V95" s="72"/>
      <c r="W95" s="72"/>
      <c r="X95" s="297"/>
      <c r="Y95" s="278"/>
      <c r="Z95" s="279"/>
      <c r="AA95" s="278"/>
      <c r="AB95" s="279"/>
      <c r="AC95" s="298"/>
      <c r="AD95" s="298"/>
      <c r="AE95" s="263"/>
      <c r="AF95" s="298"/>
      <c r="AG95" s="263"/>
      <c r="AH95" s="298"/>
      <c r="AI95" s="280"/>
      <c r="AJ95" s="298"/>
      <c r="AK95" s="263"/>
      <c r="AL95" s="72"/>
      <c r="AM95" s="72"/>
      <c r="AN95" s="72"/>
      <c r="AO95" s="72"/>
      <c r="AP95" s="72"/>
      <c r="AQ95" s="72"/>
      <c r="AR95" s="72"/>
      <c r="AS95" s="72"/>
      <c r="AT95" s="72"/>
      <c r="AU95" s="72"/>
      <c r="AV95" s="300"/>
      <c r="AW95" s="72"/>
      <c r="AX95" s="72"/>
      <c r="AY95" s="264"/>
      <c r="AZ95" s="33"/>
      <c r="BA95" s="46"/>
      <c r="BB95" s="78"/>
      <c r="BC95" s="34"/>
      <c r="BD95" s="28"/>
    </row>
    <row r="96" spans="1:60" ht="14.15" customHeight="1">
      <c r="A96" s="22"/>
      <c r="B96" s="202">
        <v>35</v>
      </c>
      <c r="C96" s="62" t="s">
        <v>243</v>
      </c>
      <c r="D96" s="332"/>
      <c r="E96" s="65"/>
      <c r="F96" s="65"/>
      <c r="G96" s="65"/>
      <c r="H96" s="65"/>
      <c r="I96" s="65"/>
      <c r="J96" s="945"/>
      <c r="K96" s="945"/>
      <c r="L96" s="945"/>
      <c r="M96" s="945"/>
      <c r="N96" s="65"/>
      <c r="O96" s="65"/>
      <c r="P96" s="65"/>
      <c r="Q96" s="65"/>
      <c r="R96" s="65"/>
      <c r="S96" s="65"/>
      <c r="T96" s="65"/>
      <c r="U96" s="65"/>
      <c r="V96" s="65"/>
      <c r="W96" s="65"/>
      <c r="X96" s="65"/>
      <c r="Y96" s="65"/>
      <c r="Z96" s="65"/>
      <c r="AA96" s="65"/>
      <c r="AB96" s="65"/>
      <c r="AC96" s="65"/>
      <c r="AD96" s="65"/>
      <c r="AE96" s="65"/>
      <c r="AF96" s="65"/>
      <c r="AG96" s="65"/>
      <c r="AH96" s="65"/>
      <c r="AI96" s="65"/>
      <c r="AJ96" s="65"/>
      <c r="AK96" s="65"/>
      <c r="AL96" s="65"/>
      <c r="AM96" s="65"/>
      <c r="AN96" s="65"/>
      <c r="AO96" s="65"/>
      <c r="AP96" s="65"/>
      <c r="AQ96" s="65"/>
      <c r="AR96" s="65"/>
      <c r="AS96" s="65"/>
      <c r="AT96" s="125"/>
      <c r="AU96" s="65"/>
      <c r="AV96" s="65"/>
      <c r="AW96" s="65"/>
      <c r="AX96" s="65"/>
      <c r="AY96" s="65"/>
      <c r="AZ96" s="33"/>
      <c r="BA96" s="46"/>
      <c r="BB96" s="335"/>
      <c r="BC96" s="336"/>
      <c r="BD96" s="28"/>
      <c r="BG96" s="24"/>
      <c r="BH96" s="28"/>
    </row>
    <row r="97" spans="1:60" ht="5.15" customHeight="1">
      <c r="A97" s="22"/>
      <c r="B97" s="202"/>
      <c r="C97" s="296"/>
      <c r="D97" s="72"/>
      <c r="E97" s="72"/>
      <c r="F97" s="72"/>
      <c r="G97" s="72"/>
      <c r="H97" s="297"/>
      <c r="I97" s="278"/>
      <c r="J97" s="279"/>
      <c r="K97" s="278"/>
      <c r="L97" s="279"/>
      <c r="M97" s="298"/>
      <c r="N97" s="298"/>
      <c r="O97" s="263"/>
      <c r="P97" s="298"/>
      <c r="Q97" s="263"/>
      <c r="R97" s="298"/>
      <c r="S97" s="72"/>
      <c r="T97" s="72"/>
      <c r="U97" s="72"/>
      <c r="V97" s="72"/>
      <c r="W97" s="72"/>
      <c r="X97" s="297"/>
      <c r="Y97" s="278"/>
      <c r="Z97" s="279"/>
      <c r="AA97" s="278"/>
      <c r="AB97" s="279"/>
      <c r="AC97" s="298"/>
      <c r="AD97" s="298"/>
      <c r="AE97" s="263"/>
      <c r="AF97" s="298"/>
      <c r="AG97" s="263"/>
      <c r="AH97" s="298"/>
      <c r="AI97" s="280"/>
      <c r="AJ97" s="298"/>
      <c r="AK97" s="263"/>
      <c r="AL97" s="72"/>
      <c r="AM97" s="72"/>
      <c r="AN97" s="72"/>
      <c r="AO97" s="72"/>
      <c r="AP97" s="72"/>
      <c r="AQ97" s="72"/>
      <c r="AR97" s="72"/>
      <c r="AS97" s="72"/>
      <c r="AT97" s="72"/>
      <c r="AU97" s="72"/>
      <c r="AV97" s="300"/>
      <c r="AW97" s="72"/>
      <c r="AX97" s="72"/>
      <c r="AY97" s="265"/>
      <c r="AZ97" s="33"/>
      <c r="BA97" s="46"/>
      <c r="BB97" s="78"/>
      <c r="BC97" s="34"/>
      <c r="BD97" s="28"/>
    </row>
    <row r="98" spans="1:60" ht="14.15" customHeight="1">
      <c r="A98" s="23"/>
      <c r="B98" s="351"/>
      <c r="C98" s="282"/>
      <c r="D98" s="28" t="s">
        <v>240</v>
      </c>
      <c r="E98" s="28"/>
      <c r="F98" s="28"/>
      <c r="G98" s="28"/>
      <c r="H98" s="468" t="s">
        <v>241</v>
      </c>
      <c r="I98" s="257"/>
      <c r="J98" s="258"/>
      <c r="K98" s="258"/>
      <c r="L98" s="258"/>
      <c r="M98" s="259"/>
      <c r="N98" s="258"/>
      <c r="O98" s="110"/>
      <c r="P98" s="261" t="s">
        <v>33</v>
      </c>
      <c r="Q98" s="25"/>
      <c r="R98" s="469" t="s">
        <v>242</v>
      </c>
      <c r="S98" s="470"/>
      <c r="T98" s="471"/>
      <c r="U98" s="471"/>
      <c r="V98" s="483"/>
      <c r="W98" s="484" t="s">
        <v>254</v>
      </c>
      <c r="X98" s="471"/>
      <c r="Y98" s="473"/>
      <c r="Z98" s="474"/>
      <c r="AB98" s="529" t="s">
        <v>290</v>
      </c>
      <c r="AC98" s="530"/>
      <c r="AD98" s="531"/>
      <c r="AE98" s="531"/>
      <c r="AF98" s="531"/>
      <c r="AG98" s="532"/>
      <c r="AH98" s="531"/>
      <c r="AI98" s="533"/>
      <c r="AJ98" s="532"/>
      <c r="AK98" s="61"/>
      <c r="AL98" s="61"/>
      <c r="AM98" s="533"/>
      <c r="AN98" s="533"/>
      <c r="AO98" s="531"/>
      <c r="AP98" s="534"/>
      <c r="AQ98" s="531"/>
      <c r="AR98" s="531"/>
      <c r="AS98" s="531"/>
      <c r="AT98" s="531"/>
      <c r="AU98" s="535"/>
      <c r="AV98" s="533"/>
      <c r="AW98" s="533"/>
      <c r="AX98" s="70"/>
      <c r="AY98" s="347"/>
      <c r="AZ98" s="33"/>
      <c r="BA98" s="46"/>
      <c r="BB98" s="78"/>
      <c r="BC98" s="34"/>
      <c r="BD98" s="28"/>
      <c r="BG98" s="35"/>
    </row>
    <row r="99" spans="1:60" ht="14.15" customHeight="1">
      <c r="A99" s="23"/>
      <c r="B99" s="351"/>
      <c r="C99" s="282"/>
      <c r="D99" s="28"/>
      <c r="E99" s="28"/>
      <c r="F99" s="28"/>
      <c r="G99" s="28"/>
      <c r="H99" s="469" t="s">
        <v>253</v>
      </c>
      <c r="I99" s="470"/>
      <c r="J99" s="471"/>
      <c r="K99" s="471"/>
      <c r="L99" s="471"/>
      <c r="M99" s="472"/>
      <c r="N99" s="471"/>
      <c r="O99" s="473"/>
      <c r="P99" s="472"/>
      <c r="Q99" s="479"/>
      <c r="R99" s="479"/>
      <c r="S99" s="473"/>
      <c r="T99" s="473"/>
      <c r="U99" s="471"/>
      <c r="V99" s="480"/>
      <c r="W99" s="471"/>
      <c r="X99" s="471"/>
      <c r="Y99" s="471"/>
      <c r="Z99" s="471"/>
      <c r="AA99" s="481"/>
      <c r="AB99" s="473"/>
      <c r="AC99" s="473"/>
      <c r="AD99" s="479"/>
      <c r="AE99" s="471"/>
      <c r="AF99" s="471"/>
      <c r="AG99" s="472"/>
      <c r="AH99" s="471"/>
      <c r="AI99" s="473"/>
      <c r="AJ99" s="472"/>
      <c r="AK99" s="479"/>
      <c r="AL99" s="479"/>
      <c r="AM99" s="473"/>
      <c r="AN99" s="473"/>
      <c r="AO99" s="471"/>
      <c r="AP99" s="480"/>
      <c r="AQ99" s="471"/>
      <c r="AR99" s="471"/>
      <c r="AS99" s="471"/>
      <c r="AT99" s="471"/>
      <c r="AU99" s="481"/>
      <c r="AV99" s="473"/>
      <c r="AW99" s="473"/>
      <c r="AX99" s="482"/>
      <c r="AY99" s="347"/>
      <c r="AZ99" s="33"/>
      <c r="BA99" s="46"/>
      <c r="BB99" s="78"/>
      <c r="BC99" s="34"/>
      <c r="BD99" s="28"/>
      <c r="BG99" s="35"/>
    </row>
    <row r="100" spans="1:60" ht="5.15" customHeight="1">
      <c r="A100" s="22"/>
      <c r="B100" s="202"/>
      <c r="C100" s="315"/>
      <c r="D100" s="73"/>
      <c r="E100" s="73"/>
      <c r="F100" s="73"/>
      <c r="G100" s="73"/>
      <c r="H100" s="316"/>
      <c r="I100" s="275"/>
      <c r="J100" s="273"/>
      <c r="K100" s="275"/>
      <c r="L100" s="273"/>
      <c r="M100" s="317"/>
      <c r="N100" s="317"/>
      <c r="O100" s="270"/>
      <c r="P100" s="317"/>
      <c r="Q100" s="270"/>
      <c r="R100" s="317"/>
      <c r="S100" s="73"/>
      <c r="T100" s="73"/>
      <c r="U100" s="73"/>
      <c r="V100" s="73"/>
      <c r="W100" s="73"/>
      <c r="X100" s="316"/>
      <c r="Y100" s="275"/>
      <c r="Z100" s="273"/>
      <c r="AA100" s="275"/>
      <c r="AB100" s="273"/>
      <c r="AC100" s="317"/>
      <c r="AD100" s="317"/>
      <c r="AE100" s="270"/>
      <c r="AF100" s="317"/>
      <c r="AG100" s="270"/>
      <c r="AH100" s="317"/>
      <c r="AI100" s="276"/>
      <c r="AJ100" s="317"/>
      <c r="AK100" s="270"/>
      <c r="AL100" s="73"/>
      <c r="AM100" s="73"/>
      <c r="AN100" s="73"/>
      <c r="AO100" s="73"/>
      <c r="AP100" s="73"/>
      <c r="AQ100" s="73"/>
      <c r="AR100" s="73"/>
      <c r="AS100" s="73"/>
      <c r="AT100" s="73"/>
      <c r="AU100" s="73"/>
      <c r="AV100" s="318"/>
      <c r="AW100" s="73"/>
      <c r="AX100" s="73"/>
      <c r="AY100" s="277"/>
      <c r="AZ100" s="33"/>
      <c r="BA100" s="46"/>
      <c r="BB100" s="78"/>
      <c r="BC100" s="34"/>
      <c r="BD100" s="28"/>
    </row>
    <row r="101" spans="1:60" ht="5.15" customHeight="1">
      <c r="A101" s="22"/>
      <c r="B101" s="202"/>
      <c r="C101" s="476"/>
      <c r="D101" s="72"/>
      <c r="E101" s="72"/>
      <c r="F101" s="72"/>
      <c r="G101" s="72"/>
      <c r="H101" s="297"/>
      <c r="I101" s="278"/>
      <c r="J101" s="279"/>
      <c r="K101" s="278"/>
      <c r="L101" s="279"/>
      <c r="M101" s="298"/>
      <c r="N101" s="298"/>
      <c r="O101" s="263"/>
      <c r="P101" s="298"/>
      <c r="Q101" s="263"/>
      <c r="R101" s="298"/>
      <c r="S101" s="72"/>
      <c r="T101" s="72"/>
      <c r="U101" s="72"/>
      <c r="V101" s="72"/>
      <c r="W101" s="72"/>
      <c r="X101" s="297"/>
      <c r="Y101" s="278"/>
      <c r="Z101" s="279"/>
      <c r="AA101" s="278"/>
      <c r="AB101" s="279"/>
      <c r="AC101" s="298"/>
      <c r="AD101" s="298"/>
      <c r="AE101" s="263"/>
      <c r="AF101" s="298"/>
      <c r="AG101" s="263"/>
      <c r="AH101" s="298"/>
      <c r="AI101" s="280"/>
      <c r="AJ101" s="298"/>
      <c r="AK101" s="263"/>
      <c r="AL101" s="72"/>
      <c r="AM101" s="72"/>
      <c r="AN101" s="72"/>
      <c r="AO101" s="72"/>
      <c r="AP101" s="72"/>
      <c r="AQ101" s="72"/>
      <c r="AR101" s="72"/>
      <c r="AS101" s="72"/>
      <c r="AT101" s="72"/>
      <c r="AU101" s="72"/>
      <c r="AV101" s="300"/>
      <c r="AW101" s="72"/>
      <c r="AX101" s="72"/>
      <c r="AY101" s="264"/>
      <c r="AZ101" s="33"/>
      <c r="BA101" s="46"/>
      <c r="BB101" s="78"/>
      <c r="BC101" s="34"/>
      <c r="BD101" s="28"/>
    </row>
    <row r="102" spans="1:60" ht="14.15" customHeight="1">
      <c r="A102" s="22"/>
      <c r="B102" s="202">
        <v>35</v>
      </c>
      <c r="C102" s="62" t="s">
        <v>243</v>
      </c>
      <c r="D102" s="332"/>
      <c r="E102" s="65"/>
      <c r="F102" s="65"/>
      <c r="G102" s="65"/>
      <c r="H102" s="65"/>
      <c r="I102" s="65"/>
      <c r="J102" s="477"/>
      <c r="K102" s="477"/>
      <c r="L102" s="477"/>
      <c r="M102" s="477"/>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125"/>
      <c r="AU102" s="65"/>
      <c r="AV102" s="65"/>
      <c r="AW102" s="65"/>
      <c r="AX102" s="65"/>
      <c r="AY102" s="65"/>
      <c r="AZ102" s="33"/>
      <c r="BA102" s="46"/>
      <c r="BB102" s="335"/>
      <c r="BC102" s="336"/>
      <c r="BD102" s="28"/>
      <c r="BG102" s="24"/>
      <c r="BH102" s="28"/>
    </row>
    <row r="103" spans="1:60" ht="14.15" customHeight="1">
      <c r="A103" s="22"/>
      <c r="B103" s="202">
        <v>35</v>
      </c>
      <c r="C103" s="331"/>
      <c r="D103" s="332"/>
      <c r="E103" s="65"/>
      <c r="F103" s="65"/>
      <c r="G103" s="65"/>
      <c r="H103" s="65"/>
      <c r="I103" s="65"/>
      <c r="J103" s="477"/>
      <c r="K103" s="477"/>
      <c r="L103" s="477"/>
      <c r="M103" s="477"/>
      <c r="N103" s="65"/>
      <c r="O103" s="65"/>
      <c r="P103" s="65"/>
      <c r="Q103" s="65"/>
      <c r="R103" s="65"/>
      <c r="S103" s="65"/>
      <c r="T103" s="65"/>
      <c r="U103" s="65"/>
      <c r="V103" s="65"/>
      <c r="W103" s="65"/>
      <c r="X103" s="65"/>
      <c r="Y103" s="65"/>
      <c r="Z103" s="65"/>
      <c r="AA103" s="65"/>
      <c r="AB103" s="65"/>
      <c r="AC103" s="65"/>
      <c r="AD103" s="65"/>
      <c r="AE103" s="65"/>
      <c r="AF103" s="65"/>
      <c r="AG103" s="65"/>
      <c r="AH103" s="65"/>
      <c r="AI103" s="65"/>
      <c r="AJ103" s="65"/>
      <c r="AK103" s="65"/>
      <c r="AL103" s="65"/>
      <c r="AM103" s="65"/>
      <c r="AN103" s="65"/>
      <c r="AO103" s="65"/>
      <c r="AP103" s="65"/>
      <c r="AQ103" s="65"/>
      <c r="AR103" s="65"/>
      <c r="AS103" s="65"/>
      <c r="AT103" s="125"/>
      <c r="AU103" s="65"/>
      <c r="AV103" s="65"/>
      <c r="AW103" s="65"/>
      <c r="AX103" s="65"/>
      <c r="AY103" s="65"/>
      <c r="AZ103" s="33"/>
      <c r="BA103" s="46"/>
      <c r="BB103" s="335"/>
      <c r="BC103" s="336"/>
      <c r="BD103" s="28"/>
      <c r="BG103" s="24"/>
      <c r="BH103" s="28"/>
    </row>
    <row r="104" spans="1:60" ht="14.15" customHeight="1">
      <c r="A104" s="22"/>
      <c r="B104" s="202">
        <v>35</v>
      </c>
      <c r="C104" s="346" t="s">
        <v>249</v>
      </c>
      <c r="D104" s="332"/>
      <c r="E104" s="65"/>
      <c r="F104" s="65"/>
      <c r="G104" s="65"/>
      <c r="H104" s="65"/>
      <c r="I104" s="65"/>
      <c r="J104" s="945"/>
      <c r="K104" s="945"/>
      <c r="L104" s="945"/>
      <c r="M104" s="945"/>
      <c r="N104" s="65"/>
      <c r="O104" s="65"/>
      <c r="P104" s="65"/>
      <c r="Q104" s="65"/>
      <c r="R104" s="65"/>
      <c r="S104" s="65"/>
      <c r="T104" s="65"/>
      <c r="U104" s="65"/>
      <c r="V104" s="65"/>
      <c r="W104" s="65"/>
      <c r="X104" s="65"/>
      <c r="Y104" s="65"/>
      <c r="Z104" s="65"/>
      <c r="AA104" s="65"/>
      <c r="AB104" s="65"/>
      <c r="AC104" s="65"/>
      <c r="AD104" s="65"/>
      <c r="AE104" s="65"/>
      <c r="AF104" s="65"/>
      <c r="AG104" s="65"/>
      <c r="AH104" s="65"/>
      <c r="AI104" s="65"/>
      <c r="AJ104" s="65"/>
      <c r="AK104" s="65"/>
      <c r="AL104" s="65"/>
      <c r="AM104" s="65"/>
      <c r="AN104" s="65"/>
      <c r="AO104" s="65"/>
      <c r="AP104" s="65"/>
      <c r="AQ104" s="65"/>
      <c r="AR104" s="65"/>
      <c r="AS104" s="65"/>
      <c r="AT104" s="125"/>
      <c r="AU104" s="65"/>
      <c r="AV104" s="65"/>
      <c r="AW104" s="65"/>
      <c r="AX104" s="65"/>
      <c r="AY104" s="65"/>
      <c r="AZ104" s="33"/>
      <c r="BA104" s="46"/>
      <c r="BB104" s="335"/>
      <c r="BC104" s="336"/>
      <c r="BD104" s="28"/>
      <c r="BG104" s="24"/>
      <c r="BH104" s="28"/>
    </row>
    <row r="105" spans="1:60" ht="5.15" customHeight="1">
      <c r="A105" s="22"/>
      <c r="B105" s="202"/>
      <c r="C105" s="296"/>
      <c r="D105" s="72"/>
      <c r="E105" s="72"/>
      <c r="F105" s="72"/>
      <c r="G105" s="72"/>
      <c r="H105" s="297"/>
      <c r="I105" s="278"/>
      <c r="J105" s="279"/>
      <c r="K105" s="278"/>
      <c r="L105" s="279"/>
      <c r="M105" s="298"/>
      <c r="N105" s="298"/>
      <c r="O105" s="263"/>
      <c r="P105" s="298"/>
      <c r="Q105" s="263"/>
      <c r="R105" s="298"/>
      <c r="S105" s="72"/>
      <c r="T105" s="72"/>
      <c r="U105" s="72"/>
      <c r="V105" s="72"/>
      <c r="W105" s="72"/>
      <c r="X105" s="297"/>
      <c r="Y105" s="278"/>
      <c r="Z105" s="279"/>
      <c r="AA105" s="278"/>
      <c r="AB105" s="279"/>
      <c r="AC105" s="298"/>
      <c r="AD105" s="298"/>
      <c r="AE105" s="263"/>
      <c r="AF105" s="298"/>
      <c r="AG105" s="263"/>
      <c r="AH105" s="298"/>
      <c r="AI105" s="280"/>
      <c r="AJ105" s="298"/>
      <c r="AK105" s="263"/>
      <c r="AL105" s="72"/>
      <c r="AM105" s="72"/>
      <c r="AN105" s="72"/>
      <c r="AO105" s="72"/>
      <c r="AP105" s="72"/>
      <c r="AQ105" s="72"/>
      <c r="AR105" s="72"/>
      <c r="AS105" s="72"/>
      <c r="AT105" s="72"/>
      <c r="AU105" s="72"/>
      <c r="AV105" s="300"/>
      <c r="AW105" s="72"/>
      <c r="AX105" s="72"/>
      <c r="AY105" s="265"/>
      <c r="AZ105" s="33"/>
      <c r="BA105" s="46"/>
      <c r="BB105" s="335"/>
      <c r="BC105" s="336"/>
      <c r="BD105" s="28"/>
    </row>
    <row r="106" spans="1:60" ht="13.5" customHeight="1">
      <c r="A106" s="22"/>
      <c r="B106" s="45"/>
      <c r="C106" s="266"/>
      <c r="D106" s="28" t="s">
        <v>250</v>
      </c>
      <c r="E106" s="28"/>
      <c r="F106" s="28"/>
      <c r="G106" s="28"/>
      <c r="H106" s="24"/>
      <c r="I106" s="24"/>
      <c r="J106" s="24"/>
      <c r="K106" s="24"/>
      <c r="L106" s="24"/>
      <c r="M106" s="127"/>
      <c r="N106" s="75"/>
      <c r="O106" s="84"/>
      <c r="P106" s="84"/>
      <c r="Q106" s="85"/>
      <c r="R106" s="75"/>
      <c r="S106" s="75"/>
      <c r="T106" s="75"/>
      <c r="U106" s="84"/>
      <c r="V106" s="85"/>
      <c r="W106" s="75"/>
      <c r="X106" s="65"/>
      <c r="Y106" s="28"/>
      <c r="Z106" s="28"/>
      <c r="AA106" s="28"/>
      <c r="AB106" s="28"/>
      <c r="AC106" s="28"/>
      <c r="AD106" s="28"/>
      <c r="AE106" s="28"/>
      <c r="AF106" s="28"/>
      <c r="AG106" s="28"/>
      <c r="AH106" s="28"/>
      <c r="AI106" s="28"/>
      <c r="AJ106" s="28"/>
      <c r="AK106" s="28"/>
      <c r="AL106" s="28"/>
      <c r="AM106" s="31"/>
      <c r="AN106" s="31"/>
      <c r="AO106" s="31"/>
      <c r="AP106" s="31"/>
      <c r="AQ106" s="31"/>
      <c r="AR106" s="31"/>
      <c r="AS106" s="31"/>
      <c r="AT106" s="31"/>
      <c r="AU106" s="31"/>
      <c r="AV106" s="31"/>
      <c r="AW106" s="31"/>
      <c r="AX106" s="65"/>
      <c r="AY106" s="267"/>
      <c r="AZ106" s="33"/>
      <c r="BA106" s="46"/>
      <c r="BB106" s="335"/>
      <c r="BC106" s="336"/>
      <c r="BD106" s="28"/>
      <c r="BE106" s="35"/>
      <c r="BF106" s="35"/>
      <c r="BG106" s="35"/>
    </row>
    <row r="107" spans="1:60" ht="13.5" customHeight="1">
      <c r="A107" s="22"/>
      <c r="B107" s="45"/>
      <c r="C107" s="266"/>
      <c r="D107" s="28"/>
      <c r="E107" s="28"/>
      <c r="F107" s="28"/>
      <c r="G107" s="28"/>
      <c r="H107" s="348" t="s">
        <v>252</v>
      </c>
      <c r="I107" s="131"/>
      <c r="J107" s="131"/>
      <c r="K107" s="131"/>
      <c r="L107" s="132"/>
      <c r="M107" s="132"/>
      <c r="N107" s="106"/>
      <c r="O107" s="133"/>
      <c r="P107" s="134"/>
      <c r="Q107" s="133" t="s">
        <v>251</v>
      </c>
      <c r="R107" s="134"/>
      <c r="S107" s="107"/>
      <c r="T107" s="107"/>
      <c r="U107" s="107"/>
      <c r="V107" s="107"/>
      <c r="W107" s="107"/>
      <c r="X107" s="107"/>
      <c r="Y107" s="107"/>
      <c r="Z107" s="107"/>
      <c r="AA107" s="107"/>
      <c r="AB107" s="107"/>
      <c r="AC107" s="107"/>
      <c r="AD107" s="107"/>
      <c r="AE107" s="107"/>
      <c r="AF107" s="107"/>
      <c r="AG107" s="107"/>
      <c r="AH107" s="107"/>
      <c r="AI107" s="107"/>
      <c r="AJ107" s="107"/>
      <c r="AK107" s="107"/>
      <c r="AL107" s="133" t="s">
        <v>44</v>
      </c>
      <c r="AM107" s="134"/>
      <c r="AN107" s="107"/>
      <c r="AO107" s="31"/>
      <c r="AP107" s="31"/>
      <c r="AQ107" s="31"/>
      <c r="AR107" s="31"/>
      <c r="AS107" s="31"/>
      <c r="AT107" s="31"/>
      <c r="AU107" s="31"/>
      <c r="AV107" s="31"/>
      <c r="AW107" s="31"/>
      <c r="AX107" s="65"/>
      <c r="AY107" s="267"/>
      <c r="AZ107" s="33"/>
      <c r="BA107" s="46"/>
      <c r="BB107" s="335"/>
      <c r="BC107" s="336"/>
      <c r="BD107" s="28"/>
      <c r="BE107" s="35"/>
      <c r="BF107" s="35"/>
      <c r="BG107" s="35"/>
    </row>
    <row r="108" spans="1:60" ht="13.5" customHeight="1">
      <c r="A108" s="22"/>
      <c r="B108" s="45"/>
      <c r="C108" s="266"/>
      <c r="D108" s="28"/>
      <c r="E108" s="28"/>
      <c r="F108" s="28"/>
      <c r="G108" s="28"/>
      <c r="H108" s="485" t="s">
        <v>255</v>
      </c>
      <c r="I108" s="137"/>
      <c r="J108" s="137"/>
      <c r="K108" s="137"/>
      <c r="L108" s="137"/>
      <c r="M108" s="137"/>
      <c r="N108" s="137"/>
      <c r="O108" s="350"/>
      <c r="P108" s="139"/>
      <c r="Q108" s="486" t="s">
        <v>54</v>
      </c>
      <c r="R108" s="139"/>
      <c r="S108" s="108"/>
      <c r="T108" s="108"/>
      <c r="U108" s="108"/>
      <c r="V108" s="156"/>
      <c r="W108" s="110"/>
      <c r="X108" s="110"/>
      <c r="Y108" s="156"/>
      <c r="Z108" s="156"/>
      <c r="AA108" s="110"/>
      <c r="AB108" s="110"/>
      <c r="AC108" s="37"/>
      <c r="AD108" s="37"/>
      <c r="AE108" s="37"/>
      <c r="AF108" s="37"/>
      <c r="AG108" s="37"/>
      <c r="AH108" s="37"/>
      <c r="AI108" s="37"/>
      <c r="AJ108" s="37"/>
      <c r="AK108" s="97"/>
      <c r="AL108" s="140"/>
      <c r="AM108" s="141"/>
      <c r="AN108" s="142"/>
      <c r="AO108" s="31"/>
      <c r="AP108" s="31"/>
      <c r="AQ108" s="31"/>
      <c r="AR108" s="31"/>
      <c r="AS108" s="31"/>
      <c r="AT108" s="31"/>
      <c r="AU108" s="31"/>
      <c r="AV108" s="31"/>
      <c r="AW108" s="31"/>
      <c r="AX108" s="65"/>
      <c r="AY108" s="267"/>
      <c r="AZ108" s="33"/>
      <c r="BA108" s="46"/>
      <c r="BB108" s="335"/>
      <c r="BC108" s="336"/>
      <c r="BD108" s="28"/>
      <c r="BE108" s="35"/>
      <c r="BF108" s="35"/>
      <c r="BG108" s="35"/>
    </row>
    <row r="109" spans="1:60" ht="13.5" customHeight="1">
      <c r="A109" s="22"/>
      <c r="B109" s="45"/>
      <c r="C109" s="266"/>
      <c r="D109" s="28"/>
      <c r="E109" s="28"/>
      <c r="F109" s="28"/>
      <c r="G109" s="28"/>
      <c r="H109" s="485" t="s">
        <v>256</v>
      </c>
      <c r="I109" s="137"/>
      <c r="J109" s="137"/>
      <c r="K109" s="137"/>
      <c r="L109" s="137"/>
      <c r="M109" s="137"/>
      <c r="N109" s="137"/>
      <c r="O109" s="350"/>
      <c r="P109" s="139"/>
      <c r="Q109" s="486" t="s">
        <v>54</v>
      </c>
      <c r="R109" s="139"/>
      <c r="S109" s="108"/>
      <c r="T109" s="108"/>
      <c r="U109" s="108"/>
      <c r="V109" s="156"/>
      <c r="W109" s="110"/>
      <c r="X109" s="110"/>
      <c r="Y109" s="156"/>
      <c r="Z109" s="156"/>
      <c r="AA109" s="110"/>
      <c r="AB109" s="110"/>
      <c r="AC109" s="37"/>
      <c r="AD109" s="37"/>
      <c r="AE109" s="37"/>
      <c r="AF109" s="37"/>
      <c r="AG109" s="37"/>
      <c r="AH109" s="37"/>
      <c r="AI109" s="37"/>
      <c r="AJ109" s="37"/>
      <c r="AK109" s="97"/>
      <c r="AL109" s="140"/>
      <c r="AM109" s="141"/>
      <c r="AN109" s="142"/>
      <c r="AO109" s="31"/>
      <c r="AP109" s="31"/>
      <c r="AQ109" s="31"/>
      <c r="AR109" s="31"/>
      <c r="AS109" s="31"/>
      <c r="AT109" s="31"/>
      <c r="AU109" s="31"/>
      <c r="AV109" s="31"/>
      <c r="AW109" s="31"/>
      <c r="AX109" s="65"/>
      <c r="AY109" s="267"/>
      <c r="AZ109" s="33"/>
      <c r="BA109" s="46"/>
      <c r="BB109" s="335"/>
      <c r="BC109" s="336"/>
      <c r="BD109" s="28"/>
      <c r="BE109" s="35"/>
      <c r="BF109" s="35"/>
      <c r="BG109" s="35"/>
    </row>
    <row r="110" spans="1:60" ht="13.5" customHeight="1">
      <c r="A110" s="22"/>
      <c r="B110" s="45"/>
      <c r="C110" s="266"/>
      <c r="D110" s="28"/>
      <c r="E110" s="28"/>
      <c r="F110" s="28"/>
      <c r="G110" s="28"/>
      <c r="H110" s="485" t="s">
        <v>257</v>
      </c>
      <c r="I110" s="137"/>
      <c r="J110" s="137"/>
      <c r="K110" s="137"/>
      <c r="L110" s="137"/>
      <c r="M110" s="137"/>
      <c r="N110" s="137"/>
      <c r="O110" s="350"/>
      <c r="P110" s="139"/>
      <c r="Q110" s="486" t="s">
        <v>54</v>
      </c>
      <c r="R110" s="139"/>
      <c r="S110" s="108"/>
      <c r="T110" s="108"/>
      <c r="U110" s="108"/>
      <c r="V110" s="156"/>
      <c r="W110" s="110"/>
      <c r="X110" s="110"/>
      <c r="Y110" s="156"/>
      <c r="Z110" s="156"/>
      <c r="AA110" s="110"/>
      <c r="AB110" s="110"/>
      <c r="AC110" s="37"/>
      <c r="AD110" s="37"/>
      <c r="AE110" s="37"/>
      <c r="AF110" s="37"/>
      <c r="AG110" s="37"/>
      <c r="AH110" s="37"/>
      <c r="AI110" s="37"/>
      <c r="AJ110" s="37"/>
      <c r="AK110" s="97"/>
      <c r="AL110" s="140"/>
      <c r="AM110" s="141"/>
      <c r="AN110" s="142"/>
      <c r="AO110" s="31"/>
      <c r="AP110" s="31"/>
      <c r="AQ110" s="31"/>
      <c r="AR110" s="31"/>
      <c r="AS110" s="31"/>
      <c r="AT110" s="31"/>
      <c r="AU110" s="31"/>
      <c r="AV110" s="31"/>
      <c r="AW110" s="31"/>
      <c r="AX110" s="65"/>
      <c r="AY110" s="267"/>
      <c r="AZ110" s="33"/>
      <c r="BA110" s="46"/>
      <c r="BB110" s="335"/>
      <c r="BC110" s="336"/>
      <c r="BD110" s="28"/>
      <c r="BE110" s="35"/>
      <c r="BF110" s="35"/>
      <c r="BG110" s="35"/>
    </row>
    <row r="111" spans="1:60" ht="5.15" customHeight="1">
      <c r="A111" s="22"/>
      <c r="B111" s="202"/>
      <c r="C111" s="315"/>
      <c r="D111" s="73"/>
      <c r="E111" s="73"/>
      <c r="F111" s="73"/>
      <c r="G111" s="73"/>
      <c r="H111" s="316"/>
      <c r="I111" s="275"/>
      <c r="J111" s="273"/>
      <c r="K111" s="275"/>
      <c r="L111" s="273"/>
      <c r="M111" s="317"/>
      <c r="N111" s="317"/>
      <c r="O111" s="270"/>
      <c r="P111" s="317"/>
      <c r="Q111" s="270"/>
      <c r="R111" s="317"/>
      <c r="S111" s="73"/>
      <c r="T111" s="73"/>
      <c r="U111" s="73"/>
      <c r="V111" s="73"/>
      <c r="W111" s="73"/>
      <c r="X111" s="316"/>
      <c r="Y111" s="275"/>
      <c r="Z111" s="273"/>
      <c r="AA111" s="275"/>
      <c r="AB111" s="273"/>
      <c r="AC111" s="317"/>
      <c r="AD111" s="317"/>
      <c r="AE111" s="270"/>
      <c r="AF111" s="317"/>
      <c r="AG111" s="270"/>
      <c r="AH111" s="317"/>
      <c r="AI111" s="276"/>
      <c r="AJ111" s="317"/>
      <c r="AK111" s="270"/>
      <c r="AL111" s="73"/>
      <c r="AM111" s="73"/>
      <c r="AN111" s="73"/>
      <c r="AO111" s="73"/>
      <c r="AP111" s="73"/>
      <c r="AQ111" s="73"/>
      <c r="AR111" s="73"/>
      <c r="AS111" s="73"/>
      <c r="AT111" s="73"/>
      <c r="AU111" s="73"/>
      <c r="AV111" s="318"/>
      <c r="AW111" s="73"/>
      <c r="AX111" s="73"/>
      <c r="AY111" s="277"/>
      <c r="AZ111" s="33"/>
      <c r="BA111" s="46"/>
      <c r="BB111" s="335"/>
      <c r="BC111" s="336"/>
      <c r="BD111" s="28"/>
    </row>
    <row r="112" spans="1:60" ht="14.15" customHeight="1">
      <c r="A112" s="22"/>
      <c r="B112" s="202">
        <v>35</v>
      </c>
      <c r="C112" s="331"/>
      <c r="D112" s="332"/>
      <c r="E112" s="65"/>
      <c r="F112" s="65"/>
      <c r="G112" s="65"/>
      <c r="H112" s="65"/>
      <c r="I112" s="65"/>
      <c r="J112" s="945"/>
      <c r="K112" s="945"/>
      <c r="L112" s="945"/>
      <c r="M112" s="945"/>
      <c r="N112" s="65"/>
      <c r="O112" s="65"/>
      <c r="P112" s="65"/>
      <c r="Q112" s="65"/>
      <c r="R112" s="65"/>
      <c r="S112" s="65"/>
      <c r="T112" s="65"/>
      <c r="U112" s="65"/>
      <c r="V112" s="65"/>
      <c r="W112" s="65"/>
      <c r="X112" s="65"/>
      <c r="Y112" s="65"/>
      <c r="Z112" s="65"/>
      <c r="AA112" s="65"/>
      <c r="AB112" s="65"/>
      <c r="AC112" s="65"/>
      <c r="AD112" s="65"/>
      <c r="AE112" s="65"/>
      <c r="AF112" s="65"/>
      <c r="AG112" s="65"/>
      <c r="AH112" s="65"/>
      <c r="AI112" s="65"/>
      <c r="AJ112" s="65"/>
      <c r="AK112" s="65"/>
      <c r="AL112" s="65"/>
      <c r="AM112" s="65"/>
      <c r="AN112" s="65"/>
      <c r="AO112" s="65"/>
      <c r="AP112" s="65"/>
      <c r="AQ112" s="65"/>
      <c r="AR112" s="65"/>
      <c r="AS112" s="65"/>
      <c r="AT112" s="125"/>
      <c r="AU112" s="65"/>
      <c r="AV112" s="65"/>
      <c r="AW112" s="65"/>
      <c r="AX112" s="65"/>
      <c r="AY112" s="65"/>
      <c r="AZ112" s="33"/>
      <c r="BA112" s="46"/>
      <c r="BB112" s="78"/>
      <c r="BC112" s="34"/>
      <c r="BD112" s="28"/>
      <c r="BG112" s="24"/>
      <c r="BH112" s="28"/>
    </row>
    <row r="113" spans="1:69" ht="13.5" customHeight="1">
      <c r="A113" s="22"/>
      <c r="B113" s="202">
        <v>36</v>
      </c>
      <c r="C113" s="331"/>
      <c r="D113" s="332"/>
      <c r="E113" s="65"/>
      <c r="F113" s="65"/>
      <c r="G113" s="65"/>
      <c r="H113" s="65"/>
      <c r="I113" s="65"/>
      <c r="J113" s="945"/>
      <c r="K113" s="945"/>
      <c r="L113" s="945"/>
      <c r="M113" s="945"/>
      <c r="N113" s="63"/>
      <c r="O113" s="65"/>
      <c r="P113" s="65"/>
      <c r="Q113" s="65"/>
      <c r="R113" s="28"/>
      <c r="S113" s="28"/>
      <c r="T113" s="31"/>
      <c r="U113" s="31"/>
      <c r="V113" s="31"/>
      <c r="W113" s="31"/>
      <c r="X113" s="31"/>
      <c r="Y113" s="44"/>
      <c r="Z113" s="31"/>
      <c r="AA113" s="28"/>
      <c r="AB113" s="44"/>
      <c r="AC113" s="31"/>
      <c r="AD113" s="28"/>
      <c r="AE113" s="44"/>
      <c r="AF113" s="28"/>
      <c r="AG113" s="116"/>
      <c r="AH113" s="41"/>
      <c r="AI113" s="116"/>
      <c r="AJ113" s="116"/>
      <c r="AK113" s="116"/>
      <c r="AL113" s="116"/>
      <c r="AM113" s="116"/>
      <c r="AN113" s="116"/>
      <c r="AO113" s="116"/>
      <c r="AP113" s="116"/>
      <c r="AQ113" s="116"/>
      <c r="AR113" s="116"/>
      <c r="AS113" s="116"/>
      <c r="AT113" s="116"/>
      <c r="AU113" s="116"/>
      <c r="AV113" s="116"/>
      <c r="AW113" s="116"/>
      <c r="AX113" s="116"/>
      <c r="AY113" s="116"/>
      <c r="AZ113" s="33"/>
      <c r="BA113" s="46"/>
      <c r="BB113" s="78"/>
      <c r="BC113" s="34"/>
      <c r="BD113" s="28"/>
      <c r="BG113" s="24"/>
      <c r="BH113" s="28"/>
    </row>
    <row r="114" spans="1:69" ht="13.5" customHeight="1">
      <c r="A114" s="22"/>
      <c r="B114" s="202">
        <v>37</v>
      </c>
      <c r="C114" s="331"/>
      <c r="D114" s="332"/>
      <c r="E114" s="65"/>
      <c r="F114" s="65"/>
      <c r="G114" s="65"/>
      <c r="H114" s="65"/>
      <c r="I114" s="65"/>
      <c r="J114" s="945"/>
      <c r="K114" s="945"/>
      <c r="L114" s="945"/>
      <c r="M114" s="945"/>
      <c r="N114" s="193"/>
      <c r="O114" s="195"/>
      <c r="P114" s="193"/>
      <c r="Q114" s="194"/>
      <c r="R114" s="194"/>
      <c r="S114" s="194"/>
      <c r="T114" s="196"/>
      <c r="U114" s="196"/>
      <c r="V114" s="196"/>
      <c r="W114" s="196"/>
      <c r="X114" s="196"/>
      <c r="Y114" s="195"/>
      <c r="Z114" s="196"/>
      <c r="AA114" s="194"/>
      <c r="AB114" s="195"/>
      <c r="AC114" s="196"/>
      <c r="AD114" s="194"/>
      <c r="AE114" s="195"/>
      <c r="AF114" s="194"/>
      <c r="AG114" s="194"/>
      <c r="AH114" s="195"/>
      <c r="AI114" s="194"/>
      <c r="AJ114" s="194"/>
      <c r="AK114" s="197"/>
      <c r="AL114" s="194"/>
      <c r="AM114" s="194"/>
      <c r="AN114" s="194"/>
      <c r="AO114" s="194"/>
      <c r="AP114" s="194"/>
      <c r="AQ114" s="194"/>
      <c r="AR114" s="194"/>
      <c r="AS114" s="194"/>
      <c r="AT114" s="194"/>
      <c r="AU114" s="194"/>
      <c r="AV114" s="194"/>
      <c r="AW114" s="194"/>
      <c r="AX114" s="194"/>
      <c r="AY114" s="194"/>
      <c r="AZ114" s="33"/>
      <c r="BA114" s="46"/>
      <c r="BB114" s="78"/>
      <c r="BC114" s="34"/>
      <c r="BD114" s="28"/>
      <c r="BG114" s="24"/>
      <c r="BH114" s="28"/>
    </row>
    <row r="115" spans="1:69">
      <c r="A115" s="22"/>
      <c r="B115" s="32"/>
      <c r="C115" s="28"/>
      <c r="D115" s="28"/>
      <c r="E115" s="28"/>
      <c r="F115" s="28"/>
      <c r="G115" s="28"/>
      <c r="H115" s="28"/>
      <c r="I115" s="28"/>
      <c r="J115" s="28"/>
      <c r="K115" s="28"/>
      <c r="L115" s="28"/>
      <c r="M115" s="28"/>
      <c r="N115" s="28"/>
      <c r="O115" s="28"/>
      <c r="P115" s="28"/>
      <c r="Q115" s="28"/>
      <c r="R115" s="28"/>
      <c r="S115" s="81"/>
      <c r="T115" s="81"/>
      <c r="U115" s="81"/>
      <c r="V115" s="81"/>
      <c r="W115" s="28"/>
      <c r="X115" s="28"/>
      <c r="Y115" s="81"/>
      <c r="Z115" s="81"/>
      <c r="AA115" s="28"/>
      <c r="AB115" s="28"/>
      <c r="AC115" s="28"/>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31"/>
      <c r="AZ115" s="33"/>
      <c r="BA115" s="46"/>
      <c r="BB115" s="78"/>
      <c r="BC115" s="34"/>
    </row>
    <row r="116" spans="1:69" s="81" customFormat="1">
      <c r="A116" s="155"/>
      <c r="B116" s="95"/>
      <c r="C116" s="110"/>
      <c r="D116" s="110"/>
      <c r="E116" s="110"/>
      <c r="F116" s="110"/>
      <c r="G116" s="110"/>
      <c r="H116" s="110"/>
      <c r="I116" s="110"/>
      <c r="J116" s="110"/>
      <c r="K116" s="110"/>
      <c r="L116" s="110"/>
      <c r="M116" s="110"/>
      <c r="N116" s="110"/>
      <c r="O116" s="110"/>
      <c r="P116" s="110"/>
      <c r="Q116" s="110"/>
      <c r="R116" s="110"/>
      <c r="S116" s="156"/>
      <c r="T116" s="156"/>
      <c r="U116" s="156"/>
      <c r="V116" s="156"/>
      <c r="W116" s="110"/>
      <c r="X116" s="110"/>
      <c r="Y116" s="156"/>
      <c r="Z116" s="156"/>
      <c r="AA116" s="110"/>
      <c r="AB116" s="110"/>
      <c r="AC116" s="110"/>
      <c r="AD116" s="156"/>
      <c r="AE116" s="156"/>
      <c r="AF116" s="156"/>
      <c r="AG116" s="156"/>
      <c r="AH116" s="156"/>
      <c r="AI116" s="156"/>
      <c r="AJ116" s="156"/>
      <c r="AK116" s="156"/>
      <c r="AL116" s="156"/>
      <c r="AM116" s="156"/>
      <c r="AN116" s="156"/>
      <c r="AO116" s="156"/>
      <c r="AP116" s="156"/>
      <c r="AQ116" s="156"/>
      <c r="AR116" s="156"/>
      <c r="AS116" s="156"/>
      <c r="AT116" s="156"/>
      <c r="AU116" s="156"/>
      <c r="AV116" s="156"/>
      <c r="AW116" s="156"/>
      <c r="AX116" s="156"/>
      <c r="AY116" s="95"/>
      <c r="AZ116" s="95"/>
      <c r="BA116" s="157"/>
      <c r="BB116" s="79"/>
      <c r="BC116" s="40"/>
      <c r="BE116" s="28"/>
      <c r="BF116" s="28"/>
      <c r="BG116" s="28"/>
      <c r="BH116" s="35"/>
      <c r="BI116" s="35"/>
      <c r="BJ116" s="35"/>
      <c r="BK116" s="35"/>
      <c r="BL116" s="35"/>
      <c r="BM116" s="35"/>
      <c r="BN116" s="35"/>
      <c r="BO116" s="35"/>
      <c r="BP116" s="35"/>
      <c r="BQ116" s="35"/>
    </row>
  </sheetData>
  <mergeCells count="107">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V2:AY2"/>
    <mergeCell ref="AZ2:BC3"/>
    <mergeCell ref="A3:H3"/>
    <mergeCell ref="I3:L3"/>
    <mergeCell ref="M3:W3"/>
    <mergeCell ref="X3:Z3"/>
    <mergeCell ref="AA3:AR3"/>
    <mergeCell ref="AS3:AU3"/>
    <mergeCell ref="AV3:AY3"/>
    <mergeCell ref="A5:BA5"/>
    <mergeCell ref="BB5:BC5"/>
    <mergeCell ref="R50:U50"/>
    <mergeCell ref="Z50:AC50"/>
    <mergeCell ref="AT50:AW50"/>
    <mergeCell ref="AX50:BA50"/>
    <mergeCell ref="AH50:AK50"/>
    <mergeCell ref="AL50:AO50"/>
    <mergeCell ref="AP50:AS50"/>
    <mergeCell ref="H41:L41"/>
    <mergeCell ref="H42:L42"/>
    <mergeCell ref="AG65:AJ65"/>
    <mergeCell ref="AK65:AN65"/>
    <mergeCell ref="AO65:AR65"/>
    <mergeCell ref="AS65:AV65"/>
    <mergeCell ref="AW65:AZ65"/>
    <mergeCell ref="R51:U51"/>
    <mergeCell ref="Z51:AC51"/>
    <mergeCell ref="AT51:AW51"/>
    <mergeCell ref="AH51:AK51"/>
    <mergeCell ref="AL51:AO51"/>
    <mergeCell ref="J114:M114"/>
    <mergeCell ref="BA66:BD66"/>
    <mergeCell ref="BE66:BG66"/>
    <mergeCell ref="X74:AA74"/>
    <mergeCell ref="AK74:AN74"/>
    <mergeCell ref="AO74:AR74"/>
    <mergeCell ref="AS74:AV74"/>
    <mergeCell ref="AW74:AZ74"/>
    <mergeCell ref="J78:M78"/>
    <mergeCell ref="J80:M80"/>
    <mergeCell ref="J87:M87"/>
    <mergeCell ref="J112:M112"/>
    <mergeCell ref="J113:M113"/>
    <mergeCell ref="AS66:AV66"/>
    <mergeCell ref="J88:M88"/>
    <mergeCell ref="J90:M90"/>
    <mergeCell ref="AS70:AV70"/>
    <mergeCell ref="AW70:AZ70"/>
    <mergeCell ref="T70:W70"/>
    <mergeCell ref="X70:AA70"/>
    <mergeCell ref="AG70:AJ70"/>
    <mergeCell ref="AK70:AN70"/>
    <mergeCell ref="AO70:AR70"/>
    <mergeCell ref="J96:M96"/>
    <mergeCell ref="J104:M104"/>
    <mergeCell ref="AP51:AS51"/>
    <mergeCell ref="T74:W74"/>
    <mergeCell ref="BJ50:BM50"/>
    <mergeCell ref="BH65:BK65"/>
    <mergeCell ref="AG74:AJ74"/>
    <mergeCell ref="AO66:AR66"/>
    <mergeCell ref="AK66:AN66"/>
    <mergeCell ref="AG66:AJ66"/>
    <mergeCell ref="AB66:AF66"/>
    <mergeCell ref="X66:AA66"/>
    <mergeCell ref="T66:W66"/>
    <mergeCell ref="BB50:BE50"/>
    <mergeCell ref="BB51:BE51"/>
    <mergeCell ref="BF50:BI50"/>
    <mergeCell ref="BF51:BI51"/>
    <mergeCell ref="AW66:AZ66"/>
    <mergeCell ref="BA65:BD65"/>
    <mergeCell ref="BE65:BG65"/>
    <mergeCell ref="AX51:BA51"/>
    <mergeCell ref="T65:W65"/>
    <mergeCell ref="X65:AA65"/>
    <mergeCell ref="AB65:AF65"/>
    <mergeCell ref="AS69:AV69"/>
    <mergeCell ref="AW69:AZ69"/>
    <mergeCell ref="T73:W73"/>
    <mergeCell ref="X73:AA73"/>
    <mergeCell ref="AG73:AJ73"/>
    <mergeCell ref="AK73:AN73"/>
    <mergeCell ref="AO73:AR73"/>
    <mergeCell ref="AS73:AV73"/>
    <mergeCell ref="AW73:AZ73"/>
    <mergeCell ref="T69:W69"/>
    <mergeCell ref="X69:AA69"/>
    <mergeCell ref="AG69:AJ69"/>
    <mergeCell ref="AK69:AN69"/>
    <mergeCell ref="AO69:AR69"/>
  </mergeCells>
  <phoneticPr fontId="57"/>
  <conditionalFormatting sqref="AO69:AR70">
    <cfRule type="cellIs" dxfId="24" priority="3" operator="lessThan">
      <formula>0</formula>
    </cfRule>
    <cfRule type="expression" dxfId="23" priority="4">
      <formula>#REF!&lt;30</formula>
    </cfRule>
  </conditionalFormatting>
  <conditionalFormatting sqref="AO73:AR74">
    <cfRule type="cellIs" dxfId="22" priority="1" operator="lessThan">
      <formula>0</formula>
    </cfRule>
    <cfRule type="expression" dxfId="21" priority="2">
      <formula>#REF!&lt;30</formula>
    </cfRule>
  </conditionalFormatting>
  <conditionalFormatting sqref="AS65:AV66">
    <cfRule type="cellIs" dxfId="20" priority="8" operator="lessThan">
      <formula>0</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12C837-CC74-4F4E-AF36-58ED36486169}">
  <dimension ref="A1:CM150"/>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40" t="s">
        <v>4</v>
      </c>
      <c r="B1" s="740"/>
      <c r="C1" s="740"/>
      <c r="D1" s="740"/>
      <c r="E1" s="740"/>
      <c r="F1" s="740"/>
      <c r="G1" s="740"/>
      <c r="H1" s="740"/>
      <c r="I1" s="727" t="s">
        <v>5</v>
      </c>
      <c r="J1" s="727"/>
      <c r="K1" s="727"/>
      <c r="L1" s="727"/>
      <c r="M1" s="738" t="str">
        <f>変更来歴!M1</f>
        <v>ヒロセ電機株式会社</v>
      </c>
      <c r="N1" s="738"/>
      <c r="O1" s="738"/>
      <c r="P1" s="738"/>
      <c r="Q1" s="738"/>
      <c r="R1" s="738"/>
      <c r="S1" s="738"/>
      <c r="T1" s="738"/>
      <c r="U1" s="738"/>
      <c r="V1" s="738"/>
      <c r="W1" s="738"/>
      <c r="X1" s="727" t="s">
        <v>7</v>
      </c>
      <c r="Y1" s="727"/>
      <c r="Z1" s="727"/>
      <c r="AA1" s="742" t="str">
        <f>変更来歴!AA1</f>
        <v>化学物質データ申請</v>
      </c>
      <c r="AB1" s="742"/>
      <c r="AC1" s="742"/>
      <c r="AD1" s="742"/>
      <c r="AE1" s="742"/>
      <c r="AF1" s="742"/>
      <c r="AG1" s="742"/>
      <c r="AH1" s="742"/>
      <c r="AI1" s="742"/>
      <c r="AJ1" s="742"/>
      <c r="AK1" s="716" t="s">
        <v>8</v>
      </c>
      <c r="AL1" s="716"/>
      <c r="AM1" s="716"/>
      <c r="AN1" s="718" t="str">
        <f>変更来歴!AP7</f>
        <v>古竹</v>
      </c>
      <c r="AO1" s="718"/>
      <c r="AP1" s="718"/>
      <c r="AQ1" s="718"/>
      <c r="AR1" s="718"/>
      <c r="AS1" s="716" t="s">
        <v>9</v>
      </c>
      <c r="AT1" s="716"/>
      <c r="AU1" s="716"/>
      <c r="AV1" s="719">
        <f>変更来歴!AL7</f>
        <v>46125</v>
      </c>
      <c r="AW1" s="717"/>
      <c r="AX1" s="717"/>
      <c r="AY1" s="717"/>
      <c r="AZ1" s="723" t="s">
        <v>10</v>
      </c>
      <c r="BA1" s="724"/>
      <c r="BB1" s="724"/>
      <c r="BC1" s="725"/>
    </row>
    <row r="2" spans="1:59">
      <c r="A2" s="726" t="s">
        <v>16</v>
      </c>
      <c r="B2" s="726"/>
      <c r="C2" s="726"/>
      <c r="D2" s="726"/>
      <c r="E2" s="726"/>
      <c r="F2" s="726"/>
      <c r="G2" s="726"/>
      <c r="H2" s="726"/>
      <c r="I2" s="727" t="s">
        <v>11</v>
      </c>
      <c r="J2" s="727"/>
      <c r="K2" s="727"/>
      <c r="L2" s="727"/>
      <c r="M2" s="762" t="str">
        <f>変更来歴!M2</f>
        <v>　</v>
      </c>
      <c r="N2" s="762"/>
      <c r="O2" s="762"/>
      <c r="P2" s="762"/>
      <c r="Q2" s="762"/>
      <c r="R2" s="762"/>
      <c r="S2" s="762"/>
      <c r="T2" s="762"/>
      <c r="U2" s="762"/>
      <c r="V2" s="762"/>
      <c r="W2" s="762"/>
      <c r="X2" s="727"/>
      <c r="Y2" s="727"/>
      <c r="Z2" s="727"/>
      <c r="AA2" s="742"/>
      <c r="AB2" s="742"/>
      <c r="AC2" s="742"/>
      <c r="AD2" s="742"/>
      <c r="AE2" s="742"/>
      <c r="AF2" s="742"/>
      <c r="AG2" s="742"/>
      <c r="AH2" s="742"/>
      <c r="AI2" s="742"/>
      <c r="AJ2" s="742"/>
      <c r="AK2" s="716" t="s">
        <v>12</v>
      </c>
      <c r="AL2" s="716"/>
      <c r="AM2" s="716"/>
      <c r="AN2" s="718" t="str">
        <f ca="1">INDIRECT("変更来歴!AP" &amp; COUNTA(変更来歴!AP7:'変更来歴'!AP39) + 6)</f>
        <v>古竹</v>
      </c>
      <c r="AO2" s="718"/>
      <c r="AP2" s="718"/>
      <c r="AQ2" s="718"/>
      <c r="AR2" s="718"/>
      <c r="AS2" s="716" t="s">
        <v>13</v>
      </c>
      <c r="AT2" s="716"/>
      <c r="AU2" s="716"/>
      <c r="AV2" s="719">
        <f ca="1">INDIRECT("変更来歴!AL" &amp; COUNTA(変更来歴!AL7:'変更来歴'!AL39) + 6)</f>
        <v>46162</v>
      </c>
      <c r="AW2" s="717"/>
      <c r="AX2" s="717"/>
      <c r="AY2" s="717"/>
      <c r="AZ2" s="731" t="str">
        <f>変更来歴!AX2</f>
        <v>IMWF-53</v>
      </c>
      <c r="BA2" s="732"/>
      <c r="BB2" s="732"/>
      <c r="BC2" s="733"/>
    </row>
    <row r="3" spans="1:59" ht="12" customHeight="1">
      <c r="A3" s="737" t="str">
        <f>変更来歴!A3</f>
        <v>画面設計書</v>
      </c>
      <c r="B3" s="737"/>
      <c r="C3" s="737"/>
      <c r="D3" s="737"/>
      <c r="E3" s="737"/>
      <c r="F3" s="737"/>
      <c r="G3" s="737"/>
      <c r="H3" s="737"/>
      <c r="I3" s="727" t="s">
        <v>14</v>
      </c>
      <c r="J3" s="727"/>
      <c r="K3" s="727"/>
      <c r="L3" s="727"/>
      <c r="M3" s="738" t="str">
        <f ca="1">RIGHT(CELL("filename",A1),LEN(CELL("filename",A1))-FIND("]",CELL("filename",A1)))</f>
        <v>外貨(PPM)</v>
      </c>
      <c r="N3" s="738"/>
      <c r="O3" s="738"/>
      <c r="P3" s="738"/>
      <c r="Q3" s="738"/>
      <c r="R3" s="738"/>
      <c r="S3" s="738"/>
      <c r="T3" s="738"/>
      <c r="U3" s="738"/>
      <c r="V3" s="738"/>
      <c r="W3" s="738"/>
      <c r="X3" s="727" t="s">
        <v>27</v>
      </c>
      <c r="Y3" s="727"/>
      <c r="Z3" s="727"/>
      <c r="AA3" s="739" t="str">
        <f ca="1">MID(CELL("filename"),FIND("]",CELL("filename"))+1,LEN(CELL("filename"))) &amp; "画面"</f>
        <v>表紙画面</v>
      </c>
      <c r="AB3" s="739"/>
      <c r="AC3" s="739"/>
      <c r="AD3" s="739"/>
      <c r="AE3" s="739"/>
      <c r="AF3" s="739"/>
      <c r="AG3" s="739"/>
      <c r="AH3" s="739"/>
      <c r="AI3" s="739"/>
      <c r="AJ3" s="739"/>
      <c r="AK3" s="739"/>
      <c r="AL3" s="739"/>
      <c r="AM3" s="739"/>
      <c r="AN3" s="739"/>
      <c r="AO3" s="739"/>
      <c r="AP3" s="739"/>
      <c r="AQ3" s="739"/>
      <c r="AR3" s="739"/>
      <c r="AS3" s="716" t="s">
        <v>15</v>
      </c>
      <c r="AT3" s="716"/>
      <c r="AU3" s="716"/>
      <c r="AV3" s="717" t="str">
        <f ca="1">INDIRECT("変更来歴!A" &amp; COUNTA(変更来歴!A7:'変更来歴'!A39) + 6)</f>
        <v>r1.2</v>
      </c>
      <c r="AW3" s="717"/>
      <c r="AX3" s="717"/>
      <c r="AY3" s="717"/>
      <c r="AZ3" s="734"/>
      <c r="BA3" s="735"/>
      <c r="BB3" s="735"/>
      <c r="BC3" s="736"/>
    </row>
    <row r="4" spans="1:59" ht="5.9" customHeight="1"/>
    <row r="5" spans="1:59" ht="13.5" customHeight="1">
      <c r="A5" s="763" t="str">
        <f ca="1">"画面レイアウト"&amp;"("&amp;MID(CELL("filename"),FIND("]",CELL("filename"))+1,LEN(CELL("filename")))&amp;")"</f>
        <v>画面レイアウト(表紙)</v>
      </c>
      <c r="B5" s="764"/>
      <c r="C5" s="764"/>
      <c r="D5" s="764"/>
      <c r="E5" s="764"/>
      <c r="F5" s="764"/>
      <c r="G5" s="764"/>
      <c r="H5" s="764"/>
      <c r="I5" s="764"/>
      <c r="J5" s="764"/>
      <c r="K5" s="764"/>
      <c r="L5" s="764"/>
      <c r="M5" s="764"/>
      <c r="N5" s="764"/>
      <c r="O5" s="764"/>
      <c r="P5" s="764"/>
      <c r="Q5" s="764"/>
      <c r="R5" s="764"/>
      <c r="S5" s="764"/>
      <c r="T5" s="764"/>
      <c r="U5" s="764"/>
      <c r="V5" s="764"/>
      <c r="W5" s="764"/>
      <c r="X5" s="764"/>
      <c r="Y5" s="764"/>
      <c r="Z5" s="764"/>
      <c r="AA5" s="764"/>
      <c r="AB5" s="764"/>
      <c r="AC5" s="764"/>
      <c r="AD5" s="764"/>
      <c r="AE5" s="764"/>
      <c r="AF5" s="764"/>
      <c r="AG5" s="764"/>
      <c r="AH5" s="764"/>
      <c r="AI5" s="764"/>
      <c r="AJ5" s="764"/>
      <c r="AK5" s="764"/>
      <c r="AL5" s="764"/>
      <c r="AM5" s="764"/>
      <c r="AN5" s="764"/>
      <c r="AO5" s="764"/>
      <c r="AP5" s="764"/>
      <c r="AQ5" s="764"/>
      <c r="AR5" s="764"/>
      <c r="AS5" s="764"/>
      <c r="AT5" s="764"/>
      <c r="AU5" s="764"/>
      <c r="AV5" s="764"/>
      <c r="AW5" s="764"/>
      <c r="AX5" s="764"/>
      <c r="AY5" s="764"/>
      <c r="AZ5" s="764"/>
      <c r="BA5" s="765"/>
      <c r="BB5" s="766" t="s">
        <v>24</v>
      </c>
      <c r="BC5" s="767"/>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291</v>
      </c>
      <c r="C7" s="36"/>
      <c r="D7" s="36"/>
      <c r="E7" s="36"/>
      <c r="F7" s="36"/>
      <c r="G7" s="36"/>
      <c r="H7" s="48"/>
      <c r="I7" s="36"/>
      <c r="J7" s="48"/>
      <c r="K7" s="36"/>
      <c r="L7" s="36"/>
      <c r="M7" s="36"/>
      <c r="N7" s="48"/>
      <c r="O7" s="48" t="s">
        <v>287</v>
      </c>
      <c r="P7" s="36"/>
      <c r="Q7" s="36"/>
      <c r="R7" s="36"/>
      <c r="S7" s="49" t="s">
        <v>286</v>
      </c>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456">
        <v>0.05</v>
      </c>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28"/>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267</v>
      </c>
      <c r="D26" s="28"/>
      <c r="E26" s="28"/>
      <c r="F26" s="28"/>
      <c r="H26" s="58"/>
      <c r="I26" s="59"/>
      <c r="J26" s="59"/>
      <c r="K26" s="59"/>
      <c r="L26" s="60"/>
      <c r="M26" s="59"/>
      <c r="N26" s="61"/>
      <c r="O26" s="61"/>
      <c r="P26" s="70"/>
      <c r="Q26" s="64"/>
      <c r="R26" s="28"/>
      <c r="S26" s="35"/>
      <c r="T26" s="28" t="s">
        <v>265</v>
      </c>
      <c r="V26" s="28"/>
      <c r="W26" s="28"/>
      <c r="Y26" s="58"/>
      <c r="Z26" s="59"/>
      <c r="AA26" s="59"/>
      <c r="AB26" s="59"/>
      <c r="AC26" s="60"/>
      <c r="AD26" s="59"/>
      <c r="AE26" s="61"/>
      <c r="AF26" s="61"/>
      <c r="AG26" s="70"/>
      <c r="AH26" s="28"/>
      <c r="AI26" s="28"/>
      <c r="AJ26" s="28"/>
      <c r="AL26" s="28"/>
      <c r="AM26" s="28"/>
      <c r="AN26" s="28"/>
      <c r="AO26" s="35"/>
      <c r="AP26" s="62"/>
      <c r="AQ26" s="63"/>
      <c r="AR26" s="63"/>
      <c r="AS26" s="63"/>
      <c r="AT26" s="64"/>
      <c r="AU26" s="63"/>
      <c r="AV26" s="65"/>
      <c r="AW26" s="65"/>
      <c r="AX26" s="65"/>
      <c r="AY26" s="283"/>
      <c r="AZ26" s="33"/>
      <c r="BA26" s="46"/>
      <c r="BB26" s="78"/>
      <c r="BC26" s="34"/>
      <c r="BD26" s="28"/>
      <c r="BE26" s="35"/>
      <c r="BF26" s="35"/>
      <c r="BG26" s="35"/>
    </row>
    <row r="27" spans="1:59" ht="14.15" customHeight="1">
      <c r="A27" s="22"/>
      <c r="B27" s="256"/>
      <c r="C27" s="497" t="s">
        <v>273</v>
      </c>
      <c r="F27" s="285"/>
      <c r="G27" s="285"/>
      <c r="H27" s="98" t="s">
        <v>122</v>
      </c>
      <c r="I27" s="257"/>
      <c r="J27" s="258"/>
      <c r="K27" s="258"/>
      <c r="L27" s="258"/>
      <c r="M27" s="259"/>
      <c r="N27" s="258"/>
      <c r="O27" s="110"/>
      <c r="P27" s="260" t="s">
        <v>33</v>
      </c>
      <c r="R27" s="130"/>
      <c r="S27" s="35"/>
      <c r="T27" s="285" t="s">
        <v>274</v>
      </c>
      <c r="U27" s="35"/>
      <c r="V27" s="285"/>
      <c r="W27" s="285"/>
      <c r="X27" s="285"/>
      <c r="Y27" s="98" t="s">
        <v>123</v>
      </c>
      <c r="Z27" s="257"/>
      <c r="AA27" s="258"/>
      <c r="AB27" s="258"/>
      <c r="AC27" s="258"/>
      <c r="AD27" s="259"/>
      <c r="AE27" s="258"/>
      <c r="AF27" s="142"/>
      <c r="AG27" s="496" t="s">
        <v>33</v>
      </c>
      <c r="AH27" s="35"/>
      <c r="AI27" s="35"/>
      <c r="AJ27" s="285"/>
      <c r="AL27" s="35"/>
      <c r="AM27" s="285"/>
      <c r="AN27" s="35"/>
      <c r="AO27" s="35"/>
      <c r="AP27" s="26"/>
      <c r="AQ27" s="493"/>
      <c r="AR27" s="494"/>
      <c r="AS27" s="494"/>
      <c r="AT27" s="494"/>
      <c r="AU27" s="495"/>
      <c r="AV27" s="38"/>
      <c r="AW27" s="26"/>
      <c r="AX27" s="499"/>
      <c r="AY27" s="286"/>
      <c r="AZ27" s="33"/>
      <c r="BA27" s="46"/>
      <c r="BB27" s="78"/>
      <c r="BC27" s="34"/>
      <c r="BD27" s="35"/>
      <c r="BE27" s="35"/>
      <c r="BF27" s="35"/>
      <c r="BG27" s="35"/>
    </row>
    <row r="28" spans="1:59" ht="13.5" customHeight="1">
      <c r="A28" s="22"/>
      <c r="B28" s="45"/>
      <c r="C28" s="282" t="s">
        <v>268</v>
      </c>
      <c r="D28" s="28"/>
      <c r="E28" s="28"/>
      <c r="F28" s="28"/>
      <c r="H28" s="58"/>
      <c r="I28" s="59"/>
      <c r="J28" s="59"/>
      <c r="K28" s="59"/>
      <c r="L28" s="60"/>
      <c r="M28" s="59"/>
      <c r="N28" s="61"/>
      <c r="O28" s="61"/>
      <c r="P28" s="70"/>
      <c r="Q28" s="64"/>
      <c r="R28" s="28"/>
      <c r="S28" s="35"/>
      <c r="T28" s="28" t="s">
        <v>269</v>
      </c>
      <c r="U28" s="28"/>
      <c r="V28" s="28"/>
      <c r="W28" s="28"/>
      <c r="Y28" s="58"/>
      <c r="Z28" s="59"/>
      <c r="AA28" s="59"/>
      <c r="AB28" s="59"/>
      <c r="AC28" s="60"/>
      <c r="AD28" s="59"/>
      <c r="AE28" s="61"/>
      <c r="AF28" s="61"/>
      <c r="AG28" s="70"/>
      <c r="AH28" s="28"/>
      <c r="AI28" s="28"/>
      <c r="AJ28" s="28" t="s">
        <v>270</v>
      </c>
      <c r="AK28" s="28"/>
      <c r="AL28" s="28"/>
      <c r="AM28" s="28"/>
      <c r="AN28" s="28"/>
      <c r="AO28" s="35"/>
      <c r="AP28" s="58"/>
      <c r="AQ28" s="59"/>
      <c r="AR28" s="59"/>
      <c r="AS28" s="59"/>
      <c r="AT28" s="60"/>
      <c r="AU28" s="59"/>
      <c r="AV28" s="61"/>
      <c r="AW28" s="61"/>
      <c r="AX28" s="498"/>
      <c r="AY28" s="283"/>
      <c r="AZ28" s="33"/>
      <c r="BA28" s="46"/>
      <c r="BB28" s="78"/>
      <c r="BC28" s="34"/>
      <c r="BD28" s="28"/>
      <c r="BE28" s="35"/>
      <c r="BF28" s="35"/>
      <c r="BG28" s="35"/>
    </row>
    <row r="29" spans="1:59" ht="13.5" customHeight="1">
      <c r="A29" s="22"/>
      <c r="B29" s="45"/>
      <c r="C29" s="282" t="s">
        <v>118</v>
      </c>
      <c r="D29" s="28"/>
      <c r="E29" s="28"/>
      <c r="F29" s="28"/>
      <c r="H29" s="58"/>
      <c r="I29" s="59"/>
      <c r="J29" s="59"/>
      <c r="K29" s="59"/>
      <c r="L29" s="60"/>
      <c r="M29" s="59"/>
      <c r="N29" s="61"/>
      <c r="O29" s="61"/>
      <c r="P29" s="260" t="s">
        <v>33</v>
      </c>
      <c r="Q29" s="64"/>
      <c r="R29" s="28"/>
      <c r="S29" s="35"/>
      <c r="T29" s="26" t="s">
        <v>271</v>
      </c>
      <c r="U29" s="28"/>
      <c r="V29" s="28"/>
      <c r="W29" s="28"/>
      <c r="Y29" s="58"/>
      <c r="Z29" s="59"/>
      <c r="AA29" s="59"/>
      <c r="AB29" s="59"/>
      <c r="AC29" s="60"/>
      <c r="AD29" s="59"/>
      <c r="AE29" s="61"/>
      <c r="AF29" s="61"/>
      <c r="AG29" s="70"/>
      <c r="AH29" s="28"/>
      <c r="AI29" s="28"/>
      <c r="AJ29" s="28" t="s">
        <v>272</v>
      </c>
      <c r="AK29" s="28"/>
      <c r="AL29" s="28"/>
      <c r="AM29" s="28"/>
      <c r="AN29" s="28"/>
      <c r="AO29" s="35"/>
      <c r="AP29" s="58"/>
      <c r="AQ29" s="59"/>
      <c r="AR29" s="59"/>
      <c r="AS29" s="59"/>
      <c r="AT29" s="60"/>
      <c r="AU29" s="59"/>
      <c r="AV29" s="70"/>
      <c r="AW29" s="94" t="s">
        <v>266</v>
      </c>
      <c r="AX29" s="35"/>
      <c r="AY29" s="283"/>
      <c r="AZ29" s="33"/>
      <c r="BA29" s="46"/>
      <c r="BB29" s="78"/>
      <c r="BC29" s="34"/>
      <c r="BD29" s="28"/>
      <c r="BE29" s="35"/>
      <c r="BF29" s="35"/>
      <c r="BG29" s="35"/>
    </row>
    <row r="30" spans="1:59" ht="13.5" customHeight="1">
      <c r="A30" s="22"/>
      <c r="B30" s="32"/>
      <c r="C30" s="287" t="s">
        <v>124</v>
      </c>
      <c r="D30" s="41"/>
      <c r="E30" s="41"/>
      <c r="F30" s="41"/>
      <c r="G30" s="41"/>
      <c r="H30" s="163"/>
      <c r="I30" s="164"/>
      <c r="J30" s="165"/>
      <c r="K30" s="164"/>
      <c r="L30" s="165"/>
      <c r="M30" s="164"/>
      <c r="N30" s="166"/>
      <c r="O30" s="164"/>
      <c r="P30" s="165"/>
      <c r="Q30" s="165"/>
      <c r="R30" s="165"/>
      <c r="S30" s="167"/>
      <c r="T30" s="167"/>
      <c r="U30" s="167"/>
      <c r="V30" s="167"/>
      <c r="W30" s="167"/>
      <c r="X30" s="166"/>
      <c r="Y30" s="167"/>
      <c r="Z30" s="165"/>
      <c r="AA30" s="166"/>
      <c r="AB30" s="167"/>
      <c r="AC30" s="165"/>
      <c r="AD30" s="166"/>
      <c r="AE30" s="165"/>
      <c r="AF30" s="165"/>
      <c r="AG30" s="166"/>
      <c r="AH30" s="165"/>
      <c r="AI30" s="165"/>
      <c r="AJ30" s="168"/>
      <c r="AK30" s="165"/>
      <c r="AL30" s="165"/>
      <c r="AM30" s="165"/>
      <c r="AN30" s="165"/>
      <c r="AO30" s="165"/>
      <c r="AP30" s="165"/>
      <c r="AQ30" s="165"/>
      <c r="AR30" s="165"/>
      <c r="AS30" s="165"/>
      <c r="AT30" s="165"/>
      <c r="AU30" s="165"/>
      <c r="AV30" s="165"/>
      <c r="AW30" s="165"/>
      <c r="AX30" s="160" t="s">
        <v>37</v>
      </c>
      <c r="AY30" s="283"/>
      <c r="AZ30" s="33"/>
      <c r="BA30" s="46"/>
      <c r="BB30" s="78"/>
      <c r="BC30" s="34"/>
      <c r="BD30" s="28"/>
      <c r="BE30" s="35"/>
      <c r="BF30" s="35"/>
      <c r="BG30" s="35"/>
    </row>
    <row r="31" spans="1:59" ht="13.5" customHeight="1">
      <c r="A31" s="22"/>
      <c r="B31" s="32"/>
      <c r="C31" s="287"/>
      <c r="D31" s="41"/>
      <c r="E31" s="41"/>
      <c r="F31" s="41"/>
      <c r="G31" s="41"/>
      <c r="H31" s="169"/>
      <c r="I31" s="170"/>
      <c r="J31" s="171"/>
      <c r="K31" s="170"/>
      <c r="L31" s="171"/>
      <c r="M31" s="170"/>
      <c r="N31" s="172"/>
      <c r="O31" s="170"/>
      <c r="P31" s="171"/>
      <c r="Q31" s="171"/>
      <c r="R31" s="171"/>
      <c r="S31" s="173"/>
      <c r="T31" s="173"/>
      <c r="U31" s="173"/>
      <c r="V31" s="173"/>
      <c r="W31" s="173"/>
      <c r="X31" s="172"/>
      <c r="Y31" s="173"/>
      <c r="Z31" s="171"/>
      <c r="AA31" s="172"/>
      <c r="AB31" s="173"/>
      <c r="AC31" s="171"/>
      <c r="AD31" s="172"/>
      <c r="AE31" s="171"/>
      <c r="AF31" s="171"/>
      <c r="AG31" s="172"/>
      <c r="AH31" s="171"/>
      <c r="AI31" s="171"/>
      <c r="AJ31" s="174"/>
      <c r="AK31" s="171"/>
      <c r="AL31" s="171"/>
      <c r="AM31" s="171"/>
      <c r="AN31" s="171"/>
      <c r="AO31" s="171"/>
      <c r="AP31" s="171"/>
      <c r="AQ31" s="171"/>
      <c r="AR31" s="171"/>
      <c r="AS31" s="171"/>
      <c r="AT31" s="171"/>
      <c r="AU31" s="171"/>
      <c r="AV31" s="171"/>
      <c r="AW31" s="171"/>
      <c r="AX31" s="122" t="s">
        <v>33</v>
      </c>
      <c r="AY31" s="283"/>
      <c r="AZ31" s="33"/>
      <c r="BA31" s="46"/>
      <c r="BB31" s="78"/>
      <c r="BC31" s="34"/>
      <c r="BD31" s="28"/>
      <c r="BE31" s="35"/>
      <c r="BF31" s="35"/>
      <c r="BG31" s="35"/>
    </row>
    <row r="32" spans="1:59" ht="13.5" customHeight="1">
      <c r="A32" s="22"/>
      <c r="B32" s="32"/>
      <c r="C32" s="287" t="s">
        <v>126</v>
      </c>
      <c r="D32" s="41"/>
      <c r="E32" s="41"/>
      <c r="F32" s="41"/>
      <c r="G32" s="41"/>
      <c r="H32" s="163" t="s">
        <v>171</v>
      </c>
      <c r="I32" s="164"/>
      <c r="J32" s="165"/>
      <c r="K32" s="164"/>
      <c r="L32" s="165"/>
      <c r="M32" s="164"/>
      <c r="N32" s="166"/>
      <c r="O32" s="164"/>
      <c r="P32" s="165"/>
      <c r="Q32" s="165"/>
      <c r="R32" s="165"/>
      <c r="S32" s="167"/>
      <c r="T32" s="167"/>
      <c r="U32" s="167"/>
      <c r="V32" s="167"/>
      <c r="W32" s="167"/>
      <c r="X32" s="166"/>
      <c r="Y32" s="167"/>
      <c r="Z32" s="165"/>
      <c r="AA32" s="166"/>
      <c r="AB32" s="167"/>
      <c r="AC32" s="165"/>
      <c r="AD32" s="166"/>
      <c r="AE32" s="165"/>
      <c r="AF32" s="165"/>
      <c r="AG32" s="166"/>
      <c r="AH32" s="165"/>
      <c r="AI32" s="165"/>
      <c r="AJ32" s="168"/>
      <c r="AK32" s="165"/>
      <c r="AL32" s="165"/>
      <c r="AM32" s="165"/>
      <c r="AN32" s="165"/>
      <c r="AO32" s="165"/>
      <c r="AP32" s="165"/>
      <c r="AQ32" s="165"/>
      <c r="AR32" s="165"/>
      <c r="AS32" s="165"/>
      <c r="AT32" s="165"/>
      <c r="AU32" s="165"/>
      <c r="AV32" s="165"/>
      <c r="AW32" s="165"/>
      <c r="AX32" s="160" t="s">
        <v>37</v>
      </c>
      <c r="AY32" s="283"/>
      <c r="AZ32" s="33"/>
      <c r="BA32" s="46"/>
      <c r="BB32" s="78"/>
      <c r="BC32" s="34"/>
      <c r="BD32" s="28"/>
      <c r="BE32" s="35"/>
      <c r="BF32" s="35"/>
      <c r="BG32" s="35"/>
    </row>
    <row r="33" spans="1:59" ht="13.5" customHeight="1">
      <c r="A33" s="22"/>
      <c r="B33" s="32"/>
      <c r="C33" s="287"/>
      <c r="D33" s="41"/>
      <c r="E33" s="41"/>
      <c r="F33" s="41"/>
      <c r="G33" s="41"/>
      <c r="H33" s="169"/>
      <c r="I33" s="170"/>
      <c r="J33" s="171"/>
      <c r="K33" s="170"/>
      <c r="L33" s="171"/>
      <c r="M33" s="170"/>
      <c r="N33" s="172"/>
      <c r="O33" s="170"/>
      <c r="P33" s="171"/>
      <c r="Q33" s="171"/>
      <c r="R33" s="171"/>
      <c r="S33" s="173"/>
      <c r="T33" s="173"/>
      <c r="U33" s="173"/>
      <c r="V33" s="173"/>
      <c r="W33" s="173"/>
      <c r="X33" s="172"/>
      <c r="Y33" s="173"/>
      <c r="Z33" s="171"/>
      <c r="AA33" s="172"/>
      <c r="AB33" s="173"/>
      <c r="AC33" s="171"/>
      <c r="AD33" s="172"/>
      <c r="AE33" s="171"/>
      <c r="AF33" s="171"/>
      <c r="AG33" s="172"/>
      <c r="AH33" s="171"/>
      <c r="AI33" s="171"/>
      <c r="AJ33" s="174"/>
      <c r="AK33" s="171"/>
      <c r="AL33" s="171"/>
      <c r="AM33" s="171"/>
      <c r="AN33" s="171"/>
      <c r="AO33" s="171"/>
      <c r="AP33" s="171"/>
      <c r="AQ33" s="171"/>
      <c r="AR33" s="171"/>
      <c r="AS33" s="171"/>
      <c r="AT33" s="171"/>
      <c r="AU33" s="171"/>
      <c r="AV33" s="171"/>
      <c r="AW33" s="171"/>
      <c r="AX33" s="122" t="s">
        <v>33</v>
      </c>
      <c r="AY33" s="283"/>
      <c r="AZ33" s="33"/>
      <c r="BA33" s="46"/>
      <c r="BB33" s="78"/>
      <c r="BC33" s="34"/>
      <c r="BD33" s="28"/>
      <c r="BE33" s="35"/>
      <c r="BF33" s="35"/>
      <c r="BG33" s="35"/>
    </row>
    <row r="34" spans="1:59" ht="13.5" customHeight="1">
      <c r="A34" s="22"/>
      <c r="B34" s="32"/>
      <c r="C34" s="287" t="s">
        <v>127</v>
      </c>
      <c r="D34" s="41"/>
      <c r="E34" s="41"/>
      <c r="F34" s="41"/>
      <c r="G34" s="41"/>
      <c r="H34" s="163"/>
      <c r="I34" s="164"/>
      <c r="J34" s="165"/>
      <c r="K34" s="164"/>
      <c r="L34" s="165"/>
      <c r="M34" s="164"/>
      <c r="N34" s="166"/>
      <c r="O34" s="164"/>
      <c r="P34" s="165"/>
      <c r="Q34" s="165"/>
      <c r="R34" s="165"/>
      <c r="S34" s="167"/>
      <c r="T34" s="167"/>
      <c r="U34" s="167"/>
      <c r="V34" s="167"/>
      <c r="W34" s="167"/>
      <c r="X34" s="166"/>
      <c r="Y34" s="167"/>
      <c r="Z34" s="165"/>
      <c r="AA34" s="166"/>
      <c r="AB34" s="167"/>
      <c r="AC34" s="165"/>
      <c r="AD34" s="166"/>
      <c r="AE34" s="165"/>
      <c r="AF34" s="165"/>
      <c r="AG34" s="166"/>
      <c r="AH34" s="165"/>
      <c r="AI34" s="165"/>
      <c r="AJ34" s="168"/>
      <c r="AK34" s="165"/>
      <c r="AL34" s="165"/>
      <c r="AM34" s="165"/>
      <c r="AN34" s="165"/>
      <c r="AO34" s="165"/>
      <c r="AP34" s="165"/>
      <c r="AQ34" s="165"/>
      <c r="AR34" s="165"/>
      <c r="AS34" s="165"/>
      <c r="AT34" s="165"/>
      <c r="AU34" s="165"/>
      <c r="AV34" s="165"/>
      <c r="AW34" s="165"/>
      <c r="AX34" s="160" t="s">
        <v>37</v>
      </c>
      <c r="AY34" s="283"/>
      <c r="AZ34" s="33"/>
      <c r="BA34" s="46"/>
      <c r="BB34" s="78"/>
      <c r="BC34" s="34"/>
      <c r="BD34" s="28"/>
      <c r="BE34" s="35"/>
      <c r="BF34" s="35"/>
      <c r="BG34" s="35"/>
    </row>
    <row r="35" spans="1:59" ht="13.5" customHeight="1">
      <c r="A35" s="22"/>
      <c r="B35" s="32"/>
      <c r="C35" s="287"/>
      <c r="D35" s="41"/>
      <c r="E35" s="41"/>
      <c r="F35" s="41"/>
      <c r="G35" s="41"/>
      <c r="H35" s="169"/>
      <c r="I35" s="170"/>
      <c r="J35" s="171"/>
      <c r="K35" s="170"/>
      <c r="L35" s="171"/>
      <c r="M35" s="170"/>
      <c r="N35" s="172"/>
      <c r="O35" s="170"/>
      <c r="P35" s="171"/>
      <c r="Q35" s="171"/>
      <c r="R35" s="171"/>
      <c r="S35" s="173"/>
      <c r="T35" s="173"/>
      <c r="U35" s="173"/>
      <c r="V35" s="173"/>
      <c r="W35" s="173"/>
      <c r="X35" s="172"/>
      <c r="Y35" s="173"/>
      <c r="Z35" s="171"/>
      <c r="AA35" s="172"/>
      <c r="AB35" s="173"/>
      <c r="AC35" s="171"/>
      <c r="AD35" s="172"/>
      <c r="AE35" s="171"/>
      <c r="AF35" s="171"/>
      <c r="AG35" s="172"/>
      <c r="AH35" s="171"/>
      <c r="AI35" s="171"/>
      <c r="AJ35" s="174"/>
      <c r="AK35" s="171"/>
      <c r="AL35" s="171"/>
      <c r="AM35" s="171"/>
      <c r="AN35" s="171"/>
      <c r="AO35" s="171"/>
      <c r="AP35" s="171"/>
      <c r="AQ35" s="171"/>
      <c r="AR35" s="171"/>
      <c r="AS35" s="171"/>
      <c r="AT35" s="171"/>
      <c r="AU35" s="171"/>
      <c r="AV35" s="171"/>
      <c r="AW35" s="171"/>
      <c r="AX35" s="122" t="s">
        <v>33</v>
      </c>
      <c r="AY35" s="283"/>
      <c r="AZ35" s="33"/>
      <c r="BA35" s="46"/>
      <c r="BB35" s="78"/>
      <c r="BC35" s="34"/>
      <c r="BD35" s="28"/>
      <c r="BE35" s="35"/>
      <c r="BF35" s="35"/>
      <c r="BG35" s="35"/>
    </row>
    <row r="36" spans="1:59" ht="5.15" customHeight="1">
      <c r="A36" s="22"/>
      <c r="B36" s="32"/>
      <c r="C36" s="288"/>
      <c r="D36" s="289"/>
      <c r="E36" s="289"/>
      <c r="F36" s="289"/>
      <c r="G36" s="289"/>
      <c r="H36" s="290"/>
      <c r="I36" s="290"/>
      <c r="J36" s="291"/>
      <c r="K36" s="290"/>
      <c r="L36" s="291"/>
      <c r="M36" s="290"/>
      <c r="N36" s="292"/>
      <c r="O36" s="290"/>
      <c r="P36" s="291"/>
      <c r="Q36" s="291"/>
      <c r="R36" s="291"/>
      <c r="S36" s="293"/>
      <c r="T36" s="293"/>
      <c r="U36" s="293"/>
      <c r="V36" s="293"/>
      <c r="W36" s="293"/>
      <c r="X36" s="292"/>
      <c r="Y36" s="293"/>
      <c r="Z36" s="291"/>
      <c r="AA36" s="292"/>
      <c r="AB36" s="293"/>
      <c r="AC36" s="291"/>
      <c r="AD36" s="292"/>
      <c r="AE36" s="291"/>
      <c r="AF36" s="291"/>
      <c r="AG36" s="292"/>
      <c r="AH36" s="291"/>
      <c r="AI36" s="291"/>
      <c r="AJ36" s="294"/>
      <c r="AK36" s="291"/>
      <c r="AL36" s="291"/>
      <c r="AM36" s="291"/>
      <c r="AN36" s="291"/>
      <c r="AO36" s="291"/>
      <c r="AP36" s="291"/>
      <c r="AQ36" s="291"/>
      <c r="AR36" s="291"/>
      <c r="AS36" s="291"/>
      <c r="AT36" s="291"/>
      <c r="AU36" s="291"/>
      <c r="AV36" s="291"/>
      <c r="AW36" s="291"/>
      <c r="AX36" s="276"/>
      <c r="AY36" s="295"/>
      <c r="AZ36" s="33"/>
      <c r="BA36" s="46"/>
      <c r="BB36" s="78"/>
      <c r="BC36" s="34"/>
      <c r="BD36" s="28"/>
      <c r="BE36" s="35"/>
      <c r="BF36" s="35"/>
      <c r="BG36" s="35"/>
    </row>
    <row r="37" spans="1:59" ht="13.5" customHeight="1">
      <c r="A37" s="22"/>
      <c r="B37" s="32"/>
      <c r="C37" s="41"/>
      <c r="D37" s="41"/>
      <c r="E37" s="41"/>
      <c r="F37" s="41"/>
      <c r="G37" s="41"/>
      <c r="H37" s="364"/>
      <c r="I37" s="364"/>
      <c r="J37" s="365"/>
      <c r="K37" s="364"/>
      <c r="L37" s="365"/>
      <c r="M37" s="364"/>
      <c r="N37" s="366"/>
      <c r="O37" s="364"/>
      <c r="P37" s="365"/>
      <c r="Q37" s="365"/>
      <c r="R37" s="365"/>
      <c r="S37" s="367"/>
      <c r="T37" s="367"/>
      <c r="U37" s="367"/>
      <c r="V37" s="367"/>
      <c r="W37" s="367"/>
      <c r="X37" s="366"/>
      <c r="Y37" s="367"/>
      <c r="Z37" s="365"/>
      <c r="AA37" s="366"/>
      <c r="AB37" s="367"/>
      <c r="AC37" s="365"/>
      <c r="AD37" s="366"/>
      <c r="AE37" s="365"/>
      <c r="AF37" s="365"/>
      <c r="AG37" s="366"/>
      <c r="AH37" s="365"/>
      <c r="AI37" s="365"/>
      <c r="AJ37" s="368"/>
      <c r="AK37" s="365"/>
      <c r="AL37" s="365"/>
      <c r="AM37" s="365"/>
      <c r="AN37" s="365"/>
      <c r="AO37" s="365"/>
      <c r="AP37" s="365"/>
      <c r="AQ37" s="365"/>
      <c r="AR37" s="365"/>
      <c r="AS37" s="365"/>
      <c r="AT37" s="365"/>
      <c r="AU37" s="365"/>
      <c r="AV37" s="365"/>
      <c r="AW37" s="365"/>
      <c r="AX37" s="280"/>
      <c r="AY37" s="279"/>
      <c r="AZ37" s="33"/>
      <c r="BA37" s="46"/>
      <c r="BB37" s="78"/>
      <c r="BC37" s="34"/>
      <c r="BD37" s="28"/>
      <c r="BE37" s="35"/>
      <c r="BF37" s="35"/>
      <c r="BG37" s="35"/>
    </row>
    <row r="38" spans="1:59" ht="13.5" customHeight="1">
      <c r="A38" s="22"/>
      <c r="B38" s="202">
        <v>2</v>
      </c>
      <c r="C38" s="204" t="s">
        <v>172</v>
      </c>
      <c r="D38" s="28"/>
      <c r="E38" s="28"/>
      <c r="F38" s="28"/>
      <c r="G38" s="28"/>
      <c r="H38" s="316"/>
      <c r="I38" s="275"/>
      <c r="J38" s="273"/>
      <c r="K38" s="275"/>
      <c r="L38" s="273"/>
      <c r="M38" s="317"/>
      <c r="N38" s="317"/>
      <c r="O38" s="270"/>
      <c r="P38" s="317"/>
      <c r="Q38" s="270"/>
      <c r="R38" s="317"/>
      <c r="S38" s="271"/>
      <c r="T38" s="73"/>
      <c r="U38" s="73"/>
      <c r="V38" s="73"/>
      <c r="W38" s="73"/>
      <c r="X38" s="73"/>
      <c r="Y38" s="316"/>
      <c r="Z38" s="275"/>
      <c r="AA38" s="273"/>
      <c r="AB38" s="275"/>
      <c r="AC38" s="273"/>
      <c r="AD38" s="317"/>
      <c r="AE38" s="317"/>
      <c r="AF38" s="270"/>
      <c r="AG38" s="317"/>
      <c r="AH38" s="317"/>
      <c r="AI38" s="276"/>
      <c r="AJ38" s="317"/>
      <c r="AK38" s="270"/>
      <c r="AL38" s="73"/>
      <c r="AM38" s="73"/>
      <c r="AN38" s="73"/>
      <c r="AO38" s="73"/>
      <c r="AP38" s="73"/>
      <c r="AQ38" s="73"/>
      <c r="AR38" s="73"/>
      <c r="AS38" s="273"/>
      <c r="AT38" s="276"/>
      <c r="AU38" s="273"/>
      <c r="AV38" s="270"/>
      <c r="AW38" s="270"/>
      <c r="AX38" s="270"/>
      <c r="AY38" s="31"/>
      <c r="AZ38" s="33"/>
      <c r="BA38" s="46"/>
      <c r="BB38" s="78"/>
      <c r="BC38" s="34"/>
      <c r="BD38" s="28"/>
    </row>
    <row r="39" spans="1:59" ht="5.15" customHeight="1">
      <c r="A39" s="22"/>
      <c r="B39" s="202"/>
      <c r="C39" s="369"/>
      <c r="D39" s="370"/>
      <c r="E39" s="370"/>
      <c r="F39" s="370"/>
      <c r="G39" s="370"/>
      <c r="H39" s="371"/>
      <c r="I39" s="372"/>
      <c r="J39" s="373"/>
      <c r="K39" s="372"/>
      <c r="L39" s="373"/>
      <c r="M39" s="374"/>
      <c r="N39" s="374"/>
      <c r="O39" s="370"/>
      <c r="P39" s="374"/>
      <c r="Q39" s="370"/>
      <c r="R39" s="374"/>
      <c r="S39" s="375"/>
      <c r="T39" s="370"/>
      <c r="U39" s="370"/>
      <c r="V39" s="370"/>
      <c r="W39" s="370"/>
      <c r="X39" s="370"/>
      <c r="Y39" s="371"/>
      <c r="Z39" s="372"/>
      <c r="AA39" s="373"/>
      <c r="AB39" s="372"/>
      <c r="AC39" s="373"/>
      <c r="AD39" s="374"/>
      <c r="AE39" s="374"/>
      <c r="AF39" s="370"/>
      <c r="AG39" s="374"/>
      <c r="AH39" s="374"/>
      <c r="AI39" s="376"/>
      <c r="AJ39" s="374"/>
      <c r="AK39" s="370"/>
      <c r="AL39" s="370"/>
      <c r="AM39" s="370"/>
      <c r="AN39" s="370"/>
      <c r="AO39" s="370"/>
      <c r="AP39" s="370"/>
      <c r="AQ39" s="370"/>
      <c r="AR39" s="370"/>
      <c r="AS39" s="373"/>
      <c r="AT39" s="376"/>
      <c r="AU39" s="373"/>
      <c r="AV39" s="370"/>
      <c r="AW39" s="370"/>
      <c r="AX39" s="370"/>
      <c r="AY39" s="487"/>
      <c r="AZ39" s="33"/>
      <c r="BA39" s="46"/>
      <c r="BB39" s="78"/>
      <c r="BC39" s="34"/>
      <c r="BD39" s="28"/>
    </row>
    <row r="40" spans="1:59" ht="13.5" customHeight="1">
      <c r="A40" s="22"/>
      <c r="B40" s="45"/>
      <c r="C40" s="377" t="s">
        <v>173</v>
      </c>
      <c r="D40" s="378"/>
      <c r="E40" s="378"/>
      <c r="F40" s="378"/>
      <c r="G40" s="378"/>
      <c r="H40" s="392"/>
      <c r="I40" s="95"/>
      <c r="J40" s="95"/>
      <c r="K40" s="95"/>
      <c r="L40" s="96"/>
      <c r="M40" s="95"/>
      <c r="N40" s="97"/>
      <c r="O40" s="379" t="s">
        <v>112</v>
      </c>
      <c r="P40" s="380"/>
      <c r="Q40" s="381"/>
      <c r="R40" s="382"/>
      <c r="S40" s="380"/>
      <c r="T40" s="378"/>
      <c r="U40" s="378"/>
      <c r="V40" s="378"/>
      <c r="W40" s="378"/>
      <c r="X40" s="380"/>
      <c r="Y40" s="383"/>
      <c r="Z40" s="382"/>
      <c r="AA40" s="382"/>
      <c r="AB40" s="382"/>
      <c r="AC40" s="381"/>
      <c r="AD40" s="382"/>
      <c r="AE40" s="378"/>
      <c r="AF40" s="378"/>
      <c r="AG40" s="378"/>
      <c r="AH40" s="378"/>
      <c r="AI40" s="378"/>
      <c r="AJ40" s="380"/>
      <c r="AK40" s="378"/>
      <c r="AL40" s="378"/>
      <c r="AM40" s="378"/>
      <c r="AN40" s="378"/>
      <c r="AO40" s="380"/>
      <c r="AP40" s="383"/>
      <c r="AQ40" s="382"/>
      <c r="AR40" s="382"/>
      <c r="AS40" s="382"/>
      <c r="AT40" s="381"/>
      <c r="AU40" s="382"/>
      <c r="AV40" s="378"/>
      <c r="AW40" s="378"/>
      <c r="AX40" s="378"/>
      <c r="AY40" s="487"/>
      <c r="AZ40" s="33"/>
      <c r="BA40" s="46"/>
      <c r="BB40" s="78"/>
      <c r="BC40" s="34"/>
      <c r="BD40" s="28"/>
      <c r="BE40" s="35"/>
      <c r="BF40" s="35"/>
      <c r="BG40" s="35"/>
    </row>
    <row r="41" spans="1:59" ht="5.15" customHeight="1">
      <c r="A41" s="22"/>
      <c r="B41" s="32"/>
      <c r="C41" s="384"/>
      <c r="D41" s="385"/>
      <c r="E41" s="385"/>
      <c r="F41" s="385"/>
      <c r="G41" s="385"/>
      <c r="H41" s="386"/>
      <c r="I41" s="386"/>
      <c r="J41" s="387"/>
      <c r="K41" s="386"/>
      <c r="L41" s="387"/>
      <c r="M41" s="386"/>
      <c r="N41" s="388"/>
      <c r="O41" s="386"/>
      <c r="P41" s="387"/>
      <c r="Q41" s="387"/>
      <c r="R41" s="387"/>
      <c r="S41" s="389"/>
      <c r="T41" s="389"/>
      <c r="U41" s="389"/>
      <c r="V41" s="389"/>
      <c r="W41" s="389"/>
      <c r="X41" s="388"/>
      <c r="Y41" s="389"/>
      <c r="Z41" s="387"/>
      <c r="AA41" s="388"/>
      <c r="AB41" s="389"/>
      <c r="AC41" s="387"/>
      <c r="AD41" s="388"/>
      <c r="AE41" s="387"/>
      <c r="AF41" s="387"/>
      <c r="AG41" s="388"/>
      <c r="AH41" s="387"/>
      <c r="AI41" s="387"/>
      <c r="AJ41" s="390"/>
      <c r="AK41" s="387"/>
      <c r="AL41" s="387"/>
      <c r="AM41" s="387"/>
      <c r="AN41" s="387"/>
      <c r="AO41" s="387"/>
      <c r="AP41" s="387"/>
      <c r="AQ41" s="387"/>
      <c r="AR41" s="387"/>
      <c r="AS41" s="387"/>
      <c r="AT41" s="387"/>
      <c r="AU41" s="387"/>
      <c r="AV41" s="387"/>
      <c r="AW41" s="387"/>
      <c r="AX41" s="391"/>
      <c r="AY41" s="487"/>
      <c r="AZ41" s="33"/>
      <c r="BA41" s="46"/>
      <c r="BB41" s="78"/>
      <c r="BC41" s="34"/>
      <c r="BD41" s="28"/>
      <c r="BE41" s="35"/>
      <c r="BF41" s="35"/>
      <c r="BG41" s="35"/>
    </row>
    <row r="42" spans="1:59" ht="13.5" customHeight="1">
      <c r="A42" s="22"/>
      <c r="B42" s="202">
        <v>4</v>
      </c>
      <c r="C42" s="43"/>
      <c r="D42" s="31"/>
      <c r="E42" s="31"/>
      <c r="F42" s="31"/>
      <c r="G42" s="31"/>
      <c r="H42" s="62"/>
      <c r="I42" s="63"/>
      <c r="J42" s="63"/>
      <c r="K42" s="63"/>
      <c r="L42" s="64"/>
      <c r="M42" s="63"/>
      <c r="N42" s="65"/>
      <c r="O42" s="65"/>
      <c r="P42" s="65"/>
      <c r="Q42" s="65"/>
      <c r="R42" s="65"/>
      <c r="S42" s="75"/>
      <c r="T42" s="63"/>
      <c r="U42" s="63"/>
      <c r="V42" s="63"/>
      <c r="W42" s="63"/>
      <c r="X42" s="62"/>
      <c r="Y42" s="63"/>
      <c r="Z42" s="63"/>
      <c r="AA42" s="63"/>
      <c r="AB42" s="64"/>
      <c r="AC42" s="63"/>
      <c r="AD42" s="65"/>
      <c r="AE42" s="65"/>
      <c r="AF42" s="65"/>
      <c r="AG42" s="65"/>
      <c r="AH42" s="65"/>
      <c r="AI42" s="75"/>
      <c r="AJ42" s="63"/>
      <c r="AK42" s="63"/>
      <c r="AL42" s="63"/>
      <c r="AM42" s="63"/>
      <c r="AN42" s="125"/>
      <c r="AO42" s="62"/>
      <c r="AP42" s="62"/>
      <c r="AQ42" s="63"/>
      <c r="AR42" s="63"/>
      <c r="AS42" s="63"/>
      <c r="AT42" s="64"/>
      <c r="AU42" s="63"/>
      <c r="AV42" s="65"/>
      <c r="AW42" s="65"/>
      <c r="AX42" s="65"/>
      <c r="AY42" s="31"/>
      <c r="AZ42" s="33"/>
      <c r="BA42" s="46"/>
      <c r="BB42" s="78"/>
      <c r="BC42" s="34"/>
      <c r="BD42" s="35"/>
      <c r="BE42" s="35"/>
      <c r="BF42" s="35"/>
      <c r="BG42" s="35"/>
    </row>
    <row r="43" spans="1:59" ht="13.5" customHeight="1">
      <c r="A43" s="22"/>
      <c r="B43" s="202">
        <v>5</v>
      </c>
      <c r="C43" s="204" t="s">
        <v>264</v>
      </c>
      <c r="D43" s="28"/>
      <c r="E43" s="28"/>
      <c r="F43" s="28"/>
      <c r="G43" s="28"/>
      <c r="H43" s="121"/>
      <c r="I43" s="62"/>
      <c r="J43" s="62"/>
      <c r="K43" s="63"/>
      <c r="L43" s="69"/>
      <c r="M43" s="69"/>
      <c r="N43" s="65"/>
      <c r="O43" s="69"/>
      <c r="P43" s="65"/>
      <c r="Q43" s="65"/>
      <c r="R43" s="69"/>
      <c r="S43" s="28"/>
      <c r="T43" s="28"/>
      <c r="U43" s="28"/>
      <c r="V43" s="28"/>
      <c r="W43" s="28"/>
      <c r="X43" s="121"/>
      <c r="Y43" s="62"/>
      <c r="Z43" s="63"/>
      <c r="AA43" s="62"/>
      <c r="AB43" s="63"/>
      <c r="AC43" s="69"/>
      <c r="AD43" s="69"/>
      <c r="AE43" s="65"/>
      <c r="AF43" s="69"/>
      <c r="AG43" s="65"/>
      <c r="AH43" s="69"/>
      <c r="AI43" s="64"/>
      <c r="AJ43" s="69"/>
      <c r="AK43" s="65"/>
      <c r="AL43" s="28"/>
      <c r="AM43" s="28"/>
      <c r="AN43" s="28"/>
      <c r="AO43" s="28"/>
      <c r="AP43" s="28"/>
      <c r="AQ43" s="28"/>
      <c r="AR43" s="28"/>
      <c r="AS43" s="28"/>
      <c r="AT43" s="28"/>
      <c r="AU43" s="28"/>
      <c r="AV43" s="233"/>
      <c r="AW43" s="28"/>
      <c r="AX43" s="28"/>
      <c r="AY43" s="31"/>
      <c r="AZ43" s="33"/>
      <c r="BA43" s="46"/>
      <c r="BB43" s="159"/>
      <c r="BC43" s="115"/>
      <c r="BD43" s="28"/>
    </row>
    <row r="44" spans="1:59" ht="5.15" customHeight="1">
      <c r="A44" s="22"/>
      <c r="B44" s="202"/>
      <c r="C44" s="296"/>
      <c r="D44" s="72"/>
      <c r="E44" s="72"/>
      <c r="F44" s="72"/>
      <c r="G44" s="72"/>
      <c r="H44" s="297"/>
      <c r="I44" s="278"/>
      <c r="J44" s="278"/>
      <c r="K44" s="279"/>
      <c r="L44" s="298"/>
      <c r="M44" s="298"/>
      <c r="N44" s="263"/>
      <c r="O44" s="298"/>
      <c r="P44" s="263"/>
      <c r="Q44" s="263"/>
      <c r="R44" s="298"/>
      <c r="S44" s="72"/>
      <c r="T44" s="72"/>
      <c r="U44" s="72"/>
      <c r="V44" s="72"/>
      <c r="W44" s="72"/>
      <c r="X44" s="297"/>
      <c r="Y44" s="278"/>
      <c r="Z44" s="279"/>
      <c r="AA44" s="278"/>
      <c r="AB44" s="279"/>
      <c r="AC44" s="298"/>
      <c r="AD44" s="298"/>
      <c r="AE44" s="263"/>
      <c r="AF44" s="298"/>
      <c r="AG44" s="263"/>
      <c r="AH44" s="298"/>
      <c r="AI44" s="280"/>
      <c r="AJ44" s="298"/>
      <c r="AK44" s="263"/>
      <c r="AL44" s="72"/>
      <c r="AM44" s="72"/>
      <c r="AN44" s="72"/>
      <c r="AO44" s="72"/>
      <c r="AP44" s="72"/>
      <c r="AQ44" s="72"/>
      <c r="AR44" s="72"/>
      <c r="AS44" s="72"/>
      <c r="AT44" s="72"/>
      <c r="AU44" s="72"/>
      <c r="AV44" s="300"/>
      <c r="AW44" s="72"/>
      <c r="AX44" s="72"/>
      <c r="AY44" s="265"/>
      <c r="AZ44" s="33"/>
      <c r="BA44" s="46"/>
      <c r="BB44" s="159"/>
      <c r="BC44" s="115"/>
      <c r="BD44" s="28"/>
    </row>
    <row r="45" spans="1:59" ht="13.9" customHeight="1">
      <c r="A45" s="22"/>
      <c r="B45" s="202"/>
      <c r="C45" s="501" t="s">
        <v>282</v>
      </c>
      <c r="D45" s="28"/>
      <c r="E45" s="28"/>
      <c r="F45" s="28"/>
      <c r="G45" s="86" t="s">
        <v>277</v>
      </c>
      <c r="H45" s="86"/>
      <c r="I45" s="86"/>
      <c r="J45" s="86"/>
      <c r="K45" s="86"/>
      <c r="L45" s="322"/>
      <c r="M45" s="75"/>
      <c r="N45" s="65"/>
      <c r="O45" s="69"/>
      <c r="P45" s="65"/>
      <c r="Q45" s="65"/>
      <c r="R45" s="69"/>
      <c r="S45" s="28"/>
      <c r="T45" s="28"/>
      <c r="U45" s="28"/>
      <c r="V45" s="28"/>
      <c r="W45" s="28"/>
      <c r="X45" s="121"/>
      <c r="Y45" s="62"/>
      <c r="Z45" s="63"/>
      <c r="AA45" s="62"/>
      <c r="AB45" s="63"/>
      <c r="AC45" s="69"/>
      <c r="AD45" s="69"/>
      <c r="AE45" s="65"/>
      <c r="AF45" s="69"/>
      <c r="AG45" s="65"/>
      <c r="AH45" s="69"/>
      <c r="AI45" s="64"/>
      <c r="AJ45" s="69"/>
      <c r="AK45" s="65"/>
      <c r="AL45" s="28"/>
      <c r="AM45" s="28"/>
      <c r="AN45" s="28"/>
      <c r="AO45" s="28"/>
      <c r="AP45" s="28"/>
      <c r="AQ45" s="28"/>
      <c r="AR45" s="28"/>
      <c r="AS45" s="28"/>
      <c r="AT45" s="28"/>
      <c r="AU45" s="28"/>
      <c r="AV45" s="233"/>
      <c r="AW45" s="28"/>
      <c r="AX45" s="28"/>
      <c r="AY45" s="267"/>
      <c r="AZ45" s="33"/>
      <c r="BA45" s="46"/>
      <c r="BB45" s="159"/>
      <c r="BC45" s="115"/>
      <c r="BD45" s="28"/>
    </row>
    <row r="46" spans="1:59" ht="13.5" customHeight="1">
      <c r="A46" s="22"/>
      <c r="B46" s="202">
        <v>6</v>
      </c>
      <c r="C46" s="304" t="s">
        <v>32</v>
      </c>
      <c r="D46" s="205" t="s">
        <v>262</v>
      </c>
      <c r="E46" s="206"/>
      <c r="F46" s="206"/>
      <c r="G46" s="207"/>
      <c r="H46" s="208" t="s">
        <v>276</v>
      </c>
      <c r="I46" s="209"/>
      <c r="J46" s="209"/>
      <c r="K46" s="206"/>
      <c r="L46" s="207"/>
      <c r="M46" s="515"/>
      <c r="N46" s="28"/>
      <c r="O46" s="28"/>
      <c r="P46" s="28"/>
      <c r="Q46" s="28"/>
      <c r="R46" s="28"/>
      <c r="S46" s="35"/>
      <c r="T46" s="35"/>
      <c r="U46" s="35"/>
      <c r="V46" s="35"/>
      <c r="Y46" s="35"/>
      <c r="Z46" s="35"/>
      <c r="AD46" s="35"/>
      <c r="AE46" s="35"/>
      <c r="AF46" s="35"/>
      <c r="AG46" s="35"/>
      <c r="AH46" s="35"/>
      <c r="AI46" s="35"/>
      <c r="AJ46" s="35"/>
      <c r="AK46" s="35"/>
      <c r="AL46" s="35"/>
      <c r="AM46" s="35"/>
      <c r="AN46" s="35"/>
      <c r="AO46" s="35"/>
      <c r="AP46" s="35"/>
      <c r="AQ46" s="35"/>
      <c r="AR46" s="35"/>
      <c r="AS46" s="35"/>
      <c r="AT46" s="35"/>
      <c r="AU46" s="35"/>
      <c r="AV46" s="35"/>
      <c r="AW46" s="35"/>
      <c r="AX46" s="35"/>
      <c r="AY46" s="311"/>
      <c r="AZ46" s="33"/>
      <c r="BA46" s="46"/>
      <c r="BB46" s="159"/>
      <c r="BC46" s="115"/>
      <c r="BD46" s="35"/>
      <c r="BE46" s="35"/>
      <c r="BF46" s="35"/>
      <c r="BG46" s="35"/>
    </row>
    <row r="47" spans="1:59" ht="13.5" customHeight="1">
      <c r="A47" s="22"/>
      <c r="B47" s="202">
        <v>8</v>
      </c>
      <c r="C47" s="308">
        <v>1</v>
      </c>
      <c r="D47" s="148" t="s">
        <v>148</v>
      </c>
      <c r="E47" s="149"/>
      <c r="F47" s="149"/>
      <c r="G47" s="151"/>
      <c r="H47" s="1010">
        <v>110</v>
      </c>
      <c r="I47" s="947"/>
      <c r="J47" s="947"/>
      <c r="K47" s="947"/>
      <c r="L47" s="948"/>
      <c r="M47" s="28"/>
      <c r="N47" s="28"/>
      <c r="O47" s="28"/>
      <c r="P47" s="28"/>
      <c r="Q47" s="28"/>
      <c r="R47" s="28"/>
      <c r="S47" s="35"/>
      <c r="T47" s="35"/>
      <c r="U47" s="35"/>
      <c r="V47" s="35"/>
      <c r="Y47" s="35"/>
      <c r="Z47" s="35"/>
      <c r="AD47" s="35"/>
      <c r="AE47" s="35"/>
      <c r="AF47" s="35"/>
      <c r="AG47" s="35"/>
      <c r="AH47" s="35"/>
      <c r="AI47" s="35"/>
      <c r="AJ47" s="35"/>
      <c r="AK47" s="35"/>
      <c r="AL47" s="35"/>
      <c r="AM47" s="35"/>
      <c r="AN47" s="35"/>
      <c r="AO47" s="35"/>
      <c r="AP47" s="35"/>
      <c r="AQ47" s="35"/>
      <c r="AR47" s="35"/>
      <c r="AS47" s="35"/>
      <c r="AT47" s="35"/>
      <c r="AU47" s="35"/>
      <c r="AV47" s="35"/>
      <c r="AW47" s="35"/>
      <c r="AX47" s="35"/>
      <c r="AY47" s="311"/>
      <c r="AZ47" s="33"/>
      <c r="BA47" s="46"/>
      <c r="BB47" s="159"/>
      <c r="BC47" s="115"/>
      <c r="BD47" s="35"/>
      <c r="BE47" s="35"/>
      <c r="BF47" s="35"/>
      <c r="BG47" s="35"/>
    </row>
    <row r="48" spans="1:59" ht="13.5" customHeight="1">
      <c r="A48" s="22"/>
      <c r="B48" s="202">
        <v>9</v>
      </c>
      <c r="C48" s="308">
        <v>2</v>
      </c>
      <c r="D48" s="148" t="s">
        <v>263</v>
      </c>
      <c r="E48" s="149"/>
      <c r="F48" s="149"/>
      <c r="G48" s="151"/>
      <c r="H48" s="1010">
        <v>125</v>
      </c>
      <c r="I48" s="947"/>
      <c r="J48" s="947"/>
      <c r="K48" s="947"/>
      <c r="L48" s="948"/>
      <c r="M48" s="28"/>
      <c r="N48" s="28"/>
      <c r="O48" s="28"/>
      <c r="P48" s="28"/>
      <c r="Q48" s="28"/>
      <c r="R48" s="28"/>
      <c r="S48" s="35"/>
      <c r="T48" s="35"/>
      <c r="U48" s="35"/>
      <c r="V48" s="35"/>
      <c r="Y48" s="35"/>
      <c r="Z48" s="35"/>
      <c r="AD48" s="35"/>
      <c r="AE48" s="35"/>
      <c r="AF48" s="35"/>
      <c r="AG48" s="35"/>
      <c r="AH48" s="35"/>
      <c r="AI48" s="35"/>
      <c r="AJ48" s="35"/>
      <c r="AK48" s="35"/>
      <c r="AL48" s="35"/>
      <c r="AM48" s="35"/>
      <c r="AN48" s="35"/>
      <c r="AO48" s="35"/>
      <c r="AP48" s="35"/>
      <c r="AQ48" s="35"/>
      <c r="AR48" s="35"/>
      <c r="AS48" s="35"/>
      <c r="AT48" s="35"/>
      <c r="AU48" s="35"/>
      <c r="AV48" s="35"/>
      <c r="AW48" s="35"/>
      <c r="AX48" s="35"/>
      <c r="AY48" s="311"/>
      <c r="AZ48" s="33"/>
      <c r="BA48" s="46"/>
      <c r="BB48" s="159"/>
      <c r="BC48" s="115"/>
      <c r="BD48" s="35"/>
      <c r="BE48" s="35"/>
      <c r="BF48" s="35"/>
      <c r="BG48" s="35"/>
    </row>
    <row r="49" spans="1:74" ht="5.15" customHeight="1">
      <c r="A49" s="22"/>
      <c r="B49" s="202"/>
      <c r="C49" s="315"/>
      <c r="D49" s="73"/>
      <c r="E49" s="73"/>
      <c r="F49" s="73"/>
      <c r="G49" s="73"/>
      <c r="H49" s="316"/>
      <c r="I49" s="275"/>
      <c r="J49" s="275"/>
      <c r="K49" s="273"/>
      <c r="L49" s="317"/>
      <c r="M49" s="317"/>
      <c r="N49" s="270"/>
      <c r="O49" s="317"/>
      <c r="P49" s="270"/>
      <c r="Q49" s="270"/>
      <c r="R49" s="317"/>
      <c r="S49" s="73"/>
      <c r="T49" s="73"/>
      <c r="U49" s="73"/>
      <c r="V49" s="73"/>
      <c r="W49" s="73"/>
      <c r="X49" s="316"/>
      <c r="Y49" s="275"/>
      <c r="Z49" s="273"/>
      <c r="AA49" s="275"/>
      <c r="AB49" s="273"/>
      <c r="AC49" s="317"/>
      <c r="AD49" s="317"/>
      <c r="AE49" s="270"/>
      <c r="AF49" s="317"/>
      <c r="AG49" s="270"/>
      <c r="AH49" s="317"/>
      <c r="AI49" s="276"/>
      <c r="AJ49" s="317"/>
      <c r="AK49" s="270"/>
      <c r="AL49" s="73"/>
      <c r="AM49" s="73"/>
      <c r="AN49" s="73"/>
      <c r="AO49" s="73"/>
      <c r="AP49" s="73"/>
      <c r="AQ49" s="73"/>
      <c r="AR49" s="73"/>
      <c r="AS49" s="73"/>
      <c r="AT49" s="73"/>
      <c r="AU49" s="73"/>
      <c r="AV49" s="318"/>
      <c r="AW49" s="73"/>
      <c r="AX49" s="73"/>
      <c r="AY49" s="277"/>
      <c r="AZ49" s="33"/>
      <c r="BA49" s="46"/>
      <c r="BB49" s="159"/>
      <c r="BC49" s="115"/>
      <c r="BD49" s="28"/>
    </row>
    <row r="50" spans="1:74" ht="13.5" customHeight="1">
      <c r="A50" s="22"/>
      <c r="B50" s="202">
        <v>10</v>
      </c>
      <c r="C50" s="492"/>
      <c r="D50" s="65"/>
      <c r="E50" s="65"/>
      <c r="F50" s="65"/>
      <c r="G50" s="65"/>
      <c r="H50" s="65"/>
      <c r="I50" s="65"/>
      <c r="J50" s="65"/>
      <c r="K50" s="65"/>
      <c r="L50" s="65"/>
      <c r="M50" s="62"/>
      <c r="N50" s="63"/>
      <c r="O50" s="65"/>
      <c r="P50" s="65"/>
      <c r="Q50" s="64"/>
      <c r="R50" s="63"/>
      <c r="S50" s="190"/>
      <c r="T50" s="190"/>
      <c r="U50" s="191"/>
      <c r="V50" s="192"/>
      <c r="W50" s="190"/>
      <c r="X50" s="65"/>
      <c r="Y50" s="65"/>
      <c r="Z50" s="65"/>
      <c r="AA50" s="65"/>
      <c r="AB50" s="65"/>
      <c r="AC50" s="65"/>
      <c r="AD50" s="65"/>
      <c r="AE50" s="65"/>
      <c r="AF50" s="65"/>
      <c r="AG50" s="65"/>
      <c r="AH50" s="65"/>
      <c r="AI50" s="65"/>
      <c r="AJ50" s="65"/>
      <c r="AK50" s="65"/>
      <c r="AL50" s="65"/>
      <c r="AM50" s="63"/>
      <c r="AN50" s="63"/>
      <c r="AO50" s="63"/>
      <c r="AP50" s="63"/>
      <c r="AQ50" s="63"/>
      <c r="AR50" s="63"/>
      <c r="AS50" s="63"/>
      <c r="AT50" s="63"/>
      <c r="AU50" s="63"/>
      <c r="AV50" s="63"/>
      <c r="AW50" s="63"/>
      <c r="AX50" s="63"/>
      <c r="AY50" s="63"/>
      <c r="AZ50" s="33"/>
      <c r="BA50" s="46"/>
      <c r="BB50" s="159"/>
      <c r="BC50" s="115"/>
      <c r="BD50" s="28"/>
    </row>
    <row r="51" spans="1:74" ht="13.5" customHeight="1">
      <c r="A51" s="22"/>
      <c r="B51" s="202">
        <v>5</v>
      </c>
      <c r="C51" s="204" t="s">
        <v>63</v>
      </c>
      <c r="D51" s="28"/>
      <c r="E51" s="28"/>
      <c r="F51" s="28"/>
      <c r="G51" s="28"/>
      <c r="H51" s="121"/>
      <c r="I51" s="62"/>
      <c r="J51" s="63"/>
      <c r="K51" s="62"/>
      <c r="L51" s="63"/>
      <c r="M51" s="69"/>
      <c r="N51" s="69"/>
      <c r="O51" s="65"/>
      <c r="P51" s="69"/>
      <c r="Q51" s="65"/>
      <c r="R51" s="69"/>
      <c r="S51" s="28"/>
      <c r="T51" s="28"/>
      <c r="U51" s="28"/>
      <c r="V51" s="28"/>
      <c r="W51" s="28"/>
      <c r="X51" s="121"/>
      <c r="Y51" s="62"/>
      <c r="Z51" s="63"/>
      <c r="AA51" s="62"/>
      <c r="AB51" s="63"/>
      <c r="AC51" s="69"/>
      <c r="AD51" s="69"/>
      <c r="AE51" s="65"/>
      <c r="AF51" s="69"/>
      <c r="AG51" s="65"/>
      <c r="AH51" s="69"/>
      <c r="AI51" s="64"/>
      <c r="AJ51" s="69"/>
      <c r="AK51" s="65"/>
      <c r="AL51" s="28"/>
      <c r="AM51" s="28"/>
      <c r="AN51" s="28"/>
      <c r="AO51" s="28"/>
      <c r="AP51" s="28"/>
      <c r="AQ51" s="28"/>
      <c r="AR51" s="28"/>
      <c r="AS51" s="28"/>
      <c r="AT51" s="28"/>
      <c r="AU51" s="28"/>
      <c r="AV51" s="233"/>
      <c r="AW51" s="28"/>
      <c r="AX51" s="28"/>
      <c r="AY51" s="31"/>
      <c r="AZ51" s="33"/>
      <c r="BA51" s="46"/>
      <c r="BB51" s="159"/>
      <c r="BC51" s="115"/>
      <c r="BD51" s="28"/>
    </row>
    <row r="52" spans="1:74" ht="5.15" customHeight="1">
      <c r="A52" s="22"/>
      <c r="B52" s="202"/>
      <c r="C52" s="296"/>
      <c r="D52" s="72"/>
      <c r="E52" s="72"/>
      <c r="F52" s="72"/>
      <c r="G52" s="72"/>
      <c r="H52" s="297"/>
      <c r="I52" s="278"/>
      <c r="J52" s="279"/>
      <c r="K52" s="278"/>
      <c r="L52" s="279"/>
      <c r="M52" s="298"/>
      <c r="N52" s="298"/>
      <c r="O52" s="263"/>
      <c r="P52" s="298"/>
      <c r="Q52" s="263"/>
      <c r="R52" s="298"/>
      <c r="S52" s="72"/>
      <c r="T52" s="72"/>
      <c r="U52" s="72"/>
      <c r="V52" s="72"/>
      <c r="W52" s="72"/>
      <c r="X52" s="297"/>
      <c r="Y52" s="278"/>
      <c r="Z52" s="279"/>
      <c r="AA52" s="278"/>
      <c r="AB52" s="279"/>
      <c r="AC52" s="298"/>
      <c r="AD52" s="298"/>
      <c r="AE52" s="263"/>
      <c r="AF52" s="298"/>
      <c r="AG52" s="263"/>
      <c r="AH52" s="298"/>
      <c r="AI52" s="280"/>
      <c r="AJ52" s="298"/>
      <c r="AK52" s="263"/>
      <c r="AL52" s="72"/>
      <c r="AM52" s="72"/>
      <c r="AN52" s="72"/>
      <c r="AO52" s="72"/>
      <c r="AP52" s="72"/>
      <c r="AQ52" s="72"/>
      <c r="AR52" s="72"/>
      <c r="AS52" s="72"/>
      <c r="AT52" s="72"/>
      <c r="AU52" s="72"/>
      <c r="AV52" s="300"/>
      <c r="AW52" s="72"/>
      <c r="AX52" s="72"/>
      <c r="AY52" s="264"/>
      <c r="AZ52" s="264"/>
      <c r="BA52" s="301"/>
      <c r="BB52" s="302"/>
      <c r="BC52" s="303"/>
      <c r="BD52" s="28"/>
    </row>
    <row r="53" spans="1:74" ht="13.5" customHeight="1">
      <c r="A53" s="22"/>
      <c r="B53" s="45"/>
      <c r="C53" s="266"/>
      <c r="D53" s="28" t="s">
        <v>288</v>
      </c>
      <c r="E53" s="28"/>
      <c r="F53" s="28"/>
      <c r="G53" s="28"/>
      <c r="H53" s="86" t="s">
        <v>139</v>
      </c>
      <c r="I53" s="86"/>
      <c r="J53" s="86"/>
      <c r="K53" s="86"/>
      <c r="L53" s="86"/>
      <c r="M53" s="322"/>
      <c r="N53" s="87"/>
      <c r="O53" s="88"/>
      <c r="P53" s="88"/>
      <c r="Q53" s="89"/>
      <c r="R53" s="87"/>
      <c r="S53" s="87"/>
      <c r="T53" s="87"/>
      <c r="U53" s="88"/>
      <c r="V53" s="89"/>
      <c r="W53" s="87"/>
      <c r="X53" s="65"/>
      <c r="Y53" s="28"/>
      <c r="Z53" s="28"/>
      <c r="AA53" s="28"/>
      <c r="AB53" s="28"/>
      <c r="AC53" s="28"/>
      <c r="AD53" s="28"/>
      <c r="AE53" s="28"/>
      <c r="AF53" s="28"/>
      <c r="AG53" s="28"/>
      <c r="AH53" s="28"/>
      <c r="AI53" s="28"/>
      <c r="AJ53" s="28"/>
      <c r="AK53" s="28"/>
      <c r="AL53" s="28"/>
      <c r="AM53" s="31"/>
      <c r="AN53" s="31"/>
      <c r="AO53" s="31"/>
      <c r="AP53" s="31"/>
      <c r="AQ53" s="31"/>
      <c r="AR53" s="31"/>
      <c r="AS53" s="31"/>
      <c r="AT53" s="31"/>
      <c r="AU53" s="31"/>
      <c r="AV53" s="31"/>
      <c r="AW53" s="31"/>
      <c r="AX53" s="65"/>
      <c r="AY53" s="31"/>
      <c r="AZ53" s="52"/>
      <c r="BA53" s="93"/>
      <c r="BB53" s="327"/>
      <c r="BC53" s="328"/>
      <c r="BD53" s="28"/>
      <c r="BE53" s="35"/>
      <c r="BF53" s="35"/>
      <c r="BG53" s="35"/>
    </row>
    <row r="54" spans="1:74" ht="13.5" customHeight="1">
      <c r="A54" s="22"/>
      <c r="B54" s="202">
        <v>6</v>
      </c>
      <c r="C54" s="304" t="s">
        <v>32</v>
      </c>
      <c r="D54" s="205" t="s">
        <v>64</v>
      </c>
      <c r="E54" s="206"/>
      <c r="F54" s="206"/>
      <c r="G54" s="207"/>
      <c r="H54" s="208" t="s">
        <v>73</v>
      </c>
      <c r="I54" s="209"/>
      <c r="J54" s="209"/>
      <c r="K54" s="209"/>
      <c r="L54" s="206"/>
      <c r="M54" s="207"/>
      <c r="N54" s="205" t="s">
        <v>74</v>
      </c>
      <c r="O54" s="206"/>
      <c r="P54" s="206"/>
      <c r="Q54" s="207"/>
      <c r="R54" s="205" t="s">
        <v>75</v>
      </c>
      <c r="S54" s="206"/>
      <c r="T54" s="206"/>
      <c r="U54" s="206"/>
      <c r="V54" s="210" t="s">
        <v>292</v>
      </c>
      <c r="W54" s="211"/>
      <c r="X54" s="211"/>
      <c r="Y54" s="212"/>
      <c r="Z54" s="528" t="s">
        <v>77</v>
      </c>
      <c r="AA54" s="211"/>
      <c r="AB54" s="211"/>
      <c r="AC54" s="211"/>
      <c r="AD54" s="212"/>
      <c r="AE54" s="210" t="s">
        <v>293</v>
      </c>
      <c r="AF54" s="211"/>
      <c r="AG54" s="211"/>
      <c r="AH54" s="212"/>
      <c r="AI54" s="210" t="s">
        <v>162</v>
      </c>
      <c r="AJ54" s="211"/>
      <c r="AK54" s="211"/>
      <c r="AL54" s="212"/>
      <c r="AM54" s="211" t="s">
        <v>152</v>
      </c>
      <c r="AN54" s="211"/>
      <c r="AO54" s="211"/>
      <c r="AP54" s="212"/>
      <c r="AQ54" s="211" t="s">
        <v>197</v>
      </c>
      <c r="AR54" s="211"/>
      <c r="AS54" s="211"/>
      <c r="AT54" s="212"/>
      <c r="AU54" s="210" t="s">
        <v>199</v>
      </c>
      <c r="AV54" s="211"/>
      <c r="AW54" s="211"/>
      <c r="AX54" s="212"/>
      <c r="AY54" s="210" t="s">
        <v>83</v>
      </c>
      <c r="AZ54" s="211"/>
      <c r="BA54" s="211"/>
      <c r="BB54" s="212"/>
      <c r="BC54" s="210" t="s">
        <v>42</v>
      </c>
      <c r="BD54" s="211"/>
      <c r="BE54" s="211"/>
      <c r="BF54" s="212"/>
      <c r="BG54" s="211" t="s">
        <v>156</v>
      </c>
      <c r="BH54" s="211"/>
      <c r="BI54" s="212"/>
      <c r="BJ54" s="305" t="s">
        <v>86</v>
      </c>
      <c r="BK54" s="211"/>
      <c r="BL54" s="211"/>
      <c r="BM54" s="212"/>
      <c r="BN54" s="211" t="s">
        <v>69</v>
      </c>
      <c r="BO54" s="211"/>
      <c r="BP54" s="211"/>
      <c r="BQ54" s="212"/>
      <c r="BR54" s="28"/>
      <c r="BS54" s="28"/>
      <c r="BT54" s="28"/>
      <c r="BU54" s="28"/>
      <c r="BV54" s="28"/>
    </row>
    <row r="55" spans="1:74" ht="13.5" customHeight="1">
      <c r="A55" s="22"/>
      <c r="B55" s="202">
        <v>7</v>
      </c>
      <c r="C55" s="306"/>
      <c r="D55" s="213" t="s">
        <v>30</v>
      </c>
      <c r="E55" s="216"/>
      <c r="F55" s="214"/>
      <c r="G55" s="215"/>
      <c r="H55" s="213" t="s">
        <v>30</v>
      </c>
      <c r="I55" s="216"/>
      <c r="J55" s="216"/>
      <c r="K55" s="216"/>
      <c r="L55" s="214"/>
      <c r="M55" s="215"/>
      <c r="N55" s="213" t="s">
        <v>30</v>
      </c>
      <c r="O55" s="214"/>
      <c r="P55" s="214"/>
      <c r="Q55" s="215"/>
      <c r="R55" s="213"/>
      <c r="S55" s="216"/>
      <c r="T55" s="214"/>
      <c r="U55" s="214"/>
      <c r="V55" s="217" t="s">
        <v>43</v>
      </c>
      <c r="W55" s="218"/>
      <c r="X55" s="219"/>
      <c r="Y55" s="220"/>
      <c r="Z55" s="217" t="s">
        <v>30</v>
      </c>
      <c r="AA55" s="218"/>
      <c r="AB55" s="218"/>
      <c r="AC55" s="219"/>
      <c r="AD55" s="220"/>
      <c r="AE55" s="217" t="s">
        <v>43</v>
      </c>
      <c r="AF55" s="218"/>
      <c r="AG55" s="219"/>
      <c r="AH55" s="220"/>
      <c r="AI55" s="217" t="s">
        <v>30</v>
      </c>
      <c r="AJ55" s="218"/>
      <c r="AK55" s="219"/>
      <c r="AL55" s="220"/>
      <c r="AM55" s="218" t="s">
        <v>43</v>
      </c>
      <c r="AN55" s="218"/>
      <c r="AO55" s="219"/>
      <c r="AP55" s="220"/>
      <c r="AQ55" s="218" t="s">
        <v>198</v>
      </c>
      <c r="AR55" s="218"/>
      <c r="AS55" s="219"/>
      <c r="AT55" s="220"/>
      <c r="AU55" s="217" t="s">
        <v>155</v>
      </c>
      <c r="AV55" s="218"/>
      <c r="AW55" s="219"/>
      <c r="AX55" s="220"/>
      <c r="AY55" s="217" t="s">
        <v>155</v>
      </c>
      <c r="AZ55" s="218"/>
      <c r="BA55" s="219"/>
      <c r="BB55" s="220"/>
      <c r="BC55" s="217" t="s">
        <v>200</v>
      </c>
      <c r="BD55" s="218"/>
      <c r="BE55" s="219"/>
      <c r="BF55" s="220"/>
      <c r="BG55" s="218" t="s">
        <v>201</v>
      </c>
      <c r="BH55" s="218"/>
      <c r="BI55" s="220"/>
      <c r="BJ55" s="307" t="s">
        <v>43</v>
      </c>
      <c r="BK55" s="218"/>
      <c r="BL55" s="219"/>
      <c r="BM55" s="220"/>
      <c r="BN55" s="218" t="s">
        <v>43</v>
      </c>
      <c r="BO55" s="218"/>
      <c r="BP55" s="219"/>
      <c r="BQ55" s="220"/>
      <c r="BR55" s="28"/>
      <c r="BS55" s="28"/>
      <c r="BT55" s="28"/>
      <c r="BU55" s="28"/>
      <c r="BV55" s="28"/>
    </row>
    <row r="56" spans="1:74" ht="13.5" customHeight="1">
      <c r="A56" s="22"/>
      <c r="B56" s="202">
        <v>8</v>
      </c>
      <c r="C56" s="308">
        <v>1</v>
      </c>
      <c r="D56" s="148" t="s">
        <v>202</v>
      </c>
      <c r="E56" s="149"/>
      <c r="F56" s="149"/>
      <c r="G56" s="151"/>
      <c r="H56" s="242" t="s">
        <v>204</v>
      </c>
      <c r="I56" s="150"/>
      <c r="J56" s="150"/>
      <c r="K56" s="150"/>
      <c r="L56" s="161"/>
      <c r="M56" s="162"/>
      <c r="N56" s="242" t="s">
        <v>206</v>
      </c>
      <c r="O56" s="150"/>
      <c r="P56" s="150"/>
      <c r="Q56" s="99" t="s">
        <v>33</v>
      </c>
      <c r="R56" s="958">
        <v>2000000</v>
      </c>
      <c r="S56" s="959"/>
      <c r="T56" s="959"/>
      <c r="U56" s="960"/>
      <c r="V56" s="148" t="s">
        <v>207</v>
      </c>
      <c r="W56" s="150"/>
      <c r="X56" s="150"/>
      <c r="Y56" s="99" t="s">
        <v>33</v>
      </c>
      <c r="Z56" s="946">
        <v>5.29</v>
      </c>
      <c r="AA56" s="968"/>
      <c r="AB56" s="968"/>
      <c r="AC56" s="968"/>
      <c r="AD56" s="969"/>
      <c r="AE56" s="148" t="s">
        <v>148</v>
      </c>
      <c r="AF56" s="150"/>
      <c r="AG56" s="150"/>
      <c r="AH56" s="99" t="s">
        <v>33</v>
      </c>
      <c r="AI56" s="998">
        <v>9.2200000000000004E-2</v>
      </c>
      <c r="AJ56" s="999"/>
      <c r="AK56" s="999"/>
      <c r="AL56" s="1000"/>
      <c r="AM56" s="998">
        <v>9.4E-2</v>
      </c>
      <c r="AN56" s="999"/>
      <c r="AO56" s="999"/>
      <c r="AP56" s="1000"/>
      <c r="AQ56" s="1007">
        <v>0.01</v>
      </c>
      <c r="AR56" s="1008"/>
      <c r="AS56" s="1008"/>
      <c r="AT56" s="1009"/>
      <c r="AU56" s="998">
        <v>0.1012</v>
      </c>
      <c r="AV56" s="999"/>
      <c r="AW56" s="999"/>
      <c r="AX56" s="1000"/>
      <c r="AY56" s="998">
        <v>0.11</v>
      </c>
      <c r="AZ56" s="999"/>
      <c r="BA56" s="999"/>
      <c r="BB56" s="1000"/>
      <c r="BC56" s="998">
        <v>0.11</v>
      </c>
      <c r="BD56" s="999"/>
      <c r="BE56" s="999"/>
      <c r="BF56" s="1000"/>
      <c r="BG56" s="1001">
        <f>AI56/21</f>
        <v>4.3904761904761903E-3</v>
      </c>
      <c r="BH56" s="1002"/>
      <c r="BI56" s="1003"/>
      <c r="BJ56" s="309" t="s">
        <v>208</v>
      </c>
      <c r="BK56" s="150"/>
      <c r="BL56" s="150"/>
      <c r="BM56" s="152"/>
      <c r="BN56" s="149" t="s">
        <v>30</v>
      </c>
      <c r="BO56" s="150"/>
      <c r="BP56" s="150"/>
      <c r="BQ56" s="152"/>
      <c r="BR56" s="28"/>
      <c r="BS56" s="28"/>
      <c r="BT56" s="28"/>
      <c r="BU56" s="28"/>
      <c r="BV56" s="28"/>
    </row>
    <row r="57" spans="1:74" ht="13.5" customHeight="1">
      <c r="A57" s="22"/>
      <c r="B57" s="202">
        <v>9</v>
      </c>
      <c r="C57" s="308">
        <v>2</v>
      </c>
      <c r="D57" s="148" t="s">
        <v>203</v>
      </c>
      <c r="E57" s="149"/>
      <c r="F57" s="149"/>
      <c r="G57" s="151"/>
      <c r="H57" s="242" t="s">
        <v>205</v>
      </c>
      <c r="I57" s="150"/>
      <c r="J57" s="150"/>
      <c r="K57" s="150"/>
      <c r="L57" s="161"/>
      <c r="M57" s="162"/>
      <c r="N57" s="242" t="s">
        <v>206</v>
      </c>
      <c r="O57" s="150"/>
      <c r="P57" s="150"/>
      <c r="Q57" s="99" t="s">
        <v>33</v>
      </c>
      <c r="R57" s="958">
        <v>20000</v>
      </c>
      <c r="S57" s="959"/>
      <c r="T57" s="959"/>
      <c r="U57" s="960"/>
      <c r="V57" s="148" t="s">
        <v>207</v>
      </c>
      <c r="W57" s="150"/>
      <c r="X57" s="150"/>
      <c r="Y57" s="99" t="s">
        <v>33</v>
      </c>
      <c r="Z57" s="946">
        <v>11</v>
      </c>
      <c r="AA57" s="968"/>
      <c r="AB57" s="968"/>
      <c r="AC57" s="968"/>
      <c r="AD57" s="969"/>
      <c r="AE57" s="148" t="s">
        <v>148</v>
      </c>
      <c r="AF57" s="150"/>
      <c r="AG57" s="150"/>
      <c r="AH57" s="99" t="s">
        <v>33</v>
      </c>
      <c r="AI57" s="998">
        <v>0.12970000000000001</v>
      </c>
      <c r="AJ57" s="999"/>
      <c r="AK57" s="999"/>
      <c r="AL57" s="1000"/>
      <c r="AM57" s="998">
        <v>0.13</v>
      </c>
      <c r="AN57" s="999"/>
      <c r="AO57" s="999"/>
      <c r="AP57" s="1000"/>
      <c r="AQ57" s="1007">
        <v>0.01</v>
      </c>
      <c r="AR57" s="1008"/>
      <c r="AS57" s="1008"/>
      <c r="AT57" s="1009"/>
      <c r="AU57" s="998">
        <v>0.13600000000000001</v>
      </c>
      <c r="AV57" s="999"/>
      <c r="AW57" s="999"/>
      <c r="AX57" s="1000"/>
      <c r="AY57" s="998">
        <v>0.156</v>
      </c>
      <c r="AZ57" s="999"/>
      <c r="BA57" s="999"/>
      <c r="BB57" s="1000"/>
      <c r="BC57" s="998">
        <v>0.156</v>
      </c>
      <c r="BD57" s="999"/>
      <c r="BE57" s="999"/>
      <c r="BF57" s="1000"/>
      <c r="BG57" s="1001">
        <f>AI57/21</f>
        <v>6.1761904761904766E-3</v>
      </c>
      <c r="BH57" s="1002"/>
      <c r="BI57" s="1003"/>
      <c r="BJ57" s="309" t="s">
        <v>209</v>
      </c>
      <c r="BK57" s="150"/>
      <c r="BL57" s="150"/>
      <c r="BM57" s="152"/>
      <c r="BN57" s="149" t="s">
        <v>30</v>
      </c>
      <c r="BO57" s="150"/>
      <c r="BP57" s="150"/>
      <c r="BQ57" s="152"/>
      <c r="BR57" s="28"/>
      <c r="BS57" s="28"/>
      <c r="BT57" s="28"/>
      <c r="BU57" s="28"/>
      <c r="BV57" s="28"/>
    </row>
    <row r="58" spans="1:74" ht="13.5" customHeight="1">
      <c r="A58" s="22"/>
      <c r="B58" s="202">
        <v>10</v>
      </c>
      <c r="C58" s="310"/>
      <c r="D58" s="65"/>
      <c r="E58" s="65"/>
      <c r="F58" s="65"/>
      <c r="G58" s="65"/>
      <c r="H58" s="65"/>
      <c r="I58" s="65"/>
      <c r="J58" s="65"/>
      <c r="K58" s="65"/>
      <c r="L58" s="65"/>
      <c r="M58" s="62"/>
      <c r="N58" s="63"/>
      <c r="O58" s="65"/>
      <c r="P58" s="65"/>
      <c r="Q58" s="64"/>
      <c r="R58" s="63"/>
      <c r="S58" s="190"/>
      <c r="T58" s="190"/>
      <c r="U58" s="191"/>
      <c r="V58" s="192"/>
      <c r="W58" s="190"/>
      <c r="X58" s="65"/>
      <c r="Y58" s="65"/>
      <c r="Z58" s="65"/>
      <c r="AA58" s="65"/>
      <c r="AB58" s="65"/>
      <c r="AC58" s="65"/>
      <c r="AD58" s="65"/>
      <c r="AE58" s="65"/>
      <c r="AF58" s="65"/>
      <c r="AG58" s="65"/>
      <c r="AH58" s="65"/>
      <c r="AI58" s="65"/>
      <c r="AJ58" s="65"/>
      <c r="AK58" s="65"/>
      <c r="AL58" s="65"/>
      <c r="AM58" s="63"/>
      <c r="AN58" s="63"/>
      <c r="AO58" s="63"/>
      <c r="AP58" s="63"/>
      <c r="AQ58" s="63"/>
      <c r="AR58" s="63"/>
      <c r="AS58" s="63"/>
      <c r="AT58" s="63"/>
      <c r="AU58" s="63"/>
      <c r="AV58" s="63"/>
      <c r="AW58" s="63"/>
      <c r="AX58" s="63"/>
      <c r="AY58" s="63"/>
      <c r="AZ58" s="31"/>
      <c r="BA58" s="35"/>
      <c r="BB58" s="35"/>
      <c r="BC58" s="311"/>
      <c r="BD58" s="28"/>
    </row>
    <row r="59" spans="1:74" ht="13.5" customHeight="1">
      <c r="A59" s="22"/>
      <c r="B59" s="202">
        <v>14</v>
      </c>
      <c r="C59" s="312"/>
      <c r="D59" s="65"/>
      <c r="E59" s="65"/>
      <c r="F59" s="65"/>
      <c r="G59" s="65"/>
      <c r="H59" s="65"/>
      <c r="I59" s="65"/>
      <c r="J59" s="65"/>
      <c r="K59" s="198"/>
      <c r="L59" s="65"/>
      <c r="M59" s="65"/>
      <c r="N59" s="65"/>
      <c r="O59" s="65"/>
      <c r="P59" s="65"/>
      <c r="Q59" s="198"/>
      <c r="R59" s="65"/>
      <c r="S59" s="65"/>
      <c r="T59" s="65"/>
      <c r="U59" s="198"/>
      <c r="V59" s="65"/>
      <c r="W59" s="65"/>
      <c r="X59" s="65"/>
      <c r="Y59" s="65"/>
      <c r="Z59" s="65"/>
      <c r="AA59" s="65"/>
      <c r="AB59" s="65"/>
      <c r="AC59" s="65"/>
      <c r="AD59" s="65"/>
      <c r="AE59" s="65"/>
      <c r="AF59" s="65"/>
      <c r="AG59" s="65"/>
      <c r="AH59" s="65"/>
      <c r="AI59" s="65"/>
      <c r="AJ59" s="125"/>
      <c r="AK59" s="112"/>
      <c r="AL59" s="62"/>
      <c r="AM59" s="63"/>
      <c r="AN59" s="63"/>
      <c r="AO59" s="63"/>
      <c r="AP59" s="63"/>
      <c r="AQ59" s="64"/>
      <c r="AR59" s="63"/>
      <c r="AS59" s="65"/>
      <c r="AT59" s="65"/>
      <c r="AU59" s="65"/>
      <c r="AV59" s="65"/>
      <c r="AW59" s="65"/>
      <c r="AX59" s="65"/>
      <c r="AY59" s="63"/>
      <c r="AZ59" s="31"/>
      <c r="BA59" s="35"/>
      <c r="BB59" s="35"/>
      <c r="BC59" s="311"/>
      <c r="BD59" s="28"/>
    </row>
    <row r="60" spans="1:74" ht="13.5" customHeight="1">
      <c r="A60" s="22"/>
      <c r="B60" s="202">
        <v>15</v>
      </c>
      <c r="C60" s="313" t="s">
        <v>71</v>
      </c>
      <c r="D60" s="223"/>
      <c r="E60" s="224"/>
      <c r="F60" s="223"/>
      <c r="G60" s="224"/>
      <c r="H60" s="225"/>
      <c r="I60" s="226"/>
      <c r="J60" s="227"/>
      <c r="K60" s="227"/>
      <c r="L60" s="227"/>
      <c r="M60" s="228"/>
      <c r="N60" s="227"/>
      <c r="O60" s="227"/>
      <c r="P60" s="227"/>
      <c r="Q60" s="229"/>
      <c r="R60" s="227"/>
      <c r="S60" s="227"/>
      <c r="T60" s="227"/>
      <c r="U60" s="227"/>
      <c r="V60" s="227"/>
      <c r="W60" s="229"/>
      <c r="X60" s="227"/>
      <c r="Y60" s="227"/>
      <c r="Z60" s="227"/>
      <c r="AA60" s="229"/>
      <c r="AB60" s="227"/>
      <c r="AC60" s="227"/>
      <c r="AD60" s="227"/>
      <c r="AE60" s="227"/>
      <c r="AF60" s="227"/>
      <c r="AG60" s="232"/>
      <c r="AH60" s="227"/>
      <c r="AI60" s="227"/>
      <c r="AJ60" s="227"/>
      <c r="AK60" s="227"/>
      <c r="AL60" s="227"/>
      <c r="AM60" s="227"/>
      <c r="AN60" s="227"/>
      <c r="AO60" s="227"/>
      <c r="AP60" s="227"/>
      <c r="AQ60" s="230"/>
      <c r="AR60" s="227"/>
      <c r="AS60" s="230"/>
      <c r="AT60" s="227"/>
      <c r="AU60" s="227"/>
      <c r="AV60" s="227"/>
      <c r="AW60" s="227"/>
      <c r="AX60" s="227"/>
      <c r="AY60" s="224"/>
      <c r="AZ60" s="224"/>
      <c r="BA60" s="231"/>
      <c r="BB60" s="231"/>
      <c r="BC60" s="314"/>
      <c r="BD60" s="28"/>
    </row>
    <row r="61" spans="1:74" ht="13.5" customHeight="1">
      <c r="A61" s="22"/>
      <c r="B61" s="202"/>
      <c r="C61" s="394"/>
      <c r="D61" s="62"/>
      <c r="E61" s="63"/>
      <c r="F61" s="62"/>
      <c r="G61" s="63"/>
      <c r="H61" s="398"/>
      <c r="I61" s="399"/>
      <c r="J61" s="74"/>
      <c r="K61" s="74"/>
      <c r="L61" s="74"/>
      <c r="M61" s="400"/>
      <c r="N61" s="74"/>
      <c r="O61" s="74"/>
      <c r="P61" s="74"/>
      <c r="Q61" s="401"/>
      <c r="R61" s="74"/>
      <c r="S61" s="74"/>
      <c r="T61" s="74"/>
      <c r="U61" s="74"/>
      <c r="V61" s="74"/>
      <c r="W61" s="401"/>
      <c r="X61" s="65"/>
      <c r="Y61" s="65"/>
      <c r="Z61" s="65"/>
      <c r="AA61" s="198"/>
      <c r="AB61" s="65"/>
      <c r="AC61" s="65"/>
      <c r="AD61" s="65"/>
      <c r="AE61" s="65"/>
      <c r="AF61" s="65"/>
      <c r="AG61" s="158"/>
      <c r="AH61" s="65"/>
      <c r="AI61" s="65"/>
      <c r="AJ61" s="65"/>
      <c r="AK61" s="65"/>
      <c r="AL61" s="65"/>
      <c r="AM61" s="65"/>
      <c r="AN61" s="65"/>
      <c r="AO61" s="65"/>
      <c r="AP61" s="65"/>
      <c r="AQ61" s="125"/>
      <c r="AR61" s="65"/>
      <c r="AS61" s="125"/>
      <c r="AT61" s="65"/>
      <c r="AU61" s="65"/>
      <c r="AV61" s="65"/>
      <c r="AW61" s="65"/>
      <c r="AX61" s="65"/>
      <c r="AY61" s="63"/>
      <c r="AZ61" s="103"/>
      <c r="BA61" s="396"/>
      <c r="BB61"/>
      <c r="BC61" s="397"/>
      <c r="BD61" s="28"/>
    </row>
    <row r="62" spans="1:74" ht="13.5" customHeight="1">
      <c r="A62" s="22"/>
      <c r="B62" s="45"/>
      <c r="C62" s="393" t="s">
        <v>174</v>
      </c>
      <c r="D62" s="28"/>
      <c r="E62" s="28"/>
      <c r="F62" s="28"/>
      <c r="G62" s="28"/>
      <c r="H62" s="24"/>
      <c r="I62" s="24"/>
      <c r="J62" s="24"/>
      <c r="K62" s="24"/>
      <c r="L62" s="24"/>
      <c r="M62" s="127"/>
      <c r="N62" s="75"/>
      <c r="O62" s="84"/>
      <c r="P62" s="84"/>
      <c r="Q62" s="85"/>
      <c r="R62" s="75"/>
      <c r="S62" s="75"/>
      <c r="T62" s="75"/>
      <c r="U62" s="84"/>
      <c r="V62" s="85"/>
      <c r="W62" s="75"/>
      <c r="X62" s="65"/>
      <c r="Y62" s="28"/>
      <c r="Z62" s="233" t="s">
        <v>72</v>
      </c>
      <c r="AA62" s="28"/>
      <c r="AB62" s="28"/>
      <c r="AC62" s="28"/>
      <c r="AD62" s="28"/>
      <c r="AE62" s="28"/>
      <c r="AF62" s="28"/>
      <c r="AG62" s="28"/>
      <c r="AH62" s="28"/>
      <c r="AI62" s="28"/>
      <c r="AJ62" s="28"/>
      <c r="AK62" s="28"/>
      <c r="AL62" s="28"/>
      <c r="AM62" s="31"/>
      <c r="AN62" s="31"/>
      <c r="AO62" s="31"/>
      <c r="AP62" s="31"/>
      <c r="AQ62" s="31"/>
      <c r="AR62" s="31"/>
      <c r="AS62" s="31"/>
      <c r="AT62" s="31"/>
      <c r="AU62" s="31"/>
      <c r="AV62" s="31"/>
      <c r="AW62" s="31"/>
      <c r="AX62" s="65"/>
      <c r="AY62" s="31"/>
      <c r="AZ62" s="31"/>
      <c r="BA62" s="30"/>
      <c r="BB62" s="35"/>
      <c r="BC62" s="326"/>
      <c r="BD62" s="28"/>
      <c r="BF62" s="35"/>
      <c r="BG62" s="35"/>
    </row>
    <row r="63" spans="1:74" ht="13.5" customHeight="1">
      <c r="A63" s="22"/>
      <c r="B63" s="202">
        <v>6</v>
      </c>
      <c r="C63" s="431" t="s">
        <v>32</v>
      </c>
      <c r="D63" s="432" t="s">
        <v>182</v>
      </c>
      <c r="E63" s="433"/>
      <c r="F63" s="433"/>
      <c r="G63" s="434"/>
      <c r="H63" s="435" t="s">
        <v>183</v>
      </c>
      <c r="I63" s="436"/>
      <c r="J63" s="436"/>
      <c r="K63" s="436"/>
      <c r="L63" s="433"/>
      <c r="M63" s="434"/>
      <c r="N63" s="432" t="s">
        <v>184</v>
      </c>
      <c r="O63" s="433"/>
      <c r="P63" s="433"/>
      <c r="Q63" s="433"/>
      <c r="R63" s="433"/>
      <c r="S63" s="434"/>
      <c r="T63" s="432" t="s">
        <v>185</v>
      </c>
      <c r="U63" s="433"/>
      <c r="V63" s="433"/>
      <c r="W63" s="433"/>
      <c r="X63" s="433"/>
      <c r="Y63" s="433"/>
      <c r="Z63" s="437" t="s">
        <v>179</v>
      </c>
      <c r="AA63" s="438"/>
      <c r="AB63" s="438"/>
      <c r="AC63" s="439"/>
      <c r="AD63" s="39"/>
      <c r="AE63" s="39"/>
      <c r="AF63" s="39"/>
      <c r="AG63" s="39"/>
      <c r="AH63" s="39"/>
      <c r="AI63" s="118"/>
      <c r="AJ63" s="118"/>
      <c r="AK63" s="118"/>
      <c r="AL63" s="118"/>
      <c r="AM63" s="118"/>
      <c r="AN63" s="118"/>
      <c r="AO63" s="118"/>
      <c r="AP63" s="118"/>
      <c r="AQ63" s="118"/>
      <c r="AR63" s="118"/>
      <c r="AS63" s="118"/>
      <c r="AT63" s="118"/>
      <c r="AU63" s="118"/>
      <c r="AV63" s="118"/>
      <c r="AW63" s="118"/>
      <c r="AX63" s="118"/>
      <c r="AY63" s="118"/>
      <c r="AZ63" s="118"/>
      <c r="BA63" s="118"/>
      <c r="BB63" s="440"/>
      <c r="BC63" s="326"/>
      <c r="BD63" s="28"/>
      <c r="BF63" s="35"/>
      <c r="BG63" s="35"/>
      <c r="BH63" s="28"/>
    </row>
    <row r="64" spans="1:74" ht="13.5" customHeight="1">
      <c r="A64" s="22"/>
      <c r="B64" s="202">
        <v>8</v>
      </c>
      <c r="C64" s="441">
        <v>1</v>
      </c>
      <c r="D64" s="148" t="s">
        <v>180</v>
      </c>
      <c r="E64" s="149"/>
      <c r="F64" s="149"/>
      <c r="G64" s="99" t="s">
        <v>33</v>
      </c>
      <c r="H64" s="242" t="s">
        <v>192</v>
      </c>
      <c r="I64" s="150"/>
      <c r="J64" s="150"/>
      <c r="K64" s="150"/>
      <c r="L64" s="161"/>
      <c r="M64" s="162"/>
      <c r="N64" s="1014">
        <v>5000</v>
      </c>
      <c r="O64" s="1015"/>
      <c r="P64" s="1015"/>
      <c r="Q64" s="1015"/>
      <c r="R64" s="1015"/>
      <c r="S64" s="1016"/>
      <c r="T64" s="1014">
        <v>5000</v>
      </c>
      <c r="U64" s="1017"/>
      <c r="V64" s="1017"/>
      <c r="W64" s="1017"/>
      <c r="X64" s="1017"/>
      <c r="Y64" s="1018"/>
      <c r="Z64" s="1011">
        <v>10</v>
      </c>
      <c r="AA64" s="1012"/>
      <c r="AB64" s="1012"/>
      <c r="AC64" s="1013"/>
      <c r="AD64" s="28"/>
      <c r="AE64" s="28"/>
      <c r="AF64" s="28"/>
      <c r="AG64" s="28"/>
      <c r="AH64" s="28"/>
      <c r="AI64" s="35"/>
      <c r="AJ64" s="35"/>
      <c r="AK64" s="35"/>
      <c r="AL64" s="35"/>
      <c r="AM64" s="35"/>
      <c r="AN64" s="35"/>
      <c r="AO64" s="35"/>
      <c r="AP64" s="35"/>
      <c r="AQ64" s="35"/>
      <c r="AR64" s="35"/>
      <c r="AS64" s="35"/>
      <c r="AT64" s="35"/>
      <c r="AU64" s="35"/>
      <c r="AV64" s="35"/>
      <c r="AW64" s="35"/>
      <c r="AX64" s="35"/>
      <c r="AY64" s="35"/>
      <c r="AZ64" s="35"/>
      <c r="BA64" s="35"/>
      <c r="BB64" s="153"/>
      <c r="BC64" s="326"/>
      <c r="BD64" s="28"/>
      <c r="BF64" s="35"/>
      <c r="BG64" s="35"/>
      <c r="BH64" s="28"/>
    </row>
    <row r="65" spans="1:91" ht="13.5" customHeight="1">
      <c r="A65" s="22"/>
      <c r="B65" s="202">
        <v>14</v>
      </c>
      <c r="C65" s="94"/>
      <c r="D65" s="65"/>
      <c r="E65" s="65"/>
      <c r="F65" s="65"/>
      <c r="G65" s="65"/>
      <c r="H65" s="65"/>
      <c r="I65" s="65"/>
      <c r="J65" s="65"/>
      <c r="K65" s="198"/>
      <c r="L65" s="65"/>
      <c r="M65" s="65"/>
      <c r="N65" s="65"/>
      <c r="O65" s="65"/>
      <c r="P65" s="65"/>
      <c r="Q65" s="65"/>
      <c r="R65" s="65"/>
      <c r="S65" s="198"/>
      <c r="T65" s="65"/>
      <c r="U65" s="65"/>
      <c r="V65" s="65"/>
      <c r="W65" s="65"/>
      <c r="X65" s="65"/>
      <c r="Y65" s="198"/>
      <c r="Z65" s="65"/>
      <c r="AA65" s="65"/>
      <c r="AB65" s="65"/>
      <c r="AC65" s="65"/>
      <c r="AD65" s="65"/>
      <c r="AE65" s="65"/>
      <c r="AF65" s="65"/>
      <c r="AG65" s="65"/>
      <c r="AH65" s="65"/>
      <c r="AI65" s="65"/>
      <c r="AJ65" s="65"/>
      <c r="AK65" s="65"/>
      <c r="AL65" s="65"/>
      <c r="AM65" s="65"/>
      <c r="AN65" s="125"/>
      <c r="AO65" s="112"/>
      <c r="AP65" s="62"/>
      <c r="AQ65" s="63"/>
      <c r="AR65" s="63"/>
      <c r="AS65" s="63"/>
      <c r="AT65" s="63"/>
      <c r="AU65" s="64"/>
      <c r="AV65" s="63"/>
      <c r="AW65" s="65"/>
      <c r="AX65" s="65"/>
      <c r="AY65" s="65"/>
      <c r="AZ65" s="65"/>
      <c r="BA65" s="65"/>
      <c r="BB65" s="442"/>
      <c r="BC65" s="326"/>
      <c r="BD65" s="28"/>
      <c r="BF65" s="35"/>
      <c r="BG65" s="35"/>
      <c r="BH65" s="28"/>
      <c r="BI65" s="28"/>
      <c r="BJ65" s="28"/>
      <c r="BK65" s="28"/>
    </row>
    <row r="66" spans="1:91" ht="13.5" customHeight="1">
      <c r="A66" s="22"/>
      <c r="B66" s="202">
        <v>15</v>
      </c>
      <c r="C66" s="443" t="s">
        <v>71</v>
      </c>
      <c r="D66" s="223"/>
      <c r="E66" s="224"/>
      <c r="F66" s="223"/>
      <c r="G66" s="224"/>
      <c r="H66" s="225"/>
      <c r="I66" s="226"/>
      <c r="J66" s="227"/>
      <c r="K66" s="227"/>
      <c r="L66" s="227"/>
      <c r="M66" s="228"/>
      <c r="N66" s="227"/>
      <c r="O66" s="227"/>
      <c r="P66" s="227"/>
      <c r="Q66" s="229"/>
      <c r="R66" s="227"/>
      <c r="S66" s="227"/>
      <c r="T66" s="227"/>
      <c r="U66" s="227"/>
      <c r="V66" s="227"/>
      <c r="W66" s="229"/>
      <c r="X66" s="227"/>
      <c r="Y66" s="227"/>
      <c r="Z66" s="227"/>
      <c r="AA66" s="229"/>
      <c r="AB66" s="227"/>
      <c r="AC66" s="227"/>
      <c r="AD66" s="227"/>
      <c r="AE66" s="227"/>
      <c r="AF66" s="227"/>
      <c r="AG66" s="232"/>
      <c r="AH66" s="227"/>
      <c r="AI66" s="227"/>
      <c r="AJ66" s="227"/>
      <c r="AK66" s="227"/>
      <c r="AL66" s="227"/>
      <c r="AM66" s="227"/>
      <c r="AN66" s="227"/>
      <c r="AO66" s="227"/>
      <c r="AP66" s="227"/>
      <c r="AQ66" s="230"/>
      <c r="AR66" s="227"/>
      <c r="AS66" s="230"/>
      <c r="AT66" s="227"/>
      <c r="AU66" s="227"/>
      <c r="AV66" s="227"/>
      <c r="AW66" s="227"/>
      <c r="AX66" s="227"/>
      <c r="AY66" s="224"/>
      <c r="AZ66" s="224"/>
      <c r="BA66" s="231"/>
      <c r="BB66" s="444"/>
      <c r="BC66" s="326"/>
      <c r="BD66" s="28"/>
      <c r="BH66" s="28"/>
      <c r="BI66" s="28"/>
      <c r="BJ66" s="28"/>
      <c r="BK66" s="28"/>
    </row>
    <row r="67" spans="1:91" ht="13.5" customHeight="1">
      <c r="A67" s="22"/>
      <c r="B67" s="202"/>
      <c r="C67" s="394"/>
      <c r="D67" s="62"/>
      <c r="E67" s="63"/>
      <c r="F67" s="62"/>
      <c r="G67" s="63"/>
      <c r="H67" s="398"/>
      <c r="I67" s="399"/>
      <c r="J67" s="74"/>
      <c r="K67" s="74"/>
      <c r="L67" s="74"/>
      <c r="M67" s="400"/>
      <c r="N67" s="74"/>
      <c r="O67" s="74"/>
      <c r="P67" s="74"/>
      <c r="Q67" s="74"/>
      <c r="R67" s="74"/>
      <c r="S67" s="401"/>
      <c r="T67" s="74"/>
      <c r="U67" s="74"/>
      <c r="V67" s="74"/>
      <c r="W67" s="74"/>
      <c r="X67" s="74"/>
      <c r="Y67" s="74"/>
      <c r="Z67" s="74"/>
      <c r="AA67" s="401"/>
      <c r="AB67" s="65"/>
      <c r="AC67" s="65"/>
      <c r="AD67" s="65"/>
      <c r="AE67" s="198"/>
      <c r="AF67" s="65"/>
      <c r="AG67" s="65"/>
      <c r="AH67" s="65"/>
      <c r="AI67" s="65"/>
      <c r="AJ67" s="65"/>
      <c r="AK67" s="158"/>
      <c r="AL67" s="65"/>
      <c r="AM67" s="65"/>
      <c r="AN67" s="65"/>
      <c r="AO67" s="65"/>
      <c r="AP67" s="65"/>
      <c r="AQ67" s="65"/>
      <c r="AR67" s="65"/>
      <c r="AS67" s="65"/>
      <c r="AT67" s="65"/>
      <c r="AU67" s="125"/>
      <c r="AV67" s="65"/>
      <c r="AW67" s="125"/>
      <c r="AX67" s="65"/>
      <c r="AY67" s="65"/>
      <c r="AZ67" s="65"/>
      <c r="BA67" s="65"/>
      <c r="BB67" s="65"/>
      <c r="BC67" s="326"/>
      <c r="BD67" s="28"/>
      <c r="BF67"/>
      <c r="BG67"/>
      <c r="BH67" s="28"/>
      <c r="BI67" s="28"/>
      <c r="BJ67" s="28"/>
      <c r="BK67" s="28"/>
    </row>
    <row r="68" spans="1:91" ht="13.5" customHeight="1">
      <c r="A68" s="22"/>
      <c r="B68" s="45"/>
      <c r="C68" s="393" t="s">
        <v>181</v>
      </c>
      <c r="D68" s="28"/>
      <c r="E68" s="28"/>
      <c r="F68" s="28"/>
      <c r="G68" s="28"/>
      <c r="H68" s="24"/>
      <c r="I68" s="24"/>
      <c r="J68" s="24"/>
      <c r="K68" s="24"/>
      <c r="L68" s="24"/>
      <c r="M68" s="127"/>
      <c r="N68" s="75"/>
      <c r="O68" s="84"/>
      <c r="P68" s="84"/>
      <c r="Q68" s="84"/>
      <c r="R68" s="84"/>
      <c r="S68" s="85"/>
      <c r="T68" s="75"/>
      <c r="U68" s="75"/>
      <c r="V68" s="75"/>
      <c r="W68" s="75"/>
      <c r="X68" s="75"/>
      <c r="Y68" s="84"/>
      <c r="Z68" s="233" t="s">
        <v>72</v>
      </c>
      <c r="AA68" s="75"/>
      <c r="AB68" s="65"/>
      <c r="AC68" s="28"/>
      <c r="AD68" s="28"/>
      <c r="AE68" s="28"/>
      <c r="AF68" s="28"/>
      <c r="AG68" s="28"/>
      <c r="AH68" s="28"/>
      <c r="AI68" s="28"/>
      <c r="AJ68" s="28"/>
      <c r="AK68" s="28"/>
      <c r="AL68" s="28"/>
      <c r="AM68" s="28"/>
      <c r="AN68" s="28"/>
      <c r="AO68" s="28"/>
      <c r="AP68" s="28"/>
      <c r="AQ68" s="31"/>
      <c r="AR68" s="31"/>
      <c r="AS68" s="31"/>
      <c r="AT68" s="31"/>
      <c r="AU68" s="31"/>
      <c r="AV68" s="31"/>
      <c r="AW68" s="31"/>
      <c r="AX68" s="31"/>
      <c r="AY68" s="31"/>
      <c r="AZ68" s="31"/>
      <c r="BA68" s="31"/>
      <c r="BB68" s="65"/>
      <c r="BC68" s="326"/>
      <c r="BD68" s="28"/>
      <c r="BF68" s="35"/>
      <c r="BG68" s="35"/>
      <c r="BH68" s="28"/>
    </row>
    <row r="69" spans="1:91" ht="13.5" customHeight="1">
      <c r="A69" s="22"/>
      <c r="B69" s="202">
        <v>6</v>
      </c>
      <c r="C69" s="431" t="s">
        <v>32</v>
      </c>
      <c r="D69" s="432" t="s">
        <v>182</v>
      </c>
      <c r="E69" s="445"/>
      <c r="F69" s="445"/>
      <c r="G69" s="446"/>
      <c r="H69" s="447" t="s">
        <v>189</v>
      </c>
      <c r="I69" s="448"/>
      <c r="J69" s="448"/>
      <c r="K69" s="448"/>
      <c r="L69" s="445"/>
      <c r="M69" s="446"/>
      <c r="N69" s="449" t="s">
        <v>190</v>
      </c>
      <c r="O69" s="445"/>
      <c r="P69" s="445"/>
      <c r="Q69" s="445"/>
      <c r="R69" s="445"/>
      <c r="S69" s="446"/>
      <c r="T69" s="449" t="s">
        <v>191</v>
      </c>
      <c r="U69" s="445"/>
      <c r="V69" s="445"/>
      <c r="W69" s="445"/>
      <c r="X69" s="445"/>
      <c r="Y69" s="445"/>
      <c r="Z69" s="450" t="s">
        <v>179</v>
      </c>
      <c r="AA69" s="451"/>
      <c r="AB69" s="451"/>
      <c r="AC69" s="452"/>
      <c r="AD69" s="39"/>
      <c r="AE69" s="39"/>
      <c r="AF69" s="39"/>
      <c r="AG69" s="39"/>
      <c r="AH69" s="39"/>
      <c r="AI69" s="118"/>
      <c r="AJ69" s="118"/>
      <c r="AK69" s="118"/>
      <c r="AL69" s="118"/>
      <c r="AM69" s="118"/>
      <c r="AN69" s="118"/>
      <c r="AO69" s="118"/>
      <c r="AP69" s="118"/>
      <c r="AQ69" s="118"/>
      <c r="AR69" s="118"/>
      <c r="AS69" s="118"/>
      <c r="AT69" s="118"/>
      <c r="AU69" s="118"/>
      <c r="AV69" s="118"/>
      <c r="AW69" s="118"/>
      <c r="AX69" s="118"/>
      <c r="AY69" s="118"/>
      <c r="AZ69" s="118"/>
      <c r="BA69" s="118"/>
      <c r="BB69" s="440"/>
      <c r="BC69" s="326"/>
      <c r="BD69" s="28"/>
      <c r="BF69" s="35"/>
      <c r="BG69" s="35"/>
      <c r="BH69" s="28"/>
    </row>
    <row r="70" spans="1:91" ht="13.5" customHeight="1">
      <c r="A70" s="22"/>
      <c r="B70" s="202">
        <v>8</v>
      </c>
      <c r="C70" s="441">
        <v>1</v>
      </c>
      <c r="D70" s="148" t="s">
        <v>180</v>
      </c>
      <c r="E70" s="149"/>
      <c r="F70" s="149"/>
      <c r="G70" s="99" t="s">
        <v>33</v>
      </c>
      <c r="H70" s="242"/>
      <c r="I70" s="150"/>
      <c r="J70" s="150"/>
      <c r="K70" s="150"/>
      <c r="L70" s="161"/>
      <c r="M70" s="162"/>
      <c r="N70" s="1019">
        <v>5000</v>
      </c>
      <c r="O70" s="1017"/>
      <c r="P70" s="1017"/>
      <c r="Q70" s="1017"/>
      <c r="R70" s="1017"/>
      <c r="S70" s="1018"/>
      <c r="T70" s="1019">
        <v>5000</v>
      </c>
      <c r="U70" s="1017"/>
      <c r="V70" s="1017"/>
      <c r="W70" s="1017"/>
      <c r="X70" s="1017"/>
      <c r="Y70" s="1018"/>
      <c r="Z70" s="1020">
        <v>10</v>
      </c>
      <c r="AA70" s="1021"/>
      <c r="AB70" s="1021"/>
      <c r="AC70" s="1022"/>
      <c r="AD70" s="28"/>
      <c r="AE70" s="28"/>
      <c r="AF70" s="28"/>
      <c r="AG70" s="28"/>
      <c r="AH70" s="28"/>
      <c r="AI70" s="35"/>
      <c r="AJ70" s="35"/>
      <c r="AK70" s="35"/>
      <c r="AL70" s="35"/>
      <c r="AM70" s="35"/>
      <c r="AN70" s="35"/>
      <c r="AO70" s="35"/>
      <c r="AP70" s="35"/>
      <c r="AQ70" s="35"/>
      <c r="AR70" s="35"/>
      <c r="AS70" s="35"/>
      <c r="AT70" s="35"/>
      <c r="AU70" s="35"/>
      <c r="AV70" s="35"/>
      <c r="AW70" s="35"/>
      <c r="AX70" s="35"/>
      <c r="AY70" s="35"/>
      <c r="AZ70" s="35"/>
      <c r="BA70" s="35"/>
      <c r="BB70" s="153"/>
      <c r="BC70" s="326"/>
      <c r="BD70" s="28"/>
      <c r="BF70" s="35"/>
      <c r="BG70" s="35"/>
      <c r="BH70" s="28"/>
    </row>
    <row r="71" spans="1:91" ht="13.5" customHeight="1">
      <c r="A71" s="22"/>
      <c r="B71" s="202">
        <v>14</v>
      </c>
      <c r="C71" s="453"/>
      <c r="D71" s="67"/>
      <c r="E71" s="67"/>
      <c r="F71" s="67"/>
      <c r="G71" s="67"/>
      <c r="H71" s="67"/>
      <c r="I71" s="67"/>
      <c r="J71" s="67"/>
      <c r="K71" s="395"/>
      <c r="L71" s="67"/>
      <c r="M71" s="67"/>
      <c r="N71" s="67"/>
      <c r="O71" s="67"/>
      <c r="P71" s="67"/>
      <c r="Q71" s="395"/>
      <c r="R71" s="67"/>
      <c r="S71" s="67"/>
      <c r="T71" s="67"/>
      <c r="U71" s="395"/>
      <c r="V71" s="67"/>
      <c r="W71" s="67"/>
      <c r="X71" s="67"/>
      <c r="Y71" s="67"/>
      <c r="Z71" s="67"/>
      <c r="AA71" s="67"/>
      <c r="AB71" s="67"/>
      <c r="AC71" s="67"/>
      <c r="AD71" s="67"/>
      <c r="AE71" s="67"/>
      <c r="AF71" s="67"/>
      <c r="AG71" s="67"/>
      <c r="AH71" s="67"/>
      <c r="AI71" s="67"/>
      <c r="AJ71" s="454"/>
      <c r="AK71" s="455"/>
      <c r="AL71" s="105"/>
      <c r="AM71" s="100"/>
      <c r="AN71" s="100"/>
      <c r="AO71" s="100"/>
      <c r="AP71" s="100"/>
      <c r="AQ71" s="101"/>
      <c r="AR71" s="100"/>
      <c r="AS71" s="67"/>
      <c r="AT71" s="67"/>
      <c r="AU71" s="67"/>
      <c r="AV71" s="67"/>
      <c r="AW71" s="67"/>
      <c r="AX71" s="67"/>
      <c r="AY71" s="100"/>
      <c r="AZ71" s="52"/>
      <c r="BA71" s="38"/>
      <c r="BB71" s="154"/>
      <c r="BC71" s="326"/>
      <c r="BD71" s="28"/>
    </row>
    <row r="72" spans="1:91" ht="13.5" customHeight="1">
      <c r="A72" s="22"/>
      <c r="B72" s="202">
        <v>15</v>
      </c>
      <c r="C72" s="313" t="s">
        <v>71</v>
      </c>
      <c r="D72" s="223"/>
      <c r="E72" s="224"/>
      <c r="F72" s="223"/>
      <c r="G72" s="224"/>
      <c r="H72" s="225"/>
      <c r="I72" s="226"/>
      <c r="J72" s="227"/>
      <c r="K72" s="227"/>
      <c r="L72" s="227"/>
      <c r="M72" s="228"/>
      <c r="N72" s="227"/>
      <c r="O72" s="227"/>
      <c r="P72" s="227"/>
      <c r="Q72" s="229"/>
      <c r="R72" s="227"/>
      <c r="S72" s="227"/>
      <c r="T72" s="227"/>
      <c r="U72" s="227"/>
      <c r="V72" s="227"/>
      <c r="W72" s="229"/>
      <c r="X72" s="227"/>
      <c r="Y72" s="227"/>
      <c r="Z72" s="227"/>
      <c r="AA72" s="229"/>
      <c r="AB72" s="227"/>
      <c r="AC72" s="227"/>
      <c r="AD72" s="227"/>
      <c r="AE72" s="227"/>
      <c r="AF72" s="227"/>
      <c r="AG72" s="232"/>
      <c r="AH72" s="227"/>
      <c r="AI72" s="227"/>
      <c r="AJ72" s="227"/>
      <c r="AK72" s="227"/>
      <c r="AL72" s="227"/>
      <c r="AM72" s="227"/>
      <c r="AN72" s="227"/>
      <c r="AO72" s="227"/>
      <c r="AP72" s="227"/>
      <c r="AQ72" s="230"/>
      <c r="AR72" s="227"/>
      <c r="AS72" s="230"/>
      <c r="AT72" s="227"/>
      <c r="AU72" s="227"/>
      <c r="AV72" s="227"/>
      <c r="AW72" s="227"/>
      <c r="AX72" s="227"/>
      <c r="AY72" s="224"/>
      <c r="AZ72" s="224"/>
      <c r="BA72" s="231"/>
      <c r="BB72" s="231"/>
      <c r="BC72" s="326"/>
      <c r="BD72" s="28"/>
    </row>
    <row r="73" spans="1:91" ht="13.5" customHeight="1">
      <c r="A73" s="22"/>
      <c r="B73" s="202">
        <v>16</v>
      </c>
      <c r="C73" s="310"/>
      <c r="D73" s="65"/>
      <c r="E73" s="65"/>
      <c r="F73" s="65"/>
      <c r="G73" s="65"/>
      <c r="H73" s="65"/>
      <c r="I73" s="65"/>
      <c r="J73" s="65"/>
      <c r="K73" s="65"/>
      <c r="L73" s="65"/>
      <c r="M73" s="62"/>
      <c r="N73" s="65"/>
      <c r="O73" s="65"/>
      <c r="P73" s="63"/>
      <c r="Q73" s="64"/>
      <c r="R73" s="63"/>
      <c r="S73" s="111"/>
      <c r="T73" s="112"/>
      <c r="U73" s="111"/>
      <c r="V73" s="112"/>
      <c r="W73" s="111"/>
      <c r="X73" s="111"/>
      <c r="Y73" s="111"/>
      <c r="Z73" s="111"/>
      <c r="AA73" s="65"/>
      <c r="AB73" s="65"/>
      <c r="AC73" s="65"/>
      <c r="AD73" s="65"/>
      <c r="AE73" s="65"/>
      <c r="AF73" s="65"/>
      <c r="AG73" s="65"/>
      <c r="AH73" s="65"/>
      <c r="AI73" s="65"/>
      <c r="AJ73" s="65"/>
      <c r="AK73" s="65"/>
      <c r="AL73" s="65"/>
      <c r="AM73" s="65"/>
      <c r="AN73" s="65"/>
      <c r="AO73" s="65"/>
      <c r="AP73" s="65"/>
      <c r="AQ73" s="65"/>
      <c r="AR73" s="65"/>
      <c r="AS73" s="65"/>
      <c r="AT73" s="65"/>
      <c r="AU73" s="65"/>
      <c r="AV73" s="65"/>
      <c r="AW73" s="65"/>
      <c r="AX73" s="65"/>
      <c r="AY73" s="63"/>
      <c r="AZ73" s="53"/>
      <c r="BA73" s="323"/>
      <c r="BB73" s="324"/>
      <c r="BC73" s="326"/>
      <c r="BD73" s="28"/>
    </row>
    <row r="74" spans="1:91" ht="13.5" customHeight="1">
      <c r="A74" s="22"/>
      <c r="B74" s="202">
        <v>17</v>
      </c>
      <c r="C74" s="310"/>
      <c r="D74" s="65"/>
      <c r="E74" s="65"/>
      <c r="F74" s="65"/>
      <c r="G74" s="65"/>
      <c r="H74" s="126"/>
      <c r="I74" s="65"/>
      <c r="J74" s="65"/>
      <c r="K74" s="65"/>
      <c r="L74" s="198"/>
      <c r="M74" s="65"/>
      <c r="N74" s="65"/>
      <c r="O74" s="65"/>
      <c r="P74" s="198"/>
      <c r="Q74" s="65"/>
      <c r="R74" s="65"/>
      <c r="S74" s="65"/>
      <c r="T74" s="198"/>
      <c r="U74" s="65"/>
      <c r="V74" s="65"/>
      <c r="W74" s="65"/>
      <c r="X74" s="65"/>
      <c r="Y74" s="65"/>
      <c r="Z74" s="65"/>
      <c r="AA74" s="65"/>
      <c r="AB74" s="65"/>
      <c r="AC74" s="65"/>
      <c r="AD74" s="65"/>
      <c r="AE74" s="65"/>
      <c r="AF74" s="65"/>
      <c r="AG74" s="65"/>
      <c r="AH74" s="65"/>
      <c r="AI74" s="65"/>
      <c r="AJ74" s="65"/>
      <c r="AK74" s="125"/>
      <c r="AL74" s="65"/>
      <c r="AM74" s="65"/>
      <c r="AN74" s="65"/>
      <c r="AO74" s="65"/>
      <c r="AP74" s="65"/>
      <c r="AQ74" s="65"/>
      <c r="AR74" s="65"/>
      <c r="AS74" s="65"/>
      <c r="AT74" s="65"/>
      <c r="AU74" s="65"/>
      <c r="AV74" s="65"/>
      <c r="AW74" s="65"/>
      <c r="AX74" s="65"/>
      <c r="AY74" s="63"/>
      <c r="AZ74" s="31"/>
      <c r="BA74" s="30"/>
      <c r="BB74" s="175"/>
      <c r="BC74" s="326"/>
      <c r="BD74" s="28"/>
    </row>
    <row r="75" spans="1:91" ht="5.15" customHeight="1">
      <c r="A75" s="22"/>
      <c r="B75" s="202"/>
      <c r="C75" s="315"/>
      <c r="D75" s="73"/>
      <c r="E75" s="73"/>
      <c r="F75" s="73"/>
      <c r="G75" s="73"/>
      <c r="H75" s="316"/>
      <c r="I75" s="275"/>
      <c r="J75" s="273"/>
      <c r="K75" s="275"/>
      <c r="L75" s="273"/>
      <c r="M75" s="317"/>
      <c r="N75" s="317"/>
      <c r="O75" s="270"/>
      <c r="P75" s="317"/>
      <c r="Q75" s="270"/>
      <c r="R75" s="317"/>
      <c r="S75" s="73"/>
      <c r="T75" s="73"/>
      <c r="U75" s="73"/>
      <c r="V75" s="73"/>
      <c r="W75" s="73"/>
      <c r="X75" s="316"/>
      <c r="Y75" s="275"/>
      <c r="Z75" s="273"/>
      <c r="AA75" s="275"/>
      <c r="AB75" s="273"/>
      <c r="AC75" s="317"/>
      <c r="AD75" s="317"/>
      <c r="AE75" s="270"/>
      <c r="AF75" s="317"/>
      <c r="AG75" s="270"/>
      <c r="AH75" s="317"/>
      <c r="AI75" s="276"/>
      <c r="AJ75" s="317"/>
      <c r="AK75" s="270"/>
      <c r="AL75" s="73"/>
      <c r="AM75" s="73"/>
      <c r="AN75" s="73"/>
      <c r="AO75" s="73"/>
      <c r="AP75" s="73"/>
      <c r="AQ75" s="73"/>
      <c r="AR75" s="73"/>
      <c r="AS75" s="73"/>
      <c r="AT75" s="73"/>
      <c r="AU75" s="73"/>
      <c r="AV75" s="318"/>
      <c r="AW75" s="73"/>
      <c r="AX75" s="73"/>
      <c r="AY75" s="269"/>
      <c r="AZ75" s="269"/>
      <c r="BA75" s="319"/>
      <c r="BB75" s="320"/>
      <c r="BC75" s="321"/>
      <c r="BD75" s="28"/>
    </row>
    <row r="76" spans="1:91" ht="13.5" customHeight="1">
      <c r="A76" s="22"/>
      <c r="B76" s="202">
        <v>18</v>
      </c>
      <c r="C76" s="75"/>
      <c r="D76" s="63"/>
      <c r="E76" s="63"/>
      <c r="F76" s="63"/>
      <c r="G76" s="63"/>
      <c r="H76" s="69"/>
      <c r="I76" s="69"/>
      <c r="J76" s="65"/>
      <c r="K76" s="69"/>
      <c r="L76" s="65"/>
      <c r="M76" s="69"/>
      <c r="N76" s="64"/>
      <c r="O76" s="69"/>
      <c r="P76" s="65"/>
      <c r="Q76" s="65"/>
      <c r="R76" s="65"/>
      <c r="S76" s="63"/>
      <c r="T76" s="63"/>
      <c r="U76" s="63"/>
      <c r="V76" s="63"/>
      <c r="W76" s="63"/>
      <c r="X76" s="64"/>
      <c r="Y76" s="63"/>
      <c r="Z76" s="65"/>
      <c r="AA76" s="64"/>
      <c r="AB76" s="63"/>
      <c r="AC76" s="65"/>
      <c r="AD76" s="64"/>
      <c r="AE76" s="65"/>
      <c r="AF76" s="65"/>
      <c r="AG76" s="64"/>
      <c r="AH76" s="65"/>
      <c r="AI76" s="65"/>
      <c r="AJ76" s="126"/>
      <c r="AK76" s="65"/>
      <c r="AL76" s="65"/>
      <c r="AM76" s="65"/>
      <c r="AN76" s="65"/>
      <c r="AO76" s="65"/>
      <c r="AP76" s="65"/>
      <c r="AQ76" s="65"/>
      <c r="AR76" s="65"/>
      <c r="AS76" s="65"/>
      <c r="AT76" s="65"/>
      <c r="AU76" s="65"/>
      <c r="AV76" s="65"/>
      <c r="AW76" s="65"/>
      <c r="AX76" s="65"/>
      <c r="AY76" s="63"/>
      <c r="AZ76" s="264"/>
      <c r="BA76" s="301"/>
      <c r="BB76" s="302"/>
      <c r="BC76" s="343"/>
      <c r="BD76" s="28"/>
    </row>
    <row r="77" spans="1:91" ht="13.5" customHeight="1">
      <c r="A77" s="22"/>
      <c r="B77" s="202">
        <v>20</v>
      </c>
      <c r="C77" s="204" t="s">
        <v>78</v>
      </c>
      <c r="D77" s="28"/>
      <c r="E77" s="28"/>
      <c r="F77" s="28"/>
      <c r="G77" s="28"/>
      <c r="H77" s="121"/>
      <c r="I77" s="62"/>
      <c r="J77" s="63"/>
      <c r="K77" s="62"/>
      <c r="L77" s="63"/>
      <c r="M77" s="69"/>
      <c r="N77" s="69"/>
      <c r="O77" s="65"/>
      <c r="P77" s="69"/>
      <c r="Q77" s="65"/>
      <c r="R77" s="69"/>
      <c r="S77" s="28"/>
      <c r="T77" s="28"/>
      <c r="U77" s="28"/>
      <c r="V77" s="28"/>
      <c r="W77" s="28"/>
      <c r="X77" s="121"/>
      <c r="Y77" s="62"/>
      <c r="Z77" s="63"/>
      <c r="AA77" s="62"/>
      <c r="AB77" s="63"/>
      <c r="AC77" s="69"/>
      <c r="AD77" s="69"/>
      <c r="AE77" s="65"/>
      <c r="AF77" s="69"/>
      <c r="AG77" s="65"/>
      <c r="AH77" s="69"/>
      <c r="AI77" s="64"/>
      <c r="AJ77" s="69"/>
      <c r="AK77" s="65"/>
      <c r="AL77" s="28"/>
      <c r="AM77" s="28"/>
      <c r="AN77" s="28"/>
      <c r="AO77" s="28"/>
      <c r="AP77" s="28"/>
      <c r="AQ77" s="28"/>
      <c r="AR77" s="28"/>
      <c r="AS77" s="28"/>
      <c r="AT77" s="28"/>
      <c r="AU77" s="28"/>
      <c r="AV77" s="233"/>
      <c r="AW77" s="28"/>
      <c r="AX77" s="28"/>
      <c r="AY77" s="31"/>
      <c r="AZ77" s="269"/>
      <c r="BA77" s="319"/>
      <c r="BB77" s="320"/>
      <c r="BC77" s="344"/>
      <c r="BD77" s="28"/>
    </row>
    <row r="78" spans="1:91" ht="5.15" customHeight="1">
      <c r="A78" s="22"/>
      <c r="B78" s="202"/>
      <c r="C78" s="296"/>
      <c r="D78" s="72"/>
      <c r="E78" s="72"/>
      <c r="F78" s="72"/>
      <c r="G78" s="72"/>
      <c r="H78" s="297"/>
      <c r="I78" s="278"/>
      <c r="J78" s="279"/>
      <c r="K78" s="278"/>
      <c r="L78" s="279"/>
      <c r="M78" s="298"/>
      <c r="N78" s="298"/>
      <c r="O78" s="263"/>
      <c r="P78" s="298"/>
      <c r="Q78" s="263"/>
      <c r="R78" s="298"/>
      <c r="S78" s="72"/>
      <c r="T78" s="72"/>
      <c r="U78" s="72"/>
      <c r="V78" s="72"/>
      <c r="W78" s="72"/>
      <c r="X78" s="297"/>
      <c r="Y78" s="278"/>
      <c r="Z78" s="279"/>
      <c r="AA78" s="278"/>
      <c r="AB78" s="279"/>
      <c r="AC78" s="298"/>
      <c r="AD78" s="298"/>
      <c r="AE78" s="263"/>
      <c r="AF78" s="298"/>
      <c r="AG78" s="263"/>
      <c r="AH78" s="298"/>
      <c r="AI78" s="280"/>
      <c r="AJ78" s="298"/>
      <c r="AK78" s="263"/>
      <c r="AL78" s="72"/>
      <c r="AM78" s="72"/>
      <c r="AN78" s="72"/>
      <c r="AO78" s="72"/>
      <c r="AP78" s="72"/>
      <c r="AQ78" s="72"/>
      <c r="AR78" s="72"/>
      <c r="AS78" s="72"/>
      <c r="AT78" s="72"/>
      <c r="AU78" s="72"/>
      <c r="AV78" s="300"/>
      <c r="AW78" s="72"/>
      <c r="AX78" s="72"/>
      <c r="AY78" s="264"/>
      <c r="AZ78" s="264"/>
      <c r="BA78" s="301"/>
      <c r="BB78" s="302"/>
      <c r="BC78" s="303"/>
      <c r="BD78" s="28"/>
    </row>
    <row r="79" spans="1:91" ht="13.5" customHeight="1">
      <c r="A79" s="22"/>
      <c r="B79" s="202">
        <v>21</v>
      </c>
      <c r="C79" s="304" t="s">
        <v>32</v>
      </c>
      <c r="D79" s="234" t="s">
        <v>260</v>
      </c>
      <c r="E79" s="235"/>
      <c r="F79" s="234" t="s">
        <v>64</v>
      </c>
      <c r="G79" s="235"/>
      <c r="H79" s="235"/>
      <c r="I79" s="236"/>
      <c r="J79" s="237" t="s">
        <v>34</v>
      </c>
      <c r="K79" s="238"/>
      <c r="L79" s="238"/>
      <c r="M79" s="238"/>
      <c r="N79" s="235"/>
      <c r="O79" s="236"/>
      <c r="P79" s="239" t="s">
        <v>67</v>
      </c>
      <c r="Q79" s="240"/>
      <c r="R79" s="240"/>
      <c r="S79" s="241"/>
      <c r="T79" s="239" t="s">
        <v>151</v>
      </c>
      <c r="U79" s="240"/>
      <c r="V79" s="240"/>
      <c r="W79" s="241"/>
      <c r="X79" s="234" t="s">
        <v>79</v>
      </c>
      <c r="Y79" s="235"/>
      <c r="Z79" s="235"/>
      <c r="AA79" s="236"/>
      <c r="AB79" s="234" t="s">
        <v>80</v>
      </c>
      <c r="AC79" s="235"/>
      <c r="AD79" s="235"/>
      <c r="AE79" s="235"/>
      <c r="AF79" s="239" t="s">
        <v>65</v>
      </c>
      <c r="AG79" s="240"/>
      <c r="AH79" s="240"/>
      <c r="AI79" s="240"/>
      <c r="AJ79" s="241"/>
      <c r="AK79" s="240" t="s">
        <v>210</v>
      </c>
      <c r="AL79" s="240"/>
      <c r="AM79" s="240"/>
      <c r="AN79" s="241"/>
      <c r="AO79" s="240" t="s">
        <v>162</v>
      </c>
      <c r="AP79" s="240"/>
      <c r="AQ79" s="240"/>
      <c r="AR79" s="241"/>
      <c r="AS79" s="240" t="s">
        <v>211</v>
      </c>
      <c r="AT79" s="240"/>
      <c r="AU79" s="240"/>
      <c r="AV79" s="241"/>
      <c r="AW79" s="240" t="s">
        <v>66</v>
      </c>
      <c r="AX79" s="240"/>
      <c r="AY79" s="240"/>
      <c r="AZ79" s="241"/>
      <c r="BA79" s="239" t="s">
        <v>212</v>
      </c>
      <c r="BB79" s="240"/>
      <c r="BC79" s="240"/>
      <c r="BD79" s="241"/>
      <c r="BE79" s="239" t="s">
        <v>213</v>
      </c>
      <c r="BF79" s="240"/>
      <c r="BG79" s="240"/>
      <c r="BH79" s="240"/>
      <c r="BI79" s="239" t="s">
        <v>199</v>
      </c>
      <c r="BJ79" s="240"/>
      <c r="BK79" s="240"/>
      <c r="BL79" s="241"/>
      <c r="BM79" s="239" t="s">
        <v>214</v>
      </c>
      <c r="BN79" s="240"/>
      <c r="BO79" s="240"/>
      <c r="BP79" s="241"/>
      <c r="BQ79" s="239" t="s">
        <v>215</v>
      </c>
      <c r="BR79" s="240"/>
      <c r="BS79" s="240"/>
      <c r="BT79" s="241"/>
      <c r="BU79" s="239" t="s">
        <v>83</v>
      </c>
      <c r="BV79" s="240"/>
      <c r="BW79" s="240"/>
      <c r="BX79" s="241"/>
      <c r="BY79" s="239" t="s">
        <v>84</v>
      </c>
      <c r="BZ79" s="240"/>
      <c r="CA79" s="240"/>
      <c r="CB79" s="241"/>
      <c r="CC79" s="240" t="s">
        <v>85</v>
      </c>
      <c r="CD79" s="240"/>
      <c r="CE79" s="241"/>
      <c r="CF79" s="240" t="s">
        <v>86</v>
      </c>
      <c r="CG79" s="240"/>
      <c r="CH79" s="240"/>
      <c r="CI79" s="241"/>
      <c r="CJ79" s="240" t="s">
        <v>69</v>
      </c>
      <c r="CK79" s="240"/>
      <c r="CL79" s="240"/>
      <c r="CM79" s="241"/>
    </row>
    <row r="80" spans="1:91" ht="13.5" customHeight="1">
      <c r="A80" s="22"/>
      <c r="B80" s="202">
        <v>22</v>
      </c>
      <c r="C80" s="308">
        <v>1</v>
      </c>
      <c r="D80" s="148" t="str">
        <f>N56</f>
        <v>FH</v>
      </c>
      <c r="E80" s="149"/>
      <c r="F80" s="148" t="str">
        <f>D56</f>
        <v>5802922450</v>
      </c>
      <c r="G80" s="149"/>
      <c r="H80" s="149"/>
      <c r="I80" s="151"/>
      <c r="J80" s="242" t="str">
        <f>H56</f>
        <v>FH35C-21S-0.3SHW(50)</v>
      </c>
      <c r="K80" s="150"/>
      <c r="L80" s="150"/>
      <c r="M80" s="150"/>
      <c r="N80" s="161"/>
      <c r="O80" s="162"/>
      <c r="P80" s="148" t="s">
        <v>93</v>
      </c>
      <c r="Q80" s="150"/>
      <c r="R80" s="150"/>
      <c r="S80" s="162"/>
      <c r="T80" s="148" t="str">
        <f>AE56</f>
        <v>USD</v>
      </c>
      <c r="U80" s="150"/>
      <c r="V80" s="150"/>
      <c r="W80" s="162"/>
      <c r="X80" s="958">
        <f>R56</f>
        <v>2000000</v>
      </c>
      <c r="Y80" s="959"/>
      <c r="Z80" s="959"/>
      <c r="AA80" s="960"/>
      <c r="AB80" s="998">
        <f>Z56/111</f>
        <v>4.7657657657657657E-2</v>
      </c>
      <c r="AC80" s="999"/>
      <c r="AD80" s="999"/>
      <c r="AE80" s="1000"/>
      <c r="AF80" s="998">
        <f>BC56</f>
        <v>0.11</v>
      </c>
      <c r="AG80" s="999"/>
      <c r="AH80" s="999"/>
      <c r="AI80" s="999"/>
      <c r="AJ80" s="1000"/>
      <c r="AK80" s="998">
        <f>AM56</f>
        <v>9.4E-2</v>
      </c>
      <c r="AL80" s="999"/>
      <c r="AM80" s="999"/>
      <c r="AN80" s="1000"/>
      <c r="AO80" s="998">
        <f>AI56</f>
        <v>9.2200000000000004E-2</v>
      </c>
      <c r="AP80" s="999"/>
      <c r="AQ80" s="999"/>
      <c r="AR80" s="1000"/>
      <c r="AS80" s="998">
        <f>AI56/(1-AQ56)</f>
        <v>9.3131313131313134E-2</v>
      </c>
      <c r="AT80" s="999"/>
      <c r="AU80" s="999"/>
      <c r="AV80" s="1000"/>
      <c r="AW80" s="998">
        <f>AO80-(AS80*$K$20)</f>
        <v>8.7543434343434354E-2</v>
      </c>
      <c r="AX80" s="999"/>
      <c r="AY80" s="999"/>
      <c r="AZ80" s="1000"/>
      <c r="BA80" s="952">
        <f>1-Z56/111/AW80</f>
        <v>0.4556112858138982</v>
      </c>
      <c r="BB80" s="953"/>
      <c r="BC80" s="953"/>
      <c r="BD80" s="954"/>
      <c r="BE80" s="979">
        <f>(AI56-AM56)/AM56</f>
        <v>-1.9148936170212724E-2</v>
      </c>
      <c r="BF80" s="980"/>
      <c r="BG80" s="980"/>
      <c r="BH80" s="981"/>
      <c r="BI80" s="1030">
        <f>AU56</f>
        <v>0.1012</v>
      </c>
      <c r="BJ80" s="1031"/>
      <c r="BK80" s="1031"/>
      <c r="BL80" s="1032"/>
      <c r="BM80" s="982">
        <f>1-AI56/(1-AQ56)/AU56</f>
        <v>7.9730107398091499E-2</v>
      </c>
      <c r="BN80" s="983"/>
      <c r="BO80" s="983"/>
      <c r="BP80" s="984"/>
      <c r="BQ80" s="982">
        <f>1-(Z56/111+AI56*AQ56+AS80*$K$20)/AU56</f>
        <v>0.47395036250767475</v>
      </c>
      <c r="BR80" s="983"/>
      <c r="BS80" s="983"/>
      <c r="BT80" s="984"/>
      <c r="BU80" s="1001">
        <f>AY56</f>
        <v>0.11</v>
      </c>
      <c r="BV80" s="1002"/>
      <c r="BW80" s="1002"/>
      <c r="BX80" s="1003"/>
      <c r="BY80" s="982">
        <f>1-AU56/AY56</f>
        <v>8.0000000000000071E-2</v>
      </c>
      <c r="BZ80" s="983"/>
      <c r="CA80" s="983"/>
      <c r="CB80" s="984"/>
      <c r="CC80" s="970">
        <f>BG56</f>
        <v>4.3904761904761903E-3</v>
      </c>
      <c r="CD80" s="971"/>
      <c r="CE80" s="972"/>
      <c r="CF80" s="149" t="str">
        <f>BJ56</f>
        <v>JAE</v>
      </c>
      <c r="CG80" s="150"/>
      <c r="CH80" s="150"/>
      <c r="CI80" s="152"/>
      <c r="CJ80" s="149" t="s">
        <v>30</v>
      </c>
      <c r="CK80" s="150"/>
      <c r="CL80" s="150"/>
      <c r="CM80" s="152"/>
    </row>
    <row r="81" spans="1:91" ht="13.5" customHeight="1">
      <c r="A81" s="22"/>
      <c r="B81" s="202">
        <v>23</v>
      </c>
      <c r="C81" s="308">
        <v>2</v>
      </c>
      <c r="D81" s="148" t="str">
        <f>N57</f>
        <v>FH</v>
      </c>
      <c r="E81" s="149"/>
      <c r="F81" s="148" t="str">
        <f>D57</f>
        <v>5801232050</v>
      </c>
      <c r="G81" s="149"/>
      <c r="H81" s="149"/>
      <c r="I81" s="151"/>
      <c r="J81" s="242" t="str">
        <f>H57</f>
        <v>FH34SRJ-30S-0.5SH(50)</v>
      </c>
      <c r="K81" s="150"/>
      <c r="L81" s="150"/>
      <c r="M81" s="150"/>
      <c r="N81" s="161"/>
      <c r="O81" s="162"/>
      <c r="P81" s="148" t="s">
        <v>93</v>
      </c>
      <c r="Q81" s="150"/>
      <c r="R81" s="150"/>
      <c r="S81" s="162"/>
      <c r="T81" s="148" t="str">
        <f>AE57</f>
        <v>USD</v>
      </c>
      <c r="U81" s="150"/>
      <c r="V81" s="150"/>
      <c r="W81" s="162"/>
      <c r="X81" s="958">
        <f>R57</f>
        <v>20000</v>
      </c>
      <c r="Y81" s="959"/>
      <c r="Z81" s="959"/>
      <c r="AA81" s="960"/>
      <c r="AB81" s="998">
        <f>Z57/111</f>
        <v>9.90990990990991E-2</v>
      </c>
      <c r="AC81" s="999"/>
      <c r="AD81" s="999"/>
      <c r="AE81" s="1000"/>
      <c r="AF81" s="998">
        <f>BC57</f>
        <v>0.156</v>
      </c>
      <c r="AG81" s="999"/>
      <c r="AH81" s="999"/>
      <c r="AI81" s="999"/>
      <c r="AJ81" s="1000"/>
      <c r="AK81" s="998">
        <f>AM57</f>
        <v>0.13</v>
      </c>
      <c r="AL81" s="999"/>
      <c r="AM81" s="999"/>
      <c r="AN81" s="1000"/>
      <c r="AO81" s="998">
        <f>AI57</f>
        <v>0.12970000000000001</v>
      </c>
      <c r="AP81" s="999"/>
      <c r="AQ81" s="999"/>
      <c r="AR81" s="1000"/>
      <c r="AS81" s="998">
        <f>AI57/(1-AQ57)</f>
        <v>0.13101010101010102</v>
      </c>
      <c r="AT81" s="999"/>
      <c r="AU81" s="999"/>
      <c r="AV81" s="1000"/>
      <c r="AW81" s="998">
        <f>AO81-(AS81*$K$20)</f>
        <v>0.12314949494949495</v>
      </c>
      <c r="AX81" s="999"/>
      <c r="AY81" s="999"/>
      <c r="AZ81" s="1000"/>
      <c r="BA81" s="952">
        <f>1-Z57/111/AW81</f>
        <v>0.19529431168401623</v>
      </c>
      <c r="BB81" s="953"/>
      <c r="BC81" s="953"/>
      <c r="BD81" s="954"/>
      <c r="BE81" s="979">
        <f>(AI57-AM57)/AM57</f>
        <v>-2.3076923076922671E-3</v>
      </c>
      <c r="BF81" s="980"/>
      <c r="BG81" s="980"/>
      <c r="BH81" s="981"/>
      <c r="BI81" s="1030">
        <f>AU57</f>
        <v>0.13600000000000001</v>
      </c>
      <c r="BJ81" s="1031"/>
      <c r="BK81" s="1031"/>
      <c r="BL81" s="1032"/>
      <c r="BM81" s="982">
        <f>1-AI57/(1-AQ57)/AU57</f>
        <v>3.669043374925729E-2</v>
      </c>
      <c r="BN81" s="983"/>
      <c r="BO81" s="983"/>
      <c r="BP81" s="984"/>
      <c r="BQ81" s="982">
        <f>1-(Z57/111+AI57*AQ57+AS81*$K$20)/AU57</f>
        <v>0.21362791066467535</v>
      </c>
      <c r="BR81" s="983"/>
      <c r="BS81" s="983"/>
      <c r="BT81" s="984"/>
      <c r="BU81" s="1001">
        <f>AY57</f>
        <v>0.156</v>
      </c>
      <c r="BV81" s="1002"/>
      <c r="BW81" s="1002"/>
      <c r="BX81" s="1003"/>
      <c r="BY81" s="982">
        <f>1-AU57/AY57</f>
        <v>0.12820512820512819</v>
      </c>
      <c r="BZ81" s="983"/>
      <c r="CA81" s="983"/>
      <c r="CB81" s="984"/>
      <c r="CC81" s="970">
        <f>BG57</f>
        <v>6.1761904761904766E-3</v>
      </c>
      <c r="CD81" s="971"/>
      <c r="CE81" s="972"/>
      <c r="CF81" s="149" t="str">
        <f>BJ57</f>
        <v>TE</v>
      </c>
      <c r="CG81" s="150"/>
      <c r="CH81" s="150"/>
      <c r="CI81" s="152"/>
      <c r="CJ81" s="149" t="s">
        <v>30</v>
      </c>
      <c r="CK81" s="150"/>
      <c r="CL81" s="150"/>
      <c r="CM81" s="152"/>
    </row>
    <row r="82" spans="1:91" ht="13.5" customHeight="1">
      <c r="A82" s="22"/>
      <c r="B82" s="202">
        <v>20</v>
      </c>
      <c r="C82" s="337" t="s">
        <v>281</v>
      </c>
      <c r="D82" s="28"/>
      <c r="E82" s="28"/>
      <c r="F82" s="28"/>
      <c r="G82" s="28"/>
      <c r="H82" s="121"/>
      <c r="I82" s="62"/>
      <c r="J82" s="63"/>
      <c r="K82" s="62"/>
      <c r="L82" s="63"/>
      <c r="M82" s="69"/>
      <c r="N82" s="69"/>
      <c r="O82" s="65"/>
      <c r="P82" s="69"/>
      <c r="Q82" s="65"/>
      <c r="R82" s="69"/>
      <c r="S82" s="28"/>
      <c r="T82" s="28"/>
      <c r="U82" s="28"/>
      <c r="V82" s="28"/>
      <c r="W82" s="28"/>
      <c r="X82" s="121"/>
      <c r="Y82" s="62"/>
      <c r="Z82" s="63"/>
      <c r="AA82" s="62"/>
      <c r="AB82" s="63"/>
      <c r="AC82" s="69"/>
      <c r="AD82" s="69"/>
      <c r="AE82" s="65"/>
      <c r="AF82" s="69"/>
      <c r="AG82" s="65"/>
      <c r="AH82" s="69"/>
      <c r="AI82" s="64"/>
      <c r="AJ82" s="69"/>
      <c r="AK82" s="65"/>
      <c r="AL82" s="28"/>
      <c r="AM82" s="28"/>
      <c r="AN82" s="28"/>
      <c r="AO82" s="28"/>
      <c r="AP82" s="28"/>
      <c r="AQ82" s="28"/>
      <c r="AR82" s="28"/>
      <c r="AS82" s="28"/>
      <c r="AT82" s="28"/>
      <c r="AU82" s="28"/>
      <c r="AV82" s="233"/>
      <c r="AW82" s="28"/>
      <c r="AX82" s="28"/>
      <c r="AY82" s="31"/>
      <c r="AZ82" s="95"/>
      <c r="BA82" s="92"/>
      <c r="BB82" s="329"/>
      <c r="BC82" s="338"/>
      <c r="BD82" s="37"/>
      <c r="BE82" s="37"/>
    </row>
    <row r="83" spans="1:91" ht="13.5" customHeight="1">
      <c r="A83" s="22"/>
      <c r="B83" s="202">
        <v>24</v>
      </c>
      <c r="C83" s="304"/>
      <c r="D83" s="502" t="s">
        <v>280</v>
      </c>
      <c r="E83" s="503"/>
      <c r="F83" s="504" t="s">
        <v>294</v>
      </c>
      <c r="G83" s="503"/>
      <c r="H83" s="503"/>
      <c r="I83" s="505"/>
      <c r="J83" s="504" t="s">
        <v>30</v>
      </c>
      <c r="K83" s="506"/>
      <c r="L83" s="506"/>
      <c r="M83" s="506"/>
      <c r="N83" s="503"/>
      <c r="O83" s="505"/>
      <c r="P83" s="511" t="s">
        <v>30</v>
      </c>
      <c r="Q83" s="508"/>
      <c r="R83" s="508"/>
      <c r="S83" s="509"/>
      <c r="T83" s="504" t="s">
        <v>30</v>
      </c>
      <c r="U83" s="503"/>
      <c r="V83" s="503"/>
      <c r="W83" s="505"/>
      <c r="X83" s="508" t="s">
        <v>216</v>
      </c>
      <c r="Y83" s="503"/>
      <c r="Z83" s="503"/>
      <c r="AA83" s="503"/>
      <c r="AB83" s="507" t="s">
        <v>217</v>
      </c>
      <c r="AC83" s="503"/>
      <c r="AD83" s="503"/>
      <c r="AE83" s="503"/>
      <c r="AF83" s="507" t="s">
        <v>218</v>
      </c>
      <c r="AG83" s="508"/>
      <c r="AH83" s="508"/>
      <c r="AI83" s="508"/>
      <c r="AJ83" s="509"/>
      <c r="AK83" s="507" t="s">
        <v>219</v>
      </c>
      <c r="AL83" s="508"/>
      <c r="AM83" s="508"/>
      <c r="AN83" s="509"/>
      <c r="AO83" s="507" t="s">
        <v>220</v>
      </c>
      <c r="AP83" s="508"/>
      <c r="AQ83" s="508"/>
      <c r="AR83" s="509"/>
      <c r="AS83" s="507" t="s">
        <v>221</v>
      </c>
      <c r="AT83" s="508"/>
      <c r="AU83" s="508"/>
      <c r="AV83" s="508"/>
      <c r="AW83" s="507" t="s">
        <v>101</v>
      </c>
      <c r="AX83" s="508"/>
      <c r="AY83" s="508"/>
      <c r="AZ83" s="509"/>
      <c r="BA83" s="511" t="s">
        <v>222</v>
      </c>
      <c r="BB83" s="508"/>
      <c r="BC83" s="508"/>
      <c r="BD83" s="509"/>
      <c r="BE83" s="513" t="s">
        <v>223</v>
      </c>
      <c r="BF83" s="508"/>
      <c r="BG83" s="508"/>
      <c r="BH83" s="509"/>
      <c r="BI83" s="513" t="s">
        <v>30</v>
      </c>
      <c r="BJ83" s="508"/>
      <c r="BK83" s="508"/>
      <c r="BL83" s="509"/>
      <c r="BM83" s="513" t="s">
        <v>30</v>
      </c>
      <c r="BN83" s="508"/>
      <c r="BO83" s="508"/>
      <c r="BP83" s="509"/>
      <c r="BQ83" s="513" t="s">
        <v>30</v>
      </c>
      <c r="BR83" s="508"/>
      <c r="BS83" s="508"/>
      <c r="BT83" s="509"/>
      <c r="BU83" s="513" t="s">
        <v>30</v>
      </c>
      <c r="BV83" s="508"/>
      <c r="BW83" s="508"/>
      <c r="BX83" s="509"/>
      <c r="BY83" s="508"/>
      <c r="BZ83" s="508"/>
      <c r="CA83" s="508"/>
      <c r="CB83" s="509"/>
      <c r="CC83" s="513" t="s">
        <v>30</v>
      </c>
      <c r="CD83" s="508"/>
      <c r="CE83" s="509"/>
      <c r="CF83" s="508"/>
      <c r="CG83" s="508"/>
      <c r="CH83" s="508"/>
      <c r="CI83" s="509"/>
      <c r="CJ83" s="508"/>
      <c r="CK83" s="508"/>
      <c r="CL83" s="508"/>
      <c r="CM83" s="509"/>
    </row>
    <row r="84" spans="1:91" ht="13.5" customHeight="1">
      <c r="A84" s="22"/>
      <c r="B84" s="202">
        <v>24</v>
      </c>
      <c r="C84" s="461"/>
      <c r="D84" s="517"/>
      <c r="E84" s="518"/>
      <c r="F84" s="517"/>
      <c r="G84" s="518"/>
      <c r="H84" s="518"/>
      <c r="I84" s="519"/>
      <c r="J84" s="520"/>
      <c r="K84" s="521"/>
      <c r="L84" s="521"/>
      <c r="M84" s="521"/>
      <c r="N84" s="518"/>
      <c r="O84" s="519"/>
      <c r="P84" s="522"/>
      <c r="Q84" s="523"/>
      <c r="R84" s="523"/>
      <c r="S84" s="524"/>
      <c r="T84" s="517"/>
      <c r="U84" s="518"/>
      <c r="V84" s="518"/>
      <c r="W84" s="519"/>
      <c r="X84" s="523"/>
      <c r="Y84" s="518"/>
      <c r="Z84" s="518"/>
      <c r="AA84" s="518"/>
      <c r="AB84" s="522"/>
      <c r="AC84" s="518"/>
      <c r="AD84" s="518"/>
      <c r="AE84" s="518"/>
      <c r="AF84" s="522"/>
      <c r="AG84" s="523"/>
      <c r="AH84" s="523"/>
      <c r="AI84" s="523"/>
      <c r="AJ84" s="524"/>
      <c r="AK84" s="522"/>
      <c r="AL84" s="523"/>
      <c r="AM84" s="523"/>
      <c r="AN84" s="524"/>
      <c r="AO84" s="522"/>
      <c r="AP84" s="523"/>
      <c r="AQ84" s="523"/>
      <c r="AR84" s="524"/>
      <c r="AS84" s="522"/>
      <c r="AT84" s="523"/>
      <c r="AU84" s="523"/>
      <c r="AV84" s="523"/>
      <c r="AW84" s="522" t="s">
        <v>233</v>
      </c>
      <c r="AX84" s="523"/>
      <c r="AY84" s="523"/>
      <c r="AZ84" s="524"/>
      <c r="BA84" s="525" t="s">
        <v>30</v>
      </c>
      <c r="BB84" s="523"/>
      <c r="BC84" s="523"/>
      <c r="BD84" s="524"/>
      <c r="BE84" s="526" t="s">
        <v>30</v>
      </c>
      <c r="BF84" s="523"/>
      <c r="BG84" s="523"/>
      <c r="BH84" s="524"/>
      <c r="BI84" s="526" t="s">
        <v>30</v>
      </c>
      <c r="BJ84" s="523"/>
      <c r="BK84" s="523"/>
      <c r="BL84" s="524"/>
      <c r="BM84" s="526" t="s">
        <v>30</v>
      </c>
      <c r="BN84" s="523"/>
      <c r="BO84" s="523"/>
      <c r="BP84" s="524"/>
      <c r="BQ84" s="526" t="s">
        <v>30</v>
      </c>
      <c r="BR84" s="523"/>
      <c r="BS84" s="523"/>
      <c r="BT84" s="524"/>
      <c r="BU84" s="526" t="s">
        <v>30</v>
      </c>
      <c r="BV84" s="523"/>
      <c r="BW84" s="523"/>
      <c r="BX84" s="524"/>
      <c r="BY84" s="523"/>
      <c r="BZ84" s="523"/>
      <c r="CA84" s="523"/>
      <c r="CB84" s="524"/>
      <c r="CC84" s="526" t="s">
        <v>30</v>
      </c>
      <c r="CD84" s="523"/>
      <c r="CE84" s="524"/>
      <c r="CF84" s="523"/>
      <c r="CG84" s="523"/>
      <c r="CH84" s="523"/>
      <c r="CI84" s="524"/>
      <c r="CJ84" s="523"/>
      <c r="CK84" s="523"/>
      <c r="CL84" s="523"/>
      <c r="CM84" s="524"/>
    </row>
    <row r="85" spans="1:91" ht="13.5" customHeight="1">
      <c r="A85" s="22"/>
      <c r="B85" s="202">
        <v>25</v>
      </c>
      <c r="C85" s="308">
        <v>1</v>
      </c>
      <c r="D85" s="148" t="s">
        <v>206</v>
      </c>
      <c r="E85" s="149"/>
      <c r="F85" s="148" t="s">
        <v>148</v>
      </c>
      <c r="G85" s="149"/>
      <c r="H85" s="149"/>
      <c r="I85" s="151"/>
      <c r="J85" s="221"/>
      <c r="K85" s="222"/>
      <c r="L85" s="222"/>
      <c r="M85" s="222"/>
      <c r="N85" s="161"/>
      <c r="O85" s="162"/>
      <c r="P85" s="148"/>
      <c r="Q85" s="150"/>
      <c r="R85" s="150"/>
      <c r="S85" s="162"/>
      <c r="T85" s="119"/>
      <c r="U85" s="120"/>
      <c r="V85" s="120"/>
      <c r="W85" s="162"/>
      <c r="X85" s="973">
        <f>SUMPRODUCT(X$80:AA$81,AO$80:AR$81)</f>
        <v>186994</v>
      </c>
      <c r="Y85" s="974"/>
      <c r="Z85" s="974"/>
      <c r="AA85" s="975"/>
      <c r="AB85" s="973">
        <f>SUMPRODUCT(X$80:AA$81,AB$80:AE$81)</f>
        <v>97297.297297297293</v>
      </c>
      <c r="AC85" s="974"/>
      <c r="AD85" s="974"/>
      <c r="AE85" s="975"/>
      <c r="AF85" s="949">
        <f>X$86-AB$86</f>
        <v>89696.702702702707</v>
      </c>
      <c r="AG85" s="950"/>
      <c r="AH85" s="950"/>
      <c r="AI85" s="950"/>
      <c r="AJ85" s="951"/>
      <c r="AK85" s="952">
        <f>AF85/X85</f>
        <v>0.4796769024819123</v>
      </c>
      <c r="AL85" s="953"/>
      <c r="AM85" s="953"/>
      <c r="AN85" s="954"/>
      <c r="AO85" s="952">
        <f>AS85/AW85</f>
        <v>-1.8919202518363022E-2</v>
      </c>
      <c r="AP85" s="953"/>
      <c r="AQ85" s="953"/>
      <c r="AR85" s="954"/>
      <c r="AS85" s="1026">
        <f>X$80*(AO$80-AK$80)+X$81*(AO$81-AK$81)</f>
        <v>-3605.9999999999923</v>
      </c>
      <c r="AT85" s="1027"/>
      <c r="AU85" s="1027"/>
      <c r="AV85" s="1028"/>
      <c r="AW85" s="1023">
        <f>SUMPRODUCT(X$80:AA$81,AK$80:AN$81)</f>
        <v>190600</v>
      </c>
      <c r="AX85" s="1024"/>
      <c r="AY85" s="1024"/>
      <c r="AZ85" s="1025"/>
      <c r="BA85" s="973">
        <f>SUMPRODUCT(X$80:AA$81,BI$80:BL$81)</f>
        <v>205120</v>
      </c>
      <c r="BB85" s="974"/>
      <c r="BC85" s="974"/>
      <c r="BD85" s="975"/>
      <c r="BE85" s="982">
        <f>1-(AB$91+X$80*(AO$80*AQ$56+AS$80*$K$20)+X$81*(AO$81*AQ$57+AS$81*$K$20))/BA$91</f>
        <v>0.47049834871568497</v>
      </c>
      <c r="BF85" s="983"/>
      <c r="BG85" s="983"/>
      <c r="BH85" s="984"/>
      <c r="BI85" s="149" t="s">
        <v>30</v>
      </c>
      <c r="BJ85" s="150"/>
      <c r="BK85" s="150"/>
      <c r="BL85" s="152"/>
      <c r="BM85" s="149" t="s">
        <v>30</v>
      </c>
      <c r="BN85" s="150"/>
      <c r="BO85" s="150"/>
      <c r="BP85" s="152"/>
      <c r="BQ85" s="149" t="s">
        <v>30</v>
      </c>
      <c r="BR85" s="150"/>
      <c r="BS85" s="150"/>
      <c r="BT85" s="152"/>
      <c r="BU85" s="149" t="s">
        <v>30</v>
      </c>
      <c r="BV85" s="150"/>
      <c r="BW85" s="150"/>
      <c r="BX85" s="152"/>
      <c r="BY85" s="149" t="s">
        <v>30</v>
      </c>
      <c r="BZ85" s="150"/>
      <c r="CA85" s="150"/>
      <c r="CB85" s="152"/>
      <c r="CC85" s="149" t="s">
        <v>30</v>
      </c>
      <c r="CD85" s="150"/>
      <c r="CE85" s="152"/>
      <c r="CF85" s="149" t="s">
        <v>30</v>
      </c>
      <c r="CG85" s="150"/>
      <c r="CH85" s="150"/>
      <c r="CI85" s="152"/>
      <c r="CJ85" s="149" t="s">
        <v>30</v>
      </c>
      <c r="CK85" s="150"/>
      <c r="CL85" s="150"/>
      <c r="CM85" s="152"/>
    </row>
    <row r="86" spans="1:91" ht="13.5" customHeight="1">
      <c r="A86" s="22"/>
      <c r="B86" s="202">
        <v>25</v>
      </c>
      <c r="C86" s="308">
        <v>2</v>
      </c>
      <c r="D86" s="148" t="s">
        <v>206</v>
      </c>
      <c r="E86" s="149"/>
      <c r="F86" s="148" t="s">
        <v>207</v>
      </c>
      <c r="G86" s="149"/>
      <c r="H86" s="149"/>
      <c r="I86" s="151"/>
      <c r="J86" s="221"/>
      <c r="K86" s="222"/>
      <c r="L86" s="222"/>
      <c r="M86" s="222"/>
      <c r="N86" s="161"/>
      <c r="O86" s="162"/>
      <c r="P86" s="148"/>
      <c r="Q86" s="150"/>
      <c r="R86" s="150"/>
      <c r="S86" s="162"/>
      <c r="T86" s="119"/>
      <c r="U86" s="120"/>
      <c r="V86" s="120"/>
      <c r="W86" s="162"/>
      <c r="X86" s="973">
        <f>SUMPRODUCT(X$80:AA$81,AO$80:AR$81)</f>
        <v>186994</v>
      </c>
      <c r="Y86" s="974"/>
      <c r="Z86" s="974"/>
      <c r="AA86" s="975"/>
      <c r="AB86" s="973">
        <f>SUMPRODUCT(X$80:AA$81,AB$80:AE$81)</f>
        <v>97297.297297297293</v>
      </c>
      <c r="AC86" s="974"/>
      <c r="AD86" s="974"/>
      <c r="AE86" s="975"/>
      <c r="AF86" s="949">
        <f>X$86-AB$86</f>
        <v>89696.702702702707</v>
      </c>
      <c r="AG86" s="950"/>
      <c r="AH86" s="950"/>
      <c r="AI86" s="950"/>
      <c r="AJ86" s="951"/>
      <c r="AK86" s="952">
        <f>AF86/X86</f>
        <v>0.4796769024819123</v>
      </c>
      <c r="AL86" s="953"/>
      <c r="AM86" s="953"/>
      <c r="AN86" s="954"/>
      <c r="AO86" s="952">
        <f>AS86/AW86</f>
        <v>-1.8919202518363022E-2</v>
      </c>
      <c r="AP86" s="953"/>
      <c r="AQ86" s="953"/>
      <c r="AR86" s="954"/>
      <c r="AS86" s="1026">
        <f>X$80*(AO$80-AK$80)+X$81*(AO$81-AK$81)</f>
        <v>-3605.9999999999923</v>
      </c>
      <c r="AT86" s="1027"/>
      <c r="AU86" s="1027"/>
      <c r="AV86" s="1028"/>
      <c r="AW86" s="1023">
        <f>SUMPRODUCT(X$80:AA$81,AK$80:AN$81)</f>
        <v>190600</v>
      </c>
      <c r="AX86" s="1024"/>
      <c r="AY86" s="1024"/>
      <c r="AZ86" s="1025"/>
      <c r="BA86" s="973">
        <f>SUMPRODUCT(X$80:AA$81,BI$80:BL$81)</f>
        <v>205120</v>
      </c>
      <c r="BB86" s="974"/>
      <c r="BC86" s="974"/>
      <c r="BD86" s="975"/>
      <c r="BE86" s="982">
        <f>1-(AB$91+X$80*(AO$80*AQ$56+AS$80*$K$20)+X$81*(AO$81*AQ$57+AS$81*$K$20))/BA$91</f>
        <v>0.47049834871568497</v>
      </c>
      <c r="BF86" s="983"/>
      <c r="BG86" s="983"/>
      <c r="BH86" s="984"/>
      <c r="BI86" s="149" t="s">
        <v>30</v>
      </c>
      <c r="BJ86" s="150"/>
      <c r="BK86" s="150"/>
      <c r="BL86" s="152"/>
      <c r="BM86" s="149" t="s">
        <v>30</v>
      </c>
      <c r="BN86" s="150"/>
      <c r="BO86" s="150"/>
      <c r="BP86" s="152"/>
      <c r="BQ86" s="149" t="s">
        <v>30</v>
      </c>
      <c r="BR86" s="150"/>
      <c r="BS86" s="150"/>
      <c r="BT86" s="152"/>
      <c r="BU86" s="149" t="s">
        <v>30</v>
      </c>
      <c r="BV86" s="150"/>
      <c r="BW86" s="150"/>
      <c r="BX86" s="152"/>
      <c r="BY86" s="149" t="s">
        <v>30</v>
      </c>
      <c r="BZ86" s="150"/>
      <c r="CA86" s="150"/>
      <c r="CB86" s="152"/>
      <c r="CC86" s="149" t="s">
        <v>30</v>
      </c>
      <c r="CD86" s="150"/>
      <c r="CE86" s="152"/>
      <c r="CF86" s="149" t="s">
        <v>30</v>
      </c>
      <c r="CG86" s="150"/>
      <c r="CH86" s="150"/>
      <c r="CI86" s="152"/>
      <c r="CJ86" s="149" t="s">
        <v>30</v>
      </c>
      <c r="CK86" s="150"/>
      <c r="CL86" s="150"/>
      <c r="CM86" s="152"/>
    </row>
    <row r="87" spans="1:91" ht="13.5" customHeight="1">
      <c r="A87" s="22"/>
      <c r="B87" s="202">
        <v>20</v>
      </c>
      <c r="C87" s="337" t="s">
        <v>279</v>
      </c>
      <c r="D87" s="28"/>
      <c r="E87" s="28"/>
      <c r="F87" s="28"/>
      <c r="G87" s="28"/>
      <c r="H87" s="121"/>
      <c r="I87" s="62"/>
      <c r="J87" s="63"/>
      <c r="K87" s="62"/>
      <c r="L87" s="63"/>
      <c r="M87" s="69"/>
      <c r="N87" s="69"/>
      <c r="O87" s="65"/>
      <c r="P87" s="69"/>
      <c r="Q87" s="65"/>
      <c r="R87" s="69"/>
      <c r="S87" s="28"/>
      <c r="T87" s="28"/>
      <c r="U87" s="28"/>
      <c r="V87" s="28"/>
      <c r="W87" s="28"/>
      <c r="X87" s="121"/>
      <c r="Y87" s="62"/>
      <c r="Z87" s="63"/>
      <c r="AA87" s="62"/>
      <c r="AB87" s="63"/>
      <c r="AC87" s="69"/>
      <c r="AD87" s="69"/>
      <c r="AE87" s="65"/>
      <c r="AF87" s="69"/>
      <c r="AG87" s="65"/>
      <c r="AH87" s="69"/>
      <c r="AI87" s="64"/>
      <c r="AJ87" s="69"/>
      <c r="AK87" s="65"/>
      <c r="AL87" s="28"/>
      <c r="AM87" s="28"/>
      <c r="AN87" s="28"/>
      <c r="AO87" s="28"/>
      <c r="AP87" s="28"/>
      <c r="AQ87" s="28"/>
      <c r="AR87" s="28"/>
      <c r="AS87" s="28"/>
      <c r="AT87" s="28"/>
      <c r="AU87" s="28"/>
      <c r="AV87" s="233"/>
      <c r="AW87" s="28"/>
      <c r="AX87" s="28"/>
      <c r="AY87" s="31"/>
      <c r="AZ87" s="95"/>
      <c r="BA87" s="92"/>
      <c r="BB87" s="329"/>
      <c r="BC87" s="338"/>
      <c r="BD87" s="37"/>
      <c r="BE87" s="37"/>
    </row>
    <row r="88" spans="1:91" ht="13.5" customHeight="1">
      <c r="A88" s="22"/>
      <c r="B88" s="202">
        <v>24</v>
      </c>
      <c r="C88" s="304"/>
      <c r="D88" s="243"/>
      <c r="E88" s="244"/>
      <c r="F88" s="243" t="s">
        <v>295</v>
      </c>
      <c r="G88" s="244"/>
      <c r="H88" s="244"/>
      <c r="I88" s="245"/>
      <c r="J88" s="246" t="s">
        <v>30</v>
      </c>
      <c r="K88" s="247"/>
      <c r="L88" s="247"/>
      <c r="M88" s="247"/>
      <c r="N88" s="244"/>
      <c r="O88" s="245"/>
      <c r="P88" s="253" t="s">
        <v>30</v>
      </c>
      <c r="Q88" s="249"/>
      <c r="R88" s="249"/>
      <c r="S88" s="250"/>
      <c r="T88" s="243"/>
      <c r="U88" s="244"/>
      <c r="V88" s="244"/>
      <c r="W88" s="245"/>
      <c r="X88" s="249" t="s">
        <v>216</v>
      </c>
      <c r="Y88" s="244"/>
      <c r="Z88" s="244"/>
      <c r="AA88" s="244"/>
      <c r="AB88" s="248" t="s">
        <v>217</v>
      </c>
      <c r="AC88" s="244"/>
      <c r="AD88" s="244"/>
      <c r="AE88" s="244"/>
      <c r="AF88" s="248" t="s">
        <v>218</v>
      </c>
      <c r="AG88" s="249"/>
      <c r="AH88" s="249"/>
      <c r="AI88" s="249"/>
      <c r="AJ88" s="250"/>
      <c r="AK88" s="248" t="s">
        <v>219</v>
      </c>
      <c r="AL88" s="249"/>
      <c r="AM88" s="249"/>
      <c r="AN88" s="250"/>
      <c r="AO88" s="248" t="s">
        <v>220</v>
      </c>
      <c r="AP88" s="249"/>
      <c r="AQ88" s="249"/>
      <c r="AR88" s="250"/>
      <c r="AS88" s="248" t="s">
        <v>221</v>
      </c>
      <c r="AT88" s="249"/>
      <c r="AU88" s="249"/>
      <c r="AV88" s="249"/>
      <c r="AW88" s="248" t="s">
        <v>101</v>
      </c>
      <c r="AX88" s="249"/>
      <c r="AY88" s="249"/>
      <c r="AZ88" s="250"/>
      <c r="BA88" s="253" t="s">
        <v>222</v>
      </c>
      <c r="BB88" s="249"/>
      <c r="BC88" s="249"/>
      <c r="BD88" s="250"/>
      <c r="BE88" s="251" t="s">
        <v>223</v>
      </c>
      <c r="BF88" s="249"/>
      <c r="BG88" s="249"/>
      <c r="BH88" s="250"/>
      <c r="BI88" s="251" t="s">
        <v>30</v>
      </c>
      <c r="BJ88" s="249"/>
      <c r="BK88" s="249"/>
      <c r="BL88" s="250"/>
      <c r="BM88" s="251" t="s">
        <v>30</v>
      </c>
      <c r="BN88" s="249"/>
      <c r="BO88" s="249"/>
      <c r="BP88" s="250"/>
      <c r="BQ88" s="251" t="s">
        <v>30</v>
      </c>
      <c r="BR88" s="249"/>
      <c r="BS88" s="249"/>
      <c r="BT88" s="250"/>
      <c r="BU88" s="251" t="s">
        <v>30</v>
      </c>
      <c r="BV88" s="249"/>
      <c r="BW88" s="249"/>
      <c r="BX88" s="250"/>
      <c r="BY88" s="249"/>
      <c r="BZ88" s="249"/>
      <c r="CA88" s="249"/>
      <c r="CB88" s="250"/>
      <c r="CC88" s="251" t="s">
        <v>30</v>
      </c>
      <c r="CD88" s="249"/>
      <c r="CE88" s="250"/>
      <c r="CF88" s="249"/>
      <c r="CG88" s="249"/>
      <c r="CH88" s="249"/>
      <c r="CI88" s="250"/>
      <c r="CJ88" s="249"/>
      <c r="CK88" s="249"/>
      <c r="CL88" s="249"/>
      <c r="CM88" s="250"/>
    </row>
    <row r="89" spans="1:91" ht="13.5" customHeight="1">
      <c r="A89" s="22"/>
      <c r="B89" s="202">
        <v>24</v>
      </c>
      <c r="C89" s="461"/>
      <c r="D89" s="462"/>
      <c r="E89" s="463"/>
      <c r="F89" s="462"/>
      <c r="G89" s="463"/>
      <c r="H89" s="463"/>
      <c r="I89" s="464"/>
      <c r="J89" s="465"/>
      <c r="K89" s="466"/>
      <c r="L89" s="466"/>
      <c r="M89" s="466"/>
      <c r="N89" s="463"/>
      <c r="O89" s="464"/>
      <c r="P89" s="467"/>
      <c r="Q89" s="458"/>
      <c r="R89" s="458"/>
      <c r="S89" s="459"/>
      <c r="T89" s="462"/>
      <c r="U89" s="463"/>
      <c r="V89" s="463"/>
      <c r="W89" s="464"/>
      <c r="X89" s="458"/>
      <c r="Y89" s="463"/>
      <c r="Z89" s="463"/>
      <c r="AA89" s="463"/>
      <c r="AB89" s="467"/>
      <c r="AC89" s="463"/>
      <c r="AD89" s="463"/>
      <c r="AE89" s="463"/>
      <c r="AF89" s="467"/>
      <c r="AG89" s="458"/>
      <c r="AH89" s="458"/>
      <c r="AI89" s="458"/>
      <c r="AJ89" s="459"/>
      <c r="AK89" s="467"/>
      <c r="AL89" s="458"/>
      <c r="AM89" s="458"/>
      <c r="AN89" s="459"/>
      <c r="AO89" s="467"/>
      <c r="AP89" s="458"/>
      <c r="AQ89" s="458"/>
      <c r="AR89" s="459"/>
      <c r="AS89" s="467"/>
      <c r="AT89" s="458"/>
      <c r="AU89" s="458"/>
      <c r="AV89" s="458"/>
      <c r="AW89" s="467" t="s">
        <v>233</v>
      </c>
      <c r="AX89" s="458"/>
      <c r="AY89" s="458"/>
      <c r="AZ89" s="459"/>
      <c r="BA89" s="457" t="s">
        <v>30</v>
      </c>
      <c r="BB89" s="458"/>
      <c r="BC89" s="458"/>
      <c r="BD89" s="459"/>
      <c r="BE89" s="460" t="s">
        <v>30</v>
      </c>
      <c r="BF89" s="458"/>
      <c r="BG89" s="458"/>
      <c r="BH89" s="459"/>
      <c r="BI89" s="460" t="s">
        <v>30</v>
      </c>
      <c r="BJ89" s="458"/>
      <c r="BK89" s="458"/>
      <c r="BL89" s="459"/>
      <c r="BM89" s="460" t="s">
        <v>30</v>
      </c>
      <c r="BN89" s="458"/>
      <c r="BO89" s="458"/>
      <c r="BP89" s="459"/>
      <c r="BQ89" s="460" t="s">
        <v>30</v>
      </c>
      <c r="BR89" s="458"/>
      <c r="BS89" s="458"/>
      <c r="BT89" s="459"/>
      <c r="BU89" s="460" t="s">
        <v>30</v>
      </c>
      <c r="BV89" s="458"/>
      <c r="BW89" s="458"/>
      <c r="BX89" s="459"/>
      <c r="BY89" s="458"/>
      <c r="BZ89" s="458"/>
      <c r="CA89" s="458"/>
      <c r="CB89" s="459"/>
      <c r="CC89" s="460" t="s">
        <v>30</v>
      </c>
      <c r="CD89" s="458"/>
      <c r="CE89" s="459"/>
      <c r="CF89" s="458"/>
      <c r="CG89" s="458"/>
      <c r="CH89" s="458"/>
      <c r="CI89" s="459"/>
      <c r="CJ89" s="458"/>
      <c r="CK89" s="458"/>
      <c r="CL89" s="458"/>
      <c r="CM89" s="459"/>
    </row>
    <row r="90" spans="1:91" ht="13.5" customHeight="1">
      <c r="A90" s="22"/>
      <c r="B90" s="202">
        <v>25</v>
      </c>
      <c r="C90" s="308"/>
      <c r="D90" s="148"/>
      <c r="E90" s="149"/>
      <c r="F90" s="148" t="s">
        <v>148</v>
      </c>
      <c r="G90" s="149"/>
      <c r="H90" s="149"/>
      <c r="I90" s="151"/>
      <c r="J90" s="221"/>
      <c r="K90" s="222"/>
      <c r="L90" s="222"/>
      <c r="M90" s="222"/>
      <c r="N90" s="161"/>
      <c r="O90" s="162"/>
      <c r="P90" s="148"/>
      <c r="Q90" s="150"/>
      <c r="R90" s="150"/>
      <c r="S90" s="162"/>
      <c r="T90" s="119"/>
      <c r="U90" s="120"/>
      <c r="V90" s="120"/>
      <c r="W90" s="162"/>
      <c r="X90" s="973">
        <f>SUMPRODUCT(X$80:AA$81,AO$80:AR$81)</f>
        <v>186994</v>
      </c>
      <c r="Y90" s="974"/>
      <c r="Z90" s="974"/>
      <c r="AA90" s="975"/>
      <c r="AB90" s="973">
        <f>SUMPRODUCT(X$80:AA$81,AB$80:AE$81)</f>
        <v>97297.297297297293</v>
      </c>
      <c r="AC90" s="974"/>
      <c r="AD90" s="974"/>
      <c r="AE90" s="975"/>
      <c r="AF90" s="949">
        <f>X$91-AB$91</f>
        <v>89696.702702702707</v>
      </c>
      <c r="AG90" s="950"/>
      <c r="AH90" s="950"/>
      <c r="AI90" s="950"/>
      <c r="AJ90" s="951"/>
      <c r="AK90" s="952">
        <f>AF90/X90</f>
        <v>0.4796769024819123</v>
      </c>
      <c r="AL90" s="953"/>
      <c r="AM90" s="953"/>
      <c r="AN90" s="954"/>
      <c r="AO90" s="952">
        <f>AS90/AW90</f>
        <v>-1.8919202518363022E-2</v>
      </c>
      <c r="AP90" s="953"/>
      <c r="AQ90" s="953"/>
      <c r="AR90" s="954"/>
      <c r="AS90" s="1026">
        <f>X$80*(AO$80-AK$80)+X$81*(AO$81-AK$81)</f>
        <v>-3605.9999999999923</v>
      </c>
      <c r="AT90" s="1027"/>
      <c r="AU90" s="1027"/>
      <c r="AV90" s="1028"/>
      <c r="AW90" s="1023">
        <f>SUMPRODUCT(X$80:AA$81,AK$80:AN$81)</f>
        <v>190600</v>
      </c>
      <c r="AX90" s="1024"/>
      <c r="AY90" s="1024"/>
      <c r="AZ90" s="1025"/>
      <c r="BA90" s="973">
        <f>SUMPRODUCT(X$80:AA$81,BI$80:BL$81)</f>
        <v>205120</v>
      </c>
      <c r="BB90" s="974"/>
      <c r="BC90" s="974"/>
      <c r="BD90" s="975"/>
      <c r="BE90" s="982">
        <f>1-(AB$91+X$80*(AO$80*AQ$56+AS$80*$K$20)+X$81*(AO$81*AQ$57+AS$81*$K$20))/BA$91</f>
        <v>0.47049834871568497</v>
      </c>
      <c r="BF90" s="983"/>
      <c r="BG90" s="983"/>
      <c r="BH90" s="984"/>
      <c r="BI90" s="149" t="s">
        <v>30</v>
      </c>
      <c r="BJ90" s="150"/>
      <c r="BK90" s="150"/>
      <c r="BL90" s="152"/>
      <c r="BM90" s="149" t="s">
        <v>30</v>
      </c>
      <c r="BN90" s="150"/>
      <c r="BO90" s="150"/>
      <c r="BP90" s="152"/>
      <c r="BQ90" s="149" t="s">
        <v>30</v>
      </c>
      <c r="BR90" s="150"/>
      <c r="BS90" s="150"/>
      <c r="BT90" s="152"/>
      <c r="BU90" s="149" t="s">
        <v>30</v>
      </c>
      <c r="BV90" s="150"/>
      <c r="BW90" s="150"/>
      <c r="BX90" s="152"/>
      <c r="BY90" s="149" t="s">
        <v>30</v>
      </c>
      <c r="BZ90" s="150"/>
      <c r="CA90" s="150"/>
      <c r="CB90" s="152"/>
      <c r="CC90" s="149" t="s">
        <v>30</v>
      </c>
      <c r="CD90" s="150"/>
      <c r="CE90" s="152"/>
      <c r="CF90" s="149" t="s">
        <v>30</v>
      </c>
      <c r="CG90" s="150"/>
      <c r="CH90" s="150"/>
      <c r="CI90" s="152"/>
      <c r="CJ90" s="149" t="s">
        <v>30</v>
      </c>
      <c r="CK90" s="150"/>
      <c r="CL90" s="150"/>
      <c r="CM90" s="152"/>
    </row>
    <row r="91" spans="1:91" ht="13.5" customHeight="1">
      <c r="A91" s="22"/>
      <c r="B91" s="202">
        <v>25</v>
      </c>
      <c r="C91" s="308"/>
      <c r="D91" s="148"/>
      <c r="E91" s="149"/>
      <c r="F91" s="148" t="s">
        <v>207</v>
      </c>
      <c r="G91" s="149"/>
      <c r="H91" s="149"/>
      <c r="I91" s="151"/>
      <c r="J91" s="221"/>
      <c r="K91" s="222"/>
      <c r="L91" s="222"/>
      <c r="M91" s="222"/>
      <c r="N91" s="161"/>
      <c r="O91" s="162"/>
      <c r="P91" s="148"/>
      <c r="Q91" s="150"/>
      <c r="R91" s="150"/>
      <c r="S91" s="162"/>
      <c r="T91" s="119"/>
      <c r="U91" s="120"/>
      <c r="V91" s="120"/>
      <c r="W91" s="162"/>
      <c r="X91" s="973">
        <f>SUMPRODUCT(X$80:AA$81,AO$80:AR$81)</f>
        <v>186994</v>
      </c>
      <c r="Y91" s="974"/>
      <c r="Z91" s="974"/>
      <c r="AA91" s="975"/>
      <c r="AB91" s="973">
        <f>SUMPRODUCT(X$80:AA$81,AB$80:AE$81)</f>
        <v>97297.297297297293</v>
      </c>
      <c r="AC91" s="974"/>
      <c r="AD91" s="974"/>
      <c r="AE91" s="975"/>
      <c r="AF91" s="949">
        <f>X$91-AB$91</f>
        <v>89696.702702702707</v>
      </c>
      <c r="AG91" s="950"/>
      <c r="AH91" s="950"/>
      <c r="AI91" s="950"/>
      <c r="AJ91" s="951"/>
      <c r="AK91" s="952">
        <f>AF91/X91</f>
        <v>0.4796769024819123</v>
      </c>
      <c r="AL91" s="953"/>
      <c r="AM91" s="953"/>
      <c r="AN91" s="954"/>
      <c r="AO91" s="952">
        <f>AS91/AW91</f>
        <v>-1.8919202518363022E-2</v>
      </c>
      <c r="AP91" s="953"/>
      <c r="AQ91" s="953"/>
      <c r="AR91" s="954"/>
      <c r="AS91" s="1026">
        <f>X$80*(AO$80-AK$80)+X$81*(AO$81-AK$81)</f>
        <v>-3605.9999999999923</v>
      </c>
      <c r="AT91" s="1027"/>
      <c r="AU91" s="1027"/>
      <c r="AV91" s="1028"/>
      <c r="AW91" s="1023">
        <f>SUMPRODUCT(X$80:AA$81,AK$80:AN$81)</f>
        <v>190600</v>
      </c>
      <c r="AX91" s="1024"/>
      <c r="AY91" s="1024"/>
      <c r="AZ91" s="1025"/>
      <c r="BA91" s="973">
        <f>SUMPRODUCT(X$80:AA$81,BI$80:BL$81)</f>
        <v>205120</v>
      </c>
      <c r="BB91" s="974"/>
      <c r="BC91" s="974"/>
      <c r="BD91" s="975"/>
      <c r="BE91" s="982">
        <f>1-(AB$91+X$80*(AO$80*AQ$56+AS$80*$K$20)+X$81*(AO$81*AQ$57+AS$81*$K$20))/BA$91</f>
        <v>0.47049834871568497</v>
      </c>
      <c r="BF91" s="983"/>
      <c r="BG91" s="983"/>
      <c r="BH91" s="984"/>
      <c r="BI91" s="149" t="s">
        <v>30</v>
      </c>
      <c r="BJ91" s="150"/>
      <c r="BK91" s="150"/>
      <c r="BL91" s="152"/>
      <c r="BM91" s="149" t="s">
        <v>30</v>
      </c>
      <c r="BN91" s="150"/>
      <c r="BO91" s="150"/>
      <c r="BP91" s="152"/>
      <c r="BQ91" s="149" t="s">
        <v>30</v>
      </c>
      <c r="BR91" s="150"/>
      <c r="BS91" s="150"/>
      <c r="BT91" s="152"/>
      <c r="BU91" s="149" t="s">
        <v>30</v>
      </c>
      <c r="BV91" s="150"/>
      <c r="BW91" s="150"/>
      <c r="BX91" s="152"/>
      <c r="BY91" s="149" t="s">
        <v>30</v>
      </c>
      <c r="BZ91" s="150"/>
      <c r="CA91" s="150"/>
      <c r="CB91" s="152"/>
      <c r="CC91" s="149" t="s">
        <v>30</v>
      </c>
      <c r="CD91" s="150"/>
      <c r="CE91" s="152"/>
      <c r="CF91" s="149" t="s">
        <v>30</v>
      </c>
      <c r="CG91" s="150"/>
      <c r="CH91" s="150"/>
      <c r="CI91" s="152"/>
      <c r="CJ91" s="149" t="s">
        <v>30</v>
      </c>
      <c r="CK91" s="150"/>
      <c r="CL91" s="150"/>
      <c r="CM91" s="152"/>
    </row>
    <row r="92" spans="1:91" ht="13.5" customHeight="1">
      <c r="A92" s="22"/>
      <c r="B92" s="202">
        <v>28</v>
      </c>
      <c r="C92" s="341"/>
      <c r="D92" s="71"/>
      <c r="E92" s="71"/>
      <c r="F92" s="71"/>
      <c r="G92" s="71"/>
      <c r="H92" s="71"/>
      <c r="I92" s="71"/>
      <c r="J92" s="71"/>
      <c r="K92" s="68"/>
      <c r="L92" s="68"/>
      <c r="M92" s="68"/>
      <c r="N92" s="91"/>
      <c r="O92" s="68"/>
      <c r="P92" s="68"/>
      <c r="Q92" s="68"/>
      <c r="R92" s="68"/>
      <c r="S92" s="68"/>
      <c r="T92" s="68"/>
      <c r="U92" s="68"/>
      <c r="V92" s="68"/>
      <c r="W92" s="91"/>
      <c r="X92" s="68"/>
      <c r="Y92" s="68"/>
      <c r="Z92" s="68"/>
      <c r="AA92" s="68"/>
      <c r="AB92" s="68"/>
      <c r="AC92" s="68"/>
      <c r="AD92" s="68"/>
      <c r="AE92" s="68"/>
      <c r="AF92" s="68"/>
      <c r="AG92" s="68"/>
      <c r="AH92" s="68"/>
      <c r="AI92" s="68"/>
      <c r="AJ92" s="68"/>
      <c r="AK92" s="68"/>
      <c r="AL92" s="68"/>
      <c r="AM92" s="65"/>
      <c r="AN92" s="65"/>
      <c r="AO92" s="65"/>
      <c r="AP92" s="65"/>
      <c r="AQ92" s="65"/>
      <c r="AR92" s="65"/>
      <c r="AS92" s="65"/>
      <c r="AT92" s="35"/>
      <c r="AU92" s="65"/>
      <c r="AV92" s="65"/>
      <c r="AW92" s="65"/>
      <c r="AX92" s="65"/>
      <c r="AY92" s="65"/>
      <c r="AZ92" s="31"/>
      <c r="BA92" s="30"/>
      <c r="BB92" s="175"/>
      <c r="BC92" s="345"/>
      <c r="BD92" s="28"/>
      <c r="BG92" s="24"/>
      <c r="BH92" s="28"/>
    </row>
    <row r="93" spans="1:91" ht="13.5" customHeight="1">
      <c r="A93" s="22"/>
      <c r="B93" s="202">
        <v>29</v>
      </c>
      <c r="C93" s="342"/>
      <c r="D93" s="332"/>
      <c r="E93" s="65"/>
      <c r="F93" s="65"/>
      <c r="G93" s="65"/>
      <c r="H93" s="65"/>
      <c r="I93" s="65"/>
      <c r="J93" s="964"/>
      <c r="K93" s="965"/>
      <c r="L93" s="965"/>
      <c r="M93" s="965"/>
      <c r="N93"/>
      <c r="O93"/>
      <c r="P93"/>
      <c r="Q93"/>
      <c r="R93"/>
      <c r="S93"/>
      <c r="T93"/>
      <c r="U93"/>
      <c r="V93"/>
      <c r="W93" s="65"/>
      <c r="X93" s="65"/>
      <c r="Y93" s="65"/>
      <c r="Z93" s="65"/>
      <c r="AA93" s="65"/>
      <c r="AB93" s="65"/>
      <c r="AC93" s="65"/>
      <c r="AD93" s="65"/>
      <c r="AE93" s="65"/>
      <c r="AF93" s="65"/>
      <c r="AG93" s="65"/>
      <c r="AH93" s="65"/>
      <c r="AI93" s="65"/>
      <c r="AJ93" s="65"/>
      <c r="AK93" s="65"/>
      <c r="AL93" s="65"/>
      <c r="AM93" s="198"/>
      <c r="AN93" s="198"/>
      <c r="AO93" s="198"/>
      <c r="AP93" s="198"/>
      <c r="AQ93" s="198"/>
      <c r="AR93" s="198"/>
      <c r="AS93" s="254"/>
      <c r="AT93" s="35"/>
      <c r="AU93" s="35"/>
      <c r="AV93" s="254"/>
      <c r="AW93" s="198"/>
      <c r="AX93" s="198"/>
      <c r="AY93" s="198"/>
      <c r="AZ93" s="31"/>
      <c r="BA93" s="30"/>
      <c r="BB93" s="175"/>
      <c r="BC93" s="345"/>
      <c r="BD93" s="28"/>
      <c r="BG93" s="24"/>
      <c r="BH93" s="28"/>
    </row>
    <row r="94" spans="1:91" ht="13.5" customHeight="1">
      <c r="A94" s="22"/>
      <c r="B94" s="202"/>
      <c r="C94" s="393" t="s">
        <v>174</v>
      </c>
      <c r="D94" s="28"/>
      <c r="E94" s="28"/>
      <c r="F94" s="28"/>
      <c r="G94" s="28"/>
      <c r="H94" s="24"/>
      <c r="I94" s="24"/>
      <c r="J94" s="24"/>
      <c r="K94" s="24"/>
      <c r="L94" s="24"/>
      <c r="M94" s="127"/>
      <c r="N94" s="75"/>
      <c r="O94" s="84"/>
      <c r="P94" s="84"/>
      <c r="Q94" s="85"/>
      <c r="R94" s="75"/>
      <c r="S94" s="75"/>
      <c r="T94" s="75"/>
      <c r="U94" s="84"/>
      <c r="V94" s="85"/>
      <c r="W94" s="75"/>
      <c r="X94" s="65"/>
      <c r="Y94" s="28"/>
      <c r="Z94" s="233" t="s">
        <v>72</v>
      </c>
      <c r="AA94" s="65"/>
      <c r="AB94" s="65"/>
      <c r="AC94" s="65"/>
      <c r="AD94" s="65"/>
      <c r="AE94" s="65"/>
      <c r="AF94" s="65"/>
      <c r="AG94" s="65"/>
      <c r="AH94" s="65"/>
      <c r="AI94" s="65"/>
      <c r="AJ94" s="65"/>
      <c r="AK94" s="65"/>
      <c r="AL94" s="65"/>
      <c r="AM94" s="198"/>
      <c r="AN94" s="198"/>
      <c r="AO94" s="198"/>
      <c r="AP94" s="198"/>
      <c r="AQ94" s="198"/>
      <c r="AR94" s="198"/>
      <c r="AS94" s="254"/>
      <c r="AT94" s="35"/>
      <c r="AU94" s="35"/>
      <c r="AV94" s="254"/>
      <c r="AW94" s="198"/>
      <c r="AX94" s="198"/>
      <c r="AY94" s="198"/>
      <c r="AZ94" s="31"/>
      <c r="BA94" s="30"/>
      <c r="BB94" s="175"/>
      <c r="BC94" s="345"/>
      <c r="BD94" s="28"/>
      <c r="BG94" s="24"/>
      <c r="BH94" s="28"/>
    </row>
    <row r="95" spans="1:91" ht="13.5" customHeight="1">
      <c r="A95" s="22"/>
      <c r="B95" s="202"/>
      <c r="C95" s="402" t="s">
        <v>32</v>
      </c>
      <c r="D95" s="403" t="s">
        <v>175</v>
      </c>
      <c r="E95" s="404"/>
      <c r="F95" s="404"/>
      <c r="G95" s="405"/>
      <c r="H95" s="406" t="s">
        <v>176</v>
      </c>
      <c r="I95" s="407"/>
      <c r="J95" s="407"/>
      <c r="K95" s="407"/>
      <c r="L95" s="404"/>
      <c r="M95" s="405"/>
      <c r="N95" s="403" t="s">
        <v>177</v>
      </c>
      <c r="O95" s="404"/>
      <c r="P95" s="404"/>
      <c r="Q95" s="404"/>
      <c r="R95" s="404"/>
      <c r="S95" s="405"/>
      <c r="T95" s="403" t="s">
        <v>178</v>
      </c>
      <c r="U95" s="404"/>
      <c r="V95" s="404"/>
      <c r="W95" s="404"/>
      <c r="X95" s="404"/>
      <c r="Y95" s="404"/>
      <c r="Z95" s="408" t="s">
        <v>179</v>
      </c>
      <c r="AA95" s="409"/>
      <c r="AB95" s="409"/>
      <c r="AC95" s="410"/>
      <c r="AD95" s="65"/>
      <c r="AE95" s="65"/>
      <c r="AF95" s="65"/>
      <c r="AG95" s="65"/>
      <c r="AH95" s="65"/>
      <c r="AI95" s="65"/>
      <c r="AJ95" s="65"/>
      <c r="AK95" s="65"/>
      <c r="AL95" s="65"/>
      <c r="AM95" s="198"/>
      <c r="AN95" s="198"/>
      <c r="AO95" s="198"/>
      <c r="AP95" s="198"/>
      <c r="AQ95" s="198"/>
      <c r="AR95" s="198"/>
      <c r="AS95" s="254"/>
      <c r="AT95" s="35"/>
      <c r="AU95" s="35"/>
      <c r="AV95" s="254"/>
      <c r="AW95" s="198"/>
      <c r="AX95" s="198"/>
      <c r="AY95" s="198"/>
      <c r="AZ95" s="31"/>
      <c r="BA95" s="30"/>
      <c r="BB95" s="175"/>
      <c r="BC95" s="345"/>
      <c r="BD95" s="28"/>
      <c r="BG95" s="24"/>
      <c r="BH95" s="28"/>
    </row>
    <row r="96" spans="1:91" ht="13.5" customHeight="1">
      <c r="A96" s="22"/>
      <c r="B96" s="202"/>
      <c r="C96" s="419">
        <v>1</v>
      </c>
      <c r="D96" s="427" t="s">
        <v>261</v>
      </c>
      <c r="E96" s="428"/>
      <c r="F96" s="428"/>
      <c r="G96" s="429"/>
      <c r="H96" s="420" t="s">
        <v>192</v>
      </c>
      <c r="I96" s="117"/>
      <c r="J96" s="117"/>
      <c r="K96" s="117"/>
      <c r="L96" s="421"/>
      <c r="M96" s="422"/>
      <c r="N96" s="1014">
        <v>5000</v>
      </c>
      <c r="O96" s="1015"/>
      <c r="P96" s="1015"/>
      <c r="Q96" s="1015"/>
      <c r="R96" s="1015"/>
      <c r="S96" s="1016"/>
      <c r="T96" s="1014">
        <v>5000</v>
      </c>
      <c r="U96" s="1017"/>
      <c r="V96" s="1017"/>
      <c r="W96" s="1017"/>
      <c r="X96" s="1017"/>
      <c r="Y96" s="1018"/>
      <c r="Z96" s="1011">
        <v>10</v>
      </c>
      <c r="AA96" s="1012"/>
      <c r="AB96" s="1012"/>
      <c r="AC96" s="1013"/>
      <c r="AD96" s="65"/>
      <c r="AE96" s="65"/>
      <c r="AF96" s="65"/>
      <c r="AG96" s="65"/>
      <c r="AH96" s="65"/>
      <c r="AI96" s="65"/>
      <c r="AJ96" s="65"/>
      <c r="AK96" s="65"/>
      <c r="AL96" s="65"/>
      <c r="AM96" s="198"/>
      <c r="AN96" s="198"/>
      <c r="AO96" s="198"/>
      <c r="AP96" s="198"/>
      <c r="AQ96" s="198"/>
      <c r="AR96" s="198"/>
      <c r="AS96" s="254"/>
      <c r="AT96" s="35"/>
      <c r="AU96" s="35"/>
      <c r="AV96" s="254"/>
      <c r="AW96" s="198"/>
      <c r="AX96" s="198"/>
      <c r="AY96" s="198"/>
      <c r="AZ96" s="31"/>
      <c r="BA96" s="30"/>
      <c r="BB96" s="175"/>
      <c r="BC96" s="345"/>
      <c r="BD96" s="28"/>
      <c r="BG96" s="24"/>
      <c r="BH96" s="28"/>
    </row>
    <row r="97" spans="1:60" ht="13.5" customHeight="1">
      <c r="A97" s="22"/>
      <c r="B97" s="202"/>
      <c r="C97" s="419"/>
      <c r="D97" s="427"/>
      <c r="E97" s="428"/>
      <c r="F97" s="428"/>
      <c r="G97" s="429"/>
      <c r="H97" s="420"/>
      <c r="I97" s="117"/>
      <c r="J97" s="117"/>
      <c r="K97" s="117"/>
      <c r="L97" s="421"/>
      <c r="M97" s="422"/>
      <c r="N97" s="1014">
        <v>5000</v>
      </c>
      <c r="O97" s="1015"/>
      <c r="P97" s="1015"/>
      <c r="Q97" s="1015"/>
      <c r="R97" s="1015"/>
      <c r="S97" s="1016"/>
      <c r="T97" s="1014">
        <v>5000</v>
      </c>
      <c r="U97" s="1017"/>
      <c r="V97" s="1017"/>
      <c r="W97" s="1017"/>
      <c r="X97" s="1017"/>
      <c r="Y97" s="1018"/>
      <c r="Z97" s="1011"/>
      <c r="AA97" s="1012"/>
      <c r="AB97" s="1012"/>
      <c r="AC97" s="1013"/>
      <c r="AD97" s="65"/>
      <c r="AE97" s="65"/>
      <c r="AF97" s="65"/>
      <c r="AG97" s="65"/>
      <c r="AH97" s="65"/>
      <c r="AI97" s="65"/>
      <c r="AJ97" s="65"/>
      <c r="AK97" s="65"/>
      <c r="AL97" s="65"/>
      <c r="AM97" s="198"/>
      <c r="AN97" s="198"/>
      <c r="AO97" s="198"/>
      <c r="AP97" s="198"/>
      <c r="AQ97" s="198"/>
      <c r="AR97" s="198"/>
      <c r="AS97" s="254"/>
      <c r="AT97" s="35"/>
      <c r="AU97" s="35"/>
      <c r="AV97" s="254"/>
      <c r="AW97" s="198"/>
      <c r="AX97" s="198"/>
      <c r="AY97" s="198"/>
      <c r="AZ97" s="31"/>
      <c r="BA97" s="30"/>
      <c r="BB97" s="175"/>
      <c r="BC97" s="345"/>
      <c r="BD97" s="28"/>
      <c r="BG97" s="24"/>
      <c r="BH97" s="28"/>
    </row>
    <row r="98" spans="1:60" ht="13.5" customHeight="1">
      <c r="A98" s="22"/>
      <c r="B98" s="202"/>
      <c r="C98" s="430"/>
      <c r="D98" s="423"/>
      <c r="E98" s="423"/>
      <c r="F98" s="423"/>
      <c r="G98" s="424"/>
      <c r="H98" s="424"/>
      <c r="I98" s="424"/>
      <c r="J98" s="424"/>
      <c r="K98" s="424"/>
      <c r="L98" s="425"/>
      <c r="M98" s="425"/>
      <c r="N98" s="424"/>
      <c r="O98" s="424"/>
      <c r="P98" s="424"/>
      <c r="Q98" s="426"/>
      <c r="R98" s="1029"/>
      <c r="S98" s="1029"/>
      <c r="T98" s="1029"/>
      <c r="U98" s="1029"/>
      <c r="V98" s="423"/>
      <c r="W98" s="424"/>
      <c r="X98" s="424"/>
      <c r="Y98" s="426"/>
      <c r="Z98" s="65"/>
      <c r="AA98" s="65"/>
      <c r="AB98" s="65"/>
      <c r="AC98" s="65"/>
      <c r="AD98" s="65"/>
      <c r="AE98" s="65"/>
      <c r="AF98" s="65"/>
      <c r="AG98" s="65"/>
      <c r="AH98" s="65"/>
      <c r="AI98" s="65"/>
      <c r="AJ98" s="65"/>
      <c r="AK98" s="65"/>
      <c r="AL98" s="65"/>
      <c r="AM98" s="198"/>
      <c r="AN98" s="198"/>
      <c r="AO98" s="198"/>
      <c r="AP98" s="198"/>
      <c r="AQ98" s="198"/>
      <c r="AR98" s="198"/>
      <c r="AS98" s="254"/>
      <c r="AT98" s="35"/>
      <c r="AU98" s="35"/>
      <c r="AV98" s="254"/>
      <c r="AW98" s="198"/>
      <c r="AX98" s="198"/>
      <c r="AY98" s="198"/>
      <c r="AZ98" s="31"/>
      <c r="BA98" s="30"/>
      <c r="BB98" s="175"/>
      <c r="BC98" s="345"/>
      <c r="BD98" s="28"/>
      <c r="BG98" s="24"/>
      <c r="BH98" s="28"/>
    </row>
    <row r="99" spans="1:60" ht="13.5" customHeight="1">
      <c r="A99" s="22"/>
      <c r="B99" s="202"/>
      <c r="C99" s="393" t="s">
        <v>181</v>
      </c>
      <c r="D99" s="28"/>
      <c r="E99" s="28"/>
      <c r="F99" s="28"/>
      <c r="G99" s="28"/>
      <c r="H99" s="24"/>
      <c r="I99" s="24"/>
      <c r="J99" s="24"/>
      <c r="K99" s="24"/>
      <c r="L99" s="24"/>
      <c r="M99" s="127"/>
      <c r="N99" s="75"/>
      <c r="O99" s="84"/>
      <c r="P99" s="84"/>
      <c r="Q99" s="84"/>
      <c r="R99" s="84"/>
      <c r="S99" s="85"/>
      <c r="T99" s="75"/>
      <c r="U99" s="75"/>
      <c r="V99" s="75"/>
      <c r="W99" s="75"/>
      <c r="X99" s="75"/>
      <c r="Y99" s="84"/>
      <c r="Z99" s="233" t="s">
        <v>72</v>
      </c>
      <c r="AA99" s="75"/>
      <c r="AB99" s="65"/>
      <c r="AC99" s="28"/>
      <c r="AD99" s="65"/>
      <c r="AE99" s="65"/>
      <c r="AF99" s="65"/>
      <c r="AG99" s="65"/>
      <c r="AH99" s="65"/>
      <c r="AI99" s="65"/>
      <c r="AJ99" s="65"/>
      <c r="AK99" s="65"/>
      <c r="AL99" s="65"/>
      <c r="AM99" s="198"/>
      <c r="AN99" s="198"/>
      <c r="AO99" s="198"/>
      <c r="AP99" s="198"/>
      <c r="AQ99" s="198"/>
      <c r="AR99" s="198"/>
      <c r="AS99" s="254"/>
      <c r="AT99" s="35"/>
      <c r="AU99" s="35"/>
      <c r="AV99" s="254"/>
      <c r="AW99" s="198"/>
      <c r="AX99" s="198"/>
      <c r="AY99" s="198"/>
      <c r="AZ99" s="31"/>
      <c r="BA99" s="30"/>
      <c r="BB99" s="175"/>
      <c r="BC99" s="345"/>
      <c r="BD99" s="28"/>
      <c r="BG99" s="24"/>
      <c r="BH99" s="28"/>
    </row>
    <row r="100" spans="1:60" ht="13.5" customHeight="1">
      <c r="A100" s="22"/>
      <c r="B100" s="202"/>
      <c r="C100" s="402" t="s">
        <v>32</v>
      </c>
      <c r="D100" s="403" t="s">
        <v>175</v>
      </c>
      <c r="E100" s="412"/>
      <c r="F100" s="412"/>
      <c r="G100" s="413"/>
      <c r="H100" s="414" t="s">
        <v>186</v>
      </c>
      <c r="I100" s="415"/>
      <c r="J100" s="415"/>
      <c r="K100" s="415"/>
      <c r="L100" s="412"/>
      <c r="M100" s="413"/>
      <c r="N100" s="411" t="s">
        <v>187</v>
      </c>
      <c r="O100" s="412"/>
      <c r="P100" s="412"/>
      <c r="Q100" s="412"/>
      <c r="R100" s="412"/>
      <c r="S100" s="413"/>
      <c r="T100" s="411" t="s">
        <v>188</v>
      </c>
      <c r="U100" s="412"/>
      <c r="V100" s="412"/>
      <c r="W100" s="412"/>
      <c r="X100" s="412"/>
      <c r="Y100" s="412"/>
      <c r="Z100" s="416" t="s">
        <v>179</v>
      </c>
      <c r="AA100" s="417"/>
      <c r="AB100" s="417"/>
      <c r="AC100" s="418"/>
      <c r="AD100" s="65"/>
      <c r="AE100" s="65"/>
      <c r="AF100" s="65"/>
      <c r="AG100" s="65"/>
      <c r="AH100" s="65"/>
      <c r="AI100" s="65"/>
      <c r="AJ100" s="65"/>
      <c r="AK100" s="65"/>
      <c r="AL100" s="65"/>
      <c r="AM100" s="198"/>
      <c r="AN100" s="198"/>
      <c r="AO100" s="198"/>
      <c r="AP100" s="198"/>
      <c r="AQ100" s="198"/>
      <c r="AR100" s="198"/>
      <c r="AS100" s="254"/>
      <c r="AT100" s="35"/>
      <c r="AU100" s="35"/>
      <c r="AV100" s="254"/>
      <c r="AW100" s="198"/>
      <c r="AX100" s="198"/>
      <c r="AY100" s="198"/>
      <c r="AZ100" s="31"/>
      <c r="BA100" s="30"/>
      <c r="BB100" s="175"/>
      <c r="BC100" s="345"/>
      <c r="BD100" s="28"/>
      <c r="BG100" s="24"/>
      <c r="BH100" s="28"/>
    </row>
    <row r="101" spans="1:60" ht="13.5" customHeight="1">
      <c r="A101" s="22"/>
      <c r="B101" s="202"/>
      <c r="C101" s="308">
        <v>1</v>
      </c>
      <c r="D101" s="427" t="s">
        <v>261</v>
      </c>
      <c r="E101" s="428"/>
      <c r="F101" s="428"/>
      <c r="G101" s="429"/>
      <c r="H101" s="242" t="s">
        <v>30</v>
      </c>
      <c r="I101" s="150"/>
      <c r="J101" s="150"/>
      <c r="K101" s="150"/>
      <c r="L101" s="161"/>
      <c r="M101" s="162"/>
      <c r="N101" s="1019">
        <v>5000</v>
      </c>
      <c r="O101" s="1017"/>
      <c r="P101" s="1017"/>
      <c r="Q101" s="1017"/>
      <c r="R101" s="1017"/>
      <c r="S101" s="1018"/>
      <c r="T101" s="1019">
        <v>5000</v>
      </c>
      <c r="U101" s="1017"/>
      <c r="V101" s="1017"/>
      <c r="W101" s="1017"/>
      <c r="X101" s="1017"/>
      <c r="Y101" s="1018"/>
      <c r="Z101" s="1020">
        <v>10</v>
      </c>
      <c r="AA101" s="1021"/>
      <c r="AB101" s="1021"/>
      <c r="AC101" s="1022"/>
      <c r="AD101" s="65"/>
      <c r="AE101" s="65"/>
      <c r="AF101" s="65"/>
      <c r="AG101" s="65"/>
      <c r="AH101" s="65"/>
      <c r="AI101" s="65"/>
      <c r="AJ101" s="65"/>
      <c r="AK101" s="65"/>
      <c r="AL101" s="65"/>
      <c r="AM101" s="198"/>
      <c r="AN101" s="198"/>
      <c r="AO101" s="198"/>
      <c r="AP101" s="198"/>
      <c r="AQ101" s="198"/>
      <c r="AR101" s="198"/>
      <c r="AS101" s="254"/>
      <c r="AT101" s="35"/>
      <c r="AU101" s="35"/>
      <c r="AV101" s="254"/>
      <c r="AW101" s="198"/>
      <c r="AX101" s="198"/>
      <c r="AY101" s="198"/>
      <c r="AZ101" s="31"/>
      <c r="BA101" s="30"/>
      <c r="BB101" s="175"/>
      <c r="BC101" s="345"/>
      <c r="BD101" s="28"/>
      <c r="BG101" s="24"/>
      <c r="BH101" s="28"/>
    </row>
    <row r="102" spans="1:60" ht="13.5" customHeight="1">
      <c r="A102" s="22"/>
      <c r="B102" s="202"/>
      <c r="C102" s="308"/>
      <c r="D102" s="427"/>
      <c r="E102" s="428"/>
      <c r="F102" s="428"/>
      <c r="G102" s="429"/>
      <c r="H102" s="242" t="s">
        <v>30</v>
      </c>
      <c r="I102" s="150"/>
      <c r="J102" s="150"/>
      <c r="K102" s="150"/>
      <c r="L102" s="161"/>
      <c r="M102" s="162"/>
      <c r="N102" s="1019">
        <v>5000</v>
      </c>
      <c r="O102" s="1017"/>
      <c r="P102" s="1017"/>
      <c r="Q102" s="1017"/>
      <c r="R102" s="1017"/>
      <c r="S102" s="1018"/>
      <c r="T102" s="1019">
        <v>5000</v>
      </c>
      <c r="U102" s="1017"/>
      <c r="V102" s="1017"/>
      <c r="W102" s="1017"/>
      <c r="X102" s="1017"/>
      <c r="Y102" s="1018"/>
      <c r="Z102" s="1020"/>
      <c r="AA102" s="1021"/>
      <c r="AB102" s="1021"/>
      <c r="AC102" s="1022"/>
      <c r="AD102" s="65"/>
      <c r="AE102" s="65"/>
      <c r="AF102" s="65"/>
      <c r="AG102" s="65"/>
      <c r="AH102" s="65"/>
      <c r="AI102" s="65"/>
      <c r="AJ102" s="65"/>
      <c r="AK102" s="65"/>
      <c r="AL102" s="65"/>
      <c r="AM102" s="198"/>
      <c r="AN102" s="198"/>
      <c r="AO102" s="198"/>
      <c r="AP102" s="198"/>
      <c r="AQ102" s="198"/>
      <c r="AR102" s="198"/>
      <c r="AS102" s="254"/>
      <c r="AT102" s="35"/>
      <c r="AU102" s="35"/>
      <c r="AV102" s="254"/>
      <c r="AW102" s="198"/>
      <c r="AX102" s="198"/>
      <c r="AY102" s="198"/>
      <c r="AZ102" s="31"/>
      <c r="BA102" s="30"/>
      <c r="BB102" s="175"/>
      <c r="BC102" s="345"/>
      <c r="BD102" s="28"/>
      <c r="BG102" s="24"/>
      <c r="BH102" s="28"/>
    </row>
    <row r="103" spans="1:60" ht="13.5" customHeight="1">
      <c r="A103" s="22"/>
      <c r="B103" s="202"/>
      <c r="C103" s="342"/>
      <c r="D103" s="332"/>
      <c r="E103" s="65"/>
      <c r="F103" s="65"/>
      <c r="G103" s="65"/>
      <c r="H103" s="65"/>
      <c r="I103" s="65"/>
      <c r="J103" s="333"/>
      <c r="K103" s="334"/>
      <c r="L103" s="334"/>
      <c r="M103" s="334"/>
      <c r="N103"/>
      <c r="O103"/>
      <c r="P103"/>
      <c r="Q103"/>
      <c r="R103"/>
      <c r="S103"/>
      <c r="T103"/>
      <c r="U103"/>
      <c r="V103"/>
      <c r="W103" s="65"/>
      <c r="X103" s="65"/>
      <c r="Y103" s="65"/>
      <c r="Z103" s="65"/>
      <c r="AA103" s="65"/>
      <c r="AB103" s="65"/>
      <c r="AC103" s="65"/>
      <c r="AD103" s="65"/>
      <c r="AE103" s="65"/>
      <c r="AF103" s="65"/>
      <c r="AG103" s="65"/>
      <c r="AH103" s="65"/>
      <c r="AI103" s="65"/>
      <c r="AJ103" s="65"/>
      <c r="AK103" s="65"/>
      <c r="AL103" s="65"/>
      <c r="AW103" s="198"/>
      <c r="AX103" s="198"/>
      <c r="AY103" s="198"/>
      <c r="AZ103" s="31"/>
      <c r="BA103" s="30"/>
      <c r="BB103" s="175"/>
      <c r="BC103" s="345"/>
      <c r="BD103" s="28"/>
      <c r="BG103" s="24"/>
      <c r="BH103" s="28"/>
    </row>
    <row r="104" spans="1:60" ht="13.5" customHeight="1">
      <c r="A104" s="22"/>
      <c r="B104" s="202"/>
      <c r="C104" s="282" t="s">
        <v>193</v>
      </c>
      <c r="D104" s="28"/>
      <c r="E104" s="28"/>
      <c r="F104" s="28"/>
      <c r="H104" s="58"/>
      <c r="I104" s="59"/>
      <c r="J104" s="59"/>
      <c r="K104" s="59"/>
      <c r="L104" s="60"/>
      <c r="M104" s="59"/>
      <c r="N104" s="61"/>
      <c r="O104" s="61"/>
      <c r="P104" s="70"/>
      <c r="Q104" s="64"/>
      <c r="R104"/>
      <c r="S104"/>
      <c r="T104"/>
      <c r="U104"/>
      <c r="V104"/>
      <c r="W104" s="65"/>
      <c r="X104" s="65"/>
      <c r="Y104" s="65"/>
      <c r="Z104" s="65"/>
      <c r="AA104" s="65"/>
      <c r="AB104" s="65"/>
      <c r="AC104" s="65"/>
      <c r="AD104" s="65"/>
      <c r="AE104" s="65"/>
      <c r="AF104" s="65"/>
      <c r="AG104" s="65"/>
      <c r="AH104" s="65"/>
      <c r="AI104" s="65"/>
      <c r="AJ104" s="65"/>
      <c r="AK104" s="65"/>
      <c r="AL104" s="65"/>
      <c r="AW104" s="198"/>
      <c r="AX104" s="198"/>
      <c r="AY104" s="198"/>
      <c r="AZ104" s="31"/>
      <c r="BA104" s="30"/>
      <c r="BB104" s="175"/>
      <c r="BC104" s="345"/>
      <c r="BD104" s="28"/>
      <c r="BG104" s="24"/>
      <c r="BH104" s="28"/>
    </row>
    <row r="105" spans="1:60" ht="13.5" customHeight="1">
      <c r="A105" s="22"/>
      <c r="B105" s="202"/>
      <c r="C105" s="282" t="s">
        <v>194</v>
      </c>
      <c r="D105" s="28"/>
      <c r="E105" s="28"/>
      <c r="F105" s="28"/>
      <c r="H105" s="58"/>
      <c r="I105" s="59"/>
      <c r="J105" s="59"/>
      <c r="K105" s="59"/>
      <c r="L105" s="60"/>
      <c r="M105" s="59"/>
      <c r="N105" s="61"/>
      <c r="O105" s="61"/>
      <c r="P105" s="70"/>
      <c r="Q105"/>
      <c r="R105" s="488" t="s">
        <v>196</v>
      </c>
      <c r="S105" s="488"/>
      <c r="T105"/>
      <c r="U105"/>
      <c r="V105"/>
      <c r="W105" s="65"/>
      <c r="X105" s="65"/>
      <c r="Y105" s="65"/>
      <c r="Z105" s="65"/>
      <c r="AA105" s="65"/>
      <c r="AB105" s="65"/>
      <c r="AC105" s="65"/>
      <c r="AD105" s="65"/>
      <c r="AE105" s="65"/>
      <c r="AF105" s="65"/>
      <c r="AG105" s="65"/>
      <c r="AH105" s="65"/>
      <c r="AI105" s="65"/>
      <c r="AJ105" s="65"/>
      <c r="AK105" s="65"/>
      <c r="AL105" s="65"/>
      <c r="AW105" s="198"/>
      <c r="AX105" s="198"/>
      <c r="AY105" s="198"/>
      <c r="AZ105" s="31"/>
      <c r="BA105" s="30"/>
      <c r="BB105" s="175"/>
      <c r="BC105" s="345"/>
      <c r="BD105" s="28"/>
      <c r="BG105" s="24"/>
      <c r="BH105" s="28"/>
    </row>
    <row r="106" spans="1:60" ht="13.5" customHeight="1">
      <c r="A106" s="22"/>
      <c r="B106" s="202"/>
      <c r="C106" s="282" t="s">
        <v>195</v>
      </c>
      <c r="D106" s="28"/>
      <c r="E106" s="28"/>
      <c r="F106" s="28"/>
      <c r="H106" s="516" t="s">
        <v>283</v>
      </c>
      <c r="I106" s="59"/>
      <c r="J106" s="59"/>
      <c r="K106" s="59"/>
      <c r="L106" s="60"/>
      <c r="M106" s="59"/>
      <c r="N106" s="61"/>
      <c r="O106" s="61"/>
      <c r="P106" s="99" t="s">
        <v>33</v>
      </c>
      <c r="Q106"/>
      <c r="R106"/>
      <c r="S106"/>
      <c r="T106"/>
      <c r="U106"/>
      <c r="V106"/>
      <c r="W106" s="65"/>
      <c r="X106" s="65"/>
      <c r="Y106" s="65"/>
      <c r="Z106" s="65"/>
      <c r="AA106" s="65"/>
      <c r="AB106" s="65"/>
      <c r="AC106" s="65"/>
      <c r="AD106" s="65"/>
      <c r="AE106" s="65"/>
      <c r="AF106" s="65"/>
      <c r="AG106" s="65"/>
      <c r="AH106" s="65"/>
      <c r="AI106" s="65"/>
      <c r="AJ106" s="65"/>
      <c r="AK106" s="65"/>
      <c r="AL106" s="65"/>
      <c r="AW106" s="198"/>
      <c r="AX106" s="198"/>
      <c r="AY106" s="198"/>
      <c r="AZ106" s="31"/>
      <c r="BA106" s="30"/>
      <c r="BB106" s="175"/>
      <c r="BC106" s="345"/>
      <c r="BD106" s="28"/>
      <c r="BG106" s="24"/>
      <c r="BH106" s="28"/>
    </row>
    <row r="107" spans="1:60" ht="13.5" customHeight="1">
      <c r="A107" s="22"/>
      <c r="B107" s="202"/>
      <c r="C107" s="282"/>
      <c r="D107" s="28"/>
      <c r="E107" s="28"/>
      <c r="F107" s="28"/>
      <c r="H107" s="62"/>
      <c r="I107" s="63"/>
      <c r="J107" s="63"/>
      <c r="K107" s="63"/>
      <c r="L107" s="64"/>
      <c r="M107" s="63"/>
      <c r="N107" s="65"/>
      <c r="O107" s="65"/>
      <c r="P107" s="82"/>
      <c r="Q107"/>
      <c r="R107"/>
      <c r="S107"/>
      <c r="T107"/>
      <c r="U107"/>
      <c r="V107"/>
      <c r="W107" s="65"/>
      <c r="X107" s="65"/>
      <c r="Y107" s="65"/>
      <c r="Z107" s="65"/>
      <c r="AA107" s="65"/>
      <c r="AB107" s="65"/>
      <c r="AC107" s="65"/>
      <c r="AD107" s="65"/>
      <c r="AE107" s="65"/>
      <c r="AF107" s="65"/>
      <c r="AG107" s="65"/>
      <c r="AH107" s="65"/>
      <c r="AI107" s="65"/>
      <c r="AJ107" s="65"/>
      <c r="AK107" s="65"/>
      <c r="AL107" s="65"/>
      <c r="AW107" s="198"/>
      <c r="AX107" s="198"/>
      <c r="AY107" s="198"/>
      <c r="AZ107" s="31"/>
      <c r="BA107" s="30"/>
      <c r="BB107" s="175"/>
      <c r="BC107" s="345"/>
      <c r="BD107" s="28"/>
      <c r="BG107" s="24"/>
      <c r="BH107" s="28"/>
    </row>
    <row r="108" spans="1:60" ht="13.5" customHeight="1">
      <c r="A108" s="22"/>
      <c r="B108" s="202"/>
      <c r="C108" s="282" t="s">
        <v>284</v>
      </c>
      <c r="D108" s="28"/>
      <c r="E108" s="28"/>
      <c r="F108" s="28"/>
      <c r="H108" s="163"/>
      <c r="I108" s="164"/>
      <c r="J108" s="165"/>
      <c r="K108" s="164"/>
      <c r="L108" s="165"/>
      <c r="M108" s="164"/>
      <c r="N108" s="166"/>
      <c r="O108" s="164"/>
      <c r="P108" s="165"/>
      <c r="Q108" s="165"/>
      <c r="R108" s="165"/>
      <c r="S108" s="167"/>
      <c r="T108" s="167"/>
      <c r="U108" s="167"/>
      <c r="V108" s="167"/>
      <c r="W108" s="167"/>
      <c r="X108" s="166"/>
      <c r="Y108" s="167"/>
      <c r="Z108" s="165"/>
      <c r="AA108" s="166"/>
      <c r="AB108" s="167"/>
      <c r="AC108" s="165"/>
      <c r="AD108" s="166"/>
      <c r="AE108" s="165"/>
      <c r="AF108" s="165"/>
      <c r="AG108" s="166"/>
      <c r="AH108" s="165"/>
      <c r="AI108" s="165"/>
      <c r="AJ108" s="168"/>
      <c r="AK108" s="165"/>
      <c r="AL108" s="165"/>
      <c r="AM108" s="165"/>
      <c r="AN108" s="165"/>
      <c r="AO108" s="165"/>
      <c r="AP108" s="165"/>
      <c r="AQ108" s="165"/>
      <c r="AR108" s="165"/>
      <c r="AS108" s="165"/>
      <c r="AT108" s="165"/>
      <c r="AU108" s="165"/>
      <c r="AV108" s="165"/>
      <c r="AW108" s="165"/>
      <c r="AX108" s="160" t="s">
        <v>37</v>
      </c>
      <c r="AY108" s="198"/>
      <c r="AZ108" s="31"/>
      <c r="BA108" s="30"/>
      <c r="BB108" s="175"/>
      <c r="BC108" s="345"/>
      <c r="BD108" s="28"/>
      <c r="BG108" s="24"/>
      <c r="BH108" s="28"/>
    </row>
    <row r="109" spans="1:60" ht="13.5" customHeight="1">
      <c r="A109" s="22"/>
      <c r="B109" s="202"/>
      <c r="C109" s="282"/>
      <c r="D109" s="28"/>
      <c r="E109" s="28"/>
      <c r="F109" s="28"/>
      <c r="H109" s="169"/>
      <c r="I109" s="170"/>
      <c r="J109" s="171"/>
      <c r="K109" s="170"/>
      <c r="L109" s="171"/>
      <c r="M109" s="170"/>
      <c r="N109" s="172"/>
      <c r="O109" s="170"/>
      <c r="P109" s="171"/>
      <c r="Q109" s="171"/>
      <c r="R109" s="171"/>
      <c r="S109" s="173"/>
      <c r="T109" s="173"/>
      <c r="U109" s="173"/>
      <c r="V109" s="173"/>
      <c r="W109" s="173"/>
      <c r="X109" s="172"/>
      <c r="Y109" s="173"/>
      <c r="Z109" s="171"/>
      <c r="AA109" s="172"/>
      <c r="AB109" s="173"/>
      <c r="AC109" s="171"/>
      <c r="AD109" s="172"/>
      <c r="AE109" s="171"/>
      <c r="AF109" s="171"/>
      <c r="AG109" s="172"/>
      <c r="AH109" s="171"/>
      <c r="AI109" s="171"/>
      <c r="AJ109" s="174"/>
      <c r="AK109" s="171"/>
      <c r="AL109" s="171"/>
      <c r="AM109" s="171"/>
      <c r="AN109" s="171"/>
      <c r="AO109" s="171"/>
      <c r="AP109" s="171"/>
      <c r="AQ109" s="171"/>
      <c r="AR109" s="171"/>
      <c r="AS109" s="171"/>
      <c r="AT109" s="171"/>
      <c r="AU109" s="171"/>
      <c r="AV109" s="171"/>
      <c r="AW109" s="171"/>
      <c r="AX109" s="122" t="s">
        <v>33</v>
      </c>
      <c r="AY109" s="198"/>
      <c r="AZ109" s="31"/>
      <c r="BA109" s="30"/>
      <c r="BB109" s="175"/>
      <c r="BC109" s="345"/>
      <c r="BD109" s="28"/>
      <c r="BG109" s="24"/>
      <c r="BH109" s="28"/>
    </row>
    <row r="110" spans="1:60" ht="13.5" customHeight="1">
      <c r="A110" s="22"/>
      <c r="B110" s="202"/>
      <c r="C110" s="282"/>
      <c r="D110" s="28"/>
      <c r="E110" s="28"/>
      <c r="F110" s="28"/>
      <c r="H110" s="62"/>
      <c r="I110" s="63"/>
      <c r="J110" s="63"/>
      <c r="K110" s="63"/>
      <c r="L110" s="64"/>
      <c r="M110" s="63"/>
      <c r="N110" s="65"/>
      <c r="O110" s="65"/>
      <c r="P110" s="82"/>
      <c r="Q110"/>
      <c r="R110"/>
      <c r="S110"/>
      <c r="T110"/>
      <c r="U110"/>
      <c r="V110"/>
      <c r="W110" s="65"/>
      <c r="X110" s="65"/>
      <c r="Y110" s="65"/>
      <c r="Z110" s="65"/>
      <c r="AA110" s="65"/>
      <c r="AB110" s="65"/>
      <c r="AC110" s="65"/>
      <c r="AD110" s="65"/>
      <c r="AE110" s="65"/>
      <c r="AF110" s="65"/>
      <c r="AG110" s="65"/>
      <c r="AH110" s="65"/>
      <c r="AI110" s="65"/>
      <c r="AJ110" s="65"/>
      <c r="AK110" s="65"/>
      <c r="AL110" s="65"/>
      <c r="AW110" s="198"/>
      <c r="AX110" s="198"/>
      <c r="AY110" s="198"/>
      <c r="AZ110" s="31"/>
      <c r="BA110" s="30"/>
      <c r="BB110" s="175"/>
      <c r="BC110" s="345"/>
      <c r="BD110" s="28"/>
      <c r="BG110" s="24"/>
      <c r="BH110" s="28"/>
    </row>
    <row r="111" spans="1:60" ht="13.5" customHeight="1">
      <c r="A111" s="22"/>
      <c r="B111" s="202"/>
      <c r="C111" s="342"/>
      <c r="D111" s="332"/>
      <c r="E111" s="65"/>
      <c r="F111" s="65"/>
      <c r="G111" s="65"/>
      <c r="H111" s="65"/>
      <c r="I111" s="65"/>
      <c r="J111" s="333"/>
      <c r="K111" s="334"/>
      <c r="L111" s="334"/>
      <c r="M111" s="334"/>
      <c r="N111"/>
      <c r="O111"/>
      <c r="P111"/>
      <c r="Q111"/>
      <c r="R111"/>
      <c r="S111"/>
      <c r="T111"/>
      <c r="U111"/>
      <c r="V111"/>
      <c r="W111" s="65"/>
      <c r="X111" s="65"/>
      <c r="Y111" s="65"/>
      <c r="Z111" s="65"/>
      <c r="AA111" s="65"/>
      <c r="AB111" s="65"/>
      <c r="AC111" s="65"/>
      <c r="AD111" s="65"/>
      <c r="AE111" s="65"/>
      <c r="AF111" s="65"/>
      <c r="AG111" s="65"/>
      <c r="AH111" s="65"/>
      <c r="AI111" s="65"/>
      <c r="AJ111" s="65"/>
      <c r="AK111" s="65"/>
      <c r="AL111" s="65"/>
      <c r="AM111" s="198"/>
      <c r="AN111" s="198"/>
      <c r="AO111" s="198"/>
      <c r="AP111" s="198"/>
      <c r="AQ111" s="198"/>
      <c r="AR111" s="198"/>
      <c r="AS111" s="254"/>
      <c r="AT111" s="35"/>
      <c r="AU111" s="35"/>
      <c r="AV111" s="254"/>
      <c r="AW111" s="198"/>
      <c r="AX111" s="198"/>
      <c r="AY111" s="198"/>
      <c r="AZ111" s="31"/>
      <c r="BA111" s="30"/>
      <c r="BB111" s="175"/>
      <c r="BC111" s="345"/>
      <c r="BD111" s="28"/>
      <c r="BG111" s="24"/>
      <c r="BH111" s="28"/>
    </row>
    <row r="112" spans="1:60" ht="13.5" customHeight="1">
      <c r="A112" s="22"/>
      <c r="B112" s="202"/>
      <c r="C112" s="342"/>
      <c r="D112" s="332"/>
      <c r="E112" s="65"/>
      <c r="F112" s="65"/>
      <c r="G112" s="65"/>
      <c r="H112" s="65"/>
      <c r="I112" s="65"/>
      <c r="J112" s="333"/>
      <c r="K112" s="334"/>
      <c r="L112" s="334"/>
      <c r="M112" s="334"/>
      <c r="N112"/>
      <c r="O112"/>
      <c r="P112"/>
      <c r="Q112"/>
      <c r="R112"/>
      <c r="S112"/>
      <c r="T112"/>
      <c r="U112"/>
      <c r="V112"/>
      <c r="W112" s="65"/>
      <c r="X112" s="65"/>
      <c r="Y112" s="65"/>
      <c r="Z112" s="65"/>
      <c r="AA112" s="65"/>
      <c r="AB112" s="65"/>
      <c r="AC112" s="65"/>
      <c r="AD112" s="65"/>
      <c r="AE112" s="65"/>
      <c r="AF112" s="65"/>
      <c r="AG112" s="65"/>
      <c r="AH112" s="65"/>
      <c r="AI112" s="65"/>
      <c r="AJ112" s="65"/>
      <c r="AK112" s="65"/>
      <c r="AL112" s="65"/>
      <c r="AM112" s="198"/>
      <c r="AN112" s="198"/>
      <c r="AO112" s="198"/>
      <c r="AP112" s="198"/>
      <c r="AQ112" s="198"/>
      <c r="AR112" s="198"/>
      <c r="AS112" s="254"/>
      <c r="AT112" s="35"/>
      <c r="AU112" s="35"/>
      <c r="AV112" s="254"/>
      <c r="AW112" s="198"/>
      <c r="AX112" s="198"/>
      <c r="AY112" s="198"/>
      <c r="AZ112" s="31"/>
      <c r="BA112" s="30"/>
      <c r="BB112" s="175"/>
      <c r="BC112" s="345"/>
      <c r="BD112" s="28"/>
      <c r="BG112" s="24"/>
      <c r="BH112" s="28"/>
    </row>
    <row r="113" spans="1:60" ht="5.15" customHeight="1">
      <c r="A113" s="22"/>
      <c r="B113" s="202"/>
      <c r="C113" s="315"/>
      <c r="D113" s="73"/>
      <c r="E113" s="73"/>
      <c r="F113" s="73"/>
      <c r="G113" s="73"/>
      <c r="H113" s="316"/>
      <c r="I113" s="275"/>
      <c r="J113" s="273"/>
      <c r="K113" s="275"/>
      <c r="L113" s="273"/>
      <c r="M113" s="317"/>
      <c r="N113" s="317"/>
      <c r="O113" s="270"/>
      <c r="P113" s="317"/>
      <c r="Q113" s="270"/>
      <c r="R113" s="317"/>
      <c r="S113" s="73"/>
      <c r="T113" s="73"/>
      <c r="U113" s="73"/>
      <c r="V113" s="73"/>
      <c r="W113" s="73"/>
      <c r="X113" s="316"/>
      <c r="Y113" s="275"/>
      <c r="Z113" s="273"/>
      <c r="AA113" s="275"/>
      <c r="AB113" s="273"/>
      <c r="AC113" s="317"/>
      <c r="AD113" s="317"/>
      <c r="AE113" s="270"/>
      <c r="AF113" s="317"/>
      <c r="AG113" s="270"/>
      <c r="AH113" s="317"/>
      <c r="AI113" s="276"/>
      <c r="AJ113" s="317"/>
      <c r="AK113" s="270"/>
      <c r="AL113" s="73"/>
      <c r="AM113" s="73"/>
      <c r="AN113" s="73"/>
      <c r="AO113" s="73"/>
      <c r="AP113" s="73"/>
      <c r="AQ113" s="73"/>
      <c r="AR113" s="73"/>
      <c r="AS113" s="73"/>
      <c r="AT113" s="73"/>
      <c r="AU113" s="73"/>
      <c r="AV113" s="318"/>
      <c r="AW113" s="73"/>
      <c r="AX113" s="73"/>
      <c r="AY113" s="269"/>
      <c r="AZ113" s="269"/>
      <c r="BA113" s="319"/>
      <c r="BB113" s="320"/>
      <c r="BC113" s="344"/>
      <c r="BD113" s="28"/>
    </row>
    <row r="114" spans="1:60" ht="13.5" customHeight="1">
      <c r="A114" s="22"/>
      <c r="B114" s="202">
        <v>31</v>
      </c>
      <c r="C114" s="331"/>
      <c r="D114" s="332"/>
      <c r="E114" s="65"/>
      <c r="F114" s="65"/>
      <c r="G114" s="65"/>
      <c r="H114" s="65"/>
      <c r="I114" s="65"/>
      <c r="J114" s="966"/>
      <c r="K114" s="966"/>
      <c r="L114" s="966"/>
      <c r="M114" s="966"/>
      <c r="N114" s="65"/>
      <c r="O114" s="65"/>
      <c r="P114" s="65"/>
      <c r="Q114" s="65"/>
      <c r="R114" s="65"/>
      <c r="S114" s="65"/>
      <c r="T114" s="65"/>
      <c r="U114" s="65"/>
      <c r="V114" s="65"/>
      <c r="W114" s="65"/>
      <c r="X114" s="65"/>
      <c r="Y114" s="65"/>
      <c r="Z114" s="65"/>
      <c r="AA114" s="65"/>
      <c r="AB114" s="65"/>
      <c r="AC114" s="65"/>
      <c r="AD114" s="65"/>
      <c r="AE114" s="65"/>
      <c r="AF114" s="65"/>
      <c r="AG114" s="65"/>
      <c r="AH114" s="65"/>
      <c r="AI114" s="65"/>
      <c r="AJ114" s="65"/>
      <c r="AK114" s="65"/>
      <c r="AL114" s="65"/>
      <c r="AM114" s="198"/>
      <c r="AN114" s="198"/>
      <c r="AO114" s="198"/>
      <c r="AP114" s="198"/>
      <c r="AQ114" s="198"/>
      <c r="AR114" s="198"/>
      <c r="AS114" s="198"/>
      <c r="AT114" s="198"/>
      <c r="AU114" s="198"/>
      <c r="AV114" s="198"/>
      <c r="AW114" s="198"/>
      <c r="AX114" s="198"/>
      <c r="AY114" s="198"/>
      <c r="AZ114" s="33"/>
      <c r="BA114" s="46"/>
      <c r="BB114" s="78"/>
      <c r="BC114" s="34"/>
      <c r="BD114" s="28"/>
      <c r="BG114" s="24"/>
      <c r="BH114" s="28"/>
    </row>
    <row r="115" spans="1:60" ht="14.15" customHeight="1">
      <c r="A115" s="22"/>
      <c r="B115" s="129"/>
      <c r="C115" s="346" t="s">
        <v>131</v>
      </c>
      <c r="D115" s="28"/>
      <c r="E115" s="28"/>
      <c r="F115" s="28"/>
      <c r="G115" s="28"/>
      <c r="S115" s="35"/>
      <c r="T115" s="35"/>
      <c r="U115" s="35"/>
      <c r="V115" s="35"/>
      <c r="Y115" s="35"/>
      <c r="Z115" s="35"/>
      <c r="AD115" s="35"/>
      <c r="AE115" s="35"/>
      <c r="AF115" s="35"/>
      <c r="AG115" s="35"/>
      <c r="AH115" s="35"/>
      <c r="AI115" s="35"/>
      <c r="AJ115" s="28"/>
      <c r="AK115" s="28"/>
      <c r="AL115" s="28"/>
      <c r="AM115" s="130"/>
      <c r="AN115" s="130"/>
      <c r="AO115" s="35"/>
      <c r="AP115" s="35"/>
      <c r="AQ115" s="35"/>
      <c r="AR115" s="35"/>
      <c r="AS115" s="35"/>
      <c r="AT115" s="35"/>
      <c r="AU115" s="35"/>
      <c r="AV115" s="35"/>
      <c r="AW115" s="35"/>
      <c r="AX115" s="65"/>
      <c r="AY115" s="65"/>
      <c r="AZ115" s="33"/>
      <c r="BA115" s="46"/>
      <c r="BB115" s="78"/>
      <c r="BC115" s="34"/>
      <c r="BD115" s="28"/>
      <c r="BG115" s="35"/>
    </row>
    <row r="116" spans="1:60" ht="5.15" customHeight="1">
      <c r="A116" s="22"/>
      <c r="B116" s="202"/>
      <c r="C116" s="296"/>
      <c r="D116" s="72"/>
      <c r="E116" s="72"/>
      <c r="F116" s="72"/>
      <c r="G116" s="72"/>
      <c r="H116" s="297"/>
      <c r="I116" s="278"/>
      <c r="J116" s="279"/>
      <c r="K116" s="278"/>
      <c r="L116" s="279"/>
      <c r="M116" s="298"/>
      <c r="N116" s="298"/>
      <c r="O116" s="263"/>
      <c r="P116" s="298"/>
      <c r="Q116" s="263"/>
      <c r="R116" s="298"/>
      <c r="S116" s="72"/>
      <c r="T116" s="72"/>
      <c r="U116" s="72"/>
      <c r="V116" s="72"/>
      <c r="W116" s="72"/>
      <c r="X116" s="297"/>
      <c r="Y116" s="278"/>
      <c r="Z116" s="279"/>
      <c r="AA116" s="278"/>
      <c r="AB116" s="279"/>
      <c r="AC116" s="298"/>
      <c r="AD116" s="298"/>
      <c r="AE116" s="263"/>
      <c r="AF116" s="298"/>
      <c r="AG116" s="263"/>
      <c r="AH116" s="298"/>
      <c r="AI116" s="280"/>
      <c r="AJ116" s="298"/>
      <c r="AK116" s="263"/>
      <c r="AL116" s="72"/>
      <c r="AM116" s="72"/>
      <c r="AN116" s="72"/>
      <c r="AO116" s="72"/>
      <c r="AP116" s="72"/>
      <c r="AQ116" s="72"/>
      <c r="AR116" s="72"/>
      <c r="AS116" s="72"/>
      <c r="AT116" s="72"/>
      <c r="AU116" s="72"/>
      <c r="AV116" s="300"/>
      <c r="AW116" s="72"/>
      <c r="AX116" s="72"/>
      <c r="AY116" s="265"/>
      <c r="AZ116" s="33"/>
      <c r="BA116" s="46"/>
      <c r="BB116" s="78"/>
      <c r="BC116" s="34"/>
      <c r="BD116" s="28"/>
    </row>
    <row r="117" spans="1:60" ht="14.15" customHeight="1">
      <c r="A117" s="23"/>
      <c r="B117" s="351"/>
      <c r="C117" s="282"/>
      <c r="D117" s="28"/>
      <c r="E117" s="28"/>
      <c r="F117" s="28"/>
      <c r="G117" s="28"/>
      <c r="H117" s="28"/>
      <c r="I117" s="28"/>
      <c r="J117" s="28"/>
      <c r="K117" s="28"/>
      <c r="L117" s="28"/>
      <c r="M117" s="28"/>
      <c r="N117" s="28"/>
      <c r="O117" s="28"/>
      <c r="P117" s="28"/>
      <c r="Q117" s="25"/>
      <c r="S117" s="35"/>
      <c r="T117" s="28"/>
      <c r="U117" s="28"/>
      <c r="V117" s="28"/>
      <c r="W117" s="28"/>
      <c r="X117" s="28"/>
      <c r="Y117" s="28"/>
      <c r="Z117" s="28"/>
      <c r="AC117" s="28"/>
      <c r="AD117" s="28"/>
      <c r="AE117" s="35"/>
      <c r="AF117" s="35"/>
      <c r="AG117" s="35"/>
      <c r="AH117" s="35"/>
      <c r="AI117" s="35"/>
      <c r="AJ117" s="28"/>
      <c r="AK117" s="28"/>
      <c r="AL117" s="28"/>
      <c r="AM117" s="35"/>
      <c r="AN117" s="35"/>
      <c r="AO117" s="135"/>
      <c r="AP117" s="136"/>
      <c r="AQ117" s="130"/>
      <c r="AR117" s="130"/>
      <c r="AS117" s="130"/>
      <c r="AT117" s="130"/>
      <c r="AU117" s="81"/>
      <c r="AV117" s="35"/>
      <c r="AW117" s="35"/>
      <c r="AX117" s="65"/>
      <c r="AY117" s="347"/>
      <c r="AZ117" s="33"/>
      <c r="BA117" s="46"/>
      <c r="BB117" s="78"/>
      <c r="BC117" s="34"/>
      <c r="BD117" s="28"/>
      <c r="BG117" s="35"/>
    </row>
    <row r="118" spans="1:60" ht="14.15" customHeight="1">
      <c r="A118" s="23"/>
      <c r="B118" s="351"/>
      <c r="C118" s="352"/>
      <c r="D118" s="348" t="s">
        <v>38</v>
      </c>
      <c r="E118" s="131"/>
      <c r="F118" s="131"/>
      <c r="G118" s="131"/>
      <c r="H118" s="132"/>
      <c r="I118" s="132"/>
      <c r="J118" s="106"/>
      <c r="K118" s="133"/>
      <c r="L118" s="134"/>
      <c r="M118" s="144"/>
      <c r="N118" s="144"/>
      <c r="O118" s="131"/>
      <c r="P118" s="134"/>
      <c r="Q118" s="107"/>
      <c r="R118" s="133" t="s">
        <v>40</v>
      </c>
      <c r="S118" s="134"/>
      <c r="T118" s="107"/>
      <c r="U118" s="107"/>
      <c r="V118" s="133" t="s">
        <v>44</v>
      </c>
      <c r="W118" s="134"/>
      <c r="X118" s="107"/>
      <c r="Y118" s="35"/>
      <c r="Z118" s="35"/>
      <c r="AC118" s="28"/>
      <c r="AD118" s="28"/>
      <c r="AE118" s="28"/>
      <c r="AF118" s="35"/>
      <c r="AG118" s="35"/>
      <c r="AH118" s="28"/>
      <c r="AI118" s="28"/>
      <c r="AJ118" s="28"/>
      <c r="AK118" s="81"/>
      <c r="AL118" s="28"/>
      <c r="AM118" s="28"/>
      <c r="AN118" s="28"/>
      <c r="AO118" s="28"/>
      <c r="AP118" s="28"/>
      <c r="AQ118" s="65"/>
      <c r="AR118" s="65"/>
      <c r="AS118" s="65"/>
      <c r="AT118" s="125"/>
      <c r="AU118" s="65"/>
      <c r="AV118" s="65"/>
      <c r="AW118" s="65"/>
      <c r="AX118" s="65"/>
      <c r="AY118" s="347"/>
      <c r="AZ118" s="33"/>
      <c r="BA118" s="46"/>
      <c r="BB118" s="78"/>
      <c r="BC118" s="34"/>
      <c r="BD118" s="28"/>
      <c r="BE118" s="35"/>
      <c r="BF118" s="35"/>
      <c r="BG118" s="35"/>
    </row>
    <row r="119" spans="1:60" ht="13.5" customHeight="1">
      <c r="A119" s="22"/>
      <c r="B119" s="353"/>
      <c r="C119" s="352"/>
      <c r="D119" s="349" t="s">
        <v>45</v>
      </c>
      <c r="E119" s="137"/>
      <c r="F119" s="137"/>
      <c r="G119" s="137"/>
      <c r="H119" s="137"/>
      <c r="I119" s="137"/>
      <c r="J119" s="137"/>
      <c r="K119" s="350"/>
      <c r="L119" s="139"/>
      <c r="M119" s="108"/>
      <c r="N119" s="108"/>
      <c r="O119" s="145"/>
      <c r="P119" s="139"/>
      <c r="Q119" s="109"/>
      <c r="R119" s="138" t="s">
        <v>41</v>
      </c>
      <c r="S119" s="139"/>
      <c r="T119" s="108"/>
      <c r="U119" s="109"/>
      <c r="V119" s="140"/>
      <c r="W119" s="141"/>
      <c r="X119" s="142"/>
      <c r="Y119" s="116"/>
      <c r="Z119" s="41"/>
      <c r="AA119" s="116"/>
      <c r="AB119" s="116"/>
      <c r="AC119" s="116"/>
      <c r="AD119" s="116"/>
      <c r="AE119" s="116"/>
      <c r="AF119" s="116"/>
      <c r="AG119" s="116"/>
      <c r="AH119" s="116"/>
      <c r="AI119" s="116"/>
      <c r="AJ119" s="116"/>
      <c r="AK119" s="116"/>
      <c r="AL119" s="116"/>
      <c r="AM119" s="116"/>
      <c r="AN119" s="116"/>
      <c r="AO119" s="116"/>
      <c r="AP119" s="116"/>
      <c r="AQ119" s="65"/>
      <c r="AR119" s="65"/>
      <c r="AS119" s="65"/>
      <c r="AT119" s="125"/>
      <c r="AU119" s="65"/>
      <c r="AV119" s="65"/>
      <c r="AW119" s="65"/>
      <c r="AX119" s="65"/>
      <c r="AY119" s="347"/>
      <c r="AZ119" s="33"/>
      <c r="BA119" s="46"/>
      <c r="BB119" s="78"/>
      <c r="BC119" s="34"/>
      <c r="BD119" s="28"/>
      <c r="BE119" s="35"/>
      <c r="BF119" s="35"/>
      <c r="BG119" s="35"/>
    </row>
    <row r="120" spans="1:60" ht="5.15" customHeight="1">
      <c r="A120" s="22"/>
      <c r="B120" s="202"/>
      <c r="C120" s="315"/>
      <c r="D120" s="73"/>
      <c r="E120" s="73"/>
      <c r="F120" s="73"/>
      <c r="G120" s="73"/>
      <c r="H120" s="316"/>
      <c r="I120" s="275"/>
      <c r="J120" s="273"/>
      <c r="K120" s="275"/>
      <c r="L120" s="273"/>
      <c r="M120" s="317"/>
      <c r="N120" s="317"/>
      <c r="O120" s="270"/>
      <c r="P120" s="317"/>
      <c r="Q120" s="270"/>
      <c r="R120" s="317"/>
      <c r="S120" s="73"/>
      <c r="T120" s="73"/>
      <c r="U120" s="73"/>
      <c r="V120" s="73"/>
      <c r="W120" s="73"/>
      <c r="X120" s="316"/>
      <c r="Y120" s="275"/>
      <c r="Z120" s="273"/>
      <c r="AA120" s="275"/>
      <c r="AB120" s="273"/>
      <c r="AC120" s="317"/>
      <c r="AD120" s="317"/>
      <c r="AE120" s="270"/>
      <c r="AF120" s="317"/>
      <c r="AG120" s="270"/>
      <c r="AH120" s="317"/>
      <c r="AI120" s="276"/>
      <c r="AJ120" s="317"/>
      <c r="AK120" s="270"/>
      <c r="AL120" s="73"/>
      <c r="AM120" s="73"/>
      <c r="AN120" s="73"/>
      <c r="AO120" s="73"/>
      <c r="AP120" s="73"/>
      <c r="AQ120" s="73"/>
      <c r="AR120" s="73"/>
      <c r="AS120" s="73"/>
      <c r="AT120" s="73"/>
      <c r="AU120" s="73"/>
      <c r="AV120" s="318"/>
      <c r="AW120" s="73"/>
      <c r="AX120" s="73"/>
      <c r="AY120" s="277"/>
      <c r="AZ120" s="33"/>
      <c r="BA120" s="46"/>
      <c r="BB120" s="78"/>
      <c r="BC120" s="34"/>
      <c r="BD120" s="28"/>
    </row>
    <row r="121" spans="1:60" ht="14.15" customHeight="1">
      <c r="A121" s="22"/>
      <c r="B121" s="202">
        <v>35</v>
      </c>
      <c r="C121" s="331"/>
      <c r="D121" s="332"/>
      <c r="E121" s="65"/>
      <c r="F121" s="65"/>
      <c r="G121" s="65"/>
      <c r="H121" s="65"/>
      <c r="I121" s="65"/>
      <c r="J121" s="945"/>
      <c r="K121" s="945"/>
      <c r="L121" s="945"/>
      <c r="M121" s="945"/>
      <c r="N121" s="65"/>
      <c r="O121" s="65"/>
      <c r="P121" s="65"/>
      <c r="Q121" s="65"/>
      <c r="R121" s="65"/>
      <c r="S121" s="65"/>
      <c r="T121" s="65"/>
      <c r="U121" s="65"/>
      <c r="V121" s="65"/>
      <c r="W121" s="65"/>
      <c r="X121" s="65"/>
      <c r="Y121" s="65"/>
      <c r="Z121" s="65"/>
      <c r="AA121" s="65"/>
      <c r="AB121" s="65"/>
      <c r="AC121" s="65"/>
      <c r="AD121" s="65"/>
      <c r="AE121" s="65"/>
      <c r="AF121" s="65"/>
      <c r="AG121" s="65"/>
      <c r="AH121" s="65"/>
      <c r="AI121" s="65"/>
      <c r="AJ121" s="65"/>
      <c r="AK121" s="65"/>
      <c r="AL121" s="65"/>
      <c r="AM121" s="65"/>
      <c r="AN121" s="65"/>
      <c r="AO121" s="65"/>
      <c r="AP121" s="65"/>
      <c r="AQ121" s="65"/>
      <c r="AR121" s="65"/>
      <c r="AS121" s="65"/>
      <c r="AT121" s="125"/>
      <c r="AU121" s="65"/>
      <c r="AV121" s="65"/>
      <c r="AW121" s="65"/>
      <c r="AX121" s="65"/>
      <c r="AY121" s="65"/>
      <c r="AZ121" s="33"/>
      <c r="BA121" s="46"/>
      <c r="BB121" s="335"/>
      <c r="BC121" s="336"/>
      <c r="BD121" s="28"/>
      <c r="BG121" s="24"/>
      <c r="BH121" s="28"/>
    </row>
    <row r="122" spans="1:60" ht="14.15" customHeight="1">
      <c r="A122" s="22"/>
      <c r="B122" s="202">
        <v>35</v>
      </c>
      <c r="C122" s="346" t="s">
        <v>247</v>
      </c>
      <c r="D122" s="332"/>
      <c r="E122" s="65"/>
      <c r="F122" s="65"/>
      <c r="G122" s="65"/>
      <c r="H122" s="65"/>
      <c r="I122" s="65"/>
      <c r="J122" s="945"/>
      <c r="K122" s="945"/>
      <c r="L122" s="945"/>
      <c r="M122" s="945"/>
      <c r="N122" s="65"/>
      <c r="O122" s="65"/>
      <c r="P122" s="65"/>
      <c r="Q122" s="65"/>
      <c r="R122" s="65"/>
      <c r="S122" s="65"/>
      <c r="T122" s="65"/>
      <c r="U122" s="65"/>
      <c r="V122" s="65"/>
      <c r="W122" s="65"/>
      <c r="X122" s="65"/>
      <c r="Y122" s="65"/>
      <c r="Z122" s="65"/>
      <c r="AA122" s="65"/>
      <c r="AB122" s="65"/>
      <c r="AC122" s="65"/>
      <c r="AD122" s="65"/>
      <c r="AE122" s="65"/>
      <c r="AF122" s="65"/>
      <c r="AG122" s="65"/>
      <c r="AH122" s="65"/>
      <c r="AI122" s="65"/>
      <c r="AJ122" s="65"/>
      <c r="AK122" s="65"/>
      <c r="AL122" s="65"/>
      <c r="AM122" s="65"/>
      <c r="AN122" s="65"/>
      <c r="AO122" s="65"/>
      <c r="AP122" s="65"/>
      <c r="AQ122" s="65"/>
      <c r="AR122" s="65"/>
      <c r="AS122" s="65"/>
      <c r="AT122" s="125"/>
      <c r="AU122" s="65"/>
      <c r="AV122" s="65"/>
      <c r="AW122" s="65"/>
      <c r="AX122" s="65"/>
      <c r="AY122" s="65"/>
      <c r="AZ122" s="33"/>
      <c r="BA122" s="46"/>
      <c r="BB122" s="335"/>
      <c r="BC122" s="336"/>
      <c r="BD122" s="28"/>
      <c r="BG122" s="24"/>
      <c r="BH122" s="28"/>
    </row>
    <row r="123" spans="1:60" ht="14.15" customHeight="1">
      <c r="A123" s="22"/>
      <c r="B123" s="202">
        <v>35</v>
      </c>
      <c r="C123" s="331"/>
      <c r="D123" s="478" t="s">
        <v>248</v>
      </c>
      <c r="E123" s="65"/>
      <c r="F123" s="65"/>
      <c r="G123" s="65"/>
      <c r="H123" s="65"/>
      <c r="I123" s="65"/>
      <c r="J123" s="477"/>
      <c r="K123" s="477"/>
      <c r="L123" s="477"/>
      <c r="M123" s="477"/>
      <c r="N123" s="65"/>
      <c r="O123" s="65"/>
      <c r="P123" s="65"/>
      <c r="Q123" s="65"/>
      <c r="R123" s="65"/>
      <c r="S123" s="65"/>
      <c r="T123" s="65"/>
      <c r="U123" s="65"/>
      <c r="V123" s="65"/>
      <c r="W123" s="65"/>
      <c r="X123" s="65"/>
      <c r="Y123" s="65"/>
      <c r="Z123" s="65"/>
      <c r="AA123" s="65"/>
      <c r="AB123" s="65"/>
      <c r="AC123" s="65"/>
      <c r="AD123" s="65"/>
      <c r="AE123" s="65"/>
      <c r="AF123" s="65"/>
      <c r="AG123" s="65"/>
      <c r="AH123" s="65"/>
      <c r="AI123" s="65"/>
      <c r="AJ123" s="65"/>
      <c r="AK123" s="65"/>
      <c r="AL123" s="65"/>
      <c r="AM123" s="65"/>
      <c r="AN123" s="65"/>
      <c r="AO123" s="65"/>
      <c r="AP123" s="65"/>
      <c r="AQ123" s="65"/>
      <c r="AR123" s="65"/>
      <c r="AS123" s="65"/>
      <c r="AT123" s="125"/>
      <c r="AU123" s="65"/>
      <c r="AV123" s="65"/>
      <c r="AW123" s="65"/>
      <c r="AX123" s="65"/>
      <c r="AY123" s="65"/>
      <c r="AZ123" s="33"/>
      <c r="BA123" s="46"/>
      <c r="BB123" s="335"/>
      <c r="BC123" s="336"/>
      <c r="BD123" s="28"/>
      <c r="BG123" s="24"/>
      <c r="BH123" s="28"/>
    </row>
    <row r="124" spans="1:60" ht="14.15" customHeight="1">
      <c r="A124" s="22"/>
      <c r="B124" s="202">
        <v>35</v>
      </c>
      <c r="C124" s="331"/>
      <c r="D124" s="332"/>
      <c r="E124" s="65"/>
      <c r="F124" s="65"/>
      <c r="G124" s="65"/>
      <c r="H124" s="65"/>
      <c r="I124" s="65"/>
      <c r="J124" s="967"/>
      <c r="K124" s="967"/>
      <c r="L124" s="967"/>
      <c r="M124" s="967"/>
      <c r="N124" s="65"/>
      <c r="O124" s="65"/>
      <c r="P124" s="65"/>
      <c r="Q124" s="65"/>
      <c r="R124" s="65"/>
      <c r="S124" s="65"/>
      <c r="T124" s="65"/>
      <c r="U124" s="65"/>
      <c r="V124" s="65"/>
      <c r="W124" s="65"/>
      <c r="X124" s="65"/>
      <c r="Y124" s="65"/>
      <c r="Z124" s="65"/>
      <c r="AA124" s="65"/>
      <c r="AB124" s="65"/>
      <c r="AC124" s="65"/>
      <c r="AD124" s="65"/>
      <c r="AE124" s="65"/>
      <c r="AF124" s="65"/>
      <c r="AG124" s="65"/>
      <c r="AH124" s="65"/>
      <c r="AI124" s="65"/>
      <c r="AJ124" s="65"/>
      <c r="AK124" s="65"/>
      <c r="AL124" s="65"/>
      <c r="AM124" s="65"/>
      <c r="AN124" s="65"/>
      <c r="AO124" s="65"/>
      <c r="AP124" s="65"/>
      <c r="AQ124" s="65"/>
      <c r="AR124" s="65"/>
      <c r="AS124" s="65"/>
      <c r="AT124" s="125"/>
      <c r="AU124" s="65"/>
      <c r="AV124" s="65"/>
      <c r="AW124" s="65"/>
      <c r="AX124" s="65"/>
      <c r="AY124" s="65"/>
      <c r="AZ124" s="33"/>
      <c r="BA124" s="46"/>
      <c r="BB124" s="335"/>
      <c r="BC124" s="336"/>
      <c r="BD124" s="28"/>
      <c r="BG124" s="24"/>
      <c r="BH124" s="28"/>
    </row>
    <row r="125" spans="1:60" ht="5.15" customHeight="1">
      <c r="A125" s="22"/>
      <c r="B125" s="202"/>
      <c r="C125" s="296"/>
      <c r="D125" s="72"/>
      <c r="E125" s="72"/>
      <c r="F125" s="72"/>
      <c r="G125" s="72"/>
      <c r="H125" s="297"/>
      <c r="I125" s="278"/>
      <c r="J125" s="279"/>
      <c r="K125" s="278"/>
      <c r="L125" s="279"/>
      <c r="M125" s="298"/>
      <c r="N125" s="298"/>
      <c r="O125" s="263"/>
      <c r="P125" s="298"/>
      <c r="Q125" s="263"/>
      <c r="R125" s="298"/>
      <c r="S125" s="72"/>
      <c r="T125" s="72"/>
      <c r="U125" s="72"/>
      <c r="V125" s="72"/>
      <c r="W125" s="72"/>
      <c r="X125" s="297"/>
      <c r="Y125" s="278"/>
      <c r="Z125" s="279"/>
      <c r="AA125" s="278"/>
      <c r="AB125" s="279"/>
      <c r="AC125" s="298"/>
      <c r="AD125" s="298"/>
      <c r="AE125" s="263"/>
      <c r="AF125" s="298"/>
      <c r="AG125" s="263"/>
      <c r="AH125" s="298"/>
      <c r="AI125" s="280"/>
      <c r="AJ125" s="298"/>
      <c r="AK125" s="263"/>
      <c r="AL125" s="72"/>
      <c r="AM125" s="72"/>
      <c r="AN125" s="72"/>
      <c r="AO125" s="72"/>
      <c r="AP125" s="72"/>
      <c r="AQ125" s="72"/>
      <c r="AR125" s="72"/>
      <c r="AS125" s="72"/>
      <c r="AT125" s="72"/>
      <c r="AU125" s="72"/>
      <c r="AV125" s="300"/>
      <c r="AW125" s="72"/>
      <c r="AX125" s="72"/>
      <c r="AY125" s="265"/>
      <c r="AZ125" s="33"/>
      <c r="BA125" s="46"/>
      <c r="BB125" s="78"/>
      <c r="BC125" s="34"/>
      <c r="BD125" s="28"/>
    </row>
    <row r="126" spans="1:60" ht="14.15" customHeight="1">
      <c r="A126" s="23"/>
      <c r="B126" s="351"/>
      <c r="C126" s="282"/>
      <c r="D126" s="28" t="s">
        <v>240</v>
      </c>
      <c r="E126" s="28"/>
      <c r="F126" s="28"/>
      <c r="G126" s="28"/>
      <c r="H126" s="468" t="s">
        <v>245</v>
      </c>
      <c r="I126" s="257"/>
      <c r="J126" s="258"/>
      <c r="K126" s="258"/>
      <c r="L126" s="258"/>
      <c r="M126" s="259"/>
      <c r="N126" s="258"/>
      <c r="O126" s="110"/>
      <c r="P126" s="261" t="s">
        <v>33</v>
      </c>
      <c r="Q126" s="25"/>
      <c r="R126" s="469" t="s">
        <v>246</v>
      </c>
      <c r="S126" s="470"/>
      <c r="T126" s="471"/>
      <c r="U126" s="471"/>
      <c r="V126" s="483"/>
      <c r="W126" s="472"/>
      <c r="X126" s="471"/>
      <c r="Y126" s="473"/>
      <c r="Z126" s="474"/>
      <c r="AB126" s="469" t="s">
        <v>289</v>
      </c>
      <c r="AC126" s="470"/>
      <c r="AD126" s="471"/>
      <c r="AE126" s="471"/>
      <c r="AF126" s="471"/>
      <c r="AG126" s="472"/>
      <c r="AH126" s="471"/>
      <c r="AI126" s="473"/>
      <c r="AJ126" s="472"/>
      <c r="AK126" s="479"/>
      <c r="AL126" s="479"/>
      <c r="AM126" s="473"/>
      <c r="AN126" s="473"/>
      <c r="AO126" s="471"/>
      <c r="AP126" s="480"/>
      <c r="AQ126" s="471"/>
      <c r="AR126" s="471"/>
      <c r="AS126" s="471"/>
      <c r="AT126" s="471"/>
      <c r="AU126" s="481"/>
      <c r="AV126" s="473"/>
      <c r="AW126" s="473"/>
      <c r="AX126" s="482"/>
      <c r="AY126" s="347"/>
      <c r="AZ126" s="33"/>
      <c r="BA126" s="46"/>
      <c r="BB126" s="78"/>
      <c r="BC126" s="34"/>
      <c r="BD126" s="28"/>
      <c r="BG126" s="35"/>
    </row>
    <row r="127" spans="1:60" ht="14.15" customHeight="1">
      <c r="A127" s="23"/>
      <c r="B127" s="351"/>
      <c r="C127" s="282"/>
      <c r="D127" s="28"/>
      <c r="E127" s="28"/>
      <c r="F127" s="28"/>
      <c r="G127" s="28"/>
      <c r="H127" s="469" t="s">
        <v>54</v>
      </c>
      <c r="I127" s="470"/>
      <c r="J127" s="471"/>
      <c r="K127" s="471"/>
      <c r="L127" s="471"/>
      <c r="M127" s="472"/>
      <c r="N127" s="471"/>
      <c r="O127" s="473"/>
      <c r="P127" s="472"/>
      <c r="Q127" s="479"/>
      <c r="R127" s="479"/>
      <c r="S127" s="473"/>
      <c r="T127" s="473"/>
      <c r="U127" s="471"/>
      <c r="V127" s="480"/>
      <c r="W127" s="471"/>
      <c r="X127" s="471"/>
      <c r="Y127" s="471"/>
      <c r="Z127" s="471"/>
      <c r="AA127" s="481"/>
      <c r="AB127" s="473"/>
      <c r="AC127" s="473"/>
      <c r="AD127" s="479"/>
      <c r="AE127" s="471"/>
      <c r="AF127" s="471"/>
      <c r="AG127" s="472"/>
      <c r="AH127" s="471"/>
      <c r="AI127" s="473"/>
      <c r="AJ127" s="472"/>
      <c r="AK127" s="479"/>
      <c r="AL127" s="479"/>
      <c r="AM127" s="473"/>
      <c r="AN127" s="473"/>
      <c r="AO127" s="471"/>
      <c r="AP127" s="480"/>
      <c r="AQ127" s="471"/>
      <c r="AR127" s="471"/>
      <c r="AS127" s="471"/>
      <c r="AT127" s="471"/>
      <c r="AU127" s="481"/>
      <c r="AV127" s="473"/>
      <c r="AW127" s="473"/>
      <c r="AX127" s="482"/>
      <c r="AY127" s="347"/>
      <c r="AZ127" s="33"/>
      <c r="BA127" s="46"/>
      <c r="BB127" s="78"/>
      <c r="BC127" s="34"/>
      <c r="BD127" s="28"/>
      <c r="BG127" s="35"/>
    </row>
    <row r="128" spans="1:60" ht="5.15" customHeight="1">
      <c r="A128" s="22"/>
      <c r="B128" s="202"/>
      <c r="C128" s="315"/>
      <c r="D128" s="73"/>
      <c r="E128" s="73"/>
      <c r="F128" s="73"/>
      <c r="G128" s="73"/>
      <c r="H128" s="316"/>
      <c r="I128" s="275"/>
      <c r="J128" s="273"/>
      <c r="K128" s="275"/>
      <c r="L128" s="273"/>
      <c r="M128" s="317"/>
      <c r="N128" s="317"/>
      <c r="O128" s="270"/>
      <c r="P128" s="317"/>
      <c r="Q128" s="270"/>
      <c r="R128" s="317"/>
      <c r="S128" s="73"/>
      <c r="T128" s="73"/>
      <c r="U128" s="73"/>
      <c r="V128" s="73"/>
      <c r="W128" s="73"/>
      <c r="X128" s="316"/>
      <c r="Y128" s="275"/>
      <c r="Z128" s="273"/>
      <c r="AA128" s="275"/>
      <c r="AB128" s="273"/>
      <c r="AC128" s="317"/>
      <c r="AD128" s="317"/>
      <c r="AE128" s="270"/>
      <c r="AF128" s="317"/>
      <c r="AG128" s="270"/>
      <c r="AH128" s="317"/>
      <c r="AI128" s="276"/>
      <c r="AJ128" s="317"/>
      <c r="AK128" s="270"/>
      <c r="AL128" s="73"/>
      <c r="AM128" s="73"/>
      <c r="AN128" s="73"/>
      <c r="AO128" s="73"/>
      <c r="AP128" s="73"/>
      <c r="AQ128" s="73"/>
      <c r="AR128" s="73"/>
      <c r="AS128" s="73"/>
      <c r="AT128" s="73"/>
      <c r="AU128" s="73"/>
      <c r="AV128" s="318"/>
      <c r="AW128" s="73"/>
      <c r="AX128" s="73"/>
      <c r="AY128" s="277"/>
      <c r="AZ128" s="33"/>
      <c r="BA128" s="46"/>
      <c r="BB128" s="78"/>
      <c r="BC128" s="34"/>
      <c r="BD128" s="28"/>
    </row>
    <row r="129" spans="1:60" ht="5.15" customHeight="1">
      <c r="A129" s="22"/>
      <c r="B129" s="202"/>
      <c r="C129" s="476"/>
      <c r="D129" s="72"/>
      <c r="E129" s="72"/>
      <c r="F129" s="72"/>
      <c r="G129" s="72"/>
      <c r="H129" s="297"/>
      <c r="I129" s="278"/>
      <c r="J129" s="279"/>
      <c r="K129" s="278"/>
      <c r="L129" s="279"/>
      <c r="M129" s="298"/>
      <c r="N129" s="298"/>
      <c r="O129" s="263"/>
      <c r="P129" s="298"/>
      <c r="Q129" s="263"/>
      <c r="R129" s="298"/>
      <c r="S129" s="72"/>
      <c r="T129" s="72"/>
      <c r="U129" s="72"/>
      <c r="V129" s="72"/>
      <c r="W129" s="72"/>
      <c r="X129" s="297"/>
      <c r="Y129" s="278"/>
      <c r="Z129" s="279"/>
      <c r="AA129" s="278"/>
      <c r="AB129" s="279"/>
      <c r="AC129" s="298"/>
      <c r="AD129" s="298"/>
      <c r="AE129" s="263"/>
      <c r="AF129" s="298"/>
      <c r="AG129" s="263"/>
      <c r="AH129" s="298"/>
      <c r="AI129" s="280"/>
      <c r="AJ129" s="298"/>
      <c r="AK129" s="263"/>
      <c r="AL129" s="72"/>
      <c r="AM129" s="72"/>
      <c r="AN129" s="72"/>
      <c r="AO129" s="72"/>
      <c r="AP129" s="72"/>
      <c r="AQ129" s="72"/>
      <c r="AR129" s="72"/>
      <c r="AS129" s="72"/>
      <c r="AT129" s="72"/>
      <c r="AU129" s="72"/>
      <c r="AV129" s="300"/>
      <c r="AW129" s="72"/>
      <c r="AX129" s="72"/>
      <c r="AY129" s="264"/>
      <c r="AZ129" s="33"/>
      <c r="BA129" s="46"/>
      <c r="BB129" s="78"/>
      <c r="BC129" s="34"/>
      <c r="BD129" s="28"/>
    </row>
    <row r="130" spans="1:60" ht="14.15" customHeight="1">
      <c r="A130" s="22"/>
      <c r="B130" s="202">
        <v>35</v>
      </c>
      <c r="C130" s="62" t="s">
        <v>243</v>
      </c>
      <c r="D130" s="332"/>
      <c r="E130" s="65"/>
      <c r="F130" s="65"/>
      <c r="G130" s="65"/>
      <c r="H130" s="65"/>
      <c r="I130" s="65"/>
      <c r="J130" s="945"/>
      <c r="K130" s="945"/>
      <c r="L130" s="945"/>
      <c r="M130" s="945"/>
      <c r="N130" s="65"/>
      <c r="O130" s="65"/>
      <c r="P130" s="65"/>
      <c r="Q130" s="65"/>
      <c r="R130" s="65"/>
      <c r="S130" s="65"/>
      <c r="T130" s="65"/>
      <c r="U130" s="65"/>
      <c r="V130" s="65"/>
      <c r="W130" s="65"/>
      <c r="X130" s="65"/>
      <c r="Y130" s="65"/>
      <c r="Z130" s="65"/>
      <c r="AA130" s="65"/>
      <c r="AB130" s="65"/>
      <c r="AC130" s="65"/>
      <c r="AD130" s="65"/>
      <c r="AE130" s="65"/>
      <c r="AF130" s="65"/>
      <c r="AG130" s="65"/>
      <c r="AH130" s="65"/>
      <c r="AI130" s="65"/>
      <c r="AJ130" s="65"/>
      <c r="AK130" s="65"/>
      <c r="AL130" s="65"/>
      <c r="AM130" s="65"/>
      <c r="AN130" s="65"/>
      <c r="AO130" s="65"/>
      <c r="AP130" s="65"/>
      <c r="AQ130" s="65"/>
      <c r="AR130" s="65"/>
      <c r="AS130" s="65"/>
      <c r="AT130" s="125"/>
      <c r="AU130" s="65"/>
      <c r="AV130" s="65"/>
      <c r="AW130" s="65"/>
      <c r="AX130" s="65"/>
      <c r="AY130" s="65"/>
      <c r="AZ130" s="33"/>
      <c r="BA130" s="46"/>
      <c r="BB130" s="335"/>
      <c r="BC130" s="336"/>
      <c r="BD130" s="28"/>
      <c r="BG130" s="24"/>
      <c r="BH130" s="28"/>
    </row>
    <row r="131" spans="1:60" ht="5.15" customHeight="1">
      <c r="A131" s="22"/>
      <c r="B131" s="202"/>
      <c r="C131" s="296"/>
      <c r="D131" s="72"/>
      <c r="E131" s="72"/>
      <c r="F131" s="72"/>
      <c r="G131" s="72"/>
      <c r="H131" s="297"/>
      <c r="I131" s="278"/>
      <c r="J131" s="279"/>
      <c r="K131" s="278"/>
      <c r="L131" s="279"/>
      <c r="M131" s="298"/>
      <c r="N131" s="298"/>
      <c r="O131" s="263"/>
      <c r="P131" s="298"/>
      <c r="Q131" s="263"/>
      <c r="R131" s="298"/>
      <c r="S131" s="72"/>
      <c r="T131" s="72"/>
      <c r="U131" s="72"/>
      <c r="V131" s="72"/>
      <c r="W131" s="72"/>
      <c r="X131" s="297"/>
      <c r="Y131" s="278"/>
      <c r="Z131" s="279"/>
      <c r="AA131" s="278"/>
      <c r="AB131" s="279"/>
      <c r="AC131" s="298"/>
      <c r="AD131" s="298"/>
      <c r="AE131" s="263"/>
      <c r="AF131" s="298"/>
      <c r="AG131" s="263"/>
      <c r="AH131" s="298"/>
      <c r="AI131" s="280"/>
      <c r="AJ131" s="298"/>
      <c r="AK131" s="263"/>
      <c r="AL131" s="72"/>
      <c r="AM131" s="72"/>
      <c r="AN131" s="72"/>
      <c r="AO131" s="72"/>
      <c r="AP131" s="72"/>
      <c r="AQ131" s="72"/>
      <c r="AR131" s="72"/>
      <c r="AS131" s="72"/>
      <c r="AT131" s="72"/>
      <c r="AU131" s="72"/>
      <c r="AV131" s="300"/>
      <c r="AW131" s="72"/>
      <c r="AX131" s="72"/>
      <c r="AY131" s="265"/>
      <c r="AZ131" s="33"/>
      <c r="BA131" s="46"/>
      <c r="BB131" s="78"/>
      <c r="BC131" s="34"/>
      <c r="BD131" s="28"/>
    </row>
    <row r="132" spans="1:60" ht="14.15" customHeight="1">
      <c r="A132" s="23"/>
      <c r="B132" s="351"/>
      <c r="C132" s="282"/>
      <c r="D132" s="28" t="s">
        <v>240</v>
      </c>
      <c r="E132" s="28"/>
      <c r="F132" s="28"/>
      <c r="G132" s="28"/>
      <c r="H132" s="468" t="s">
        <v>241</v>
      </c>
      <c r="I132" s="257"/>
      <c r="J132" s="258"/>
      <c r="K132" s="258"/>
      <c r="L132" s="258"/>
      <c r="M132" s="259"/>
      <c r="N132" s="258"/>
      <c r="O132" s="110"/>
      <c r="P132" s="261" t="s">
        <v>33</v>
      </c>
      <c r="Q132" s="25"/>
      <c r="R132" s="469" t="s">
        <v>242</v>
      </c>
      <c r="S132" s="470"/>
      <c r="T132" s="471"/>
      <c r="U132" s="471"/>
      <c r="V132" s="483"/>
      <c r="W132" s="484" t="s">
        <v>254</v>
      </c>
      <c r="X132" s="471"/>
      <c r="Y132" s="473"/>
      <c r="Z132" s="474"/>
      <c r="AB132" s="529" t="s">
        <v>290</v>
      </c>
      <c r="AC132" s="530"/>
      <c r="AD132" s="531"/>
      <c r="AE132" s="531"/>
      <c r="AF132" s="531"/>
      <c r="AG132" s="532"/>
      <c r="AH132" s="531"/>
      <c r="AI132" s="533"/>
      <c r="AJ132" s="532"/>
      <c r="AK132" s="61"/>
      <c r="AL132" s="61"/>
      <c r="AM132" s="533"/>
      <c r="AN132" s="533"/>
      <c r="AO132" s="531"/>
      <c r="AP132" s="534"/>
      <c r="AQ132" s="531"/>
      <c r="AR132" s="531"/>
      <c r="AS132" s="531"/>
      <c r="AT132" s="531"/>
      <c r="AU132" s="535"/>
      <c r="AV132" s="533"/>
      <c r="AW132" s="533"/>
      <c r="AX132" s="70"/>
      <c r="AY132" s="347"/>
      <c r="AZ132" s="33"/>
      <c r="BA132" s="46"/>
      <c r="BB132" s="78"/>
      <c r="BC132" s="34"/>
      <c r="BD132" s="28"/>
      <c r="BG132" s="35"/>
    </row>
    <row r="133" spans="1:60" ht="14.15" customHeight="1">
      <c r="A133" s="23"/>
      <c r="B133" s="351"/>
      <c r="C133" s="282"/>
      <c r="D133" s="28"/>
      <c r="E133" s="28"/>
      <c r="F133" s="28"/>
      <c r="G133" s="28"/>
      <c r="H133" s="469" t="s">
        <v>253</v>
      </c>
      <c r="I133" s="470"/>
      <c r="J133" s="471"/>
      <c r="K133" s="471"/>
      <c r="L133" s="471"/>
      <c r="M133" s="472"/>
      <c r="N133" s="471"/>
      <c r="O133" s="473"/>
      <c r="P133" s="472"/>
      <c r="Q133" s="479"/>
      <c r="R133" s="479"/>
      <c r="S133" s="473"/>
      <c r="T133" s="473"/>
      <c r="U133" s="471"/>
      <c r="V133" s="480"/>
      <c r="W133" s="471"/>
      <c r="X133" s="471"/>
      <c r="Y133" s="471"/>
      <c r="Z133" s="471"/>
      <c r="AA133" s="481"/>
      <c r="AB133" s="473"/>
      <c r="AC133" s="473"/>
      <c r="AD133" s="479"/>
      <c r="AE133" s="471"/>
      <c r="AF133" s="471"/>
      <c r="AG133" s="472"/>
      <c r="AH133" s="471"/>
      <c r="AI133" s="473"/>
      <c r="AJ133" s="472"/>
      <c r="AK133" s="479"/>
      <c r="AL133" s="479"/>
      <c r="AM133" s="473"/>
      <c r="AN133" s="473"/>
      <c r="AO133" s="471"/>
      <c r="AP133" s="480"/>
      <c r="AQ133" s="471"/>
      <c r="AR133" s="471"/>
      <c r="AS133" s="471"/>
      <c r="AT133" s="471"/>
      <c r="AU133" s="481"/>
      <c r="AV133" s="473"/>
      <c r="AW133" s="473"/>
      <c r="AX133" s="482"/>
      <c r="AY133" s="347"/>
      <c r="AZ133" s="33"/>
      <c r="BA133" s="46"/>
      <c r="BB133" s="78"/>
      <c r="BC133" s="34"/>
      <c r="BD133" s="28"/>
      <c r="BG133" s="35"/>
    </row>
    <row r="134" spans="1:60" ht="5.15" customHeight="1">
      <c r="A134" s="22"/>
      <c r="B134" s="202"/>
      <c r="C134" s="315"/>
      <c r="D134" s="73"/>
      <c r="E134" s="73"/>
      <c r="F134" s="73"/>
      <c r="G134" s="73"/>
      <c r="H134" s="316"/>
      <c r="I134" s="275"/>
      <c r="J134" s="273"/>
      <c r="K134" s="275"/>
      <c r="L134" s="273"/>
      <c r="M134" s="317"/>
      <c r="N134" s="317"/>
      <c r="O134" s="270"/>
      <c r="P134" s="317"/>
      <c r="Q134" s="270"/>
      <c r="R134" s="317"/>
      <c r="S134" s="73"/>
      <c r="T134" s="73"/>
      <c r="U134" s="73"/>
      <c r="V134" s="73"/>
      <c r="W134" s="73"/>
      <c r="X134" s="316"/>
      <c r="Y134" s="275"/>
      <c r="Z134" s="273"/>
      <c r="AA134" s="275"/>
      <c r="AB134" s="273"/>
      <c r="AC134" s="317"/>
      <c r="AD134" s="317"/>
      <c r="AE134" s="270"/>
      <c r="AF134" s="317"/>
      <c r="AG134" s="270"/>
      <c r="AH134" s="317"/>
      <c r="AI134" s="276"/>
      <c r="AJ134" s="317"/>
      <c r="AK134" s="270"/>
      <c r="AL134" s="73"/>
      <c r="AM134" s="73"/>
      <c r="AN134" s="73"/>
      <c r="AO134" s="73"/>
      <c r="AP134" s="73"/>
      <c r="AQ134" s="73"/>
      <c r="AR134" s="73"/>
      <c r="AS134" s="73"/>
      <c r="AT134" s="73"/>
      <c r="AU134" s="73"/>
      <c r="AV134" s="318"/>
      <c r="AW134" s="73"/>
      <c r="AX134" s="73"/>
      <c r="AY134" s="277"/>
      <c r="AZ134" s="33"/>
      <c r="BA134" s="46"/>
      <c r="BB134" s="78"/>
      <c r="BC134" s="34"/>
      <c r="BD134" s="28"/>
    </row>
    <row r="135" spans="1:60" ht="5.15" customHeight="1">
      <c r="A135" s="22"/>
      <c r="B135" s="202"/>
      <c r="C135" s="476"/>
      <c r="D135" s="72"/>
      <c r="E135" s="72"/>
      <c r="F135" s="72"/>
      <c r="G135" s="72"/>
      <c r="H135" s="297"/>
      <c r="I135" s="278"/>
      <c r="J135" s="279"/>
      <c r="K135" s="278"/>
      <c r="L135" s="279"/>
      <c r="M135" s="298"/>
      <c r="N135" s="298"/>
      <c r="O135" s="263"/>
      <c r="P135" s="298"/>
      <c r="Q135" s="263"/>
      <c r="R135" s="298"/>
      <c r="S135" s="72"/>
      <c r="T135" s="72"/>
      <c r="U135" s="72"/>
      <c r="V135" s="72"/>
      <c r="W135" s="72"/>
      <c r="X135" s="297"/>
      <c r="Y135" s="278"/>
      <c r="Z135" s="279"/>
      <c r="AA135" s="278"/>
      <c r="AB135" s="279"/>
      <c r="AC135" s="298"/>
      <c r="AD135" s="298"/>
      <c r="AE135" s="263"/>
      <c r="AF135" s="298"/>
      <c r="AG135" s="263"/>
      <c r="AH135" s="298"/>
      <c r="AI135" s="280"/>
      <c r="AJ135" s="298"/>
      <c r="AK135" s="263"/>
      <c r="AL135" s="72"/>
      <c r="AM135" s="72"/>
      <c r="AN135" s="72"/>
      <c r="AO135" s="72"/>
      <c r="AP135" s="72"/>
      <c r="AQ135" s="72"/>
      <c r="AR135" s="72"/>
      <c r="AS135" s="72"/>
      <c r="AT135" s="72"/>
      <c r="AU135" s="72"/>
      <c r="AV135" s="300"/>
      <c r="AW135" s="72"/>
      <c r="AX135" s="72"/>
      <c r="AY135" s="264"/>
      <c r="AZ135" s="33"/>
      <c r="BA135" s="46"/>
      <c r="BB135" s="78"/>
      <c r="BC135" s="34"/>
      <c r="BD135" s="28"/>
    </row>
    <row r="136" spans="1:60" ht="14.15" customHeight="1">
      <c r="A136" s="22"/>
      <c r="B136" s="202">
        <v>35</v>
      </c>
      <c r="C136" s="62" t="s">
        <v>243</v>
      </c>
      <c r="D136" s="332"/>
      <c r="E136" s="65"/>
      <c r="F136" s="65"/>
      <c r="G136" s="65"/>
      <c r="H136" s="65"/>
      <c r="I136" s="65"/>
      <c r="J136" s="477"/>
      <c r="K136" s="477"/>
      <c r="L136" s="477"/>
      <c r="M136" s="477"/>
      <c r="N136" s="65"/>
      <c r="O136" s="65"/>
      <c r="P136" s="65"/>
      <c r="Q136" s="65"/>
      <c r="R136" s="65"/>
      <c r="S136" s="65"/>
      <c r="T136" s="65"/>
      <c r="U136" s="65"/>
      <c r="V136" s="65"/>
      <c r="W136" s="65"/>
      <c r="X136" s="65"/>
      <c r="Y136" s="65"/>
      <c r="Z136" s="65"/>
      <c r="AA136" s="65"/>
      <c r="AB136" s="65"/>
      <c r="AC136" s="65"/>
      <c r="AD136" s="65"/>
      <c r="AE136" s="65"/>
      <c r="AF136" s="65"/>
      <c r="AG136" s="65"/>
      <c r="AH136" s="65"/>
      <c r="AI136" s="65"/>
      <c r="AJ136" s="65"/>
      <c r="AK136" s="65"/>
      <c r="AL136" s="65"/>
      <c r="AM136" s="65"/>
      <c r="AN136" s="65"/>
      <c r="AO136" s="65"/>
      <c r="AP136" s="65"/>
      <c r="AQ136" s="65"/>
      <c r="AR136" s="65"/>
      <c r="AS136" s="65"/>
      <c r="AT136" s="125"/>
      <c r="AU136" s="65"/>
      <c r="AV136" s="65"/>
      <c r="AW136" s="65"/>
      <c r="AX136" s="65"/>
      <c r="AY136" s="65"/>
      <c r="AZ136" s="33"/>
      <c r="BA136" s="46"/>
      <c r="BB136" s="335"/>
      <c r="BC136" s="336"/>
      <c r="BD136" s="28"/>
      <c r="BG136" s="24"/>
      <c r="BH136" s="28"/>
    </row>
    <row r="137" spans="1:60" ht="14.15" customHeight="1">
      <c r="A137" s="22"/>
      <c r="B137" s="202">
        <v>35</v>
      </c>
      <c r="C137" s="331"/>
      <c r="D137" s="332"/>
      <c r="E137" s="65"/>
      <c r="F137" s="65"/>
      <c r="G137" s="65"/>
      <c r="H137" s="65"/>
      <c r="I137" s="65"/>
      <c r="J137" s="477"/>
      <c r="K137" s="477"/>
      <c r="L137" s="477"/>
      <c r="M137" s="477"/>
      <c r="N137" s="65"/>
      <c r="O137" s="65"/>
      <c r="P137" s="65"/>
      <c r="Q137" s="65"/>
      <c r="R137" s="65"/>
      <c r="S137" s="65"/>
      <c r="T137" s="65"/>
      <c r="U137" s="65"/>
      <c r="V137" s="65"/>
      <c r="W137" s="65"/>
      <c r="X137" s="65"/>
      <c r="Y137" s="65"/>
      <c r="Z137" s="65"/>
      <c r="AA137" s="65"/>
      <c r="AB137" s="65"/>
      <c r="AC137" s="65"/>
      <c r="AD137" s="65"/>
      <c r="AE137" s="65"/>
      <c r="AF137" s="65"/>
      <c r="AG137" s="65"/>
      <c r="AH137" s="65"/>
      <c r="AI137" s="65"/>
      <c r="AJ137" s="65"/>
      <c r="AK137" s="65"/>
      <c r="AL137" s="65"/>
      <c r="AM137" s="65"/>
      <c r="AN137" s="65"/>
      <c r="AO137" s="65"/>
      <c r="AP137" s="65"/>
      <c r="AQ137" s="65"/>
      <c r="AR137" s="65"/>
      <c r="AS137" s="65"/>
      <c r="AT137" s="125"/>
      <c r="AU137" s="65"/>
      <c r="AV137" s="65"/>
      <c r="AW137" s="65"/>
      <c r="AX137" s="65"/>
      <c r="AY137" s="65"/>
      <c r="AZ137" s="33"/>
      <c r="BA137" s="46"/>
      <c r="BB137" s="335"/>
      <c r="BC137" s="336"/>
      <c r="BD137" s="28"/>
      <c r="BG137" s="24"/>
      <c r="BH137" s="28"/>
    </row>
    <row r="138" spans="1:60" ht="14.15" customHeight="1">
      <c r="A138" s="22"/>
      <c r="B138" s="202">
        <v>35</v>
      </c>
      <c r="C138" s="346" t="s">
        <v>249</v>
      </c>
      <c r="D138" s="332"/>
      <c r="E138" s="65"/>
      <c r="F138" s="65"/>
      <c r="G138" s="65"/>
      <c r="H138" s="65"/>
      <c r="I138" s="65"/>
      <c r="J138" s="945"/>
      <c r="K138" s="945"/>
      <c r="L138" s="945"/>
      <c r="M138" s="945"/>
      <c r="N138" s="65"/>
      <c r="O138" s="65"/>
      <c r="P138" s="65"/>
      <c r="Q138" s="65"/>
      <c r="R138" s="65"/>
      <c r="S138" s="65"/>
      <c r="T138" s="65"/>
      <c r="U138" s="65"/>
      <c r="V138" s="65"/>
      <c r="W138" s="65"/>
      <c r="X138" s="65"/>
      <c r="Y138" s="65"/>
      <c r="Z138" s="65"/>
      <c r="AA138" s="65"/>
      <c r="AB138" s="65"/>
      <c r="AC138" s="65"/>
      <c r="AD138" s="65"/>
      <c r="AE138" s="65"/>
      <c r="AF138" s="65"/>
      <c r="AG138" s="65"/>
      <c r="AH138" s="65"/>
      <c r="AI138" s="65"/>
      <c r="AJ138" s="65"/>
      <c r="AK138" s="65"/>
      <c r="AL138" s="65"/>
      <c r="AM138" s="65"/>
      <c r="AN138" s="65"/>
      <c r="AO138" s="65"/>
      <c r="AP138" s="65"/>
      <c r="AQ138" s="65"/>
      <c r="AR138" s="65"/>
      <c r="AS138" s="65"/>
      <c r="AT138" s="125"/>
      <c r="AU138" s="65"/>
      <c r="AV138" s="65"/>
      <c r="AW138" s="65"/>
      <c r="AX138" s="65"/>
      <c r="AY138" s="65"/>
      <c r="AZ138" s="33"/>
      <c r="BA138" s="46"/>
      <c r="BB138" s="335"/>
      <c r="BC138" s="336"/>
      <c r="BD138" s="28"/>
      <c r="BG138" s="24"/>
      <c r="BH138" s="28"/>
    </row>
    <row r="139" spans="1:60" ht="5.15" customHeight="1">
      <c r="A139" s="22"/>
      <c r="B139" s="202"/>
      <c r="C139" s="296"/>
      <c r="D139" s="72"/>
      <c r="E139" s="72"/>
      <c r="F139" s="72"/>
      <c r="G139" s="72"/>
      <c r="H139" s="297"/>
      <c r="I139" s="278"/>
      <c r="J139" s="279"/>
      <c r="K139" s="278"/>
      <c r="L139" s="279"/>
      <c r="M139" s="298"/>
      <c r="N139" s="298"/>
      <c r="O139" s="263"/>
      <c r="P139" s="298"/>
      <c r="Q139" s="263"/>
      <c r="R139" s="298"/>
      <c r="S139" s="72"/>
      <c r="T139" s="72"/>
      <c r="U139" s="72"/>
      <c r="V139" s="72"/>
      <c r="W139" s="72"/>
      <c r="X139" s="297"/>
      <c r="Y139" s="278"/>
      <c r="Z139" s="279"/>
      <c r="AA139" s="278"/>
      <c r="AB139" s="279"/>
      <c r="AC139" s="298"/>
      <c r="AD139" s="298"/>
      <c r="AE139" s="263"/>
      <c r="AF139" s="298"/>
      <c r="AG139" s="263"/>
      <c r="AH139" s="298"/>
      <c r="AI139" s="280"/>
      <c r="AJ139" s="298"/>
      <c r="AK139" s="263"/>
      <c r="AL139" s="72"/>
      <c r="AM139" s="72"/>
      <c r="AN139" s="72"/>
      <c r="AO139" s="72"/>
      <c r="AP139" s="72"/>
      <c r="AQ139" s="72"/>
      <c r="AR139" s="72"/>
      <c r="AS139" s="72"/>
      <c r="AT139" s="72"/>
      <c r="AU139" s="72"/>
      <c r="AV139" s="300"/>
      <c r="AW139" s="72"/>
      <c r="AX139" s="72"/>
      <c r="AY139" s="265"/>
      <c r="AZ139" s="33"/>
      <c r="BA139" s="46"/>
      <c r="BB139" s="335"/>
      <c r="BC139" s="336"/>
      <c r="BD139" s="28"/>
    </row>
    <row r="140" spans="1:60" ht="13.5" customHeight="1">
      <c r="A140" s="22"/>
      <c r="B140" s="45"/>
      <c r="C140" s="266"/>
      <c r="D140" s="28" t="s">
        <v>250</v>
      </c>
      <c r="E140" s="28"/>
      <c r="F140" s="28"/>
      <c r="G140" s="28"/>
      <c r="H140" s="24"/>
      <c r="I140" s="24"/>
      <c r="J140" s="24"/>
      <c r="K140" s="24"/>
      <c r="L140" s="24"/>
      <c r="M140" s="127"/>
      <c r="N140" s="75"/>
      <c r="O140" s="84"/>
      <c r="P140" s="84"/>
      <c r="Q140" s="85"/>
      <c r="R140" s="75"/>
      <c r="S140" s="75"/>
      <c r="T140" s="75"/>
      <c r="U140" s="84"/>
      <c r="V140" s="85"/>
      <c r="W140" s="75"/>
      <c r="X140" s="65"/>
      <c r="Y140" s="28"/>
      <c r="Z140" s="28"/>
      <c r="AA140" s="28"/>
      <c r="AB140" s="28"/>
      <c r="AC140" s="28"/>
      <c r="AD140" s="28"/>
      <c r="AE140" s="28"/>
      <c r="AF140" s="28"/>
      <c r="AG140" s="28"/>
      <c r="AH140" s="28"/>
      <c r="AI140" s="28"/>
      <c r="AJ140" s="28"/>
      <c r="AK140" s="28"/>
      <c r="AL140" s="28"/>
      <c r="AM140" s="31"/>
      <c r="AN140" s="31"/>
      <c r="AO140" s="31"/>
      <c r="AP140" s="31"/>
      <c r="AQ140" s="31"/>
      <c r="AR140" s="31"/>
      <c r="AS140" s="31"/>
      <c r="AT140" s="31"/>
      <c r="AU140" s="31"/>
      <c r="AV140" s="31"/>
      <c r="AW140" s="31"/>
      <c r="AX140" s="65"/>
      <c r="AY140" s="267"/>
      <c r="AZ140" s="33"/>
      <c r="BA140" s="46"/>
      <c r="BB140" s="335"/>
      <c r="BC140" s="336"/>
      <c r="BD140" s="28"/>
      <c r="BE140" s="35"/>
      <c r="BF140" s="35"/>
      <c r="BG140" s="35"/>
    </row>
    <row r="141" spans="1:60" ht="13.5" customHeight="1">
      <c r="A141" s="22"/>
      <c r="B141" s="45"/>
      <c r="C141" s="266"/>
      <c r="D141" s="28"/>
      <c r="E141" s="28"/>
      <c r="F141" s="28"/>
      <c r="G141" s="28"/>
      <c r="H141" s="348" t="s">
        <v>252</v>
      </c>
      <c r="I141" s="131"/>
      <c r="J141" s="131"/>
      <c r="K141" s="131"/>
      <c r="L141" s="132"/>
      <c r="M141" s="132"/>
      <c r="N141" s="106"/>
      <c r="O141" s="133"/>
      <c r="P141" s="134"/>
      <c r="Q141" s="133" t="s">
        <v>251</v>
      </c>
      <c r="R141" s="134"/>
      <c r="S141" s="107"/>
      <c r="T141" s="107"/>
      <c r="U141" s="107"/>
      <c r="V141" s="107"/>
      <c r="W141" s="107"/>
      <c r="X141" s="107"/>
      <c r="Y141" s="107"/>
      <c r="Z141" s="107"/>
      <c r="AA141" s="107"/>
      <c r="AB141" s="107"/>
      <c r="AC141" s="107"/>
      <c r="AD141" s="107"/>
      <c r="AE141" s="107"/>
      <c r="AF141" s="107"/>
      <c r="AG141" s="107"/>
      <c r="AH141" s="107"/>
      <c r="AI141" s="107"/>
      <c r="AJ141" s="107"/>
      <c r="AK141" s="107"/>
      <c r="AL141" s="133" t="s">
        <v>44</v>
      </c>
      <c r="AM141" s="134"/>
      <c r="AN141" s="107"/>
      <c r="AO141" s="31"/>
      <c r="AP141" s="31"/>
      <c r="AQ141" s="31"/>
      <c r="AR141" s="31"/>
      <c r="AS141" s="31"/>
      <c r="AT141" s="31"/>
      <c r="AU141" s="31"/>
      <c r="AV141" s="31"/>
      <c r="AW141" s="31"/>
      <c r="AX141" s="65"/>
      <c r="AY141" s="267"/>
      <c r="AZ141" s="33"/>
      <c r="BA141" s="46"/>
      <c r="BB141" s="335"/>
      <c r="BC141" s="336"/>
      <c r="BD141" s="28"/>
      <c r="BE141" s="35"/>
      <c r="BF141" s="35"/>
      <c r="BG141" s="35"/>
    </row>
    <row r="142" spans="1:60" ht="13.5" customHeight="1">
      <c r="A142" s="22"/>
      <c r="B142" s="45"/>
      <c r="C142" s="266"/>
      <c r="D142" s="28"/>
      <c r="E142" s="28"/>
      <c r="F142" s="28"/>
      <c r="G142" s="28"/>
      <c r="H142" s="485" t="s">
        <v>255</v>
      </c>
      <c r="I142" s="137"/>
      <c r="J142" s="137"/>
      <c r="K142" s="137"/>
      <c r="L142" s="137"/>
      <c r="M142" s="137"/>
      <c r="N142" s="137"/>
      <c r="O142" s="350"/>
      <c r="P142" s="139"/>
      <c r="Q142" s="486" t="s">
        <v>54</v>
      </c>
      <c r="R142" s="139"/>
      <c r="S142" s="108"/>
      <c r="T142" s="108"/>
      <c r="U142" s="108"/>
      <c r="V142" s="156"/>
      <c r="W142" s="110"/>
      <c r="X142" s="110"/>
      <c r="Y142" s="156"/>
      <c r="Z142" s="156"/>
      <c r="AA142" s="110"/>
      <c r="AB142" s="110"/>
      <c r="AC142" s="37"/>
      <c r="AD142" s="37"/>
      <c r="AE142" s="37"/>
      <c r="AF142" s="37"/>
      <c r="AG142" s="37"/>
      <c r="AH142" s="37"/>
      <c r="AI142" s="37"/>
      <c r="AJ142" s="37"/>
      <c r="AK142" s="97"/>
      <c r="AL142" s="140"/>
      <c r="AM142" s="141"/>
      <c r="AN142" s="142"/>
      <c r="AO142" s="31"/>
      <c r="AP142" s="31"/>
      <c r="AQ142" s="31"/>
      <c r="AR142" s="31"/>
      <c r="AS142" s="31"/>
      <c r="AT142" s="31"/>
      <c r="AU142" s="31"/>
      <c r="AV142" s="31"/>
      <c r="AW142" s="31"/>
      <c r="AX142" s="65"/>
      <c r="AY142" s="267"/>
      <c r="AZ142" s="33"/>
      <c r="BA142" s="46"/>
      <c r="BB142" s="335"/>
      <c r="BC142" s="336"/>
      <c r="BD142" s="28"/>
      <c r="BE142" s="35"/>
      <c r="BF142" s="35"/>
      <c r="BG142" s="35"/>
    </row>
    <row r="143" spans="1:60" ht="13.5" customHeight="1">
      <c r="A143" s="22"/>
      <c r="B143" s="45"/>
      <c r="C143" s="266"/>
      <c r="D143" s="28"/>
      <c r="E143" s="28"/>
      <c r="F143" s="28"/>
      <c r="G143" s="28"/>
      <c r="H143" s="485" t="s">
        <v>256</v>
      </c>
      <c r="I143" s="137"/>
      <c r="J143" s="137"/>
      <c r="K143" s="137"/>
      <c r="L143" s="137"/>
      <c r="M143" s="137"/>
      <c r="N143" s="137"/>
      <c r="O143" s="350"/>
      <c r="P143" s="139"/>
      <c r="Q143" s="486" t="s">
        <v>54</v>
      </c>
      <c r="R143" s="139"/>
      <c r="S143" s="108"/>
      <c r="T143" s="108"/>
      <c r="U143" s="108"/>
      <c r="V143" s="156"/>
      <c r="W143" s="110"/>
      <c r="X143" s="110"/>
      <c r="Y143" s="156"/>
      <c r="Z143" s="156"/>
      <c r="AA143" s="110"/>
      <c r="AB143" s="110"/>
      <c r="AC143" s="37"/>
      <c r="AD143" s="37"/>
      <c r="AE143" s="37"/>
      <c r="AF143" s="37"/>
      <c r="AG143" s="37"/>
      <c r="AH143" s="37"/>
      <c r="AI143" s="37"/>
      <c r="AJ143" s="37"/>
      <c r="AK143" s="97"/>
      <c r="AL143" s="140"/>
      <c r="AM143" s="141"/>
      <c r="AN143" s="142"/>
      <c r="AO143" s="31"/>
      <c r="AP143" s="31"/>
      <c r="AQ143" s="31"/>
      <c r="AR143" s="31"/>
      <c r="AS143" s="31"/>
      <c r="AT143" s="31"/>
      <c r="AU143" s="31"/>
      <c r="AV143" s="31"/>
      <c r="AW143" s="31"/>
      <c r="AX143" s="65"/>
      <c r="AY143" s="267"/>
      <c r="AZ143" s="33"/>
      <c r="BA143" s="46"/>
      <c r="BB143" s="335"/>
      <c r="BC143" s="336"/>
      <c r="BD143" s="28"/>
      <c r="BE143" s="35"/>
      <c r="BF143" s="35"/>
      <c r="BG143" s="35"/>
    </row>
    <row r="144" spans="1:60" ht="13.5" customHeight="1">
      <c r="A144" s="22"/>
      <c r="B144" s="45"/>
      <c r="C144" s="266"/>
      <c r="D144" s="28"/>
      <c r="E144" s="28"/>
      <c r="F144" s="28"/>
      <c r="G144" s="28"/>
      <c r="H144" s="485" t="s">
        <v>257</v>
      </c>
      <c r="I144" s="137"/>
      <c r="J144" s="137"/>
      <c r="K144" s="137"/>
      <c r="L144" s="137"/>
      <c r="M144" s="137"/>
      <c r="N144" s="137"/>
      <c r="O144" s="350"/>
      <c r="P144" s="139"/>
      <c r="Q144" s="486" t="s">
        <v>54</v>
      </c>
      <c r="R144" s="139"/>
      <c r="S144" s="108"/>
      <c r="T144" s="108"/>
      <c r="U144" s="108"/>
      <c r="V144" s="156"/>
      <c r="W144" s="110"/>
      <c r="X144" s="110"/>
      <c r="Y144" s="156"/>
      <c r="Z144" s="156"/>
      <c r="AA144" s="110"/>
      <c r="AB144" s="110"/>
      <c r="AC144" s="37"/>
      <c r="AD144" s="37"/>
      <c r="AE144" s="37"/>
      <c r="AF144" s="37"/>
      <c r="AG144" s="37"/>
      <c r="AH144" s="37"/>
      <c r="AI144" s="37"/>
      <c r="AJ144" s="37"/>
      <c r="AK144" s="97"/>
      <c r="AL144" s="140"/>
      <c r="AM144" s="141"/>
      <c r="AN144" s="142"/>
      <c r="AO144" s="31"/>
      <c r="AP144" s="31"/>
      <c r="AQ144" s="31"/>
      <c r="AR144" s="31"/>
      <c r="AS144" s="31"/>
      <c r="AT144" s="31"/>
      <c r="AU144" s="31"/>
      <c r="AV144" s="31"/>
      <c r="AW144" s="31"/>
      <c r="AX144" s="65"/>
      <c r="AY144" s="267"/>
      <c r="AZ144" s="33"/>
      <c r="BA144" s="46"/>
      <c r="BB144" s="335"/>
      <c r="BC144" s="336"/>
      <c r="BD144" s="28"/>
      <c r="BE144" s="35"/>
      <c r="BF144" s="35"/>
      <c r="BG144" s="35"/>
    </row>
    <row r="145" spans="1:60" ht="5.15" customHeight="1">
      <c r="A145" s="22"/>
      <c r="B145" s="202"/>
      <c r="C145" s="315"/>
      <c r="D145" s="73"/>
      <c r="E145" s="73"/>
      <c r="F145" s="73"/>
      <c r="G145" s="73"/>
      <c r="H145" s="316"/>
      <c r="I145" s="275"/>
      <c r="J145" s="273"/>
      <c r="K145" s="275"/>
      <c r="L145" s="273"/>
      <c r="M145" s="317"/>
      <c r="N145" s="317"/>
      <c r="O145" s="270"/>
      <c r="P145" s="317"/>
      <c r="Q145" s="270"/>
      <c r="R145" s="317"/>
      <c r="S145" s="73"/>
      <c r="T145" s="73"/>
      <c r="U145" s="73"/>
      <c r="V145" s="73"/>
      <c r="W145" s="73"/>
      <c r="X145" s="316"/>
      <c r="Y145" s="275"/>
      <c r="Z145" s="273"/>
      <c r="AA145" s="275"/>
      <c r="AB145" s="273"/>
      <c r="AC145" s="317"/>
      <c r="AD145" s="317"/>
      <c r="AE145" s="270"/>
      <c r="AF145" s="317"/>
      <c r="AG145" s="270"/>
      <c r="AH145" s="317"/>
      <c r="AI145" s="276"/>
      <c r="AJ145" s="317"/>
      <c r="AK145" s="270"/>
      <c r="AL145" s="73"/>
      <c r="AM145" s="73"/>
      <c r="AN145" s="73"/>
      <c r="AO145" s="73"/>
      <c r="AP145" s="73"/>
      <c r="AQ145" s="73"/>
      <c r="AR145" s="73"/>
      <c r="AS145" s="73"/>
      <c r="AT145" s="73"/>
      <c r="AU145" s="73"/>
      <c r="AV145" s="318"/>
      <c r="AW145" s="73"/>
      <c r="AX145" s="73"/>
      <c r="AY145" s="277"/>
      <c r="AZ145" s="33"/>
      <c r="BA145" s="46"/>
      <c r="BB145" s="335"/>
      <c r="BC145" s="336"/>
      <c r="BD145" s="28"/>
    </row>
    <row r="146" spans="1:60" ht="14.15" customHeight="1">
      <c r="A146" s="22"/>
      <c r="B146" s="202">
        <v>35</v>
      </c>
      <c r="C146" s="331"/>
      <c r="D146" s="332"/>
      <c r="E146" s="65"/>
      <c r="F146" s="65"/>
      <c r="G146" s="65"/>
      <c r="H146" s="65"/>
      <c r="I146" s="65"/>
      <c r="J146" s="945"/>
      <c r="K146" s="945"/>
      <c r="L146" s="945"/>
      <c r="M146" s="945"/>
      <c r="N146" s="65"/>
      <c r="O146" s="65"/>
      <c r="P146" s="65"/>
      <c r="Q146" s="65"/>
      <c r="R146" s="65"/>
      <c r="S146" s="65"/>
      <c r="T146" s="65"/>
      <c r="U146" s="65"/>
      <c r="V146" s="65"/>
      <c r="W146" s="65"/>
      <c r="X146" s="65"/>
      <c r="Y146" s="65"/>
      <c r="Z146" s="65"/>
      <c r="AA146" s="65"/>
      <c r="AB146" s="65"/>
      <c r="AC146" s="65"/>
      <c r="AD146" s="65"/>
      <c r="AE146" s="65"/>
      <c r="AF146" s="65"/>
      <c r="AG146" s="65"/>
      <c r="AH146" s="65"/>
      <c r="AI146" s="65"/>
      <c r="AJ146" s="65"/>
      <c r="AK146" s="65"/>
      <c r="AL146" s="65"/>
      <c r="AM146" s="65"/>
      <c r="AN146" s="65"/>
      <c r="AO146" s="65"/>
      <c r="AP146" s="65"/>
      <c r="AQ146" s="65"/>
      <c r="AR146" s="65"/>
      <c r="AS146" s="65"/>
      <c r="AT146" s="125"/>
      <c r="AU146" s="65"/>
      <c r="AV146" s="65"/>
      <c r="AW146" s="65"/>
      <c r="AX146" s="65"/>
      <c r="AY146" s="65"/>
      <c r="AZ146" s="33"/>
      <c r="BA146" s="46"/>
      <c r="BB146" s="78"/>
      <c r="BC146" s="34"/>
      <c r="BD146" s="28"/>
      <c r="BG146" s="24"/>
      <c r="BH146" s="28"/>
    </row>
    <row r="147" spans="1:60" ht="13.5" customHeight="1">
      <c r="A147" s="22"/>
      <c r="B147" s="202">
        <v>36</v>
      </c>
      <c r="C147" s="331"/>
      <c r="D147" s="332"/>
      <c r="E147" s="65"/>
      <c r="F147" s="65"/>
      <c r="G147" s="65"/>
      <c r="H147" s="65"/>
      <c r="I147" s="65"/>
      <c r="J147" s="945"/>
      <c r="K147" s="945"/>
      <c r="L147" s="945"/>
      <c r="M147" s="945"/>
      <c r="N147" s="63"/>
      <c r="O147" s="65"/>
      <c r="P147" s="65"/>
      <c r="Q147" s="65"/>
      <c r="R147" s="28"/>
      <c r="S147" s="28"/>
      <c r="T147" s="31"/>
      <c r="U147" s="31"/>
      <c r="V147" s="31"/>
      <c r="W147" s="31"/>
      <c r="X147" s="31"/>
      <c r="Y147" s="44"/>
      <c r="Z147" s="31"/>
      <c r="AA147" s="28"/>
      <c r="AB147" s="44"/>
      <c r="AC147" s="31"/>
      <c r="AD147" s="28"/>
      <c r="AE147" s="44"/>
      <c r="AF147" s="28"/>
      <c r="AG147" s="116"/>
      <c r="AH147" s="41"/>
      <c r="AI147" s="116"/>
      <c r="AJ147" s="116"/>
      <c r="AK147" s="116"/>
      <c r="AL147" s="116"/>
      <c r="AM147" s="116"/>
      <c r="AN147" s="116"/>
      <c r="AO147" s="116"/>
      <c r="AP147" s="116"/>
      <c r="AQ147" s="116"/>
      <c r="AR147" s="116"/>
      <c r="AS147" s="116"/>
      <c r="AT147" s="116"/>
      <c r="AU147" s="116"/>
      <c r="AV147" s="116"/>
      <c r="AW147" s="116"/>
      <c r="AX147" s="116"/>
      <c r="AY147" s="116"/>
      <c r="AZ147" s="33"/>
      <c r="BA147" s="46"/>
      <c r="BB147" s="335"/>
      <c r="BC147" s="336"/>
      <c r="BD147" s="28"/>
      <c r="BG147" s="24"/>
      <c r="BH147" s="28"/>
    </row>
    <row r="148" spans="1:60" ht="13.5" customHeight="1">
      <c r="A148" s="22"/>
      <c r="B148" s="202">
        <v>37</v>
      </c>
      <c r="C148" s="331"/>
      <c r="D148" s="332"/>
      <c r="E148" s="65"/>
      <c r="F148" s="65"/>
      <c r="G148" s="65"/>
      <c r="H148" s="65"/>
      <c r="I148" s="65"/>
      <c r="J148" s="945"/>
      <c r="K148" s="945"/>
      <c r="L148" s="945"/>
      <c r="M148" s="945"/>
      <c r="N148" s="193"/>
      <c r="O148" s="195"/>
      <c r="P148" s="193"/>
      <c r="Q148" s="194"/>
      <c r="R148" s="194"/>
      <c r="S148" s="194"/>
      <c r="T148" s="196"/>
      <c r="U148" s="196"/>
      <c r="V148" s="196"/>
      <c r="W148" s="196"/>
      <c r="X148" s="196"/>
      <c r="Y148" s="195"/>
      <c r="Z148" s="196"/>
      <c r="AA148" s="194"/>
      <c r="AB148" s="195"/>
      <c r="AC148" s="196"/>
      <c r="AD148" s="194"/>
      <c r="AE148" s="195"/>
      <c r="AF148" s="194"/>
      <c r="AG148" s="194"/>
      <c r="AH148" s="195"/>
      <c r="AI148" s="194"/>
      <c r="AJ148" s="194"/>
      <c r="AK148" s="197"/>
      <c r="AL148" s="194"/>
      <c r="AM148" s="194"/>
      <c r="AN148" s="194"/>
      <c r="AO148" s="194"/>
      <c r="AP148" s="194"/>
      <c r="AQ148" s="194"/>
      <c r="AR148" s="194"/>
      <c r="AS148" s="194"/>
      <c r="AT148" s="194"/>
      <c r="AU148" s="194"/>
      <c r="AV148" s="194"/>
      <c r="AW148" s="194"/>
      <c r="AX148" s="194"/>
      <c r="AY148" s="194"/>
      <c r="AZ148" s="33"/>
      <c r="BA148" s="46"/>
      <c r="BB148" s="335"/>
      <c r="BC148" s="336"/>
      <c r="BD148" s="28"/>
      <c r="BG148" s="24"/>
      <c r="BH148" s="28"/>
    </row>
    <row r="149" spans="1:60">
      <c r="A149" s="22"/>
      <c r="B149" s="32"/>
      <c r="C149" s="28"/>
      <c r="D149" s="28"/>
      <c r="E149" s="28"/>
      <c r="F149" s="28"/>
      <c r="G149" s="28"/>
      <c r="H149" s="28"/>
      <c r="I149" s="28"/>
      <c r="J149" s="28"/>
      <c r="K149" s="28"/>
      <c r="L149" s="28"/>
      <c r="M149" s="28"/>
      <c r="N149" s="28"/>
      <c r="O149" s="28"/>
      <c r="P149" s="28"/>
      <c r="Q149" s="28"/>
      <c r="R149" s="28"/>
      <c r="S149" s="81"/>
      <c r="T149" s="81"/>
      <c r="U149" s="81"/>
      <c r="V149" s="81"/>
      <c r="W149" s="28"/>
      <c r="X149" s="28"/>
      <c r="Y149" s="81"/>
      <c r="Z149" s="81"/>
      <c r="AA149" s="28"/>
      <c r="AB149" s="28"/>
      <c r="AC149" s="28"/>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31"/>
      <c r="AZ149" s="33"/>
      <c r="BA149" s="46"/>
      <c r="BB149" s="335"/>
      <c r="BC149" s="336"/>
    </row>
    <row r="150" spans="1:60">
      <c r="A150" s="155"/>
      <c r="B150" s="95"/>
      <c r="C150" s="110"/>
      <c r="D150" s="110"/>
      <c r="E150" s="110"/>
      <c r="F150" s="110"/>
      <c r="G150" s="110"/>
      <c r="H150" s="110"/>
      <c r="I150" s="110"/>
      <c r="J150" s="110"/>
      <c r="K150" s="110"/>
      <c r="L150" s="110"/>
      <c r="M150" s="110"/>
      <c r="N150" s="110"/>
      <c r="O150" s="110"/>
      <c r="P150" s="110"/>
      <c r="Q150" s="110"/>
      <c r="R150" s="110"/>
      <c r="S150" s="156"/>
      <c r="T150" s="156"/>
      <c r="U150" s="156"/>
      <c r="V150" s="156"/>
      <c r="W150" s="110"/>
      <c r="X150" s="110"/>
      <c r="Y150" s="156"/>
      <c r="Z150" s="156"/>
      <c r="AA150" s="110"/>
      <c r="AB150" s="110"/>
      <c r="AC150" s="110"/>
      <c r="AD150" s="156"/>
      <c r="AE150" s="156"/>
      <c r="AF150" s="156"/>
      <c r="AG150" s="156"/>
      <c r="AH150" s="156"/>
      <c r="AI150" s="156"/>
      <c r="AJ150" s="156"/>
      <c r="AK150" s="156"/>
      <c r="AL150" s="156"/>
      <c r="AM150" s="156"/>
      <c r="AN150" s="156"/>
      <c r="AO150" s="156"/>
      <c r="AP150" s="156"/>
      <c r="AQ150" s="156"/>
      <c r="AR150" s="156"/>
      <c r="AS150" s="156"/>
      <c r="AT150" s="156"/>
      <c r="AU150" s="156"/>
      <c r="AV150" s="156"/>
      <c r="AW150" s="156"/>
      <c r="AX150" s="156"/>
      <c r="AY150" s="95"/>
      <c r="AZ150" s="95"/>
      <c r="BA150" s="157"/>
      <c r="BB150" s="355"/>
      <c r="BC150" s="356"/>
    </row>
  </sheetData>
  <mergeCells count="142">
    <mergeCell ref="BE85:BH85"/>
    <mergeCell ref="X90:AA90"/>
    <mergeCell ref="AB90:AE90"/>
    <mergeCell ref="AF90:AJ90"/>
    <mergeCell ref="AK90:AN90"/>
    <mergeCell ref="AO90:AR90"/>
    <mergeCell ref="AS90:AV90"/>
    <mergeCell ref="AW90:AZ90"/>
    <mergeCell ref="BA90:BD90"/>
    <mergeCell ref="BE90:BH90"/>
    <mergeCell ref="BA85:BD85"/>
    <mergeCell ref="CC80:CE80"/>
    <mergeCell ref="X81:AA81"/>
    <mergeCell ref="AB81:AE81"/>
    <mergeCell ref="AF81:AJ81"/>
    <mergeCell ref="AK81:AN81"/>
    <mergeCell ref="AO81:AR81"/>
    <mergeCell ref="BA81:BD81"/>
    <mergeCell ref="BE81:BH81"/>
    <mergeCell ref="BQ80:BT80"/>
    <mergeCell ref="J121:M121"/>
    <mergeCell ref="BY80:CB80"/>
    <mergeCell ref="BY81:CB81"/>
    <mergeCell ref="BU80:BX80"/>
    <mergeCell ref="BU81:BX81"/>
    <mergeCell ref="BA91:BD91"/>
    <mergeCell ref="BE91:BH91"/>
    <mergeCell ref="BI80:BL80"/>
    <mergeCell ref="J93:M93"/>
    <mergeCell ref="BM80:BP80"/>
    <mergeCell ref="AS80:AV80"/>
    <mergeCell ref="AW80:AZ80"/>
    <mergeCell ref="X86:AA86"/>
    <mergeCell ref="AB86:AE86"/>
    <mergeCell ref="AF86:AJ86"/>
    <mergeCell ref="AK86:AN86"/>
    <mergeCell ref="AO86:AR86"/>
    <mergeCell ref="AS86:AV86"/>
    <mergeCell ref="AW86:AZ86"/>
    <mergeCell ref="BA86:BD86"/>
    <mergeCell ref="BE86:BH86"/>
    <mergeCell ref="X85:AA85"/>
    <mergeCell ref="AB85:AE85"/>
    <mergeCell ref="AF85:AJ85"/>
    <mergeCell ref="J147:M147"/>
    <mergeCell ref="R98:U98"/>
    <mergeCell ref="J148:M148"/>
    <mergeCell ref="BM81:BP81"/>
    <mergeCell ref="CC81:CE81"/>
    <mergeCell ref="X91:AA91"/>
    <mergeCell ref="AF91:AJ91"/>
    <mergeCell ref="AB91:AE91"/>
    <mergeCell ref="AK91:AN91"/>
    <mergeCell ref="AO91:AR91"/>
    <mergeCell ref="AS91:AV91"/>
    <mergeCell ref="BQ81:BT81"/>
    <mergeCell ref="J124:M124"/>
    <mergeCell ref="J130:M130"/>
    <mergeCell ref="J138:M138"/>
    <mergeCell ref="J146:M146"/>
    <mergeCell ref="J122:M122"/>
    <mergeCell ref="AS81:AV81"/>
    <mergeCell ref="AW81:AZ81"/>
    <mergeCell ref="BI81:BL81"/>
    <mergeCell ref="N102:S102"/>
    <mergeCell ref="T102:Y102"/>
    <mergeCell ref="Z102:AC102"/>
    <mergeCell ref="N97:S97"/>
    <mergeCell ref="AW91:AZ91"/>
    <mergeCell ref="AK85:AN85"/>
    <mergeCell ref="AO85:AR85"/>
    <mergeCell ref="AS85:AV85"/>
    <mergeCell ref="AW85:AZ85"/>
    <mergeCell ref="N96:S96"/>
    <mergeCell ref="T96:Y96"/>
    <mergeCell ref="Z96:AC96"/>
    <mergeCell ref="N101:S101"/>
    <mergeCell ref="T101:Y101"/>
    <mergeCell ref="Z101:AC101"/>
    <mergeCell ref="R57:U57"/>
    <mergeCell ref="J114:M114"/>
    <mergeCell ref="N64:S64"/>
    <mergeCell ref="T64:Y64"/>
    <mergeCell ref="N70:S70"/>
    <mergeCell ref="T70:Y70"/>
    <mergeCell ref="Z70:AC70"/>
    <mergeCell ref="T97:Y97"/>
    <mergeCell ref="Z97:AC97"/>
    <mergeCell ref="BG56:BI56"/>
    <mergeCell ref="AY56:BB56"/>
    <mergeCell ref="BG57:BI57"/>
    <mergeCell ref="X80:AA80"/>
    <mergeCell ref="AB80:AE80"/>
    <mergeCell ref="AF80:AJ80"/>
    <mergeCell ref="AK80:AN80"/>
    <mergeCell ref="AO80:AR80"/>
    <mergeCell ref="BA80:BD80"/>
    <mergeCell ref="BE80:BH80"/>
    <mergeCell ref="AY57:BB57"/>
    <mergeCell ref="BC56:BF56"/>
    <mergeCell ref="BC57:BF57"/>
    <mergeCell ref="AI57:AL57"/>
    <mergeCell ref="AM57:AP57"/>
    <mergeCell ref="AQ57:AT57"/>
    <mergeCell ref="Z57:AD57"/>
    <mergeCell ref="AU57:AX57"/>
    <mergeCell ref="Z64:AC64"/>
    <mergeCell ref="BB5:BC5"/>
    <mergeCell ref="R56:U56"/>
    <mergeCell ref="AI56:AL56"/>
    <mergeCell ref="AM56:AP56"/>
    <mergeCell ref="AQ56:AT56"/>
    <mergeCell ref="Z56:AD56"/>
    <mergeCell ref="AU56:AX56"/>
    <mergeCell ref="AV1:AY1"/>
    <mergeCell ref="A5:BA5"/>
    <mergeCell ref="AZ1:BC1"/>
    <mergeCell ref="A2:H2"/>
    <mergeCell ref="I2:L2"/>
    <mergeCell ref="M2:W2"/>
    <mergeCell ref="AK2:AM2"/>
    <mergeCell ref="AN2:AR2"/>
    <mergeCell ref="AS2:AU2"/>
    <mergeCell ref="A1:H1"/>
    <mergeCell ref="I1:L1"/>
    <mergeCell ref="M1:W1"/>
    <mergeCell ref="X1:Z2"/>
    <mergeCell ref="H47:L47"/>
    <mergeCell ref="H48:L48"/>
    <mergeCell ref="AA1:AJ2"/>
    <mergeCell ref="AK1:AM1"/>
    <mergeCell ref="AN1:AR1"/>
    <mergeCell ref="AS1:AU1"/>
    <mergeCell ref="AV2:AY2"/>
    <mergeCell ref="AZ2:BC3"/>
    <mergeCell ref="A3:H3"/>
    <mergeCell ref="I3:L3"/>
    <mergeCell ref="M3:W3"/>
    <mergeCell ref="X3:Z3"/>
    <mergeCell ref="AA3:AR3"/>
    <mergeCell ref="AS3:AU3"/>
    <mergeCell ref="AV3:AY3"/>
  </mergeCells>
  <phoneticPr fontId="57"/>
  <conditionalFormatting sqref="AK85:AV86">
    <cfRule type="cellIs" dxfId="19" priority="4" operator="lessThan">
      <formula>0</formula>
    </cfRule>
  </conditionalFormatting>
  <conditionalFormatting sqref="AK90:AV91">
    <cfRule type="cellIs" dxfId="18" priority="2" operator="lessThan">
      <formula>0</formula>
    </cfRule>
  </conditionalFormatting>
  <conditionalFormatting sqref="BA80:BD81">
    <cfRule type="cellIs" dxfId="17" priority="14" operator="lessThan">
      <formula>0.3</formula>
    </cfRule>
  </conditionalFormatting>
  <conditionalFormatting sqref="BE80:BH81">
    <cfRule type="cellIs" dxfId="16" priority="13" operator="lessThan">
      <formula>0</formula>
    </cfRule>
  </conditionalFormatting>
  <conditionalFormatting sqref="BE85:BH86">
    <cfRule type="cellIs" dxfId="15" priority="3" operator="lessThan">
      <formula>0.3</formula>
    </cfRule>
  </conditionalFormatting>
  <conditionalFormatting sqref="BE90:BH91">
    <cfRule type="cellIs" dxfId="14" priority="1" operator="lessThan">
      <formula>0.3</formula>
    </cfRule>
  </conditionalFormatting>
  <conditionalFormatting sqref="BQ80:BT81">
    <cfRule type="cellIs" dxfId="13" priority="11" operator="lessThan">
      <formula>0.3</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74EBD-1876-4CED-B80F-E839595C5CAB}">
  <dimension ref="A1:CM117"/>
  <sheetViews>
    <sheetView showGridLines="0" zoomScaleNormal="100" zoomScaleSheetLayoutView="100" workbookViewId="0">
      <selection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40" t="s">
        <v>4</v>
      </c>
      <c r="B1" s="740"/>
      <c r="C1" s="740"/>
      <c r="D1" s="740"/>
      <c r="E1" s="740"/>
      <c r="F1" s="740"/>
      <c r="G1" s="740"/>
      <c r="H1" s="740"/>
      <c r="I1" s="727" t="s">
        <v>5</v>
      </c>
      <c r="J1" s="727"/>
      <c r="K1" s="727"/>
      <c r="L1" s="727"/>
      <c r="M1" s="738" t="str">
        <f>変更来歴!M1</f>
        <v>ヒロセ電機株式会社</v>
      </c>
      <c r="N1" s="738"/>
      <c r="O1" s="738"/>
      <c r="P1" s="738"/>
      <c r="Q1" s="738"/>
      <c r="R1" s="738"/>
      <c r="S1" s="738"/>
      <c r="T1" s="738"/>
      <c r="U1" s="738"/>
      <c r="V1" s="738"/>
      <c r="W1" s="738"/>
      <c r="X1" s="727" t="s">
        <v>7</v>
      </c>
      <c r="Y1" s="727"/>
      <c r="Z1" s="727"/>
      <c r="AA1" s="742" t="str">
        <f>変更来歴!AA1</f>
        <v>化学物質データ申請</v>
      </c>
      <c r="AB1" s="742"/>
      <c r="AC1" s="742"/>
      <c r="AD1" s="742"/>
      <c r="AE1" s="742"/>
      <c r="AF1" s="742"/>
      <c r="AG1" s="742"/>
      <c r="AH1" s="742"/>
      <c r="AI1" s="742"/>
      <c r="AJ1" s="742"/>
      <c r="AK1" s="716" t="s">
        <v>8</v>
      </c>
      <c r="AL1" s="716"/>
      <c r="AM1" s="716"/>
      <c r="AN1" s="718" t="str">
        <f>変更来歴!AP7</f>
        <v>古竹</v>
      </c>
      <c r="AO1" s="718"/>
      <c r="AP1" s="718"/>
      <c r="AQ1" s="718"/>
      <c r="AR1" s="718"/>
      <c r="AS1" s="716" t="s">
        <v>9</v>
      </c>
      <c r="AT1" s="716"/>
      <c r="AU1" s="716"/>
      <c r="AV1" s="719">
        <f>変更来歴!AL7</f>
        <v>46125</v>
      </c>
      <c r="AW1" s="717"/>
      <c r="AX1" s="717"/>
      <c r="AY1" s="717"/>
      <c r="AZ1" s="723" t="s">
        <v>10</v>
      </c>
      <c r="BA1" s="724"/>
      <c r="BB1" s="724"/>
      <c r="BC1" s="725"/>
    </row>
    <row r="2" spans="1:59">
      <c r="A2" s="726" t="s">
        <v>16</v>
      </c>
      <c r="B2" s="726"/>
      <c r="C2" s="726"/>
      <c r="D2" s="726"/>
      <c r="E2" s="726"/>
      <c r="F2" s="726"/>
      <c r="G2" s="726"/>
      <c r="H2" s="726"/>
      <c r="I2" s="727" t="s">
        <v>11</v>
      </c>
      <c r="J2" s="727"/>
      <c r="K2" s="727"/>
      <c r="L2" s="727"/>
      <c r="M2" s="762" t="str">
        <f>変更来歴!M2</f>
        <v>　</v>
      </c>
      <c r="N2" s="762"/>
      <c r="O2" s="762"/>
      <c r="P2" s="762"/>
      <c r="Q2" s="762"/>
      <c r="R2" s="762"/>
      <c r="S2" s="762"/>
      <c r="T2" s="762"/>
      <c r="U2" s="762"/>
      <c r="V2" s="762"/>
      <c r="W2" s="762"/>
      <c r="X2" s="727"/>
      <c r="Y2" s="727"/>
      <c r="Z2" s="727"/>
      <c r="AA2" s="742"/>
      <c r="AB2" s="742"/>
      <c r="AC2" s="742"/>
      <c r="AD2" s="742"/>
      <c r="AE2" s="742"/>
      <c r="AF2" s="742"/>
      <c r="AG2" s="742"/>
      <c r="AH2" s="742"/>
      <c r="AI2" s="742"/>
      <c r="AJ2" s="742"/>
      <c r="AK2" s="716" t="s">
        <v>12</v>
      </c>
      <c r="AL2" s="716"/>
      <c r="AM2" s="716"/>
      <c r="AN2" s="718" t="str">
        <f ca="1">INDIRECT("変更来歴!AP" &amp; COUNTA(変更来歴!AP7:'変更来歴'!AP39) + 6)</f>
        <v>古竹</v>
      </c>
      <c r="AO2" s="718"/>
      <c r="AP2" s="718"/>
      <c r="AQ2" s="718"/>
      <c r="AR2" s="718"/>
      <c r="AS2" s="716" t="s">
        <v>13</v>
      </c>
      <c r="AT2" s="716"/>
      <c r="AU2" s="716"/>
      <c r="AV2" s="719">
        <f ca="1">INDIRECT("変更来歴!AL" &amp; COUNTA(変更来歴!AL7:'変更来歴'!AL39) + 6)</f>
        <v>46162</v>
      </c>
      <c r="AW2" s="717"/>
      <c r="AX2" s="717"/>
      <c r="AY2" s="717"/>
      <c r="AZ2" s="731" t="str">
        <f>変更来歴!AX2</f>
        <v>IMWF-53</v>
      </c>
      <c r="BA2" s="732"/>
      <c r="BB2" s="732"/>
      <c r="BC2" s="733"/>
    </row>
    <row r="3" spans="1:59" ht="12" customHeight="1">
      <c r="A3" s="737" t="str">
        <f>変更来歴!A3</f>
        <v>画面設計書</v>
      </c>
      <c r="B3" s="737"/>
      <c r="C3" s="737"/>
      <c r="D3" s="737"/>
      <c r="E3" s="737"/>
      <c r="F3" s="737"/>
      <c r="G3" s="737"/>
      <c r="H3" s="737"/>
      <c r="I3" s="727" t="s">
        <v>14</v>
      </c>
      <c r="J3" s="727"/>
      <c r="K3" s="727"/>
      <c r="L3" s="727"/>
      <c r="M3" s="738" t="str">
        <f ca="1">RIGHT(CELL("filename",A1),LEN(CELL("filename",A1))-FIND("]",CELL("filename",A1)))</f>
        <v>外貨(技術原計)</v>
      </c>
      <c r="N3" s="738"/>
      <c r="O3" s="738"/>
      <c r="P3" s="738"/>
      <c r="Q3" s="738"/>
      <c r="R3" s="738"/>
      <c r="S3" s="738"/>
      <c r="T3" s="738"/>
      <c r="U3" s="738"/>
      <c r="V3" s="738"/>
      <c r="W3" s="738"/>
      <c r="X3" s="727" t="s">
        <v>27</v>
      </c>
      <c r="Y3" s="727"/>
      <c r="Z3" s="727"/>
      <c r="AA3" s="739" t="str">
        <f ca="1">MID(CELL("filename"),FIND("]",CELL("filename"))+1,LEN(CELL("filename"))) &amp; "画面"</f>
        <v>表紙画面</v>
      </c>
      <c r="AB3" s="739"/>
      <c r="AC3" s="739"/>
      <c r="AD3" s="739"/>
      <c r="AE3" s="739"/>
      <c r="AF3" s="739"/>
      <c r="AG3" s="739"/>
      <c r="AH3" s="739"/>
      <c r="AI3" s="739"/>
      <c r="AJ3" s="739"/>
      <c r="AK3" s="739"/>
      <c r="AL3" s="739"/>
      <c r="AM3" s="739"/>
      <c r="AN3" s="739"/>
      <c r="AO3" s="739"/>
      <c r="AP3" s="739"/>
      <c r="AQ3" s="739"/>
      <c r="AR3" s="739"/>
      <c r="AS3" s="716" t="s">
        <v>15</v>
      </c>
      <c r="AT3" s="716"/>
      <c r="AU3" s="716"/>
      <c r="AV3" s="717" t="str">
        <f ca="1">INDIRECT("変更来歴!A" &amp; COUNTA(変更来歴!A7:'変更来歴'!A39) + 6)</f>
        <v>r1.2</v>
      </c>
      <c r="AW3" s="717"/>
      <c r="AX3" s="717"/>
      <c r="AY3" s="717"/>
      <c r="AZ3" s="734"/>
      <c r="BA3" s="735"/>
      <c r="BB3" s="735"/>
      <c r="BC3" s="736"/>
    </row>
    <row r="4" spans="1:59" ht="5.9" customHeight="1"/>
    <row r="5" spans="1:59" ht="13.5" customHeight="1">
      <c r="A5" s="763" t="str">
        <f ca="1">"画面レイアウト"&amp;"("&amp;MID(CELL("filename"),FIND("]",CELL("filename"))+1,LEN(CELL("filename")))&amp;")"</f>
        <v>画面レイアウト(表紙)</v>
      </c>
      <c r="B5" s="764"/>
      <c r="C5" s="764"/>
      <c r="D5" s="764"/>
      <c r="E5" s="764"/>
      <c r="F5" s="764"/>
      <c r="G5" s="764"/>
      <c r="H5" s="764"/>
      <c r="I5" s="764"/>
      <c r="J5" s="764"/>
      <c r="K5" s="764"/>
      <c r="L5" s="764"/>
      <c r="M5" s="764"/>
      <c r="N5" s="764"/>
      <c r="O5" s="764"/>
      <c r="P5" s="764"/>
      <c r="Q5" s="764"/>
      <c r="R5" s="764"/>
      <c r="S5" s="764"/>
      <c r="T5" s="764"/>
      <c r="U5" s="764"/>
      <c r="V5" s="764"/>
      <c r="W5" s="764"/>
      <c r="X5" s="764"/>
      <c r="Y5" s="764"/>
      <c r="Z5" s="764"/>
      <c r="AA5" s="764"/>
      <c r="AB5" s="764"/>
      <c r="AC5" s="764"/>
      <c r="AD5" s="764"/>
      <c r="AE5" s="764"/>
      <c r="AF5" s="764"/>
      <c r="AG5" s="764"/>
      <c r="AH5" s="764"/>
      <c r="AI5" s="764"/>
      <c r="AJ5" s="764"/>
      <c r="AK5" s="764"/>
      <c r="AL5" s="764"/>
      <c r="AM5" s="764"/>
      <c r="AN5" s="764"/>
      <c r="AO5" s="764"/>
      <c r="AP5" s="764"/>
      <c r="AQ5" s="764"/>
      <c r="AR5" s="764"/>
      <c r="AS5" s="764"/>
      <c r="AT5" s="764"/>
      <c r="AU5" s="764"/>
      <c r="AV5" s="764"/>
      <c r="AW5" s="764"/>
      <c r="AX5" s="764"/>
      <c r="AY5" s="764"/>
      <c r="AZ5" s="764"/>
      <c r="BA5" s="765"/>
      <c r="BB5" s="766" t="s">
        <v>24</v>
      </c>
      <c r="BC5" s="767"/>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286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456">
        <v>0.05</v>
      </c>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28"/>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267</v>
      </c>
      <c r="D26" s="28"/>
      <c r="E26" s="28"/>
      <c r="F26" s="28"/>
      <c r="H26" s="58"/>
      <c r="I26" s="59"/>
      <c r="J26" s="59"/>
      <c r="K26" s="59"/>
      <c r="L26" s="60"/>
      <c r="M26" s="59"/>
      <c r="N26" s="61"/>
      <c r="O26" s="61"/>
      <c r="P26" s="70"/>
      <c r="Q26" s="64"/>
      <c r="R26" s="28"/>
      <c r="S26" s="35"/>
      <c r="T26" s="28" t="s">
        <v>265</v>
      </c>
      <c r="V26" s="28"/>
      <c r="W26" s="28"/>
      <c r="Y26" s="58"/>
      <c r="Z26" s="59"/>
      <c r="AA26" s="59"/>
      <c r="AB26" s="59"/>
      <c r="AC26" s="60"/>
      <c r="AD26" s="59"/>
      <c r="AE26" s="61"/>
      <c r="AF26" s="61"/>
      <c r="AG26" s="70"/>
      <c r="AH26" s="28"/>
      <c r="AI26" s="28"/>
      <c r="AJ26" s="28"/>
      <c r="AL26" s="28"/>
      <c r="AM26" s="28"/>
      <c r="AN26" s="28"/>
      <c r="AO26" s="35"/>
      <c r="AP26" s="62"/>
      <c r="AQ26" s="63"/>
      <c r="AR26" s="63"/>
      <c r="AS26" s="63"/>
      <c r="AT26" s="64"/>
      <c r="AU26" s="63"/>
      <c r="AV26" s="65"/>
      <c r="AW26" s="65"/>
      <c r="AX26" s="65"/>
      <c r="AY26" s="283"/>
      <c r="AZ26" s="33"/>
      <c r="BA26" s="46"/>
      <c r="BB26" s="78"/>
      <c r="BC26" s="34"/>
      <c r="BD26" s="28"/>
      <c r="BE26" s="35"/>
      <c r="BF26" s="35"/>
      <c r="BG26" s="35"/>
    </row>
    <row r="27" spans="1:59" ht="14.15" customHeight="1">
      <c r="A27" s="22"/>
      <c r="B27" s="256"/>
      <c r="C27" s="497" t="s">
        <v>273</v>
      </c>
      <c r="F27" s="285"/>
      <c r="G27" s="285"/>
      <c r="H27" s="98" t="s">
        <v>122</v>
      </c>
      <c r="I27" s="257"/>
      <c r="J27" s="258"/>
      <c r="K27" s="258"/>
      <c r="L27" s="258"/>
      <c r="M27" s="259"/>
      <c r="N27" s="258"/>
      <c r="O27" s="110"/>
      <c r="P27" s="260" t="s">
        <v>33</v>
      </c>
      <c r="R27" s="130"/>
      <c r="S27" s="35"/>
      <c r="T27" s="285" t="s">
        <v>274</v>
      </c>
      <c r="U27" s="35"/>
      <c r="V27" s="285"/>
      <c r="W27" s="285"/>
      <c r="X27" s="285"/>
      <c r="Y27" s="98" t="s">
        <v>123</v>
      </c>
      <c r="Z27" s="257"/>
      <c r="AA27" s="258"/>
      <c r="AB27" s="258"/>
      <c r="AC27" s="258"/>
      <c r="AD27" s="259"/>
      <c r="AE27" s="258"/>
      <c r="AF27" s="142"/>
      <c r="AG27" s="496" t="s">
        <v>33</v>
      </c>
      <c r="AH27" s="35"/>
      <c r="AI27" s="35"/>
      <c r="AJ27" s="285"/>
      <c r="AL27" s="35"/>
      <c r="AM27" s="285"/>
      <c r="AN27" s="35"/>
      <c r="AO27" s="35"/>
      <c r="AP27" s="26"/>
      <c r="AQ27" s="493"/>
      <c r="AR27" s="494"/>
      <c r="AS27" s="494"/>
      <c r="AT27" s="494"/>
      <c r="AU27" s="495"/>
      <c r="AV27" s="38"/>
      <c r="AW27" s="26"/>
      <c r="AX27" s="499"/>
      <c r="AY27" s="286"/>
      <c r="AZ27" s="33"/>
      <c r="BA27" s="46"/>
      <c r="BB27" s="78"/>
      <c r="BC27" s="34"/>
      <c r="BD27" s="35"/>
      <c r="BE27" s="35"/>
      <c r="BF27" s="35"/>
      <c r="BG27" s="35"/>
    </row>
    <row r="28" spans="1:59" ht="13.5" customHeight="1">
      <c r="A28" s="22"/>
      <c r="B28" s="45"/>
      <c r="C28" s="282" t="s">
        <v>268</v>
      </c>
      <c r="D28" s="28"/>
      <c r="E28" s="28"/>
      <c r="F28" s="28"/>
      <c r="H28" s="58"/>
      <c r="I28" s="59"/>
      <c r="J28" s="59"/>
      <c r="K28" s="59"/>
      <c r="L28" s="60"/>
      <c r="M28" s="59"/>
      <c r="N28" s="61"/>
      <c r="O28" s="61"/>
      <c r="P28" s="70"/>
      <c r="Q28" s="64"/>
      <c r="R28" s="28"/>
      <c r="S28" s="35"/>
      <c r="T28" s="28" t="s">
        <v>269</v>
      </c>
      <c r="U28" s="28"/>
      <c r="V28" s="28"/>
      <c r="W28" s="28"/>
      <c r="Y28" s="58"/>
      <c r="Z28" s="59"/>
      <c r="AA28" s="59"/>
      <c r="AB28" s="59"/>
      <c r="AC28" s="60"/>
      <c r="AD28" s="59"/>
      <c r="AE28" s="61"/>
      <c r="AF28" s="61"/>
      <c r="AG28" s="70"/>
      <c r="AH28" s="28"/>
      <c r="AI28" s="28"/>
      <c r="AJ28" s="28" t="s">
        <v>270</v>
      </c>
      <c r="AK28" s="28"/>
      <c r="AL28" s="28"/>
      <c r="AM28" s="28"/>
      <c r="AN28" s="28"/>
      <c r="AO28" s="35"/>
      <c r="AP28" s="58"/>
      <c r="AQ28" s="59"/>
      <c r="AR28" s="59"/>
      <c r="AS28" s="59"/>
      <c r="AT28" s="60"/>
      <c r="AU28" s="59"/>
      <c r="AV28" s="61"/>
      <c r="AW28" s="61"/>
      <c r="AX28" s="498"/>
      <c r="AY28" s="283"/>
      <c r="AZ28" s="33"/>
      <c r="BA28" s="46"/>
      <c r="BB28" s="78"/>
      <c r="BC28" s="34"/>
      <c r="BD28" s="28"/>
      <c r="BE28" s="35"/>
      <c r="BF28" s="35"/>
      <c r="BG28" s="35"/>
    </row>
    <row r="29" spans="1:59" ht="13.5" customHeight="1">
      <c r="A29" s="22"/>
      <c r="B29" s="45"/>
      <c r="C29" s="282" t="s">
        <v>118</v>
      </c>
      <c r="D29" s="28"/>
      <c r="E29" s="28"/>
      <c r="F29" s="28"/>
      <c r="H29" s="58"/>
      <c r="I29" s="59"/>
      <c r="J29" s="59"/>
      <c r="K29" s="59"/>
      <c r="L29" s="60"/>
      <c r="M29" s="59"/>
      <c r="N29" s="61"/>
      <c r="O29" s="61"/>
      <c r="P29" s="260" t="s">
        <v>33</v>
      </c>
      <c r="Q29" s="64"/>
      <c r="R29" s="28"/>
      <c r="S29" s="35"/>
      <c r="T29" s="26" t="s">
        <v>271</v>
      </c>
      <c r="U29" s="28"/>
      <c r="V29" s="28"/>
      <c r="W29" s="28"/>
      <c r="Y29" s="58"/>
      <c r="Z29" s="59"/>
      <c r="AA29" s="59"/>
      <c r="AB29" s="59"/>
      <c r="AC29" s="60"/>
      <c r="AD29" s="59"/>
      <c r="AE29" s="61"/>
      <c r="AF29" s="61"/>
      <c r="AG29" s="70"/>
      <c r="AH29" s="28"/>
      <c r="AI29" s="28"/>
      <c r="AJ29" s="28" t="s">
        <v>272</v>
      </c>
      <c r="AK29" s="28"/>
      <c r="AL29" s="28"/>
      <c r="AM29" s="28"/>
      <c r="AN29" s="28"/>
      <c r="AO29" s="35"/>
      <c r="AP29" s="58"/>
      <c r="AQ29" s="59"/>
      <c r="AR29" s="59"/>
      <c r="AS29" s="59"/>
      <c r="AT29" s="60"/>
      <c r="AU29" s="59"/>
      <c r="AV29" s="70"/>
      <c r="AW29" s="94" t="s">
        <v>266</v>
      </c>
      <c r="AX29" s="35"/>
      <c r="AY29" s="283"/>
      <c r="AZ29" s="33"/>
      <c r="BA29" s="46"/>
      <c r="BB29" s="78"/>
      <c r="BC29" s="34"/>
      <c r="BD29" s="28"/>
      <c r="BE29" s="35"/>
      <c r="BF29" s="35"/>
      <c r="BG29" s="35"/>
    </row>
    <row r="30" spans="1:59" ht="13.5" customHeight="1">
      <c r="A30" s="22"/>
      <c r="B30" s="32"/>
      <c r="C30" s="287" t="s">
        <v>124</v>
      </c>
      <c r="D30" s="41"/>
      <c r="E30" s="41"/>
      <c r="F30" s="41"/>
      <c r="G30" s="41"/>
      <c r="H30" s="163"/>
      <c r="I30" s="164"/>
      <c r="J30" s="165"/>
      <c r="K30" s="164"/>
      <c r="L30" s="165"/>
      <c r="M30" s="164"/>
      <c r="N30" s="166"/>
      <c r="O30" s="164"/>
      <c r="P30" s="165"/>
      <c r="Q30" s="165"/>
      <c r="R30" s="165"/>
      <c r="S30" s="167"/>
      <c r="T30" s="167"/>
      <c r="U30" s="167"/>
      <c r="V30" s="167"/>
      <c r="W30" s="167"/>
      <c r="X30" s="166"/>
      <c r="Y30" s="167"/>
      <c r="Z30" s="165"/>
      <c r="AA30" s="166"/>
      <c r="AB30" s="167"/>
      <c r="AC30" s="165"/>
      <c r="AD30" s="166"/>
      <c r="AE30" s="165"/>
      <c r="AF30" s="165"/>
      <c r="AG30" s="166"/>
      <c r="AH30" s="165"/>
      <c r="AI30" s="165"/>
      <c r="AJ30" s="168"/>
      <c r="AK30" s="165"/>
      <c r="AL30" s="165"/>
      <c r="AM30" s="165"/>
      <c r="AN30" s="165"/>
      <c r="AO30" s="165"/>
      <c r="AP30" s="165"/>
      <c r="AQ30" s="165"/>
      <c r="AR30" s="165"/>
      <c r="AS30" s="165"/>
      <c r="AT30" s="165"/>
      <c r="AU30" s="165"/>
      <c r="AV30" s="165"/>
      <c r="AW30" s="165"/>
      <c r="AX30" s="160" t="s">
        <v>37</v>
      </c>
      <c r="AY30" s="283"/>
      <c r="AZ30" s="33"/>
      <c r="BA30" s="46"/>
      <c r="BB30" s="78"/>
      <c r="BC30" s="34"/>
      <c r="BD30" s="28"/>
      <c r="BE30" s="35"/>
      <c r="BF30" s="35"/>
      <c r="BG30" s="35"/>
    </row>
    <row r="31" spans="1:59" ht="13.5" customHeight="1">
      <c r="A31" s="22"/>
      <c r="B31" s="32"/>
      <c r="C31" s="287"/>
      <c r="D31" s="41"/>
      <c r="E31" s="41"/>
      <c r="F31" s="41"/>
      <c r="G31" s="41"/>
      <c r="H31" s="169"/>
      <c r="I31" s="170"/>
      <c r="J31" s="171"/>
      <c r="K31" s="170"/>
      <c r="L31" s="171"/>
      <c r="M31" s="170"/>
      <c r="N31" s="172"/>
      <c r="O31" s="170"/>
      <c r="P31" s="171"/>
      <c r="Q31" s="171"/>
      <c r="R31" s="171"/>
      <c r="S31" s="173"/>
      <c r="T31" s="173"/>
      <c r="U31" s="173"/>
      <c r="V31" s="173"/>
      <c r="W31" s="173"/>
      <c r="X31" s="172"/>
      <c r="Y31" s="173"/>
      <c r="Z31" s="171"/>
      <c r="AA31" s="172"/>
      <c r="AB31" s="173"/>
      <c r="AC31" s="171"/>
      <c r="AD31" s="172"/>
      <c r="AE31" s="171"/>
      <c r="AF31" s="171"/>
      <c r="AG31" s="172"/>
      <c r="AH31" s="171"/>
      <c r="AI31" s="171"/>
      <c r="AJ31" s="174"/>
      <c r="AK31" s="171"/>
      <c r="AL31" s="171"/>
      <c r="AM31" s="171"/>
      <c r="AN31" s="171"/>
      <c r="AO31" s="171"/>
      <c r="AP31" s="171"/>
      <c r="AQ31" s="171"/>
      <c r="AR31" s="171"/>
      <c r="AS31" s="171"/>
      <c r="AT31" s="171"/>
      <c r="AU31" s="171"/>
      <c r="AV31" s="171"/>
      <c r="AW31" s="171"/>
      <c r="AX31" s="122" t="s">
        <v>33</v>
      </c>
      <c r="AY31" s="283"/>
      <c r="AZ31" s="33"/>
      <c r="BA31" s="46"/>
      <c r="BB31" s="78"/>
      <c r="BC31" s="34"/>
      <c r="BD31" s="28"/>
      <c r="BE31" s="35"/>
      <c r="BF31" s="35"/>
      <c r="BG31" s="35"/>
    </row>
    <row r="32" spans="1:59" ht="13.5" customHeight="1">
      <c r="A32" s="22"/>
      <c r="B32" s="32"/>
      <c r="C32" s="287" t="s">
        <v>126</v>
      </c>
      <c r="D32" s="41"/>
      <c r="E32" s="41"/>
      <c r="F32" s="41"/>
      <c r="G32" s="41"/>
      <c r="H32" s="163" t="s">
        <v>171</v>
      </c>
      <c r="I32" s="164"/>
      <c r="J32" s="165"/>
      <c r="K32" s="164"/>
      <c r="L32" s="165"/>
      <c r="M32" s="164"/>
      <c r="N32" s="166"/>
      <c r="O32" s="164"/>
      <c r="P32" s="165"/>
      <c r="Q32" s="165"/>
      <c r="R32" s="165"/>
      <c r="S32" s="167"/>
      <c r="T32" s="167"/>
      <c r="U32" s="167"/>
      <c r="V32" s="167"/>
      <c r="W32" s="167"/>
      <c r="X32" s="166"/>
      <c r="Y32" s="167"/>
      <c r="Z32" s="165"/>
      <c r="AA32" s="166"/>
      <c r="AB32" s="167"/>
      <c r="AC32" s="165"/>
      <c r="AD32" s="166"/>
      <c r="AE32" s="165"/>
      <c r="AF32" s="165"/>
      <c r="AG32" s="166"/>
      <c r="AH32" s="165"/>
      <c r="AI32" s="165"/>
      <c r="AJ32" s="168"/>
      <c r="AK32" s="165"/>
      <c r="AL32" s="165"/>
      <c r="AM32" s="165"/>
      <c r="AN32" s="165"/>
      <c r="AO32" s="165"/>
      <c r="AP32" s="165"/>
      <c r="AQ32" s="165"/>
      <c r="AR32" s="165"/>
      <c r="AS32" s="165"/>
      <c r="AT32" s="165"/>
      <c r="AU32" s="165"/>
      <c r="AV32" s="165"/>
      <c r="AW32" s="165"/>
      <c r="AX32" s="160" t="s">
        <v>37</v>
      </c>
      <c r="AY32" s="283"/>
      <c r="AZ32" s="33"/>
      <c r="BA32" s="46"/>
      <c r="BB32" s="78"/>
      <c r="BC32" s="34"/>
      <c r="BD32" s="28"/>
      <c r="BE32" s="35"/>
      <c r="BF32" s="35"/>
      <c r="BG32" s="35"/>
    </row>
    <row r="33" spans="1:59" ht="13.5" customHeight="1">
      <c r="A33" s="22"/>
      <c r="B33" s="32"/>
      <c r="C33" s="287"/>
      <c r="D33" s="41"/>
      <c r="E33" s="41"/>
      <c r="F33" s="41"/>
      <c r="G33" s="41"/>
      <c r="H33" s="169"/>
      <c r="I33" s="170"/>
      <c r="J33" s="171"/>
      <c r="K33" s="170"/>
      <c r="L33" s="171"/>
      <c r="M33" s="170"/>
      <c r="N33" s="172"/>
      <c r="O33" s="170"/>
      <c r="P33" s="171"/>
      <c r="Q33" s="171"/>
      <c r="R33" s="171"/>
      <c r="S33" s="173"/>
      <c r="T33" s="173"/>
      <c r="U33" s="173"/>
      <c r="V33" s="173"/>
      <c r="W33" s="173"/>
      <c r="X33" s="172"/>
      <c r="Y33" s="173"/>
      <c r="Z33" s="171"/>
      <c r="AA33" s="172"/>
      <c r="AB33" s="173"/>
      <c r="AC33" s="171"/>
      <c r="AD33" s="172"/>
      <c r="AE33" s="171"/>
      <c r="AF33" s="171"/>
      <c r="AG33" s="172"/>
      <c r="AH33" s="171"/>
      <c r="AI33" s="171"/>
      <c r="AJ33" s="174"/>
      <c r="AK33" s="171"/>
      <c r="AL33" s="171"/>
      <c r="AM33" s="171"/>
      <c r="AN33" s="171"/>
      <c r="AO33" s="171"/>
      <c r="AP33" s="171"/>
      <c r="AQ33" s="171"/>
      <c r="AR33" s="171"/>
      <c r="AS33" s="171"/>
      <c r="AT33" s="171"/>
      <c r="AU33" s="171"/>
      <c r="AV33" s="171"/>
      <c r="AW33" s="171"/>
      <c r="AX33" s="122" t="s">
        <v>33</v>
      </c>
      <c r="AY33" s="283"/>
      <c r="AZ33" s="33"/>
      <c r="BA33" s="46"/>
      <c r="BB33" s="78"/>
      <c r="BC33" s="34"/>
      <c r="BD33" s="28"/>
      <c r="BE33" s="35"/>
      <c r="BF33" s="35"/>
      <c r="BG33" s="35"/>
    </row>
    <row r="34" spans="1:59" ht="13.5" customHeight="1">
      <c r="A34" s="22"/>
      <c r="B34" s="32"/>
      <c r="C34" s="287" t="s">
        <v>127</v>
      </c>
      <c r="D34" s="41"/>
      <c r="E34" s="41"/>
      <c r="F34" s="41"/>
      <c r="G34" s="41"/>
      <c r="H34" s="163"/>
      <c r="I34" s="164"/>
      <c r="J34" s="165"/>
      <c r="K34" s="164"/>
      <c r="L34" s="165"/>
      <c r="M34" s="164"/>
      <c r="N34" s="166"/>
      <c r="O34" s="164"/>
      <c r="P34" s="165"/>
      <c r="Q34" s="165"/>
      <c r="R34" s="165"/>
      <c r="S34" s="167"/>
      <c r="T34" s="167"/>
      <c r="U34" s="167"/>
      <c r="V34" s="167"/>
      <c r="W34" s="167"/>
      <c r="X34" s="166"/>
      <c r="Y34" s="167"/>
      <c r="Z34" s="165"/>
      <c r="AA34" s="166"/>
      <c r="AB34" s="167"/>
      <c r="AC34" s="165"/>
      <c r="AD34" s="166"/>
      <c r="AE34" s="165"/>
      <c r="AF34" s="165"/>
      <c r="AG34" s="166"/>
      <c r="AH34" s="165"/>
      <c r="AI34" s="165"/>
      <c r="AJ34" s="168"/>
      <c r="AK34" s="165"/>
      <c r="AL34" s="165"/>
      <c r="AM34" s="165"/>
      <c r="AN34" s="165"/>
      <c r="AO34" s="165"/>
      <c r="AP34" s="165"/>
      <c r="AQ34" s="165"/>
      <c r="AR34" s="165"/>
      <c r="AS34" s="165"/>
      <c r="AT34" s="165"/>
      <c r="AU34" s="165"/>
      <c r="AV34" s="165"/>
      <c r="AW34" s="165"/>
      <c r="AX34" s="160" t="s">
        <v>37</v>
      </c>
      <c r="AY34" s="283"/>
      <c r="AZ34" s="33"/>
      <c r="BA34" s="46"/>
      <c r="BB34" s="78"/>
      <c r="BC34" s="34"/>
      <c r="BD34" s="28"/>
      <c r="BE34" s="35"/>
      <c r="BF34" s="35"/>
      <c r="BG34" s="35"/>
    </row>
    <row r="35" spans="1:59" ht="13.5" customHeight="1">
      <c r="A35" s="22"/>
      <c r="B35" s="32"/>
      <c r="C35" s="287"/>
      <c r="D35" s="41"/>
      <c r="E35" s="41"/>
      <c r="F35" s="41"/>
      <c r="G35" s="41"/>
      <c r="H35" s="169"/>
      <c r="I35" s="170"/>
      <c r="J35" s="171"/>
      <c r="K35" s="170"/>
      <c r="L35" s="171"/>
      <c r="M35" s="170"/>
      <c r="N35" s="172"/>
      <c r="O35" s="170"/>
      <c r="P35" s="171"/>
      <c r="Q35" s="171"/>
      <c r="R35" s="171"/>
      <c r="S35" s="173"/>
      <c r="T35" s="173"/>
      <c r="U35" s="173"/>
      <c r="V35" s="173"/>
      <c r="W35" s="173"/>
      <c r="X35" s="172"/>
      <c r="Y35" s="173"/>
      <c r="Z35" s="171"/>
      <c r="AA35" s="172"/>
      <c r="AB35" s="173"/>
      <c r="AC35" s="171"/>
      <c r="AD35" s="172"/>
      <c r="AE35" s="171"/>
      <c r="AF35" s="171"/>
      <c r="AG35" s="172"/>
      <c r="AH35" s="171"/>
      <c r="AI35" s="171"/>
      <c r="AJ35" s="174"/>
      <c r="AK35" s="171"/>
      <c r="AL35" s="171"/>
      <c r="AM35" s="171"/>
      <c r="AN35" s="171"/>
      <c r="AO35" s="171"/>
      <c r="AP35" s="171"/>
      <c r="AQ35" s="171"/>
      <c r="AR35" s="171"/>
      <c r="AS35" s="171"/>
      <c r="AT35" s="171"/>
      <c r="AU35" s="171"/>
      <c r="AV35" s="171"/>
      <c r="AW35" s="171"/>
      <c r="AX35" s="122" t="s">
        <v>33</v>
      </c>
      <c r="AY35" s="283"/>
      <c r="AZ35" s="33"/>
      <c r="BA35" s="46"/>
      <c r="BB35" s="78"/>
      <c r="BC35" s="34"/>
      <c r="BD35" s="28"/>
      <c r="BE35" s="35"/>
      <c r="BF35" s="35"/>
      <c r="BG35" s="35"/>
    </row>
    <row r="36" spans="1:59" ht="5.15" customHeight="1">
      <c r="A36" s="22"/>
      <c r="B36" s="32"/>
      <c r="C36" s="288"/>
      <c r="D36" s="289"/>
      <c r="E36" s="289"/>
      <c r="F36" s="289"/>
      <c r="G36" s="289"/>
      <c r="H36" s="290"/>
      <c r="I36" s="290"/>
      <c r="J36" s="291"/>
      <c r="K36" s="290"/>
      <c r="L36" s="291"/>
      <c r="M36" s="290"/>
      <c r="N36" s="292"/>
      <c r="O36" s="290"/>
      <c r="P36" s="291"/>
      <c r="Q36" s="291"/>
      <c r="R36" s="291"/>
      <c r="S36" s="293"/>
      <c r="T36" s="293"/>
      <c r="U36" s="293"/>
      <c r="V36" s="293"/>
      <c r="W36" s="293"/>
      <c r="X36" s="292"/>
      <c r="Y36" s="293"/>
      <c r="Z36" s="291"/>
      <c r="AA36" s="292"/>
      <c r="AB36" s="293"/>
      <c r="AC36" s="291"/>
      <c r="AD36" s="292"/>
      <c r="AE36" s="291"/>
      <c r="AF36" s="291"/>
      <c r="AG36" s="292"/>
      <c r="AH36" s="291"/>
      <c r="AI36" s="291"/>
      <c r="AJ36" s="294"/>
      <c r="AK36" s="291"/>
      <c r="AL36" s="291"/>
      <c r="AM36" s="291"/>
      <c r="AN36" s="291"/>
      <c r="AO36" s="291"/>
      <c r="AP36" s="291"/>
      <c r="AQ36" s="291"/>
      <c r="AR36" s="291"/>
      <c r="AS36" s="291"/>
      <c r="AT36" s="291"/>
      <c r="AU36" s="291"/>
      <c r="AV36" s="291"/>
      <c r="AW36" s="291"/>
      <c r="AX36" s="276"/>
      <c r="AY36" s="295"/>
      <c r="AZ36" s="33"/>
      <c r="BA36" s="46"/>
      <c r="BB36" s="78"/>
      <c r="BC36" s="34"/>
      <c r="BD36" s="28"/>
      <c r="BE36" s="35"/>
      <c r="BF36" s="35"/>
      <c r="BG36" s="35"/>
    </row>
    <row r="37" spans="1:59" ht="13.5" customHeight="1">
      <c r="A37" s="22"/>
      <c r="B37" s="32"/>
      <c r="C37" s="41"/>
      <c r="D37" s="41"/>
      <c r="E37" s="41"/>
      <c r="F37" s="41"/>
      <c r="G37" s="41"/>
      <c r="H37" s="364"/>
      <c r="I37" s="364"/>
      <c r="J37" s="365"/>
      <c r="K37" s="364"/>
      <c r="L37" s="365"/>
      <c r="M37" s="364"/>
      <c r="N37" s="366"/>
      <c r="O37" s="364"/>
      <c r="P37" s="365"/>
      <c r="Q37" s="365"/>
      <c r="R37" s="365"/>
      <c r="S37" s="367"/>
      <c r="T37" s="367"/>
      <c r="U37" s="367"/>
      <c r="V37" s="367"/>
      <c r="W37" s="367"/>
      <c r="X37" s="366"/>
      <c r="Y37" s="367"/>
      <c r="Z37" s="365"/>
      <c r="AA37" s="366"/>
      <c r="AB37" s="367"/>
      <c r="AC37" s="365"/>
      <c r="AD37" s="366"/>
      <c r="AE37" s="365"/>
      <c r="AF37" s="365"/>
      <c r="AG37" s="366"/>
      <c r="AH37" s="365"/>
      <c r="AI37" s="365"/>
      <c r="AJ37" s="368"/>
      <c r="AK37" s="365"/>
      <c r="AL37" s="365"/>
      <c r="AM37" s="365"/>
      <c r="AN37" s="365"/>
      <c r="AO37" s="365"/>
      <c r="AP37" s="365"/>
      <c r="AQ37" s="365"/>
      <c r="AR37" s="365"/>
      <c r="AS37" s="365"/>
      <c r="AT37" s="365"/>
      <c r="AU37" s="365"/>
      <c r="AV37" s="365"/>
      <c r="AW37" s="365"/>
      <c r="AX37" s="280"/>
      <c r="AY37" s="63"/>
      <c r="AZ37" s="33"/>
      <c r="BA37" s="46"/>
      <c r="BB37" s="78"/>
      <c r="BC37" s="34"/>
      <c r="BD37" s="28"/>
      <c r="BE37" s="35"/>
      <c r="BF37" s="35"/>
      <c r="BG37" s="35"/>
    </row>
    <row r="38" spans="1:59" ht="13.5" customHeight="1">
      <c r="A38" s="22"/>
      <c r="B38" s="202">
        <v>5</v>
      </c>
      <c r="C38" s="204" t="s">
        <v>264</v>
      </c>
      <c r="D38" s="28"/>
      <c r="E38" s="28"/>
      <c r="F38" s="28"/>
      <c r="G38" s="28"/>
      <c r="H38" s="121"/>
      <c r="I38" s="62"/>
      <c r="J38" s="62"/>
      <c r="K38" s="63"/>
      <c r="L38" s="69"/>
      <c r="M38" s="69"/>
      <c r="N38" s="65"/>
      <c r="O38" s="69"/>
      <c r="P38" s="65"/>
      <c r="Q38" s="65"/>
      <c r="R38" s="69"/>
      <c r="S38" s="28"/>
      <c r="T38" s="28"/>
      <c r="U38" s="28"/>
      <c r="V38" s="28"/>
      <c r="W38" s="28"/>
      <c r="X38" s="121"/>
      <c r="Y38" s="62"/>
      <c r="Z38" s="63"/>
      <c r="AA38" s="62"/>
      <c r="AB38" s="63"/>
      <c r="AC38" s="69"/>
      <c r="AD38" s="69"/>
      <c r="AE38" s="65"/>
      <c r="AF38" s="69"/>
      <c r="AG38" s="65"/>
      <c r="AH38" s="69"/>
      <c r="AI38" s="64"/>
      <c r="AJ38" s="69"/>
      <c r="AK38" s="65"/>
      <c r="AL38" s="28"/>
      <c r="AM38" s="28"/>
      <c r="AN38" s="28"/>
      <c r="AO38" s="28"/>
      <c r="AP38" s="28"/>
      <c r="AQ38" s="28"/>
      <c r="AR38" s="28"/>
      <c r="AS38" s="28"/>
      <c r="AT38" s="28"/>
      <c r="AU38" s="28"/>
      <c r="AV38" s="233"/>
      <c r="AW38" s="28"/>
      <c r="AX38" s="28"/>
      <c r="AY38" s="31"/>
      <c r="AZ38" s="33"/>
      <c r="BA38" s="46"/>
      <c r="BB38" s="159"/>
      <c r="BC38" s="115"/>
      <c r="BD38" s="28"/>
    </row>
    <row r="39" spans="1:59" ht="5.15" customHeight="1">
      <c r="A39" s="22"/>
      <c r="B39" s="202"/>
      <c r="C39" s="296"/>
      <c r="D39" s="72"/>
      <c r="E39" s="72"/>
      <c r="F39" s="72"/>
      <c r="G39" s="72"/>
      <c r="H39" s="297"/>
      <c r="I39" s="278"/>
      <c r="J39" s="278"/>
      <c r="K39" s="279"/>
      <c r="L39" s="298"/>
      <c r="M39" s="298"/>
      <c r="N39" s="263"/>
      <c r="O39" s="298"/>
      <c r="P39" s="263"/>
      <c r="Q39" s="263"/>
      <c r="R39" s="298"/>
      <c r="S39" s="72"/>
      <c r="T39" s="72"/>
      <c r="U39" s="72"/>
      <c r="V39" s="72"/>
      <c r="W39" s="72"/>
      <c r="X39" s="297"/>
      <c r="Y39" s="278"/>
      <c r="Z39" s="279"/>
      <c r="AA39" s="278"/>
      <c r="AB39" s="279"/>
      <c r="AC39" s="298"/>
      <c r="AD39" s="298"/>
      <c r="AE39" s="263"/>
      <c r="AF39" s="298"/>
      <c r="AG39" s="263"/>
      <c r="AH39" s="298"/>
      <c r="AI39" s="280"/>
      <c r="AJ39" s="298"/>
      <c r="AK39" s="263"/>
      <c r="AL39" s="72"/>
      <c r="AM39" s="72"/>
      <c r="AN39" s="72"/>
      <c r="AO39" s="72"/>
      <c r="AP39" s="72"/>
      <c r="AQ39" s="72"/>
      <c r="AR39" s="72"/>
      <c r="AS39" s="72"/>
      <c r="AT39" s="72"/>
      <c r="AU39" s="72"/>
      <c r="AV39" s="300"/>
      <c r="AW39" s="72"/>
      <c r="AX39" s="72"/>
      <c r="AY39" s="265"/>
      <c r="AZ39" s="33"/>
      <c r="BA39" s="46"/>
      <c r="BB39" s="159"/>
      <c r="BC39" s="115"/>
      <c r="BD39" s="28"/>
    </row>
    <row r="40" spans="1:59" ht="13.9" customHeight="1">
      <c r="A40" s="22"/>
      <c r="B40" s="202"/>
      <c r="C40" s="501" t="s">
        <v>282</v>
      </c>
      <c r="D40" s="28"/>
      <c r="E40" s="28"/>
      <c r="F40" s="28"/>
      <c r="G40" s="86" t="s">
        <v>277</v>
      </c>
      <c r="H40" s="86"/>
      <c r="I40" s="86"/>
      <c r="J40" s="86"/>
      <c r="K40" s="86"/>
      <c r="L40" s="322"/>
      <c r="M40" s="75"/>
      <c r="N40" s="65"/>
      <c r="O40" s="69"/>
      <c r="P40" s="65"/>
      <c r="Q40" s="65"/>
      <c r="R40" s="69"/>
      <c r="S40" s="28"/>
      <c r="T40" s="28"/>
      <c r="U40" s="28"/>
      <c r="V40" s="28"/>
      <c r="W40" s="28"/>
      <c r="X40" s="121"/>
      <c r="Y40" s="62"/>
      <c r="Z40" s="63"/>
      <c r="AA40" s="62"/>
      <c r="AB40" s="63"/>
      <c r="AC40" s="69"/>
      <c r="AD40" s="69"/>
      <c r="AE40" s="65"/>
      <c r="AF40" s="69"/>
      <c r="AG40" s="65"/>
      <c r="AH40" s="69"/>
      <c r="AI40" s="64"/>
      <c r="AJ40" s="69"/>
      <c r="AK40" s="65"/>
      <c r="AL40" s="28"/>
      <c r="AM40" s="28"/>
      <c r="AN40" s="28"/>
      <c r="AO40" s="28"/>
      <c r="AP40" s="28"/>
      <c r="AQ40" s="28"/>
      <c r="AR40" s="28"/>
      <c r="AS40" s="28"/>
      <c r="AT40" s="28"/>
      <c r="AU40" s="28"/>
      <c r="AV40" s="233"/>
      <c r="AW40" s="28"/>
      <c r="AX40" s="28"/>
      <c r="AY40" s="267"/>
      <c r="AZ40" s="33"/>
      <c r="BA40" s="46"/>
      <c r="BB40" s="159"/>
      <c r="BC40" s="115"/>
      <c r="BD40" s="28"/>
    </row>
    <row r="41" spans="1:59" ht="13.5" customHeight="1">
      <c r="A41" s="22"/>
      <c r="B41" s="202">
        <v>6</v>
      </c>
      <c r="C41" s="304" t="s">
        <v>32</v>
      </c>
      <c r="D41" s="205" t="s">
        <v>262</v>
      </c>
      <c r="E41" s="206"/>
      <c r="F41" s="206"/>
      <c r="G41" s="207"/>
      <c r="H41" s="208" t="s">
        <v>276</v>
      </c>
      <c r="I41" s="209"/>
      <c r="J41" s="209"/>
      <c r="K41" s="206"/>
      <c r="L41" s="207"/>
      <c r="M41" s="28"/>
      <c r="N41" s="28"/>
      <c r="O41" s="28"/>
      <c r="P41" s="28"/>
      <c r="Q41" s="28"/>
      <c r="R41" s="28"/>
      <c r="S41" s="35"/>
      <c r="T41" s="35"/>
      <c r="U41" s="35"/>
      <c r="V41" s="35"/>
      <c r="Y41" s="35"/>
      <c r="Z41" s="35"/>
      <c r="AD41" s="35"/>
      <c r="AE41" s="35"/>
      <c r="AF41" s="35"/>
      <c r="AG41" s="35"/>
      <c r="AH41" s="35"/>
      <c r="AI41" s="35"/>
      <c r="AJ41" s="35"/>
      <c r="AK41" s="35"/>
      <c r="AL41" s="35"/>
      <c r="AM41" s="35"/>
      <c r="AN41" s="35"/>
      <c r="AO41" s="35"/>
      <c r="AP41" s="35"/>
      <c r="AQ41" s="35"/>
      <c r="AR41" s="35"/>
      <c r="AS41" s="35"/>
      <c r="AT41" s="35"/>
      <c r="AU41" s="35"/>
      <c r="AV41" s="35"/>
      <c r="AW41" s="35"/>
      <c r="AX41" s="35"/>
      <c r="AY41" s="311"/>
      <c r="AZ41" s="33"/>
      <c r="BA41" s="46"/>
      <c r="BB41" s="159"/>
      <c r="BC41" s="115"/>
      <c r="BD41" s="35"/>
      <c r="BE41" s="35"/>
      <c r="BF41" s="35"/>
      <c r="BG41" s="35"/>
    </row>
    <row r="42" spans="1:59" ht="13.5" customHeight="1">
      <c r="A42" s="22"/>
      <c r="B42" s="202">
        <v>8</v>
      </c>
      <c r="C42" s="308">
        <v>1</v>
      </c>
      <c r="D42" s="148" t="s">
        <v>148</v>
      </c>
      <c r="E42" s="149"/>
      <c r="F42" s="149"/>
      <c r="G42" s="151"/>
      <c r="H42" s="1010">
        <v>110</v>
      </c>
      <c r="I42" s="947"/>
      <c r="J42" s="947"/>
      <c r="K42" s="947"/>
      <c r="L42" s="948"/>
      <c r="M42" s="28"/>
      <c r="N42" s="28"/>
      <c r="O42" s="28"/>
      <c r="P42" s="28"/>
      <c r="Q42" s="28"/>
      <c r="R42" s="28"/>
      <c r="S42" s="35"/>
      <c r="T42" s="35"/>
      <c r="U42" s="35"/>
      <c r="V42" s="35"/>
      <c r="Y42" s="35"/>
      <c r="Z42" s="35"/>
      <c r="AD42" s="35"/>
      <c r="AE42" s="35"/>
      <c r="AF42" s="35"/>
      <c r="AG42" s="35"/>
      <c r="AH42" s="35"/>
      <c r="AI42" s="35"/>
      <c r="AJ42" s="35"/>
      <c r="AK42" s="35"/>
      <c r="AL42" s="35"/>
      <c r="AM42" s="35"/>
      <c r="AN42" s="35"/>
      <c r="AO42" s="35"/>
      <c r="AP42" s="35"/>
      <c r="AQ42" s="35"/>
      <c r="AR42" s="35"/>
      <c r="AS42" s="35"/>
      <c r="AT42" s="35"/>
      <c r="AU42" s="35"/>
      <c r="AV42" s="35"/>
      <c r="AW42" s="35"/>
      <c r="AX42" s="35"/>
      <c r="AY42" s="311"/>
      <c r="AZ42" s="33"/>
      <c r="BA42" s="46"/>
      <c r="BB42" s="159"/>
      <c r="BC42" s="115"/>
      <c r="BD42" s="35"/>
      <c r="BE42" s="35"/>
      <c r="BF42" s="35"/>
      <c r="BG42" s="35"/>
    </row>
    <row r="43" spans="1:59" ht="13.5" customHeight="1">
      <c r="A43" s="22"/>
      <c r="B43" s="202">
        <v>9</v>
      </c>
      <c r="C43" s="308">
        <v>2</v>
      </c>
      <c r="D43" s="148" t="s">
        <v>263</v>
      </c>
      <c r="E43" s="149"/>
      <c r="F43" s="149"/>
      <c r="G43" s="151"/>
      <c r="H43" s="1010">
        <v>125</v>
      </c>
      <c r="I43" s="947"/>
      <c r="J43" s="947"/>
      <c r="K43" s="947"/>
      <c r="L43" s="948"/>
      <c r="M43" s="28"/>
      <c r="N43" s="28"/>
      <c r="O43" s="28"/>
      <c r="P43" s="28"/>
      <c r="Q43" s="28"/>
      <c r="R43" s="28"/>
      <c r="S43" s="35"/>
      <c r="T43" s="35"/>
      <c r="U43" s="35"/>
      <c r="V43" s="35"/>
      <c r="Y43" s="35"/>
      <c r="Z43" s="35"/>
      <c r="AD43" s="35"/>
      <c r="AE43" s="35"/>
      <c r="AF43" s="35"/>
      <c r="AG43" s="35"/>
      <c r="AH43" s="35"/>
      <c r="AI43" s="35"/>
      <c r="AJ43" s="35"/>
      <c r="AK43" s="35"/>
      <c r="AL43" s="35"/>
      <c r="AM43" s="35"/>
      <c r="AN43" s="35"/>
      <c r="AO43" s="35"/>
      <c r="AP43" s="35"/>
      <c r="AQ43" s="35"/>
      <c r="AR43" s="35"/>
      <c r="AS43" s="35"/>
      <c r="AT43" s="35"/>
      <c r="AU43" s="35"/>
      <c r="AV43" s="35"/>
      <c r="AW43" s="35"/>
      <c r="AX43" s="35"/>
      <c r="AY43" s="311"/>
      <c r="AZ43" s="33"/>
      <c r="BA43" s="46"/>
      <c r="BB43" s="159"/>
      <c r="BC43" s="115"/>
      <c r="BD43" s="35"/>
      <c r="BE43" s="35"/>
      <c r="BF43" s="35"/>
      <c r="BG43" s="35"/>
    </row>
    <row r="44" spans="1:59" ht="5.15" customHeight="1">
      <c r="A44" s="22"/>
      <c r="B44" s="202"/>
      <c r="C44" s="315"/>
      <c r="D44" s="73"/>
      <c r="E44" s="73"/>
      <c r="F44" s="73"/>
      <c r="G44" s="73"/>
      <c r="H44" s="316"/>
      <c r="I44" s="275"/>
      <c r="J44" s="275"/>
      <c r="K44" s="273"/>
      <c r="L44" s="317"/>
      <c r="M44" s="317"/>
      <c r="N44" s="270"/>
      <c r="O44" s="317"/>
      <c r="P44" s="270"/>
      <c r="Q44" s="270"/>
      <c r="R44" s="317"/>
      <c r="S44" s="73"/>
      <c r="T44" s="73"/>
      <c r="U44" s="73"/>
      <c r="V44" s="73"/>
      <c r="W44" s="73"/>
      <c r="X44" s="316"/>
      <c r="Y44" s="275"/>
      <c r="Z44" s="273"/>
      <c r="AA44" s="275"/>
      <c r="AB44" s="273"/>
      <c r="AC44" s="317"/>
      <c r="AD44" s="317"/>
      <c r="AE44" s="270"/>
      <c r="AF44" s="317"/>
      <c r="AG44" s="270"/>
      <c r="AH44" s="317"/>
      <c r="AI44" s="276"/>
      <c r="AJ44" s="317"/>
      <c r="AK44" s="270"/>
      <c r="AL44" s="73"/>
      <c r="AM44" s="73"/>
      <c r="AN44" s="73"/>
      <c r="AO44" s="73"/>
      <c r="AP44" s="73"/>
      <c r="AQ44" s="73"/>
      <c r="AR44" s="73"/>
      <c r="AS44" s="73"/>
      <c r="AT44" s="73"/>
      <c r="AU44" s="73"/>
      <c r="AV44" s="318"/>
      <c r="AW44" s="73"/>
      <c r="AX44" s="73"/>
      <c r="AY44" s="277"/>
      <c r="AZ44" s="33"/>
      <c r="BA44" s="46"/>
      <c r="BB44" s="159"/>
      <c r="BC44" s="115"/>
      <c r="BD44" s="28"/>
    </row>
    <row r="45" spans="1:59" ht="13.5" customHeight="1">
      <c r="A45" s="22"/>
      <c r="B45" s="202">
        <v>10</v>
      </c>
      <c r="C45" s="492"/>
      <c r="D45" s="65"/>
      <c r="E45" s="65"/>
      <c r="F45" s="65"/>
      <c r="G45" s="65"/>
      <c r="H45" s="65"/>
      <c r="I45" s="65"/>
      <c r="J45" s="65"/>
      <c r="K45" s="65"/>
      <c r="L45" s="65"/>
      <c r="M45" s="62"/>
      <c r="N45" s="63"/>
      <c r="O45" s="65"/>
      <c r="P45" s="65"/>
      <c r="Q45" s="64"/>
      <c r="R45" s="63"/>
      <c r="S45" s="190"/>
      <c r="T45" s="190"/>
      <c r="U45" s="191"/>
      <c r="V45" s="192"/>
      <c r="W45" s="190"/>
      <c r="X45" s="65"/>
      <c r="Y45" s="65"/>
      <c r="Z45" s="65"/>
      <c r="AA45" s="65"/>
      <c r="AB45" s="65"/>
      <c r="AC45" s="65"/>
      <c r="AD45" s="65"/>
      <c r="AE45" s="65"/>
      <c r="AF45" s="65"/>
      <c r="AG45" s="65"/>
      <c r="AH45" s="65"/>
      <c r="AI45" s="65"/>
      <c r="AJ45" s="65"/>
      <c r="AK45" s="65"/>
      <c r="AL45" s="65"/>
      <c r="AM45" s="63"/>
      <c r="AN45" s="63"/>
      <c r="AO45" s="63"/>
      <c r="AP45" s="63"/>
      <c r="AQ45" s="63"/>
      <c r="AR45" s="63"/>
      <c r="AS45" s="63"/>
      <c r="AT45" s="63"/>
      <c r="AU45" s="63"/>
      <c r="AV45" s="63"/>
      <c r="AW45" s="63"/>
      <c r="AX45" s="63"/>
      <c r="AY45" s="63"/>
      <c r="AZ45" s="33"/>
      <c r="BA45" s="46"/>
      <c r="BB45" s="159"/>
      <c r="BC45" s="115"/>
      <c r="BD45" s="28"/>
    </row>
    <row r="46" spans="1:59" ht="13.5" customHeight="1">
      <c r="A46" s="22"/>
      <c r="B46" s="202">
        <v>5</v>
      </c>
      <c r="C46" s="204" t="s">
        <v>63</v>
      </c>
      <c r="D46" s="28"/>
      <c r="E46" s="28"/>
      <c r="F46" s="28"/>
      <c r="G46" s="28"/>
      <c r="H46" s="121"/>
      <c r="I46" s="62"/>
      <c r="J46" s="63"/>
      <c r="K46" s="62"/>
      <c r="L46" s="63"/>
      <c r="M46" s="69"/>
      <c r="N46" s="69"/>
      <c r="O46" s="65"/>
      <c r="P46" s="69"/>
      <c r="Q46" s="65"/>
      <c r="R46" s="69"/>
      <c r="S46" s="28"/>
      <c r="T46" s="28"/>
      <c r="U46" s="28"/>
      <c r="V46" s="28"/>
      <c r="W46" s="28"/>
      <c r="X46" s="121"/>
      <c r="Y46" s="62"/>
      <c r="Z46" s="63"/>
      <c r="AA46" s="62"/>
      <c r="AB46" s="63"/>
      <c r="AC46" s="69"/>
      <c r="AD46" s="69"/>
      <c r="AE46" s="65"/>
      <c r="AF46" s="69"/>
      <c r="AG46" s="65"/>
      <c r="AH46" s="69"/>
      <c r="AI46" s="64"/>
      <c r="AJ46" s="69"/>
      <c r="AK46" s="65"/>
      <c r="AL46" s="28"/>
      <c r="AM46" s="28"/>
      <c r="AN46" s="28"/>
      <c r="AO46" s="28"/>
      <c r="AP46" s="28"/>
      <c r="AQ46" s="28"/>
      <c r="AR46" s="28"/>
      <c r="AS46" s="28"/>
      <c r="AT46" s="28"/>
      <c r="AU46" s="28"/>
      <c r="AV46" s="233"/>
      <c r="AW46" s="28"/>
      <c r="AX46" s="28"/>
      <c r="AY46" s="31"/>
      <c r="AZ46" s="33"/>
      <c r="BA46" s="46"/>
      <c r="BB46" s="159"/>
      <c r="BC46" s="115"/>
      <c r="BD46" s="28"/>
    </row>
    <row r="47" spans="1:59" ht="5.15" customHeight="1">
      <c r="A47" s="22"/>
      <c r="B47" s="202"/>
      <c r="C47" s="296"/>
      <c r="D47" s="72"/>
      <c r="E47" s="72"/>
      <c r="F47" s="72"/>
      <c r="G47" s="72"/>
      <c r="H47" s="297"/>
      <c r="I47" s="278"/>
      <c r="J47" s="279"/>
      <c r="K47" s="278"/>
      <c r="L47" s="279"/>
      <c r="M47" s="298"/>
      <c r="N47" s="298"/>
      <c r="O47" s="263"/>
      <c r="P47" s="298"/>
      <c r="Q47" s="263"/>
      <c r="R47" s="298"/>
      <c r="S47" s="72"/>
      <c r="T47" s="72"/>
      <c r="U47" s="72"/>
      <c r="V47" s="72"/>
      <c r="W47" s="72"/>
      <c r="X47" s="297"/>
      <c r="Y47" s="278"/>
      <c r="Z47" s="279"/>
      <c r="AA47" s="278"/>
      <c r="AB47" s="279"/>
      <c r="AC47" s="298"/>
      <c r="AD47" s="298"/>
      <c r="AE47" s="263"/>
      <c r="AF47" s="298"/>
      <c r="AG47" s="263"/>
      <c r="AH47" s="298"/>
      <c r="AI47" s="280"/>
      <c r="AJ47" s="298"/>
      <c r="AK47" s="263"/>
      <c r="AL47" s="72"/>
      <c r="AM47" s="72"/>
      <c r="AN47" s="72"/>
      <c r="AO47" s="72"/>
      <c r="AP47" s="72"/>
      <c r="AQ47" s="72"/>
      <c r="AR47" s="72"/>
      <c r="AS47" s="72"/>
      <c r="AT47" s="72"/>
      <c r="AU47" s="72"/>
      <c r="AV47" s="300"/>
      <c r="AW47" s="72"/>
      <c r="AX47" s="72"/>
      <c r="AY47" s="264"/>
      <c r="AZ47" s="264"/>
      <c r="BA47" s="301"/>
      <c r="BB47" s="302"/>
      <c r="BC47" s="303"/>
      <c r="BD47" s="28"/>
    </row>
    <row r="48" spans="1:59" ht="13.5" customHeight="1">
      <c r="A48" s="22"/>
      <c r="B48" s="45"/>
      <c r="C48" s="266"/>
      <c r="D48" s="28" t="s">
        <v>288</v>
      </c>
      <c r="E48" s="28"/>
      <c r="F48" s="28"/>
      <c r="G48" s="28"/>
      <c r="H48" s="86" t="s">
        <v>128</v>
      </c>
      <c r="I48" s="86"/>
      <c r="J48" s="86"/>
      <c r="K48" s="86"/>
      <c r="L48" s="86"/>
      <c r="M48" s="322"/>
      <c r="N48" s="87"/>
      <c r="O48" s="88"/>
      <c r="P48" s="88"/>
      <c r="Q48" s="89"/>
      <c r="R48" s="87"/>
      <c r="S48" s="87"/>
      <c r="T48" s="87"/>
      <c r="U48" s="88"/>
      <c r="V48" s="89"/>
      <c r="W48" s="87"/>
      <c r="X48" s="65"/>
      <c r="Y48" s="28"/>
      <c r="Z48" s="28"/>
      <c r="AA48" s="28"/>
      <c r="AB48" s="28"/>
      <c r="AC48" s="28"/>
      <c r="AD48" s="28"/>
      <c r="AE48" s="28"/>
      <c r="AF48" s="28"/>
      <c r="AG48" s="28"/>
      <c r="AH48" s="28"/>
      <c r="AI48" s="28"/>
      <c r="AJ48" s="28"/>
      <c r="AK48" s="28"/>
      <c r="AL48" s="28"/>
      <c r="AM48" s="31"/>
      <c r="AN48" s="31"/>
      <c r="AO48" s="31"/>
      <c r="AP48" s="31"/>
      <c r="AQ48" s="31"/>
      <c r="AR48" s="31"/>
      <c r="AS48" s="31"/>
      <c r="AT48" s="31"/>
      <c r="AU48" s="31"/>
      <c r="AV48" s="31"/>
      <c r="AW48" s="31"/>
      <c r="AX48" s="65"/>
      <c r="AY48" s="31"/>
      <c r="AZ48" s="52"/>
      <c r="BA48" s="93"/>
      <c r="BB48" s="327"/>
      <c r="BC48" s="328"/>
      <c r="BD48" s="28"/>
      <c r="BE48" s="35"/>
      <c r="BF48" s="35"/>
      <c r="BG48" s="35"/>
    </row>
    <row r="49" spans="1:91" ht="13.5" customHeight="1">
      <c r="A49" s="22"/>
      <c r="B49" s="202">
        <v>6</v>
      </c>
      <c r="C49" s="304" t="s">
        <v>32</v>
      </c>
      <c r="D49" s="205" t="s">
        <v>64</v>
      </c>
      <c r="E49" s="206"/>
      <c r="F49" s="206"/>
      <c r="G49" s="207"/>
      <c r="H49" s="208" t="s">
        <v>73</v>
      </c>
      <c r="I49" s="209"/>
      <c r="J49" s="209"/>
      <c r="K49" s="209"/>
      <c r="L49" s="206"/>
      <c r="M49" s="207"/>
      <c r="N49" s="205" t="s">
        <v>74</v>
      </c>
      <c r="O49" s="206"/>
      <c r="P49" s="206"/>
      <c r="Q49" s="207"/>
      <c r="R49" s="205" t="s">
        <v>75</v>
      </c>
      <c r="S49" s="206"/>
      <c r="T49" s="206"/>
      <c r="U49" s="206"/>
      <c r="V49" s="210" t="s">
        <v>292</v>
      </c>
      <c r="W49" s="211"/>
      <c r="X49" s="211"/>
      <c r="Y49" s="212"/>
      <c r="Z49" s="210" t="s">
        <v>278</v>
      </c>
      <c r="AA49" s="211"/>
      <c r="AB49" s="211"/>
      <c r="AC49" s="211"/>
      <c r="AD49" s="212"/>
      <c r="AE49" s="210" t="s">
        <v>224</v>
      </c>
      <c r="AF49" s="211"/>
      <c r="AG49" s="211"/>
      <c r="AH49" s="211"/>
      <c r="AI49" s="212"/>
      <c r="AJ49" s="210" t="s">
        <v>293</v>
      </c>
      <c r="AK49" s="211"/>
      <c r="AL49" s="211"/>
      <c r="AM49" s="212"/>
      <c r="AN49" s="210" t="s">
        <v>162</v>
      </c>
      <c r="AO49" s="211"/>
      <c r="AP49" s="211"/>
      <c r="AQ49" s="212"/>
      <c r="AR49" s="211" t="s">
        <v>152</v>
      </c>
      <c r="AS49" s="211"/>
      <c r="AT49" s="211"/>
      <c r="AU49" s="212"/>
      <c r="AV49" s="211" t="s">
        <v>197</v>
      </c>
      <c r="AW49" s="211"/>
      <c r="AX49" s="211"/>
      <c r="AY49" s="212"/>
      <c r="AZ49" s="210" t="s">
        <v>199</v>
      </c>
      <c r="BA49" s="211"/>
      <c r="BB49" s="211"/>
      <c r="BC49" s="212"/>
      <c r="BD49" s="210" t="s">
        <v>83</v>
      </c>
      <c r="BE49" s="211"/>
      <c r="BF49" s="211"/>
      <c r="BG49" s="212"/>
      <c r="BH49" s="210" t="s">
        <v>42</v>
      </c>
      <c r="BI49" s="211"/>
      <c r="BJ49" s="211"/>
      <c r="BK49" s="212"/>
      <c r="BL49" s="211" t="s">
        <v>156</v>
      </c>
      <c r="BM49" s="211"/>
      <c r="BN49" s="212"/>
      <c r="BO49" s="305" t="s">
        <v>86</v>
      </c>
      <c r="BP49" s="211"/>
      <c r="BQ49" s="211"/>
      <c r="BR49" s="212"/>
      <c r="BS49" s="211" t="s">
        <v>69</v>
      </c>
      <c r="BT49" s="211"/>
      <c r="BU49" s="211"/>
      <c r="BV49" s="212"/>
      <c r="BW49" s="28"/>
      <c r="BX49" s="28"/>
      <c r="BY49" s="28"/>
      <c r="BZ49" s="28"/>
      <c r="CA49" s="28"/>
    </row>
    <row r="50" spans="1:91" ht="13.5" customHeight="1">
      <c r="A50" s="22"/>
      <c r="B50" s="202">
        <v>7</v>
      </c>
      <c r="C50" s="306"/>
      <c r="D50" s="213" t="s">
        <v>30</v>
      </c>
      <c r="E50" s="216"/>
      <c r="F50" s="214"/>
      <c r="G50" s="215"/>
      <c r="H50" s="213" t="s">
        <v>30</v>
      </c>
      <c r="I50" s="216"/>
      <c r="J50" s="216"/>
      <c r="K50" s="216"/>
      <c r="L50" s="214"/>
      <c r="M50" s="215"/>
      <c r="N50" s="213" t="s">
        <v>30</v>
      </c>
      <c r="O50" s="214"/>
      <c r="P50" s="214"/>
      <c r="Q50" s="215"/>
      <c r="R50" s="213" t="s">
        <v>30</v>
      </c>
      <c r="S50" s="216"/>
      <c r="T50" s="214"/>
      <c r="U50" s="214"/>
      <c r="V50" s="217" t="s">
        <v>43</v>
      </c>
      <c r="W50" s="218"/>
      <c r="X50" s="219"/>
      <c r="Y50" s="220"/>
      <c r="Z50" s="217" t="s">
        <v>30</v>
      </c>
      <c r="AA50" s="218"/>
      <c r="AB50" s="218"/>
      <c r="AC50" s="219"/>
      <c r="AD50" s="220"/>
      <c r="AE50" s="217" t="s">
        <v>30</v>
      </c>
      <c r="AF50" s="218"/>
      <c r="AG50" s="218"/>
      <c r="AH50" s="219"/>
      <c r="AI50" s="220"/>
      <c r="AJ50" s="217" t="s">
        <v>43</v>
      </c>
      <c r="AK50" s="218"/>
      <c r="AL50" s="219"/>
      <c r="AM50" s="220"/>
      <c r="AN50" s="217" t="s">
        <v>30</v>
      </c>
      <c r="AO50" s="218"/>
      <c r="AP50" s="219"/>
      <c r="AQ50" s="220"/>
      <c r="AR50" s="218" t="s">
        <v>43</v>
      </c>
      <c r="AS50" s="218"/>
      <c r="AT50" s="219"/>
      <c r="AU50" s="220"/>
      <c r="AV50" s="218" t="s">
        <v>198</v>
      </c>
      <c r="AW50" s="218"/>
      <c r="AX50" s="219"/>
      <c r="AY50" s="220"/>
      <c r="AZ50" s="217" t="s">
        <v>155</v>
      </c>
      <c r="BA50" s="218"/>
      <c r="BB50" s="219"/>
      <c r="BC50" s="220"/>
      <c r="BD50" s="217" t="s">
        <v>155</v>
      </c>
      <c r="BE50" s="218"/>
      <c r="BF50" s="219"/>
      <c r="BG50" s="220"/>
      <c r="BH50" s="217" t="s">
        <v>200</v>
      </c>
      <c r="BI50" s="218"/>
      <c r="BJ50" s="219"/>
      <c r="BK50" s="220"/>
      <c r="BL50" s="218" t="s">
        <v>201</v>
      </c>
      <c r="BM50" s="218"/>
      <c r="BN50" s="220"/>
      <c r="BO50" s="307" t="s">
        <v>43</v>
      </c>
      <c r="BP50" s="218"/>
      <c r="BQ50" s="219"/>
      <c r="BR50" s="220"/>
      <c r="BS50" s="218" t="s">
        <v>43</v>
      </c>
      <c r="BT50" s="218"/>
      <c r="BU50" s="219"/>
      <c r="BV50" s="220"/>
      <c r="BW50" s="28"/>
      <c r="BX50" s="28"/>
      <c r="BY50" s="28"/>
      <c r="BZ50" s="28"/>
      <c r="CA50" s="28"/>
    </row>
    <row r="51" spans="1:91" ht="13.5" customHeight="1">
      <c r="A51" s="22"/>
      <c r="B51" s="202">
        <v>8</v>
      </c>
      <c r="C51" s="308">
        <v>1</v>
      </c>
      <c r="D51" s="148" t="s">
        <v>225</v>
      </c>
      <c r="E51" s="149"/>
      <c r="F51" s="149"/>
      <c r="G51" s="151"/>
      <c r="H51" s="242" t="s">
        <v>227</v>
      </c>
      <c r="I51" s="150"/>
      <c r="J51" s="150"/>
      <c r="K51" s="150"/>
      <c r="L51" s="161"/>
      <c r="M51" s="162"/>
      <c r="N51" s="242" t="s">
        <v>229</v>
      </c>
      <c r="O51" s="150"/>
      <c r="P51" s="150"/>
      <c r="Q51" s="99" t="s">
        <v>33</v>
      </c>
      <c r="R51" s="958">
        <v>200</v>
      </c>
      <c r="S51" s="959"/>
      <c r="T51" s="959"/>
      <c r="U51" s="960"/>
      <c r="V51" s="148" t="s">
        <v>207</v>
      </c>
      <c r="W51" s="150"/>
      <c r="X51" s="150"/>
      <c r="Y51" s="99" t="s">
        <v>33</v>
      </c>
      <c r="Z51" s="946">
        <v>34690.32</v>
      </c>
      <c r="AA51" s="968"/>
      <c r="AB51" s="968"/>
      <c r="AC51" s="968"/>
      <c r="AD51" s="969"/>
      <c r="AE51" s="946">
        <v>46831.94</v>
      </c>
      <c r="AF51" s="968"/>
      <c r="AG51" s="968"/>
      <c r="AH51" s="968"/>
      <c r="AI51" s="969"/>
      <c r="AJ51" s="148" t="s">
        <v>148</v>
      </c>
      <c r="AK51" s="150"/>
      <c r="AL51" s="150"/>
      <c r="AM51" s="99" t="s">
        <v>33</v>
      </c>
      <c r="AN51" s="998">
        <v>547.11950000000002</v>
      </c>
      <c r="AO51" s="999"/>
      <c r="AP51" s="999"/>
      <c r="AQ51" s="1000"/>
      <c r="AR51" s="998">
        <v>560</v>
      </c>
      <c r="AS51" s="999"/>
      <c r="AT51" s="999"/>
      <c r="AU51" s="1000"/>
      <c r="AV51" s="1007">
        <v>4.4999999999999998E-2</v>
      </c>
      <c r="AW51" s="1008"/>
      <c r="AX51" s="1008"/>
      <c r="AY51" s="1009"/>
      <c r="AZ51" s="998">
        <v>674</v>
      </c>
      <c r="BA51" s="999"/>
      <c r="BB51" s="999"/>
      <c r="BC51" s="1000"/>
      <c r="BD51" s="998"/>
      <c r="BE51" s="999"/>
      <c r="BF51" s="999"/>
      <c r="BG51" s="1000"/>
      <c r="BH51" s="998"/>
      <c r="BI51" s="999"/>
      <c r="BJ51" s="999"/>
      <c r="BK51" s="1000"/>
      <c r="BL51" s="1001"/>
      <c r="BM51" s="1002"/>
      <c r="BN51" s="1003"/>
      <c r="BO51" s="242"/>
      <c r="BP51" s="150"/>
      <c r="BQ51" s="150"/>
      <c r="BR51" s="152"/>
      <c r="BS51" s="149" t="s">
        <v>30</v>
      </c>
      <c r="BT51" s="150"/>
      <c r="BU51" s="150"/>
      <c r="BV51" s="152"/>
      <c r="BW51" s="28"/>
      <c r="BX51" s="28"/>
      <c r="BY51" s="28"/>
      <c r="BZ51" s="28"/>
      <c r="CA51" s="28"/>
    </row>
    <row r="52" spans="1:91" ht="13.5" customHeight="1">
      <c r="A52" s="22"/>
      <c r="B52" s="202">
        <v>9</v>
      </c>
      <c r="C52" s="308">
        <v>2</v>
      </c>
      <c r="D52" s="148" t="s">
        <v>226</v>
      </c>
      <c r="E52" s="149"/>
      <c r="F52" s="149"/>
      <c r="G52" s="151"/>
      <c r="H52" s="242" t="s">
        <v>228</v>
      </c>
      <c r="I52" s="150"/>
      <c r="J52" s="150"/>
      <c r="K52" s="150"/>
      <c r="L52" s="161"/>
      <c r="M52" s="162"/>
      <c r="N52" s="242" t="s">
        <v>229</v>
      </c>
      <c r="O52" s="150"/>
      <c r="P52" s="150"/>
      <c r="Q52" s="99" t="s">
        <v>33</v>
      </c>
      <c r="R52" s="958">
        <v>200</v>
      </c>
      <c r="S52" s="959"/>
      <c r="T52" s="959"/>
      <c r="U52" s="960"/>
      <c r="V52" s="148" t="s">
        <v>207</v>
      </c>
      <c r="W52" s="150"/>
      <c r="X52" s="150"/>
      <c r="Y52" s="99" t="s">
        <v>33</v>
      </c>
      <c r="Z52" s="946">
        <v>11230.49</v>
      </c>
      <c r="AA52" s="968"/>
      <c r="AB52" s="968"/>
      <c r="AC52" s="968"/>
      <c r="AD52" s="969"/>
      <c r="AE52" s="946">
        <v>15161.17</v>
      </c>
      <c r="AF52" s="968"/>
      <c r="AG52" s="968"/>
      <c r="AH52" s="968"/>
      <c r="AI52" s="969"/>
      <c r="AJ52" s="148" t="s">
        <v>148</v>
      </c>
      <c r="AK52" s="150"/>
      <c r="AL52" s="150"/>
      <c r="AM52" s="99" t="s">
        <v>33</v>
      </c>
      <c r="AN52" s="998">
        <v>177.12389999999999</v>
      </c>
      <c r="AO52" s="999"/>
      <c r="AP52" s="999"/>
      <c r="AQ52" s="1000"/>
      <c r="AR52" s="998">
        <v>180</v>
      </c>
      <c r="AS52" s="999"/>
      <c r="AT52" s="999"/>
      <c r="AU52" s="1000"/>
      <c r="AV52" s="1007">
        <v>4.4999999999999998E-2</v>
      </c>
      <c r="AW52" s="1008"/>
      <c r="AX52" s="1008"/>
      <c r="AY52" s="1009"/>
      <c r="AZ52" s="998">
        <v>218.2</v>
      </c>
      <c r="BA52" s="999"/>
      <c r="BB52" s="999"/>
      <c r="BC52" s="1000"/>
      <c r="BD52" s="998"/>
      <c r="BE52" s="999"/>
      <c r="BF52" s="999"/>
      <c r="BG52" s="1000"/>
      <c r="BH52" s="998"/>
      <c r="BI52" s="999"/>
      <c r="BJ52" s="999"/>
      <c r="BK52" s="1000"/>
      <c r="BL52" s="1001"/>
      <c r="BM52" s="1002"/>
      <c r="BN52" s="1003"/>
      <c r="BO52" s="242"/>
      <c r="BP52" s="150"/>
      <c r="BQ52" s="150"/>
      <c r="BR52" s="152"/>
      <c r="BS52" s="149" t="s">
        <v>30</v>
      </c>
      <c r="BT52" s="150"/>
      <c r="BU52" s="150"/>
      <c r="BV52" s="152"/>
      <c r="BW52" s="28"/>
      <c r="BX52" s="28"/>
      <c r="BY52" s="28"/>
      <c r="BZ52" s="28"/>
      <c r="CA52" s="28"/>
    </row>
    <row r="53" spans="1:91" ht="13.5" customHeight="1">
      <c r="A53" s="22"/>
      <c r="B53" s="202">
        <v>10</v>
      </c>
      <c r="C53" s="310"/>
      <c r="D53" s="65"/>
      <c r="E53" s="65"/>
      <c r="F53" s="65"/>
      <c r="G53" s="65"/>
      <c r="H53" s="65"/>
      <c r="I53" s="65"/>
      <c r="J53" s="65"/>
      <c r="K53" s="65"/>
      <c r="L53" s="65"/>
      <c r="M53" s="62"/>
      <c r="N53" s="63"/>
      <c r="O53" s="65"/>
      <c r="P53" s="65"/>
      <c r="Q53" s="64"/>
      <c r="R53" s="63"/>
      <c r="S53" s="190"/>
      <c r="T53" s="190"/>
      <c r="U53" s="191"/>
      <c r="V53" s="192"/>
      <c r="W53" s="190"/>
      <c r="X53" s="65"/>
      <c r="Y53" s="65"/>
      <c r="Z53" s="65"/>
      <c r="AA53" s="65"/>
      <c r="AB53" s="65"/>
      <c r="AC53" s="65"/>
      <c r="AD53" s="65"/>
      <c r="AE53" s="65"/>
      <c r="AF53" s="65"/>
      <c r="AG53" s="65"/>
      <c r="AH53" s="65"/>
      <c r="AI53" s="65"/>
      <c r="AJ53" s="65"/>
      <c r="AK53" s="65"/>
      <c r="AL53" s="65"/>
      <c r="AM53" s="63"/>
      <c r="AN53" s="63"/>
      <c r="AO53" s="63"/>
      <c r="AP53" s="63"/>
      <c r="AQ53" s="63"/>
      <c r="AR53" s="63"/>
      <c r="AS53" s="63"/>
      <c r="AT53" s="63"/>
      <c r="AU53" s="63"/>
      <c r="AV53" s="63"/>
      <c r="AW53" s="63"/>
      <c r="AX53" s="63"/>
      <c r="AY53" s="63"/>
      <c r="AZ53" s="31"/>
      <c r="BA53" s="35"/>
      <c r="BB53" s="35"/>
      <c r="BC53" s="311"/>
      <c r="BD53" s="28"/>
    </row>
    <row r="54" spans="1:91" ht="13.5" customHeight="1">
      <c r="A54" s="22"/>
      <c r="B54" s="202">
        <v>14</v>
      </c>
      <c r="C54" s="312"/>
      <c r="D54" s="65"/>
      <c r="E54" s="65"/>
      <c r="F54" s="65"/>
      <c r="G54" s="65"/>
      <c r="H54" s="65"/>
      <c r="I54" s="65"/>
      <c r="J54" s="65"/>
      <c r="K54" s="198"/>
      <c r="L54" s="65"/>
      <c r="M54" s="65"/>
      <c r="N54" s="65"/>
      <c r="O54" s="65"/>
      <c r="P54" s="65"/>
      <c r="Q54" s="198"/>
      <c r="R54" s="65"/>
      <c r="S54" s="65"/>
      <c r="T54" s="65"/>
      <c r="U54" s="198"/>
      <c r="V54" s="65"/>
      <c r="W54" s="65"/>
      <c r="X54" s="65"/>
      <c r="Y54" s="65"/>
      <c r="Z54" s="65"/>
      <c r="AA54" s="65"/>
      <c r="AB54" s="65"/>
      <c r="AC54" s="65"/>
      <c r="AD54" s="65"/>
      <c r="AE54" s="65"/>
      <c r="AF54" s="65"/>
      <c r="AG54" s="65"/>
      <c r="AH54" s="65"/>
      <c r="AI54" s="65"/>
      <c r="AJ54" s="125"/>
      <c r="AK54" s="112"/>
      <c r="AL54" s="62"/>
      <c r="AM54" s="63"/>
      <c r="AN54" s="63"/>
      <c r="AO54" s="63"/>
      <c r="AP54" s="63"/>
      <c r="AQ54" s="64"/>
      <c r="AR54" s="63"/>
      <c r="AS54" s="65"/>
      <c r="AT54" s="65"/>
      <c r="AU54" s="65"/>
      <c r="AV54" s="65"/>
      <c r="AW54" s="65"/>
      <c r="AX54" s="65"/>
      <c r="AY54" s="63"/>
      <c r="AZ54" s="31"/>
      <c r="BA54" s="35"/>
      <c r="BB54" s="35"/>
      <c r="BC54" s="311"/>
      <c r="BD54" s="28"/>
    </row>
    <row r="55" spans="1:91" ht="13.5" customHeight="1">
      <c r="A55" s="22"/>
      <c r="B55" s="202">
        <v>15</v>
      </c>
      <c r="C55" s="313" t="s">
        <v>71</v>
      </c>
      <c r="D55" s="223"/>
      <c r="E55" s="224"/>
      <c r="F55" s="223"/>
      <c r="G55" s="224"/>
      <c r="H55" s="225"/>
      <c r="I55" s="226"/>
      <c r="J55" s="227"/>
      <c r="K55" s="227"/>
      <c r="L55" s="227"/>
      <c r="M55" s="228"/>
      <c r="N55" s="227"/>
      <c r="O55" s="227"/>
      <c r="P55" s="227"/>
      <c r="Q55" s="229"/>
      <c r="R55" s="227"/>
      <c r="S55" s="227"/>
      <c r="T55" s="227"/>
      <c r="U55" s="227"/>
      <c r="V55" s="227"/>
      <c r="W55" s="229"/>
      <c r="X55" s="227"/>
      <c r="Y55" s="227"/>
      <c r="Z55" s="227"/>
      <c r="AA55" s="229"/>
      <c r="AB55" s="227"/>
      <c r="AC55" s="227"/>
      <c r="AD55" s="227"/>
      <c r="AE55" s="227"/>
      <c r="AF55" s="227"/>
      <c r="AG55" s="232"/>
      <c r="AH55" s="227"/>
      <c r="AI55" s="227"/>
      <c r="AJ55" s="227"/>
      <c r="AK55" s="227"/>
      <c r="AL55" s="227"/>
      <c r="AM55" s="227"/>
      <c r="AN55" s="227"/>
      <c r="AO55" s="227"/>
      <c r="AP55" s="227"/>
      <c r="AQ55" s="230"/>
      <c r="AR55" s="227"/>
      <c r="AS55" s="230"/>
      <c r="AT55" s="227"/>
      <c r="AU55" s="227"/>
      <c r="AV55" s="227"/>
      <c r="AW55" s="227"/>
      <c r="AX55" s="227"/>
      <c r="AY55" s="224"/>
      <c r="AZ55" s="224"/>
      <c r="BA55" s="231"/>
      <c r="BB55" s="231"/>
      <c r="BC55" s="314"/>
      <c r="BD55" s="28"/>
    </row>
    <row r="56" spans="1:91" ht="13.5" customHeight="1">
      <c r="A56" s="22"/>
      <c r="B56" s="202"/>
      <c r="C56" s="394"/>
      <c r="D56" s="62"/>
      <c r="E56" s="63"/>
      <c r="F56" s="62"/>
      <c r="G56" s="63"/>
      <c r="H56" s="398"/>
      <c r="I56" s="399"/>
      <c r="J56" s="74"/>
      <c r="K56" s="74"/>
      <c r="L56" s="74"/>
      <c r="M56" s="400"/>
      <c r="N56" s="74"/>
      <c r="O56" s="74"/>
      <c r="P56" s="74"/>
      <c r="Q56" s="401"/>
      <c r="R56" s="74"/>
      <c r="S56" s="74"/>
      <c r="T56" s="74"/>
      <c r="U56" s="74"/>
      <c r="V56" s="74"/>
      <c r="W56" s="401"/>
      <c r="X56" s="65"/>
      <c r="Y56" s="65"/>
      <c r="Z56" s="65"/>
      <c r="AA56" s="198"/>
      <c r="AB56" s="65"/>
      <c r="AC56" s="65"/>
      <c r="AD56" s="65"/>
      <c r="AE56" s="65"/>
      <c r="AF56" s="65"/>
      <c r="AG56" s="158"/>
      <c r="AH56" s="65"/>
      <c r="AI56" s="65"/>
      <c r="AJ56" s="65"/>
      <c r="AK56" s="65"/>
      <c r="AL56" s="65"/>
      <c r="AM56" s="65"/>
      <c r="AN56" s="65"/>
      <c r="AO56" s="65"/>
      <c r="AP56" s="65"/>
      <c r="AQ56" s="125"/>
      <c r="AR56" s="65"/>
      <c r="AS56" s="125"/>
      <c r="AT56" s="65"/>
      <c r="AU56" s="65"/>
      <c r="AV56" s="65"/>
      <c r="AW56" s="65"/>
      <c r="AX56" s="65"/>
      <c r="AY56" s="63"/>
      <c r="AZ56" s="103"/>
      <c r="BA56" s="396"/>
      <c r="BB56" s="396"/>
      <c r="BC56" s="397"/>
      <c r="BD56" s="28"/>
    </row>
    <row r="57" spans="1:91" ht="13.5" customHeight="1">
      <c r="A57" s="22"/>
      <c r="B57" s="202">
        <v>16</v>
      </c>
      <c r="C57" s="310"/>
      <c r="D57" s="65"/>
      <c r="E57" s="65"/>
      <c r="F57" s="65"/>
      <c r="G57" s="65"/>
      <c r="H57" s="65"/>
      <c r="I57" s="65"/>
      <c r="J57" s="65"/>
      <c r="K57" s="65"/>
      <c r="L57" s="65"/>
      <c r="M57" s="62"/>
      <c r="N57" s="65"/>
      <c r="O57" s="65"/>
      <c r="P57" s="63"/>
      <c r="Q57" s="64"/>
      <c r="R57" s="63"/>
      <c r="S57" s="111"/>
      <c r="T57" s="112"/>
      <c r="U57" s="111"/>
      <c r="V57" s="112"/>
      <c r="W57" s="111"/>
      <c r="X57" s="111"/>
      <c r="Y57" s="111"/>
      <c r="Z57" s="111"/>
      <c r="AA57" s="65"/>
      <c r="AB57" s="65"/>
      <c r="AC57" s="65"/>
      <c r="AD57" s="65"/>
      <c r="AE57" s="65"/>
      <c r="AF57" s="65"/>
      <c r="AG57" s="65"/>
      <c r="AH57" s="65"/>
      <c r="AI57" s="65"/>
      <c r="AJ57" s="65"/>
      <c r="AK57" s="65"/>
      <c r="AL57" s="65"/>
      <c r="AM57" s="65"/>
      <c r="AN57" s="65"/>
      <c r="AO57" s="65"/>
      <c r="AP57" s="65"/>
      <c r="AQ57" s="65"/>
      <c r="AR57" s="65"/>
      <c r="AS57" s="65"/>
      <c r="AT57" s="65"/>
      <c r="AU57" s="65"/>
      <c r="AV57" s="65"/>
      <c r="AW57" s="65"/>
      <c r="AX57" s="65"/>
      <c r="AY57" s="63"/>
      <c r="AZ57" s="31"/>
      <c r="BA57" s="30"/>
      <c r="BB57" s="175"/>
      <c r="BC57" s="326"/>
    </row>
    <row r="58" spans="1:91" ht="13.5" customHeight="1">
      <c r="A58" s="22"/>
      <c r="B58" s="202">
        <v>17</v>
      </c>
      <c r="C58" s="310"/>
      <c r="D58" s="65"/>
      <c r="E58" s="65"/>
      <c r="F58" s="65"/>
      <c r="G58" s="65"/>
      <c r="H58" s="126"/>
      <c r="I58" s="65"/>
      <c r="J58" s="65"/>
      <c r="K58" s="65"/>
      <c r="L58" s="198"/>
      <c r="M58" s="65"/>
      <c r="N58" s="65"/>
      <c r="O58" s="65"/>
      <c r="P58" s="198"/>
      <c r="Q58" s="65"/>
      <c r="R58" s="65"/>
      <c r="S58" s="65"/>
      <c r="T58" s="198"/>
      <c r="U58" s="65"/>
      <c r="V58" s="65"/>
      <c r="W58" s="65"/>
      <c r="X58" s="65"/>
      <c r="Y58" s="65"/>
      <c r="Z58" s="65"/>
      <c r="AA58" s="65"/>
      <c r="AB58" s="65"/>
      <c r="AC58" s="65"/>
      <c r="AD58" s="65"/>
      <c r="AE58" s="65"/>
      <c r="AF58" s="65"/>
      <c r="AG58" s="65"/>
      <c r="AH58" s="65"/>
      <c r="AI58" s="65"/>
      <c r="AJ58" s="65"/>
      <c r="AK58" s="125"/>
      <c r="AL58" s="65"/>
      <c r="AM58" s="65"/>
      <c r="AN58" s="65"/>
      <c r="AO58" s="65"/>
      <c r="AP58" s="65"/>
      <c r="AQ58" s="65"/>
      <c r="AR58" s="65"/>
      <c r="AS58" s="65"/>
      <c r="AT58" s="65"/>
      <c r="AU58" s="65"/>
      <c r="AV58" s="65"/>
      <c r="AW58" s="65"/>
      <c r="AX58" s="65"/>
      <c r="AY58" s="63"/>
      <c r="AZ58" s="31"/>
      <c r="BA58" s="30"/>
      <c r="BB58" s="175"/>
      <c r="BC58" s="326"/>
      <c r="BD58" s="28"/>
    </row>
    <row r="59" spans="1:91" ht="5.15" customHeight="1">
      <c r="A59" s="22"/>
      <c r="B59" s="202"/>
      <c r="C59" s="315"/>
      <c r="D59" s="73"/>
      <c r="E59" s="73"/>
      <c r="F59" s="73"/>
      <c r="G59" s="73"/>
      <c r="H59" s="316"/>
      <c r="I59" s="275"/>
      <c r="J59" s="273"/>
      <c r="K59" s="275"/>
      <c r="L59" s="273"/>
      <c r="M59" s="317"/>
      <c r="N59" s="317"/>
      <c r="O59" s="270"/>
      <c r="P59" s="317"/>
      <c r="Q59" s="270"/>
      <c r="R59" s="317"/>
      <c r="S59" s="73"/>
      <c r="T59" s="73"/>
      <c r="U59" s="73"/>
      <c r="V59" s="73"/>
      <c r="W59" s="73"/>
      <c r="X59" s="316"/>
      <c r="Y59" s="275"/>
      <c r="Z59" s="273"/>
      <c r="AA59" s="275"/>
      <c r="AB59" s="273"/>
      <c r="AC59" s="317"/>
      <c r="AD59" s="317"/>
      <c r="AE59" s="270"/>
      <c r="AF59" s="317"/>
      <c r="AG59" s="270"/>
      <c r="AH59" s="317"/>
      <c r="AI59" s="276"/>
      <c r="AJ59" s="317"/>
      <c r="AK59" s="270"/>
      <c r="AL59" s="73"/>
      <c r="AM59" s="73"/>
      <c r="AN59" s="73"/>
      <c r="AO59" s="73"/>
      <c r="AP59" s="73"/>
      <c r="AQ59" s="73"/>
      <c r="AR59" s="73"/>
      <c r="AS59" s="73"/>
      <c r="AT59" s="73"/>
      <c r="AU59" s="73"/>
      <c r="AV59" s="318"/>
      <c r="AW59" s="73"/>
      <c r="AX59" s="73"/>
      <c r="AY59" s="269"/>
      <c r="AZ59" s="269"/>
      <c r="BA59" s="319"/>
      <c r="BB59" s="320"/>
      <c r="BC59" s="321"/>
      <c r="BD59" s="28"/>
    </row>
    <row r="60" spans="1:91" ht="13.5" customHeight="1">
      <c r="A60" s="22"/>
      <c r="B60" s="202">
        <v>18</v>
      </c>
      <c r="C60" s="75"/>
      <c r="D60" s="63"/>
      <c r="E60" s="63"/>
      <c r="F60" s="63"/>
      <c r="G60" s="63"/>
      <c r="H60" s="69"/>
      <c r="I60" s="69"/>
      <c r="J60" s="65"/>
      <c r="K60" s="69"/>
      <c r="L60" s="65"/>
      <c r="M60" s="69"/>
      <c r="N60" s="64"/>
      <c r="O60" s="69"/>
      <c r="P60" s="65"/>
      <c r="Q60" s="65"/>
      <c r="R60" s="65"/>
      <c r="S60" s="63"/>
      <c r="T60" s="63"/>
      <c r="U60" s="63"/>
      <c r="V60" s="63"/>
      <c r="W60" s="63"/>
      <c r="X60" s="64"/>
      <c r="Y60" s="63"/>
      <c r="Z60" s="65"/>
      <c r="AA60" s="64"/>
      <c r="AB60" s="63"/>
      <c r="AC60" s="65"/>
      <c r="AD60" s="64"/>
      <c r="AE60" s="65"/>
      <c r="AF60" s="65"/>
      <c r="AG60" s="64"/>
      <c r="AH60" s="65"/>
      <c r="AI60" s="65"/>
      <c r="AJ60" s="126"/>
      <c r="AK60" s="65"/>
      <c r="AL60" s="65"/>
      <c r="AM60" s="65"/>
      <c r="AN60" s="65"/>
      <c r="AO60" s="65"/>
      <c r="AP60" s="65"/>
      <c r="AQ60" s="65"/>
      <c r="AR60" s="65"/>
      <c r="AS60" s="65"/>
      <c r="AT60" s="65"/>
      <c r="AU60" s="65"/>
      <c r="AV60" s="65"/>
      <c r="AW60" s="65"/>
      <c r="AX60" s="65"/>
      <c r="AY60" s="63"/>
      <c r="AZ60" s="264"/>
      <c r="BA60" s="301"/>
      <c r="BB60" s="302"/>
      <c r="BC60" s="343"/>
      <c r="BD60" s="28"/>
    </row>
    <row r="61" spans="1:91" ht="13.5" customHeight="1">
      <c r="A61" s="22"/>
      <c r="B61" s="202">
        <v>20</v>
      </c>
      <c r="C61" s="204" t="s">
        <v>78</v>
      </c>
      <c r="D61" s="28"/>
      <c r="E61" s="28"/>
      <c r="F61" s="28"/>
      <c r="G61" s="28"/>
      <c r="H61" s="121"/>
      <c r="I61" s="62"/>
      <c r="J61" s="63"/>
      <c r="K61" s="62"/>
      <c r="L61" s="63"/>
      <c r="M61" s="69"/>
      <c r="N61" s="69"/>
      <c r="O61" s="65"/>
      <c r="P61" s="69"/>
      <c r="Q61" s="65"/>
      <c r="R61" s="69"/>
      <c r="S61" s="28"/>
      <c r="T61" s="28"/>
      <c r="U61" s="28"/>
      <c r="V61" s="28"/>
      <c r="W61" s="28"/>
      <c r="X61" s="121"/>
      <c r="Y61" s="62"/>
      <c r="Z61" s="63"/>
      <c r="AA61" s="62"/>
      <c r="AB61" s="63"/>
      <c r="AC61" s="69"/>
      <c r="AD61" s="69"/>
      <c r="AE61" s="65"/>
      <c r="AF61" s="69"/>
      <c r="AG61" s="65"/>
      <c r="AH61" s="69"/>
      <c r="AI61" s="64"/>
      <c r="AJ61" s="69"/>
      <c r="AK61" s="65"/>
      <c r="AL61" s="28"/>
      <c r="AM61" s="28"/>
      <c r="AN61" s="28"/>
      <c r="AO61" s="28"/>
      <c r="AP61" s="28"/>
      <c r="AQ61" s="28"/>
      <c r="AR61" s="28"/>
      <c r="AS61" s="28"/>
      <c r="AT61" s="28"/>
      <c r="AU61" s="28"/>
      <c r="AV61" s="233"/>
      <c r="AW61" s="28"/>
      <c r="AX61" s="28"/>
      <c r="AY61" s="31"/>
      <c r="AZ61" s="269"/>
      <c r="BA61" s="319"/>
      <c r="BB61" s="320"/>
      <c r="BC61" s="344"/>
      <c r="BD61" s="28"/>
    </row>
    <row r="62" spans="1:91" ht="5.15" customHeight="1">
      <c r="A62" s="22"/>
      <c r="B62" s="202"/>
      <c r="C62" s="296"/>
      <c r="D62" s="72"/>
      <c r="E62" s="72"/>
      <c r="F62" s="72"/>
      <c r="G62" s="72"/>
      <c r="H62" s="297"/>
      <c r="I62" s="278"/>
      <c r="J62" s="279"/>
      <c r="K62" s="278"/>
      <c r="L62" s="279"/>
      <c r="M62" s="298"/>
      <c r="N62" s="298"/>
      <c r="O62" s="263"/>
      <c r="P62" s="298"/>
      <c r="Q62" s="263"/>
      <c r="R62" s="298"/>
      <c r="S62" s="72"/>
      <c r="T62" s="72"/>
      <c r="U62" s="72"/>
      <c r="V62" s="72"/>
      <c r="W62" s="72"/>
      <c r="X62" s="297"/>
      <c r="Y62" s="278"/>
      <c r="Z62" s="279"/>
      <c r="AA62" s="278"/>
      <c r="AB62" s="279"/>
      <c r="AC62" s="298"/>
      <c r="AD62" s="298"/>
      <c r="AE62" s="263"/>
      <c r="AF62" s="298"/>
      <c r="AG62" s="263"/>
      <c r="AH62" s="298"/>
      <c r="AI62" s="280"/>
      <c r="AJ62" s="298"/>
      <c r="AK62" s="263"/>
      <c r="AL62" s="72"/>
      <c r="AM62" s="72"/>
      <c r="AN62" s="72"/>
      <c r="AO62" s="72"/>
      <c r="AP62" s="72"/>
      <c r="AQ62" s="72"/>
      <c r="AR62" s="72"/>
      <c r="AS62" s="72"/>
      <c r="AT62" s="72"/>
      <c r="AU62" s="72"/>
      <c r="AV62" s="300"/>
      <c r="AW62" s="72"/>
      <c r="AX62" s="72"/>
      <c r="AY62" s="264"/>
      <c r="AZ62" s="264"/>
      <c r="BA62" s="301"/>
      <c r="BB62" s="302"/>
      <c r="BC62" s="303"/>
      <c r="BD62" s="28"/>
    </row>
    <row r="63" spans="1:91" ht="13.5" customHeight="1">
      <c r="A63" s="22"/>
      <c r="B63" s="202">
        <v>21</v>
      </c>
      <c r="C63" s="304" t="s">
        <v>32</v>
      </c>
      <c r="D63" s="234" t="s">
        <v>260</v>
      </c>
      <c r="E63" s="235"/>
      <c r="F63" s="234" t="s">
        <v>64</v>
      </c>
      <c r="G63" s="235"/>
      <c r="H63" s="235"/>
      <c r="I63" s="236"/>
      <c r="J63" s="237" t="s">
        <v>34</v>
      </c>
      <c r="K63" s="238"/>
      <c r="L63" s="238"/>
      <c r="M63" s="238"/>
      <c r="N63" s="235"/>
      <c r="O63" s="236"/>
      <c r="P63" s="239" t="s">
        <v>67</v>
      </c>
      <c r="Q63" s="240"/>
      <c r="R63" s="240"/>
      <c r="S63" s="241"/>
      <c r="T63" s="239" t="s">
        <v>151</v>
      </c>
      <c r="U63" s="240"/>
      <c r="V63" s="240"/>
      <c r="W63" s="241"/>
      <c r="X63" s="234" t="s">
        <v>79</v>
      </c>
      <c r="Y63" s="235"/>
      <c r="Z63" s="235"/>
      <c r="AA63" s="236"/>
      <c r="AB63" s="234" t="s">
        <v>80</v>
      </c>
      <c r="AC63" s="235"/>
      <c r="AD63" s="235"/>
      <c r="AE63" s="235"/>
      <c r="AF63" s="239" t="s">
        <v>65</v>
      </c>
      <c r="AG63" s="240"/>
      <c r="AH63" s="240"/>
      <c r="AI63" s="240"/>
      <c r="AJ63" s="241"/>
      <c r="AK63" s="240" t="s">
        <v>210</v>
      </c>
      <c r="AL63" s="240"/>
      <c r="AM63" s="240"/>
      <c r="AN63" s="241"/>
      <c r="AO63" s="240" t="s">
        <v>162</v>
      </c>
      <c r="AP63" s="240"/>
      <c r="AQ63" s="240"/>
      <c r="AR63" s="241"/>
      <c r="AS63" s="240" t="s">
        <v>211</v>
      </c>
      <c r="AT63" s="240"/>
      <c r="AU63" s="240"/>
      <c r="AV63" s="241"/>
      <c r="AW63" s="240" t="s">
        <v>66</v>
      </c>
      <c r="AX63" s="240"/>
      <c r="AY63" s="240"/>
      <c r="AZ63" s="241"/>
      <c r="BA63" s="239" t="s">
        <v>212</v>
      </c>
      <c r="BB63" s="240"/>
      <c r="BC63" s="240"/>
      <c r="BD63" s="241"/>
      <c r="BE63" s="239" t="s">
        <v>213</v>
      </c>
      <c r="BF63" s="240"/>
      <c r="BG63" s="240"/>
      <c r="BH63" s="240"/>
      <c r="BI63" s="239" t="s">
        <v>199</v>
      </c>
      <c r="BJ63" s="240"/>
      <c r="BK63" s="240"/>
      <c r="BL63" s="241"/>
      <c r="BM63" s="239" t="s">
        <v>214</v>
      </c>
      <c r="BN63" s="240"/>
      <c r="BO63" s="240"/>
      <c r="BP63" s="241"/>
      <c r="BQ63" s="239" t="s">
        <v>215</v>
      </c>
      <c r="BR63" s="240"/>
      <c r="BS63" s="240"/>
      <c r="BT63" s="241"/>
      <c r="BU63" s="239" t="s">
        <v>83</v>
      </c>
      <c r="BV63" s="240"/>
      <c r="BW63" s="240"/>
      <c r="BX63" s="241"/>
      <c r="BY63" s="239" t="s">
        <v>84</v>
      </c>
      <c r="BZ63" s="240"/>
      <c r="CA63" s="240"/>
      <c r="CB63" s="241"/>
      <c r="CC63" s="240" t="s">
        <v>85</v>
      </c>
      <c r="CD63" s="240"/>
      <c r="CE63" s="241"/>
      <c r="CF63" s="240" t="s">
        <v>86</v>
      </c>
      <c r="CG63" s="240"/>
      <c r="CH63" s="240"/>
      <c r="CI63" s="241"/>
      <c r="CJ63" s="240" t="s">
        <v>69</v>
      </c>
      <c r="CK63" s="240"/>
      <c r="CL63" s="240"/>
      <c r="CM63" s="241"/>
    </row>
    <row r="64" spans="1:91" ht="13.5" customHeight="1">
      <c r="A64" s="22"/>
      <c r="B64" s="202">
        <v>22</v>
      </c>
      <c r="C64" s="308">
        <v>1</v>
      </c>
      <c r="D64" s="148" t="str">
        <f>N51</f>
        <v>OPT</v>
      </c>
      <c r="E64" s="149"/>
      <c r="F64" s="148" t="str">
        <f>D51</f>
        <v>8311308000</v>
      </c>
      <c r="G64" s="149"/>
      <c r="H64" s="149"/>
      <c r="I64" s="151"/>
      <c r="J64" s="242" t="str">
        <f>H51</f>
        <v>BF4MC-(375161-01)</v>
      </c>
      <c r="K64" s="150"/>
      <c r="L64" s="150"/>
      <c r="M64" s="150"/>
      <c r="N64" s="161"/>
      <c r="O64" s="162"/>
      <c r="P64" s="148" t="s">
        <v>275</v>
      </c>
      <c r="Q64" s="150"/>
      <c r="R64" s="150"/>
      <c r="S64" s="162"/>
      <c r="T64" s="148" t="str">
        <f>AJ51</f>
        <v>USD</v>
      </c>
      <c r="U64" s="150"/>
      <c r="V64" s="150"/>
      <c r="W64" s="162"/>
      <c r="X64" s="958">
        <f>R51</f>
        <v>200</v>
      </c>
      <c r="Y64" s="959"/>
      <c r="Z64" s="959"/>
      <c r="AA64" s="960"/>
      <c r="AB64" s="998">
        <f>Z51/H42</f>
        <v>315.36654545454547</v>
      </c>
      <c r="AC64" s="999"/>
      <c r="AD64" s="999"/>
      <c r="AE64" s="1000"/>
      <c r="AF64" s="998">
        <f>BH51</f>
        <v>0</v>
      </c>
      <c r="AG64" s="999"/>
      <c r="AH64" s="999"/>
      <c r="AI64" s="999"/>
      <c r="AJ64" s="1000"/>
      <c r="AK64" s="998">
        <f>AR51</f>
        <v>560</v>
      </c>
      <c r="AL64" s="999"/>
      <c r="AM64" s="999"/>
      <c r="AN64" s="1000"/>
      <c r="AO64" s="998">
        <f>AN51</f>
        <v>547.11950000000002</v>
      </c>
      <c r="AP64" s="999"/>
      <c r="AQ64" s="999"/>
      <c r="AR64" s="1000"/>
      <c r="AS64" s="998">
        <f>AN51/(1-AV51)</f>
        <v>572.90000000000009</v>
      </c>
      <c r="AT64" s="999"/>
      <c r="AU64" s="999"/>
      <c r="AV64" s="1000"/>
      <c r="AW64" s="998">
        <f>AN51-(AS64*$K$20)</f>
        <v>518.47450000000003</v>
      </c>
      <c r="AX64" s="999"/>
      <c r="AY64" s="999"/>
      <c r="AZ64" s="1000"/>
      <c r="BA64" s="952">
        <f>(AO64-AS64*$K$20-AE51/H42)/(AE51/H42)</f>
        <v>0.21780551905387649</v>
      </c>
      <c r="BB64" s="953"/>
      <c r="BC64" s="953"/>
      <c r="BD64" s="954"/>
      <c r="BE64" s="979">
        <f>(AN51-AR51)/AR51</f>
        <v>-2.3000892857142827E-2</v>
      </c>
      <c r="BF64" s="980"/>
      <c r="BG64" s="980"/>
      <c r="BH64" s="981"/>
      <c r="BI64" s="1030">
        <f>AZ51</f>
        <v>674</v>
      </c>
      <c r="BJ64" s="1031"/>
      <c r="BK64" s="1031"/>
      <c r="BL64" s="1032"/>
      <c r="BM64" s="982">
        <f>1-AN51/(1-AV51)/AZ51</f>
        <v>0.14999999999999991</v>
      </c>
      <c r="BN64" s="983"/>
      <c r="BO64" s="983"/>
      <c r="BP64" s="984"/>
      <c r="BQ64" s="982">
        <f>1-(Z51/H42+AN51*AV51+AS64*$K$20)/AZ51</f>
        <v>0.45306836356892366</v>
      </c>
      <c r="BR64" s="983"/>
      <c r="BS64" s="983"/>
      <c r="BT64" s="984"/>
      <c r="BU64" s="1001">
        <f>BD51</f>
        <v>0</v>
      </c>
      <c r="BV64" s="1002"/>
      <c r="BW64" s="1002"/>
      <c r="BX64" s="1003"/>
      <c r="BY64" s="982" t="str">
        <f>IFERROR(1-AZ51/BD51,"")</f>
        <v/>
      </c>
      <c r="BZ64" s="983"/>
      <c r="CA64" s="983"/>
      <c r="CB64" s="984"/>
      <c r="CC64" s="970">
        <f>BL51</f>
        <v>0</v>
      </c>
      <c r="CD64" s="971"/>
      <c r="CE64" s="972"/>
      <c r="CF64" s="150"/>
      <c r="CG64" s="150"/>
      <c r="CH64" s="150"/>
      <c r="CI64" s="152"/>
      <c r="CJ64" s="149" t="s">
        <v>30</v>
      </c>
      <c r="CK64" s="150"/>
      <c r="CL64" s="150"/>
      <c r="CM64" s="152"/>
    </row>
    <row r="65" spans="1:91" ht="13.5" customHeight="1">
      <c r="A65" s="22"/>
      <c r="B65" s="202">
        <v>23</v>
      </c>
      <c r="C65" s="308">
        <v>2</v>
      </c>
      <c r="D65" s="148" t="str">
        <f>N52</f>
        <v>OPT</v>
      </c>
      <c r="E65" s="149"/>
      <c r="F65" s="148" t="str">
        <f>D52</f>
        <v>8311309000</v>
      </c>
      <c r="G65" s="149"/>
      <c r="H65" s="149"/>
      <c r="I65" s="151"/>
      <c r="J65" s="242" t="str">
        <f>H52</f>
        <v>BF4MC-(375168-01)</v>
      </c>
      <c r="K65" s="150"/>
      <c r="L65" s="150"/>
      <c r="M65" s="150"/>
      <c r="N65" s="161"/>
      <c r="O65" s="162"/>
      <c r="P65" s="148" t="s">
        <v>275</v>
      </c>
      <c r="Q65" s="150"/>
      <c r="R65" s="150"/>
      <c r="S65" s="162"/>
      <c r="T65" s="148" t="str">
        <f>AJ52</f>
        <v>USD</v>
      </c>
      <c r="U65" s="150"/>
      <c r="V65" s="150"/>
      <c r="W65" s="162"/>
      <c r="X65" s="958">
        <f>R52</f>
        <v>200</v>
      </c>
      <c r="Y65" s="959"/>
      <c r="Z65" s="959"/>
      <c r="AA65" s="960"/>
      <c r="AB65" s="998">
        <f>Z52/H42</f>
        <v>102.09536363636363</v>
      </c>
      <c r="AC65" s="999"/>
      <c r="AD65" s="999"/>
      <c r="AE65" s="1000"/>
      <c r="AF65" s="998">
        <f>BH52</f>
        <v>0</v>
      </c>
      <c r="AG65" s="999"/>
      <c r="AH65" s="999"/>
      <c r="AI65" s="999"/>
      <c r="AJ65" s="1000"/>
      <c r="AK65" s="998">
        <f>AR52</f>
        <v>180</v>
      </c>
      <c r="AL65" s="999"/>
      <c r="AM65" s="999"/>
      <c r="AN65" s="1000"/>
      <c r="AO65" s="998">
        <f>AN52</f>
        <v>177.12389999999999</v>
      </c>
      <c r="AP65" s="999"/>
      <c r="AQ65" s="999"/>
      <c r="AR65" s="1000"/>
      <c r="AS65" s="998">
        <f>AN52/(1-AV52)</f>
        <v>185.47005235602094</v>
      </c>
      <c r="AT65" s="999"/>
      <c r="AU65" s="999"/>
      <c r="AV65" s="1000"/>
      <c r="AW65" s="998">
        <f>AN52-(AS65*$K$20)</f>
        <v>167.85039738219893</v>
      </c>
      <c r="AX65" s="999"/>
      <c r="AY65" s="999"/>
      <c r="AZ65" s="1000"/>
      <c r="BA65" s="952">
        <f>(AO65-AS65*$K$20-AE52/H42)/(AE52/H42)</f>
        <v>0.21781786709349499</v>
      </c>
      <c r="BB65" s="953"/>
      <c r="BC65" s="953"/>
      <c r="BD65" s="954"/>
      <c r="BE65" s="979">
        <f>(AN52-AR52)/AR52</f>
        <v>-1.5978333333333379E-2</v>
      </c>
      <c r="BF65" s="980"/>
      <c r="BG65" s="980"/>
      <c r="BH65" s="981"/>
      <c r="BI65" s="1030">
        <f>AZ52</f>
        <v>218.2</v>
      </c>
      <c r="BJ65" s="1031"/>
      <c r="BK65" s="1031"/>
      <c r="BL65" s="1032"/>
      <c r="BM65" s="982">
        <f>1-AN52/(1-AV52)/AZ52</f>
        <v>0.14999976005489934</v>
      </c>
      <c r="BN65" s="983"/>
      <c r="BO65" s="983"/>
      <c r="BP65" s="984"/>
      <c r="BQ65" s="982">
        <f>1-(Z52/H42+AN52*AV52+AS65*$K$20)/AZ52</f>
        <v>0.45307313586542308</v>
      </c>
      <c r="BR65" s="983"/>
      <c r="BS65" s="983"/>
      <c r="BT65" s="984"/>
      <c r="BU65" s="1001">
        <f>BD52</f>
        <v>0</v>
      </c>
      <c r="BV65" s="1002"/>
      <c r="BW65" s="1002"/>
      <c r="BX65" s="1003"/>
      <c r="BY65" s="982" t="str">
        <f>IFERROR(1-AZ52/BD52,"")</f>
        <v/>
      </c>
      <c r="BZ65" s="983"/>
      <c r="CA65" s="983"/>
      <c r="CB65" s="984"/>
      <c r="CC65" s="970">
        <f>BL52</f>
        <v>0</v>
      </c>
      <c r="CD65" s="971"/>
      <c r="CE65" s="972"/>
      <c r="CF65" s="150"/>
      <c r="CG65" s="150"/>
      <c r="CH65" s="150"/>
      <c r="CI65" s="152"/>
      <c r="CJ65" s="149" t="s">
        <v>30</v>
      </c>
      <c r="CK65" s="150"/>
      <c r="CL65" s="150"/>
      <c r="CM65" s="152"/>
    </row>
    <row r="66" spans="1:91" ht="13.5" customHeight="1">
      <c r="A66" s="22"/>
      <c r="B66" s="202">
        <v>20</v>
      </c>
      <c r="C66" s="337" t="s">
        <v>281</v>
      </c>
      <c r="D66" s="28"/>
      <c r="E66" s="28"/>
      <c r="F66" s="28"/>
      <c r="G66" s="28"/>
      <c r="H66" s="121"/>
      <c r="I66" s="62"/>
      <c r="J66" s="63"/>
      <c r="K66" s="62"/>
      <c r="L66" s="63"/>
      <c r="M66" s="69"/>
      <c r="N66" s="69"/>
      <c r="O66" s="65"/>
      <c r="P66" s="69"/>
      <c r="Q66" s="65"/>
      <c r="R66" s="69"/>
      <c r="S66" s="28"/>
      <c r="T66" s="28"/>
      <c r="U66" s="28"/>
      <c r="V66" s="28"/>
      <c r="W66" s="28"/>
      <c r="X66" s="121"/>
      <c r="Y66" s="62"/>
      <c r="Z66" s="63"/>
      <c r="AA66" s="62"/>
      <c r="AB66" s="63"/>
      <c r="AC66" s="69"/>
      <c r="AD66" s="69"/>
      <c r="AE66" s="65"/>
      <c r="AF66" s="69"/>
      <c r="AG66" s="65"/>
      <c r="AH66" s="69"/>
      <c r="AI66" s="64"/>
      <c r="AJ66" s="69"/>
      <c r="AK66" s="65"/>
      <c r="AL66" s="28"/>
      <c r="AM66" s="28"/>
      <c r="AN66" s="28"/>
      <c r="AO66" s="28"/>
      <c r="AP66" s="28"/>
      <c r="AQ66" s="28"/>
      <c r="AR66" s="28"/>
      <c r="AS66" s="28"/>
      <c r="AT66" s="28"/>
      <c r="AU66" s="28"/>
      <c r="AV66" s="233"/>
      <c r="AW66" s="28"/>
      <c r="AX66" s="28"/>
      <c r="AY66" s="31"/>
      <c r="AZ66" s="95"/>
      <c r="BA66" s="92"/>
      <c r="BB66" s="329"/>
      <c r="BC66" s="338"/>
      <c r="BD66" s="37"/>
      <c r="BE66" s="37"/>
    </row>
    <row r="67" spans="1:91" ht="13.5" customHeight="1">
      <c r="A67" s="22"/>
      <c r="B67" s="202">
        <v>24</v>
      </c>
      <c r="C67" s="304"/>
      <c r="D67" s="502" t="s">
        <v>280</v>
      </c>
      <c r="E67" s="503"/>
      <c r="F67" s="504" t="s">
        <v>294</v>
      </c>
      <c r="G67" s="503"/>
      <c r="H67" s="503"/>
      <c r="I67" s="505"/>
      <c r="J67" s="504" t="s">
        <v>30</v>
      </c>
      <c r="K67" s="506"/>
      <c r="L67" s="506"/>
      <c r="M67" s="506"/>
      <c r="N67" s="503"/>
      <c r="O67" s="505"/>
      <c r="P67" s="511" t="s">
        <v>30</v>
      </c>
      <c r="Q67" s="508"/>
      <c r="R67" s="508"/>
      <c r="S67" s="509"/>
      <c r="T67" s="504" t="s">
        <v>30</v>
      </c>
      <c r="U67" s="503"/>
      <c r="V67" s="503"/>
      <c r="W67" s="505"/>
      <c r="X67" s="508" t="s">
        <v>216</v>
      </c>
      <c r="Y67" s="503"/>
      <c r="Z67" s="503"/>
      <c r="AA67" s="503"/>
      <c r="AB67" s="507" t="s">
        <v>145</v>
      </c>
      <c r="AC67" s="503"/>
      <c r="AD67" s="503"/>
      <c r="AE67" s="503"/>
      <c r="AF67" s="507" t="s">
        <v>230</v>
      </c>
      <c r="AG67" s="508"/>
      <c r="AH67" s="508"/>
      <c r="AI67" s="508"/>
      <c r="AJ67" s="509"/>
      <c r="AK67" s="507" t="s">
        <v>219</v>
      </c>
      <c r="AL67" s="508"/>
      <c r="AM67" s="508"/>
      <c r="AN67" s="509"/>
      <c r="AO67" s="507" t="s">
        <v>220</v>
      </c>
      <c r="AP67" s="508"/>
      <c r="AQ67" s="508"/>
      <c r="AR67" s="509"/>
      <c r="AS67" s="507" t="s">
        <v>221</v>
      </c>
      <c r="AT67" s="508"/>
      <c r="AU67" s="508"/>
      <c r="AV67" s="508"/>
      <c r="AW67" s="507" t="s">
        <v>101</v>
      </c>
      <c r="AX67" s="508"/>
      <c r="AY67" s="508"/>
      <c r="AZ67" s="509"/>
      <c r="BA67" s="511" t="s">
        <v>222</v>
      </c>
      <c r="BB67" s="508"/>
      <c r="BC67" s="508"/>
      <c r="BD67" s="509"/>
      <c r="BE67" s="513" t="s">
        <v>223</v>
      </c>
      <c r="BF67" s="508"/>
      <c r="BG67" s="508"/>
      <c r="BH67" s="509"/>
      <c r="BI67" s="511" t="s">
        <v>30</v>
      </c>
      <c r="BJ67" s="508"/>
      <c r="BK67" s="508"/>
      <c r="BL67" s="509"/>
      <c r="BM67" s="513" t="s">
        <v>30</v>
      </c>
      <c r="BN67" s="508"/>
      <c r="BO67" s="508"/>
      <c r="BP67" s="509"/>
      <c r="BQ67" s="508"/>
      <c r="BR67" s="508"/>
      <c r="BS67" s="508"/>
      <c r="BT67" s="509"/>
      <c r="BU67" s="508"/>
      <c r="BV67" s="508"/>
      <c r="BW67" s="508"/>
      <c r="BX67" s="509"/>
      <c r="BY67" s="508"/>
      <c r="BZ67" s="508"/>
      <c r="CA67" s="508"/>
      <c r="CB67" s="509"/>
      <c r="CC67" s="513" t="s">
        <v>30</v>
      </c>
      <c r="CD67" s="508"/>
      <c r="CE67" s="509"/>
      <c r="CF67" s="508"/>
      <c r="CG67" s="508"/>
      <c r="CH67" s="508"/>
      <c r="CI67" s="509"/>
      <c r="CJ67" s="508"/>
      <c r="CK67" s="508"/>
      <c r="CL67" s="508"/>
      <c r="CM67" s="509"/>
    </row>
    <row r="68" spans="1:91" ht="13.5" customHeight="1">
      <c r="A68" s="22"/>
      <c r="B68" s="202">
        <v>24</v>
      </c>
      <c r="C68" s="461"/>
      <c r="D68" s="517"/>
      <c r="E68" s="518"/>
      <c r="F68" s="517"/>
      <c r="G68" s="518"/>
      <c r="H68" s="518"/>
      <c r="I68" s="519"/>
      <c r="J68" s="520"/>
      <c r="K68" s="521"/>
      <c r="L68" s="521"/>
      <c r="M68" s="521"/>
      <c r="N68" s="518"/>
      <c r="O68" s="519"/>
      <c r="P68" s="522"/>
      <c r="Q68" s="523"/>
      <c r="R68" s="523"/>
      <c r="S68" s="524"/>
      <c r="T68" s="517"/>
      <c r="U68" s="518"/>
      <c r="V68" s="518"/>
      <c r="W68" s="519"/>
      <c r="X68" s="523"/>
      <c r="Y68" s="518"/>
      <c r="Z68" s="518"/>
      <c r="AA68" s="518"/>
      <c r="AB68" s="522"/>
      <c r="AC68" s="518"/>
      <c r="AD68" s="518"/>
      <c r="AE68" s="518"/>
      <c r="AF68" s="522"/>
      <c r="AG68" s="523"/>
      <c r="AH68" s="523"/>
      <c r="AI68" s="523"/>
      <c r="AJ68" s="524"/>
      <c r="AK68" s="522"/>
      <c r="AL68" s="523"/>
      <c r="AM68" s="523"/>
      <c r="AN68" s="524"/>
      <c r="AO68" s="522"/>
      <c r="AP68" s="523"/>
      <c r="AQ68" s="523"/>
      <c r="AR68" s="524"/>
      <c r="AS68" s="522"/>
      <c r="AT68" s="523"/>
      <c r="AU68" s="523"/>
      <c r="AV68" s="523"/>
      <c r="AW68" s="522" t="s">
        <v>231</v>
      </c>
      <c r="AX68" s="523"/>
      <c r="AY68" s="523"/>
      <c r="AZ68" s="524"/>
      <c r="BA68" s="525" t="s">
        <v>30</v>
      </c>
      <c r="BB68" s="523"/>
      <c r="BC68" s="523"/>
      <c r="BD68" s="524"/>
      <c r="BE68" s="526" t="s">
        <v>232</v>
      </c>
      <c r="BF68" s="523"/>
      <c r="BG68" s="523"/>
      <c r="BH68" s="524"/>
      <c r="BI68" s="525" t="s">
        <v>30</v>
      </c>
      <c r="BJ68" s="523"/>
      <c r="BK68" s="523"/>
      <c r="BL68" s="524"/>
      <c r="BM68" s="526" t="s">
        <v>30</v>
      </c>
      <c r="BN68" s="523"/>
      <c r="BO68" s="523"/>
      <c r="BP68" s="524"/>
      <c r="BQ68" s="523"/>
      <c r="BR68" s="523"/>
      <c r="BS68" s="523"/>
      <c r="BT68" s="524"/>
      <c r="BU68" s="523"/>
      <c r="BV68" s="523"/>
      <c r="BW68" s="523"/>
      <c r="BX68" s="524"/>
      <c r="BY68" s="523"/>
      <c r="BZ68" s="523"/>
      <c r="CA68" s="523"/>
      <c r="CB68" s="524"/>
      <c r="CC68" s="526" t="s">
        <v>30</v>
      </c>
      <c r="CD68" s="523"/>
      <c r="CE68" s="524"/>
      <c r="CF68" s="523"/>
      <c r="CG68" s="523"/>
      <c r="CH68" s="523"/>
      <c r="CI68" s="524"/>
      <c r="CJ68" s="523"/>
      <c r="CK68" s="523"/>
      <c r="CL68" s="523"/>
      <c r="CM68" s="524"/>
    </row>
    <row r="69" spans="1:91" ht="13.5" customHeight="1">
      <c r="A69" s="22"/>
      <c r="B69" s="202">
        <v>25</v>
      </c>
      <c r="C69" s="308">
        <v>1</v>
      </c>
      <c r="D69" s="148" t="s">
        <v>229</v>
      </c>
      <c r="E69" s="149"/>
      <c r="F69" s="148" t="s">
        <v>148</v>
      </c>
      <c r="G69" s="149"/>
      <c r="H69" s="149"/>
      <c r="I69" s="151"/>
      <c r="J69" s="221"/>
      <c r="K69" s="222"/>
      <c r="L69" s="222"/>
      <c r="M69" s="222"/>
      <c r="N69" s="161"/>
      <c r="O69" s="162"/>
      <c r="P69" s="148"/>
      <c r="Q69" s="150"/>
      <c r="R69" s="150"/>
      <c r="S69" s="162"/>
      <c r="T69" s="119"/>
      <c r="U69" s="120"/>
      <c r="V69" s="120"/>
      <c r="W69" s="162"/>
      <c r="X69" s="946">
        <f>SUMPRODUCT(X$64:AA$65,AO$64:AR$65)</f>
        <v>144848.68</v>
      </c>
      <c r="Y69" s="968"/>
      <c r="Z69" s="968"/>
      <c r="AA69" s="969"/>
      <c r="AB69" s="946">
        <f>SUMPRODUCT(R$51:R$52,AE$51:AE$52)/H42</f>
        <v>112714.74545454545</v>
      </c>
      <c r="AC69" s="968"/>
      <c r="AD69" s="968"/>
      <c r="AE69" s="969"/>
      <c r="AF69" s="949">
        <f>X69-AB69</f>
        <v>32133.93454545454</v>
      </c>
      <c r="AG69" s="950"/>
      <c r="AH69" s="950"/>
      <c r="AI69" s="950"/>
      <c r="AJ69" s="951"/>
      <c r="AK69" s="1036">
        <f>AF69/AB69</f>
        <v>0.2850907786365291</v>
      </c>
      <c r="AL69" s="1037"/>
      <c r="AM69" s="1037"/>
      <c r="AN69" s="1038"/>
      <c r="AO69" s="952">
        <f>AS69/(X69-AS69)</f>
        <v>-2.1292702702702691E-2</v>
      </c>
      <c r="AP69" s="953"/>
      <c r="AQ69" s="953"/>
      <c r="AR69" s="954"/>
      <c r="AS69" s="1039">
        <f>X$64*(AO$64-AK$64)+X$65*(AO$65-AK$65)</f>
        <v>-3151.3199999999983</v>
      </c>
      <c r="AT69" s="1040"/>
      <c r="AU69" s="1040"/>
      <c r="AV69" s="1041"/>
      <c r="AW69" s="1042">
        <f>SUMPRODUCT(X$64:AA$65,AK$64:AN$65)</f>
        <v>148000</v>
      </c>
      <c r="AX69" s="1043"/>
      <c r="AY69" s="1043"/>
      <c r="AZ69" s="1044"/>
      <c r="BA69" s="946">
        <f>SUMPRODUCT(X$64:AA$65,BI$64:BL$65)</f>
        <v>178440</v>
      </c>
      <c r="BB69" s="968"/>
      <c r="BC69" s="968"/>
      <c r="BD69" s="969"/>
      <c r="BE69" s="982">
        <f>1-(SUMPRODUCT(R$51:R$52,Z$51:Z$52)/107+(AN$51*AV$51+AN$51/(1-AV$51)*$K$20)*R$51+(AN$52*AV$52+AN$52/(1-AV$52)*$K$20)*R$52)/BA$75</f>
        <v>0.43995079106037671</v>
      </c>
      <c r="BF69" s="983"/>
      <c r="BG69" s="983"/>
      <c r="BH69" s="984"/>
      <c r="BI69" s="149" t="s">
        <v>30</v>
      </c>
      <c r="BJ69" s="150"/>
      <c r="BK69" s="150"/>
      <c r="BL69" s="152"/>
      <c r="BM69" s="149" t="s">
        <v>30</v>
      </c>
      <c r="BN69" s="150"/>
      <c r="BO69" s="150"/>
      <c r="BP69" s="152"/>
      <c r="BQ69" s="149" t="s">
        <v>30</v>
      </c>
      <c r="BR69" s="150"/>
      <c r="BS69" s="150"/>
      <c r="BT69" s="152"/>
      <c r="BU69" s="149" t="s">
        <v>30</v>
      </c>
      <c r="BV69" s="150"/>
      <c r="BW69" s="150"/>
      <c r="BX69" s="152"/>
      <c r="BY69" s="149" t="s">
        <v>30</v>
      </c>
      <c r="BZ69" s="150"/>
      <c r="CA69" s="150"/>
      <c r="CB69" s="152"/>
      <c r="CC69" s="149" t="s">
        <v>30</v>
      </c>
      <c r="CD69" s="150"/>
      <c r="CE69" s="152"/>
      <c r="CF69" s="149" t="s">
        <v>30</v>
      </c>
      <c r="CG69" s="150"/>
      <c r="CH69" s="150"/>
      <c r="CI69" s="152"/>
      <c r="CJ69" s="149" t="s">
        <v>30</v>
      </c>
      <c r="CK69" s="150"/>
      <c r="CL69" s="150"/>
      <c r="CM69" s="152"/>
    </row>
    <row r="70" spans="1:91" ht="13.5" customHeight="1">
      <c r="A70" s="22"/>
      <c r="B70" s="202">
        <v>25</v>
      </c>
      <c r="C70" s="308">
        <v>2</v>
      </c>
      <c r="D70" s="148" t="s">
        <v>229</v>
      </c>
      <c r="E70" s="149"/>
      <c r="F70" s="148" t="s">
        <v>207</v>
      </c>
      <c r="G70" s="149"/>
      <c r="H70" s="149"/>
      <c r="I70" s="151"/>
      <c r="J70" s="221"/>
      <c r="K70" s="222"/>
      <c r="L70" s="222"/>
      <c r="M70" s="222"/>
      <c r="N70" s="161"/>
      <c r="O70" s="162"/>
      <c r="P70" s="148"/>
      <c r="Q70" s="150"/>
      <c r="R70" s="150"/>
      <c r="S70" s="162"/>
      <c r="T70" s="119"/>
      <c r="U70" s="120"/>
      <c r="V70" s="120"/>
      <c r="W70" s="162"/>
      <c r="X70" s="973">
        <f>SUMPRODUCT(X$64:AA$65,AO$64:AR$65)*H42</f>
        <v>15933354.799999999</v>
      </c>
      <c r="Y70" s="974"/>
      <c r="Z70" s="974"/>
      <c r="AA70" s="975"/>
      <c r="AB70" s="973">
        <f>SUMPRODUCT(R$51:R$52,AE$51:AE$52)</f>
        <v>12398622</v>
      </c>
      <c r="AC70" s="974"/>
      <c r="AD70" s="974"/>
      <c r="AE70" s="975"/>
      <c r="AF70" s="949">
        <f>X70-AB70</f>
        <v>3534732.7999999989</v>
      </c>
      <c r="AG70" s="950"/>
      <c r="AH70" s="950"/>
      <c r="AI70" s="950"/>
      <c r="AJ70" s="951"/>
      <c r="AK70" s="1036">
        <f>AF70/AB70</f>
        <v>0.28509077863652904</v>
      </c>
      <c r="AL70" s="1037"/>
      <c r="AM70" s="1037"/>
      <c r="AN70" s="1038"/>
      <c r="AO70" s="952">
        <f>AS70/(X70-AS70)</f>
        <v>-1.9774221377452075E-4</v>
      </c>
      <c r="AP70" s="953"/>
      <c r="AQ70" s="953"/>
      <c r="AR70" s="954"/>
      <c r="AS70" s="1026">
        <f>X$64*(AO$64-AK$64)+X$65*(AO$65-AK$65)</f>
        <v>-3151.3199999999983</v>
      </c>
      <c r="AT70" s="1027"/>
      <c r="AU70" s="1027"/>
      <c r="AV70" s="1028"/>
      <c r="AW70" s="1023">
        <f>SUMPRODUCT(X$64:AA$65,AK$64:AN$65)</f>
        <v>148000</v>
      </c>
      <c r="AX70" s="1024"/>
      <c r="AY70" s="1024"/>
      <c r="AZ70" s="1025"/>
      <c r="BA70" s="973">
        <f>SUMPRODUCT(X$64:AA$65,BI$64:BL$65)</f>
        <v>178440</v>
      </c>
      <c r="BB70" s="974"/>
      <c r="BC70" s="974"/>
      <c r="BD70" s="975"/>
      <c r="BE70" s="982">
        <f>1-(SUMPRODUCT(R$51:R$52,Z$51:Z$52)/107+(AN$51*AV$51+AN$51/(1-AV$51)*$K$20)*R$51+(AN$52*AV$52+AN$52/(1-AV$52)*$K$20)*R$52)/BA$75</f>
        <v>0.43995079106037671</v>
      </c>
      <c r="BF70" s="983"/>
      <c r="BG70" s="983"/>
      <c r="BH70" s="984"/>
      <c r="BI70" s="149" t="s">
        <v>30</v>
      </c>
      <c r="BJ70" s="150"/>
      <c r="BK70" s="150"/>
      <c r="BL70" s="152"/>
      <c r="BM70" s="149" t="s">
        <v>30</v>
      </c>
      <c r="BN70" s="150"/>
      <c r="BO70" s="150"/>
      <c r="BP70" s="152"/>
      <c r="BQ70" s="149" t="s">
        <v>30</v>
      </c>
      <c r="BR70" s="150"/>
      <c r="BS70" s="150"/>
      <c r="BT70" s="152"/>
      <c r="BU70" s="149" t="s">
        <v>30</v>
      </c>
      <c r="BV70" s="150"/>
      <c r="BW70" s="150"/>
      <c r="BX70" s="152"/>
      <c r="BY70" s="149" t="s">
        <v>30</v>
      </c>
      <c r="BZ70" s="150"/>
      <c r="CA70" s="150"/>
      <c r="CB70" s="152"/>
      <c r="CC70" s="149" t="s">
        <v>30</v>
      </c>
      <c r="CD70" s="150"/>
      <c r="CE70" s="152"/>
      <c r="CF70" s="149" t="s">
        <v>30</v>
      </c>
      <c r="CG70" s="150"/>
      <c r="CH70" s="150"/>
      <c r="CI70" s="152"/>
      <c r="CJ70" s="149" t="s">
        <v>30</v>
      </c>
      <c r="CK70" s="150"/>
      <c r="CL70" s="150"/>
      <c r="CM70" s="152"/>
    </row>
    <row r="71" spans="1:91" ht="13.5" customHeight="1">
      <c r="A71" s="22"/>
      <c r="B71" s="202">
        <v>20</v>
      </c>
      <c r="C71" s="337" t="s">
        <v>279</v>
      </c>
      <c r="D71" s="28"/>
      <c r="E71" s="28"/>
      <c r="F71" s="28"/>
      <c r="G71" s="28"/>
      <c r="H71" s="121"/>
      <c r="I71" s="62"/>
      <c r="J71" s="63"/>
      <c r="K71" s="62"/>
      <c r="L71" s="63"/>
      <c r="M71" s="69"/>
      <c r="N71" s="69"/>
      <c r="O71" s="65"/>
      <c r="P71" s="69"/>
      <c r="Q71" s="65"/>
      <c r="R71" s="69"/>
      <c r="S71" s="28"/>
      <c r="T71" s="28"/>
      <c r="U71" s="28"/>
      <c r="V71" s="28"/>
      <c r="W71" s="28"/>
      <c r="X71" s="121"/>
      <c r="Y71" s="62"/>
      <c r="Z71" s="63"/>
      <c r="AA71" s="62"/>
      <c r="AB71" s="63"/>
      <c r="AC71" s="69"/>
      <c r="AD71" s="69"/>
      <c r="AE71" s="65"/>
      <c r="AF71" s="69"/>
      <c r="AG71" s="65"/>
      <c r="AH71" s="69"/>
      <c r="AI71" s="64"/>
      <c r="AJ71" s="69"/>
      <c r="AK71" s="65"/>
      <c r="AL71" s="28"/>
      <c r="AM71" s="28"/>
      <c r="AN71" s="28"/>
      <c r="AO71" s="28"/>
      <c r="AP71" s="28"/>
      <c r="AQ71" s="28"/>
      <c r="AR71" s="28"/>
      <c r="AS71" s="28"/>
      <c r="AT71" s="28"/>
      <c r="AU71" s="28"/>
      <c r="AV71" s="233"/>
      <c r="AW71" s="28"/>
      <c r="AX71" s="28"/>
      <c r="AY71" s="31"/>
      <c r="AZ71" s="95"/>
      <c r="BA71" s="92"/>
      <c r="BB71" s="329"/>
      <c r="BC71" s="338"/>
      <c r="BD71" s="37"/>
      <c r="BE71" s="37"/>
    </row>
    <row r="72" spans="1:91" ht="13.5" customHeight="1">
      <c r="A72" s="22"/>
      <c r="B72" s="202">
        <v>24</v>
      </c>
      <c r="C72" s="304"/>
      <c r="D72" s="243"/>
      <c r="E72" s="244"/>
      <c r="F72" s="243" t="s">
        <v>295</v>
      </c>
      <c r="G72" s="244"/>
      <c r="H72" s="244"/>
      <c r="I72" s="245"/>
      <c r="J72" s="246" t="s">
        <v>30</v>
      </c>
      <c r="K72" s="247"/>
      <c r="L72" s="247"/>
      <c r="M72" s="247"/>
      <c r="N72" s="244"/>
      <c r="O72" s="245"/>
      <c r="P72" s="253" t="s">
        <v>30</v>
      </c>
      <c r="Q72" s="249"/>
      <c r="R72" s="249"/>
      <c r="S72" s="250"/>
      <c r="T72" s="246" t="s">
        <v>30</v>
      </c>
      <c r="U72" s="244"/>
      <c r="V72" s="244"/>
      <c r="W72" s="245"/>
      <c r="X72" s="249" t="s">
        <v>216</v>
      </c>
      <c r="Y72" s="244"/>
      <c r="Z72" s="244"/>
      <c r="AA72" s="244"/>
      <c r="AB72" s="248" t="s">
        <v>145</v>
      </c>
      <c r="AC72" s="244"/>
      <c r="AD72" s="244"/>
      <c r="AE72" s="244"/>
      <c r="AF72" s="248" t="s">
        <v>230</v>
      </c>
      <c r="AG72" s="249"/>
      <c r="AH72" s="249"/>
      <c r="AI72" s="249"/>
      <c r="AJ72" s="250"/>
      <c r="AK72" s="248" t="s">
        <v>219</v>
      </c>
      <c r="AL72" s="249"/>
      <c r="AM72" s="249"/>
      <c r="AN72" s="250"/>
      <c r="AO72" s="248" t="s">
        <v>220</v>
      </c>
      <c r="AP72" s="249"/>
      <c r="AQ72" s="249"/>
      <c r="AR72" s="250"/>
      <c r="AS72" s="248" t="s">
        <v>221</v>
      </c>
      <c r="AT72" s="249"/>
      <c r="AU72" s="249"/>
      <c r="AV72" s="249"/>
      <c r="AW72" s="248" t="s">
        <v>101</v>
      </c>
      <c r="AX72" s="249"/>
      <c r="AY72" s="249"/>
      <c r="AZ72" s="250"/>
      <c r="BA72" s="253" t="s">
        <v>222</v>
      </c>
      <c r="BB72" s="249"/>
      <c r="BC72" s="249"/>
      <c r="BD72" s="250"/>
      <c r="BE72" s="251" t="s">
        <v>223</v>
      </c>
      <c r="BF72" s="249"/>
      <c r="BG72" s="249"/>
      <c r="BH72" s="250"/>
      <c r="BI72" s="253" t="s">
        <v>30</v>
      </c>
      <c r="BJ72" s="249"/>
      <c r="BK72" s="249"/>
      <c r="BL72" s="250"/>
      <c r="BM72" s="251" t="s">
        <v>30</v>
      </c>
      <c r="BN72" s="249"/>
      <c r="BO72" s="249"/>
      <c r="BP72" s="250"/>
      <c r="BQ72" s="249"/>
      <c r="BR72" s="249"/>
      <c r="BS72" s="249"/>
      <c r="BT72" s="250"/>
      <c r="BU72" s="249"/>
      <c r="BV72" s="249"/>
      <c r="BW72" s="249"/>
      <c r="BX72" s="250"/>
      <c r="BY72" s="249"/>
      <c r="BZ72" s="249"/>
      <c r="CA72" s="249"/>
      <c r="CB72" s="250"/>
      <c r="CC72" s="251" t="s">
        <v>30</v>
      </c>
      <c r="CD72" s="249"/>
      <c r="CE72" s="250"/>
      <c r="CF72" s="249"/>
      <c r="CG72" s="249"/>
      <c r="CH72" s="249"/>
      <c r="CI72" s="250"/>
      <c r="CJ72" s="249"/>
      <c r="CK72" s="249"/>
      <c r="CL72" s="249"/>
      <c r="CM72" s="250"/>
    </row>
    <row r="73" spans="1:91" ht="13.5" customHeight="1">
      <c r="A73" s="22"/>
      <c r="B73" s="202">
        <v>24</v>
      </c>
      <c r="C73" s="461"/>
      <c r="D73" s="462"/>
      <c r="E73" s="463"/>
      <c r="F73" s="462"/>
      <c r="G73" s="463"/>
      <c r="H73" s="463"/>
      <c r="I73" s="464"/>
      <c r="J73" s="465"/>
      <c r="K73" s="466"/>
      <c r="L73" s="466"/>
      <c r="M73" s="466"/>
      <c r="N73" s="463"/>
      <c r="O73" s="464"/>
      <c r="P73" s="467"/>
      <c r="Q73" s="458"/>
      <c r="R73" s="458"/>
      <c r="S73" s="459"/>
      <c r="T73" s="462"/>
      <c r="U73" s="463"/>
      <c r="V73" s="463"/>
      <c r="W73" s="464"/>
      <c r="X73" s="458"/>
      <c r="Y73" s="463"/>
      <c r="Z73" s="463"/>
      <c r="AA73" s="463"/>
      <c r="AB73" s="467"/>
      <c r="AC73" s="463"/>
      <c r="AD73" s="463"/>
      <c r="AE73" s="463"/>
      <c r="AF73" s="467"/>
      <c r="AG73" s="458"/>
      <c r="AH73" s="458"/>
      <c r="AI73" s="458"/>
      <c r="AJ73" s="459"/>
      <c r="AK73" s="467"/>
      <c r="AL73" s="458"/>
      <c r="AM73" s="458"/>
      <c r="AN73" s="459"/>
      <c r="AO73" s="467"/>
      <c r="AP73" s="458"/>
      <c r="AQ73" s="458"/>
      <c r="AR73" s="459"/>
      <c r="AS73" s="467"/>
      <c r="AT73" s="458"/>
      <c r="AU73" s="458"/>
      <c r="AV73" s="458"/>
      <c r="AW73" s="467" t="s">
        <v>231</v>
      </c>
      <c r="AX73" s="458"/>
      <c r="AY73" s="458"/>
      <c r="AZ73" s="459"/>
      <c r="BA73" s="457" t="s">
        <v>30</v>
      </c>
      <c r="BB73" s="458"/>
      <c r="BC73" s="458"/>
      <c r="BD73" s="459"/>
      <c r="BE73" s="460" t="s">
        <v>232</v>
      </c>
      <c r="BF73" s="458"/>
      <c r="BG73" s="458"/>
      <c r="BH73" s="459"/>
      <c r="BI73" s="457" t="s">
        <v>30</v>
      </c>
      <c r="BJ73" s="458"/>
      <c r="BK73" s="458"/>
      <c r="BL73" s="459"/>
      <c r="BM73" s="460" t="s">
        <v>30</v>
      </c>
      <c r="BN73" s="458"/>
      <c r="BO73" s="458"/>
      <c r="BP73" s="459"/>
      <c r="BQ73" s="458"/>
      <c r="BR73" s="458"/>
      <c r="BS73" s="458"/>
      <c r="BT73" s="459"/>
      <c r="BU73" s="458"/>
      <c r="BV73" s="458"/>
      <c r="BW73" s="458"/>
      <c r="BX73" s="459"/>
      <c r="BY73" s="458"/>
      <c r="BZ73" s="458"/>
      <c r="CA73" s="458"/>
      <c r="CB73" s="459"/>
      <c r="CC73" s="460" t="s">
        <v>30</v>
      </c>
      <c r="CD73" s="458"/>
      <c r="CE73" s="459"/>
      <c r="CF73" s="458"/>
      <c r="CG73" s="458"/>
      <c r="CH73" s="458"/>
      <c r="CI73" s="459"/>
      <c r="CJ73" s="458"/>
      <c r="CK73" s="458"/>
      <c r="CL73" s="458"/>
      <c r="CM73" s="459"/>
    </row>
    <row r="74" spans="1:91" ht="13.5" customHeight="1">
      <c r="A74" s="22"/>
      <c r="B74" s="202">
        <v>25</v>
      </c>
      <c r="C74" s="308"/>
      <c r="D74" s="148"/>
      <c r="E74" s="149"/>
      <c r="F74" s="148" t="s">
        <v>148</v>
      </c>
      <c r="G74" s="149"/>
      <c r="H74" s="149"/>
      <c r="I74" s="151"/>
      <c r="J74" s="221"/>
      <c r="K74" s="222"/>
      <c r="L74" s="222"/>
      <c r="M74" s="222"/>
      <c r="N74" s="161"/>
      <c r="O74" s="162"/>
      <c r="P74" s="148"/>
      <c r="Q74" s="150"/>
      <c r="R74" s="150"/>
      <c r="S74" s="162"/>
      <c r="T74" s="119"/>
      <c r="U74" s="120"/>
      <c r="V74" s="120"/>
      <c r="W74" s="162"/>
      <c r="X74" s="946">
        <f>SUMPRODUCT(X$64:AA$65,AO$64:AR$65)</f>
        <v>144848.68</v>
      </c>
      <c r="Y74" s="968"/>
      <c r="Z74" s="968"/>
      <c r="AA74" s="969"/>
      <c r="AB74" s="946">
        <f>SUMPRODUCT(R$51:R$52,AE$51:AE$52)/107</f>
        <v>115874.97196261682</v>
      </c>
      <c r="AC74" s="968"/>
      <c r="AD74" s="968"/>
      <c r="AE74" s="969"/>
      <c r="AF74" s="949">
        <f>X74-AB74</f>
        <v>28973.70803738317</v>
      </c>
      <c r="AG74" s="950"/>
      <c r="AH74" s="950"/>
      <c r="AI74" s="950"/>
      <c r="AJ74" s="951"/>
      <c r="AK74" s="1036">
        <f>AF74/AB74</f>
        <v>0.25004284831007828</v>
      </c>
      <c r="AL74" s="1037"/>
      <c r="AM74" s="1037"/>
      <c r="AN74" s="1038"/>
      <c r="AO74" s="952">
        <f>AS74/(X74-AS74)</f>
        <v>-2.1292702702702691E-2</v>
      </c>
      <c r="AP74" s="953"/>
      <c r="AQ74" s="953"/>
      <c r="AR74" s="954"/>
      <c r="AS74" s="1039">
        <f>X$64*(AO$64-AK$64)+X$65*(AO$65-AK$65)</f>
        <v>-3151.3199999999983</v>
      </c>
      <c r="AT74" s="1040"/>
      <c r="AU74" s="1040"/>
      <c r="AV74" s="1041"/>
      <c r="AW74" s="1042">
        <f>SUMPRODUCT(X$64:AA$65,AK$64:AN$65)</f>
        <v>148000</v>
      </c>
      <c r="AX74" s="1043"/>
      <c r="AY74" s="1043"/>
      <c r="AZ74" s="1044"/>
      <c r="BA74" s="946">
        <f>SUMPRODUCT(X$64:AA$65,BI$64:BL$65)</f>
        <v>178440</v>
      </c>
      <c r="BB74" s="968"/>
      <c r="BC74" s="968"/>
      <c r="BD74" s="969"/>
      <c r="BE74" s="982">
        <f>1-(SUMPRODUCT(R$51:R$52,Z$51:Z$52)/107+(AN$51*AV$51+AN$51/(1-AV$51)*$K$20)*R$51+(AN$52*AV$52+AN$52/(1-AV$52)*$K$20)*R$52)/BA$75</f>
        <v>0.43995079106037671</v>
      </c>
      <c r="BF74" s="983"/>
      <c r="BG74" s="983"/>
      <c r="BH74" s="984"/>
      <c r="BI74" s="149" t="s">
        <v>30</v>
      </c>
      <c r="BJ74" s="150"/>
      <c r="BK74" s="150"/>
      <c r="BL74" s="152"/>
      <c r="BM74" s="149" t="s">
        <v>30</v>
      </c>
      <c r="BN74" s="150"/>
      <c r="BO74" s="150"/>
      <c r="BP74" s="152"/>
      <c r="BQ74" s="149" t="s">
        <v>30</v>
      </c>
      <c r="BR74" s="150"/>
      <c r="BS74" s="150"/>
      <c r="BT74" s="152"/>
      <c r="BU74" s="149" t="s">
        <v>30</v>
      </c>
      <c r="BV74" s="150"/>
      <c r="BW74" s="150"/>
      <c r="BX74" s="152"/>
      <c r="BY74" s="149" t="s">
        <v>30</v>
      </c>
      <c r="BZ74" s="150"/>
      <c r="CA74" s="150"/>
      <c r="CB74" s="152"/>
      <c r="CC74" s="149" t="s">
        <v>30</v>
      </c>
      <c r="CD74" s="150"/>
      <c r="CE74" s="152"/>
      <c r="CF74" s="149" t="s">
        <v>30</v>
      </c>
      <c r="CG74" s="150"/>
      <c r="CH74" s="150"/>
      <c r="CI74" s="152"/>
      <c r="CJ74" s="149" t="s">
        <v>30</v>
      </c>
      <c r="CK74" s="150"/>
      <c r="CL74" s="150"/>
      <c r="CM74" s="152"/>
    </row>
    <row r="75" spans="1:91" ht="13.5" customHeight="1">
      <c r="A75" s="22"/>
      <c r="B75" s="202">
        <v>25</v>
      </c>
      <c r="C75" s="308"/>
      <c r="D75" s="148"/>
      <c r="E75" s="149"/>
      <c r="F75" s="148" t="s">
        <v>207</v>
      </c>
      <c r="G75" s="149"/>
      <c r="H75" s="149"/>
      <c r="I75" s="151"/>
      <c r="J75" s="221"/>
      <c r="K75" s="222"/>
      <c r="L75" s="222"/>
      <c r="M75" s="222"/>
      <c r="N75" s="161"/>
      <c r="O75" s="162"/>
      <c r="P75" s="148"/>
      <c r="Q75" s="150"/>
      <c r="R75" s="150"/>
      <c r="S75" s="162"/>
      <c r="T75" s="119"/>
      <c r="U75" s="120"/>
      <c r="V75" s="120"/>
      <c r="W75" s="162"/>
      <c r="X75" s="973">
        <f>SUMPRODUCT(X$64:AA$65,AO$64:AR$65)</f>
        <v>144848.68</v>
      </c>
      <c r="Y75" s="974"/>
      <c r="Z75" s="974"/>
      <c r="AA75" s="975"/>
      <c r="AB75" s="973">
        <f>SUMPRODUCT(R$51:R$52,AE$51:AE$52)/107</f>
        <v>115874.97196261682</v>
      </c>
      <c r="AC75" s="974"/>
      <c r="AD75" s="974"/>
      <c r="AE75" s="975"/>
      <c r="AF75" s="949">
        <f>X75-AB75</f>
        <v>28973.70803738317</v>
      </c>
      <c r="AG75" s="950"/>
      <c r="AH75" s="950"/>
      <c r="AI75" s="950"/>
      <c r="AJ75" s="951"/>
      <c r="AK75" s="1036">
        <f>AF75/AB75</f>
        <v>0.25004284831007828</v>
      </c>
      <c r="AL75" s="1037"/>
      <c r="AM75" s="1037"/>
      <c r="AN75" s="1038"/>
      <c r="AO75" s="952">
        <f>AS75/(X75-AS75)</f>
        <v>-2.1292702702702691E-2</v>
      </c>
      <c r="AP75" s="953"/>
      <c r="AQ75" s="953"/>
      <c r="AR75" s="954"/>
      <c r="AS75" s="1026">
        <f>X$64*(AO$64-AK$64)+X$65*(AO$65-AK$65)</f>
        <v>-3151.3199999999983</v>
      </c>
      <c r="AT75" s="1027"/>
      <c r="AU75" s="1027"/>
      <c r="AV75" s="1028"/>
      <c r="AW75" s="1023">
        <f>SUMPRODUCT(X$64:AA$65,AK$64:AN$65)</f>
        <v>148000</v>
      </c>
      <c r="AX75" s="1024"/>
      <c r="AY75" s="1024"/>
      <c r="AZ75" s="1025"/>
      <c r="BA75" s="973">
        <f>SUMPRODUCT(X$64:AA$65,BI$64:BL$65)</f>
        <v>178440</v>
      </c>
      <c r="BB75" s="974"/>
      <c r="BC75" s="974"/>
      <c r="BD75" s="975"/>
      <c r="BE75" s="982">
        <f>1-(SUMPRODUCT(R$51:R$52,Z$51:Z$52)/107+(AN$51*AV$51+AN$51/(1-AV$51)*$K$20)*R$51+(AN$52*AV$52+AN$52/(1-AV$52)*$K$20)*R$52)/BA$75</f>
        <v>0.43995079106037671</v>
      </c>
      <c r="BF75" s="983"/>
      <c r="BG75" s="983"/>
      <c r="BH75" s="984"/>
      <c r="BI75" s="149" t="s">
        <v>30</v>
      </c>
      <c r="BJ75" s="150"/>
      <c r="BK75" s="150"/>
      <c r="BL75" s="152"/>
      <c r="BM75" s="149" t="s">
        <v>30</v>
      </c>
      <c r="BN75" s="150"/>
      <c r="BO75" s="150"/>
      <c r="BP75" s="152"/>
      <c r="BQ75" s="149" t="s">
        <v>30</v>
      </c>
      <c r="BR75" s="150"/>
      <c r="BS75" s="150"/>
      <c r="BT75" s="152"/>
      <c r="BU75" s="149" t="s">
        <v>30</v>
      </c>
      <c r="BV75" s="150"/>
      <c r="BW75" s="150"/>
      <c r="BX75" s="152"/>
      <c r="BY75" s="149" t="s">
        <v>30</v>
      </c>
      <c r="BZ75" s="150"/>
      <c r="CA75" s="150"/>
      <c r="CB75" s="152"/>
      <c r="CC75" s="149" t="s">
        <v>30</v>
      </c>
      <c r="CD75" s="150"/>
      <c r="CE75" s="152"/>
      <c r="CF75" s="149" t="s">
        <v>30</v>
      </c>
      <c r="CG75" s="150"/>
      <c r="CH75" s="150"/>
      <c r="CI75" s="152"/>
      <c r="CJ75" s="149" t="s">
        <v>30</v>
      </c>
      <c r="CK75" s="150"/>
      <c r="CL75" s="150"/>
      <c r="CM75" s="152"/>
    </row>
    <row r="76" spans="1:91" ht="13.5" customHeight="1">
      <c r="A76" s="22"/>
      <c r="B76" s="202">
        <v>26</v>
      </c>
      <c r="C76" s="339"/>
      <c r="D76" s="75"/>
      <c r="E76" s="75"/>
      <c r="F76" s="75"/>
      <c r="G76" s="75"/>
      <c r="H76" s="199"/>
      <c r="I76" s="199"/>
      <c r="J76" s="200"/>
      <c r="K76" s="199"/>
      <c r="L76" s="200"/>
      <c r="M76" s="199"/>
      <c r="N76" s="199"/>
      <c r="O76" s="83"/>
      <c r="P76" s="84"/>
      <c r="Q76" s="84"/>
      <c r="R76" s="84"/>
      <c r="S76" s="75"/>
      <c r="T76" s="75"/>
      <c r="U76" s="75"/>
      <c r="V76" s="75"/>
      <c r="W76" s="75"/>
      <c r="X76" s="85"/>
      <c r="Y76" s="75"/>
      <c r="Z76" s="84"/>
      <c r="AA76" s="85"/>
      <c r="AB76" s="75"/>
      <c r="AC76" s="84"/>
      <c r="AD76" s="85"/>
      <c r="AE76" s="84"/>
      <c r="AF76" s="84"/>
      <c r="AG76" s="85"/>
      <c r="AH76" s="84"/>
      <c r="AI76" s="84"/>
      <c r="AJ76" s="90"/>
      <c r="AK76" s="84"/>
      <c r="AL76" s="84"/>
      <c r="AM76" s="84"/>
      <c r="AN76" s="84"/>
      <c r="AO76" s="84"/>
      <c r="AP76" s="84"/>
      <c r="AQ76" s="84"/>
      <c r="AR76" s="84"/>
      <c r="AS76" s="65"/>
      <c r="AT76" s="65"/>
      <c r="AU76" s="65"/>
      <c r="AV76" s="65"/>
      <c r="AW76" s="65"/>
      <c r="AX76" s="65"/>
      <c r="AY76" s="63"/>
      <c r="AZ76" s="31"/>
      <c r="BA76" s="30"/>
      <c r="BB76" s="175"/>
      <c r="BC76" s="343"/>
      <c r="BD76" s="1034"/>
      <c r="BE76" s="1035"/>
      <c r="BF76" s="1035"/>
    </row>
    <row r="77" spans="1:91" ht="13.5" customHeight="1">
      <c r="A77" s="22"/>
      <c r="B77" s="202">
        <v>29</v>
      </c>
      <c r="C77" s="342"/>
      <c r="D77" s="332"/>
      <c r="E77" s="65"/>
      <c r="F77" s="65"/>
      <c r="G77" s="65"/>
      <c r="H77" s="65"/>
      <c r="I77" s="65"/>
      <c r="J77" s="964"/>
      <c r="K77" s="965"/>
      <c r="L77" s="965"/>
      <c r="M77" s="965"/>
      <c r="N77"/>
      <c r="O77"/>
      <c r="P77"/>
      <c r="Q77"/>
      <c r="R77"/>
      <c r="S77"/>
      <c r="T77"/>
      <c r="U77"/>
      <c r="V77"/>
      <c r="W77" s="65"/>
      <c r="X77" s="65"/>
      <c r="Y77" s="65"/>
      <c r="Z77" s="65"/>
      <c r="AA77" s="65"/>
      <c r="AB77" s="65"/>
      <c r="AC77" s="65"/>
      <c r="AD77" s="65"/>
      <c r="AE77" s="65"/>
      <c r="AF77" s="65"/>
      <c r="AG77" s="65"/>
      <c r="AH77" s="65"/>
      <c r="AI77" s="65"/>
      <c r="AJ77" s="65"/>
      <c r="AK77" s="65"/>
      <c r="AL77" s="65"/>
      <c r="AM77" s="198"/>
      <c r="AN77" s="198"/>
      <c r="AO77" s="198"/>
      <c r="AP77" s="198"/>
      <c r="AQ77" s="198"/>
      <c r="AR77" s="198"/>
      <c r="AS77" s="254"/>
      <c r="AT77" s="35"/>
      <c r="AU77" s="35"/>
      <c r="AV77" s="254"/>
      <c r="AW77" s="198"/>
      <c r="AX77" s="198"/>
      <c r="AY77" s="198"/>
      <c r="AZ77" s="31"/>
      <c r="BA77" s="30"/>
      <c r="BB77" s="175"/>
      <c r="BC77" s="345"/>
      <c r="BD77" s="28"/>
      <c r="BG77" s="24"/>
      <c r="BH77" s="28"/>
    </row>
    <row r="78" spans="1:91" ht="13.5" customHeight="1">
      <c r="A78" s="22"/>
      <c r="B78" s="202"/>
      <c r="C78" s="342"/>
      <c r="D78" s="332"/>
      <c r="E78" s="65"/>
      <c r="F78" s="65"/>
      <c r="G78" s="65"/>
      <c r="H78" s="65"/>
      <c r="I78" s="65"/>
      <c r="J78" s="333"/>
      <c r="K78" s="334"/>
      <c r="L78" s="334"/>
      <c r="M78" s="334"/>
      <c r="N78"/>
      <c r="O78"/>
      <c r="P78"/>
      <c r="Q78"/>
      <c r="R78"/>
      <c r="S78"/>
      <c r="T78"/>
      <c r="U78"/>
      <c r="V78"/>
      <c r="W78" s="65"/>
      <c r="X78" s="65"/>
      <c r="Y78" s="65"/>
      <c r="Z78" s="65"/>
      <c r="AA78" s="65"/>
      <c r="AB78" s="65"/>
      <c r="AC78" s="65"/>
      <c r="AD78" s="65"/>
      <c r="AE78" s="65"/>
      <c r="AF78" s="65"/>
      <c r="AG78" s="65"/>
      <c r="AH78" s="65"/>
      <c r="AI78" s="65"/>
      <c r="AJ78" s="65"/>
      <c r="AK78" s="65"/>
      <c r="AL78" s="65"/>
      <c r="AM78" s="198"/>
      <c r="AN78" s="198"/>
      <c r="AO78" s="198"/>
      <c r="AP78" s="198"/>
      <c r="AQ78" s="198"/>
      <c r="AR78" s="198"/>
      <c r="AS78" s="254"/>
      <c r="AT78" s="35"/>
      <c r="AU78" s="35"/>
      <c r="AV78" s="254"/>
      <c r="AW78" s="198"/>
      <c r="AX78" s="198"/>
      <c r="AY78" s="198"/>
      <c r="AZ78" s="31"/>
      <c r="BA78" s="30"/>
      <c r="BB78" s="175"/>
      <c r="BC78" s="345"/>
      <c r="BD78" s="28"/>
      <c r="BG78" s="24"/>
      <c r="BH78" s="28"/>
    </row>
    <row r="79" spans="1:91" ht="13.5" customHeight="1">
      <c r="A79" s="22"/>
      <c r="B79" s="202"/>
      <c r="C79" s="342"/>
      <c r="D79" s="332"/>
      <c r="E79" s="65"/>
      <c r="F79" s="65"/>
      <c r="G79" s="65"/>
      <c r="H79" s="65"/>
      <c r="I79" s="65"/>
      <c r="J79" s="333"/>
      <c r="K79" s="334"/>
      <c r="L79" s="334"/>
      <c r="M79" s="334"/>
      <c r="N79"/>
      <c r="O79"/>
      <c r="P79"/>
      <c r="Q79"/>
      <c r="R79"/>
      <c r="S79"/>
      <c r="T79"/>
      <c r="U79"/>
      <c r="V79"/>
      <c r="W79" s="65"/>
      <c r="X79" s="65"/>
      <c r="Y79" s="65"/>
      <c r="Z79" s="65"/>
      <c r="AA79" s="65"/>
      <c r="AB79" s="65"/>
      <c r="AC79" s="65"/>
      <c r="AD79" s="65"/>
      <c r="AE79" s="65"/>
      <c r="AF79" s="65"/>
      <c r="AG79" s="65"/>
      <c r="AH79" s="65"/>
      <c r="AI79" s="65"/>
      <c r="AJ79" s="65"/>
      <c r="AK79" s="65"/>
      <c r="AL79" s="65"/>
      <c r="AM79" s="198"/>
      <c r="AN79" s="198"/>
      <c r="AO79" s="198"/>
      <c r="AP79" s="198"/>
      <c r="AQ79" s="198"/>
      <c r="AR79" s="198"/>
      <c r="AS79" s="254"/>
      <c r="AT79" s="35"/>
      <c r="AU79" s="35"/>
      <c r="AV79" s="254"/>
      <c r="AW79" s="198"/>
      <c r="AX79" s="198"/>
      <c r="AY79" s="198"/>
      <c r="AZ79" s="31"/>
      <c r="BA79" s="30"/>
      <c r="BB79" s="175"/>
      <c r="BC79" s="345"/>
      <c r="BD79" s="28"/>
      <c r="BG79" s="24"/>
      <c r="BH79" s="28"/>
    </row>
    <row r="80" spans="1:91" ht="5.15" customHeight="1">
      <c r="A80" s="22"/>
      <c r="B80" s="202"/>
      <c r="C80" s="315"/>
      <c r="D80" s="73"/>
      <c r="E80" s="73"/>
      <c r="F80" s="73"/>
      <c r="G80" s="73"/>
      <c r="H80" s="316"/>
      <c r="I80" s="275"/>
      <c r="J80" s="273"/>
      <c r="K80" s="275"/>
      <c r="L80" s="273"/>
      <c r="M80" s="317"/>
      <c r="N80" s="317"/>
      <c r="O80" s="270"/>
      <c r="P80" s="317"/>
      <c r="Q80" s="270"/>
      <c r="R80" s="317"/>
      <c r="S80" s="73"/>
      <c r="T80" s="73"/>
      <c r="U80" s="73"/>
      <c r="V80" s="73"/>
      <c r="W80" s="73"/>
      <c r="X80" s="316"/>
      <c r="Y80" s="275"/>
      <c r="Z80" s="273"/>
      <c r="AA80" s="275"/>
      <c r="AB80" s="273"/>
      <c r="AC80" s="317"/>
      <c r="AD80" s="317"/>
      <c r="AE80" s="270"/>
      <c r="AF80" s="317"/>
      <c r="AG80" s="270"/>
      <c r="AH80" s="317"/>
      <c r="AI80" s="276"/>
      <c r="AJ80" s="317"/>
      <c r="AK80" s="270"/>
      <c r="AL80" s="73"/>
      <c r="AM80" s="73"/>
      <c r="AN80" s="73"/>
      <c r="AO80" s="73"/>
      <c r="AP80" s="73"/>
      <c r="AQ80" s="73"/>
      <c r="AR80" s="73"/>
      <c r="AS80" s="73"/>
      <c r="AT80" s="73"/>
      <c r="AU80" s="73"/>
      <c r="AV80" s="318"/>
      <c r="AW80" s="73"/>
      <c r="AX80" s="73"/>
      <c r="AY80" s="269"/>
      <c r="AZ80" s="269"/>
      <c r="BA80" s="319"/>
      <c r="BB80" s="320"/>
      <c r="BC80" s="344"/>
      <c r="BD80" s="28"/>
    </row>
    <row r="81" spans="1:67" ht="13.5" customHeight="1">
      <c r="A81" s="22"/>
      <c r="B81" s="202">
        <v>31</v>
      </c>
      <c r="C81" s="331"/>
      <c r="D81" s="332"/>
      <c r="E81" s="65"/>
      <c r="F81" s="65"/>
      <c r="G81" s="65"/>
      <c r="H81" s="65"/>
      <c r="I81" s="65"/>
      <c r="J81" s="966"/>
      <c r="K81" s="966"/>
      <c r="L81" s="966"/>
      <c r="M81" s="966"/>
      <c r="N81" s="65"/>
      <c r="O81" s="65"/>
      <c r="P81" s="65"/>
      <c r="Q81" s="65"/>
      <c r="R81" s="65"/>
      <c r="S81" s="65"/>
      <c r="T81" s="65"/>
      <c r="U81" s="65"/>
      <c r="V81" s="65"/>
      <c r="W81" s="65"/>
      <c r="X81" s="65"/>
      <c r="Y81" s="65"/>
      <c r="Z81" s="65"/>
      <c r="AA81" s="65"/>
      <c r="AB81" s="65"/>
      <c r="AC81" s="65"/>
      <c r="AD81" s="65"/>
      <c r="AE81" s="65"/>
      <c r="AF81" s="65"/>
      <c r="AG81" s="65"/>
      <c r="AH81" s="65"/>
      <c r="AI81" s="65"/>
      <c r="AJ81" s="65"/>
      <c r="AK81" s="65"/>
      <c r="AL81" s="65"/>
      <c r="AM81" s="198"/>
      <c r="AN81" s="198"/>
      <c r="AO81" s="198"/>
      <c r="AP81" s="198"/>
      <c r="AQ81" s="198"/>
      <c r="AR81" s="198"/>
      <c r="AS81" s="198"/>
      <c r="AT81" s="198"/>
      <c r="AU81" s="198"/>
      <c r="AV81" s="198"/>
      <c r="AW81" s="198"/>
      <c r="AX81" s="198"/>
      <c r="AY81" s="198"/>
      <c r="AZ81" s="33"/>
      <c r="BA81" s="46"/>
      <c r="BB81" s="78"/>
      <c r="BC81" s="34"/>
      <c r="BD81" s="28"/>
      <c r="BK81" s="1033"/>
      <c r="BL81" s="1033"/>
      <c r="BM81" s="1033"/>
      <c r="BN81" s="1033"/>
      <c r="BO81" s="1033"/>
    </row>
    <row r="82" spans="1:67" ht="14.15" customHeight="1">
      <c r="A82" s="22"/>
      <c r="B82" s="129"/>
      <c r="C82" s="346" t="s">
        <v>131</v>
      </c>
      <c r="D82" s="28"/>
      <c r="E82" s="28"/>
      <c r="F82" s="28"/>
      <c r="G82" s="28"/>
      <c r="S82" s="35"/>
      <c r="T82" s="35"/>
      <c r="U82" s="35"/>
      <c r="V82" s="35"/>
      <c r="Y82" s="35"/>
      <c r="Z82" s="35"/>
      <c r="AD82" s="35"/>
      <c r="AE82" s="35"/>
      <c r="AF82" s="35"/>
      <c r="AG82" s="35"/>
      <c r="AH82" s="35"/>
      <c r="AI82" s="35"/>
      <c r="AJ82" s="28"/>
      <c r="AK82" s="28"/>
      <c r="AL82" s="28"/>
      <c r="AM82" s="130"/>
      <c r="AN82" s="130"/>
      <c r="AO82" s="35"/>
      <c r="AP82" s="35"/>
      <c r="AQ82" s="35"/>
      <c r="AR82" s="35"/>
      <c r="AS82" s="35"/>
      <c r="AT82" s="35"/>
      <c r="AU82" s="35"/>
      <c r="AV82" s="35"/>
      <c r="AW82" s="35"/>
      <c r="AX82" s="65"/>
      <c r="AY82" s="65"/>
      <c r="AZ82" s="33"/>
      <c r="BA82" s="46"/>
      <c r="BB82" s="78"/>
      <c r="BC82" s="34"/>
      <c r="BD82" s="28"/>
      <c r="BE82" s="1045"/>
      <c r="BF82" s="1045"/>
      <c r="BG82" s="1045"/>
      <c r="BH82" s="1045"/>
    </row>
    <row r="83" spans="1:67" ht="5.15" customHeight="1">
      <c r="A83" s="22"/>
      <c r="B83" s="202"/>
      <c r="C83" s="296"/>
      <c r="D83" s="72"/>
      <c r="E83" s="72"/>
      <c r="F83" s="72"/>
      <c r="G83" s="72"/>
      <c r="H83" s="297"/>
      <c r="I83" s="278"/>
      <c r="J83" s="279"/>
      <c r="K83" s="278"/>
      <c r="L83" s="279"/>
      <c r="M83" s="298"/>
      <c r="N83" s="298"/>
      <c r="O83" s="263"/>
      <c r="P83" s="298"/>
      <c r="Q83" s="263"/>
      <c r="R83" s="298"/>
      <c r="S83" s="72"/>
      <c r="T83" s="72"/>
      <c r="U83" s="72"/>
      <c r="V83" s="72"/>
      <c r="W83" s="72"/>
      <c r="X83" s="297"/>
      <c r="Y83" s="278"/>
      <c r="Z83" s="279"/>
      <c r="AA83" s="278"/>
      <c r="AB83" s="279"/>
      <c r="AC83" s="298"/>
      <c r="AD83" s="298"/>
      <c r="AE83" s="263"/>
      <c r="AF83" s="298"/>
      <c r="AG83" s="263"/>
      <c r="AH83" s="298"/>
      <c r="AI83" s="280"/>
      <c r="AJ83" s="298"/>
      <c r="AK83" s="263"/>
      <c r="AL83" s="72"/>
      <c r="AM83" s="72"/>
      <c r="AN83" s="72"/>
      <c r="AO83" s="72"/>
      <c r="AP83" s="72"/>
      <c r="AQ83" s="72"/>
      <c r="AR83" s="72"/>
      <c r="AS83" s="72"/>
      <c r="AT83" s="72"/>
      <c r="AU83" s="72"/>
      <c r="AV83" s="300"/>
      <c r="AW83" s="72"/>
      <c r="AX83" s="72"/>
      <c r="AY83" s="265"/>
      <c r="AZ83" s="33"/>
      <c r="BA83" s="46"/>
      <c r="BB83" s="78"/>
      <c r="BC83" s="34"/>
      <c r="BD83" s="28"/>
    </row>
    <row r="84" spans="1:67" ht="14.15" customHeight="1">
      <c r="A84" s="23"/>
      <c r="B84" s="351"/>
      <c r="C84" s="282"/>
      <c r="D84" s="28"/>
      <c r="E84" s="28"/>
      <c r="F84" s="28"/>
      <c r="G84" s="28"/>
      <c r="H84" s="28"/>
      <c r="I84" s="28"/>
      <c r="J84" s="28"/>
      <c r="K84" s="28"/>
      <c r="L84" s="28"/>
      <c r="M84" s="28"/>
      <c r="N84" s="28"/>
      <c r="O84" s="28"/>
      <c r="P84" s="28"/>
      <c r="Q84" s="25"/>
      <c r="S84" s="35"/>
      <c r="T84" s="28"/>
      <c r="U84" s="28"/>
      <c r="V84" s="28"/>
      <c r="W84" s="28"/>
      <c r="X84" s="28"/>
      <c r="Y84" s="28"/>
      <c r="Z84" s="28"/>
      <c r="AC84" s="28"/>
      <c r="AD84" s="28"/>
      <c r="AE84" s="35"/>
      <c r="AF84" s="35"/>
      <c r="AG84" s="35"/>
      <c r="AH84" s="35"/>
      <c r="AI84" s="35"/>
      <c r="AJ84" s="28"/>
      <c r="AK84" s="28"/>
      <c r="AL84" s="28"/>
      <c r="AM84" s="35"/>
      <c r="AN84" s="35"/>
      <c r="AO84" s="135"/>
      <c r="AP84" s="136"/>
      <c r="AQ84" s="130"/>
      <c r="AR84" s="130"/>
      <c r="AS84" s="130"/>
      <c r="AT84" s="130"/>
      <c r="AU84" s="81"/>
      <c r="AV84" s="35"/>
      <c r="AW84" s="35"/>
      <c r="AX84" s="65"/>
      <c r="AY84" s="347"/>
      <c r="AZ84" s="33"/>
      <c r="BA84" s="46"/>
      <c r="BB84" s="78"/>
      <c r="BC84" s="34"/>
      <c r="BD84" s="28"/>
      <c r="BG84" s="35"/>
    </row>
    <row r="85" spans="1:67" ht="14.15" customHeight="1">
      <c r="A85" s="23"/>
      <c r="B85" s="351"/>
      <c r="C85" s="352"/>
      <c r="D85" s="348" t="s">
        <v>38</v>
      </c>
      <c r="E85" s="131"/>
      <c r="F85" s="131"/>
      <c r="G85" s="131"/>
      <c r="H85" s="132"/>
      <c r="I85" s="132"/>
      <c r="J85" s="106"/>
      <c r="K85" s="133"/>
      <c r="L85" s="134"/>
      <c r="M85" s="144"/>
      <c r="N85" s="144"/>
      <c r="O85" s="131"/>
      <c r="P85" s="134"/>
      <c r="Q85" s="107"/>
      <c r="R85" s="133" t="s">
        <v>40</v>
      </c>
      <c r="S85" s="134"/>
      <c r="T85" s="107"/>
      <c r="U85" s="107"/>
      <c r="V85" s="133" t="s">
        <v>44</v>
      </c>
      <c r="W85" s="134"/>
      <c r="X85" s="107"/>
      <c r="Y85" s="35"/>
      <c r="Z85" s="35"/>
      <c r="AC85" s="28"/>
      <c r="AD85" s="28"/>
      <c r="AE85" s="28"/>
      <c r="AF85" s="35"/>
      <c r="AG85" s="35"/>
      <c r="AH85" s="28"/>
      <c r="AI85" s="28"/>
      <c r="AJ85" s="28"/>
      <c r="AK85" s="81"/>
      <c r="AL85" s="28"/>
      <c r="AM85" s="28"/>
      <c r="AN85" s="28"/>
      <c r="AO85" s="28"/>
      <c r="AP85" s="28"/>
      <c r="AQ85" s="65"/>
      <c r="AR85" s="65"/>
      <c r="AS85" s="65"/>
      <c r="AT85" s="125"/>
      <c r="AU85" s="65"/>
      <c r="AV85" s="65"/>
      <c r="AW85" s="65"/>
      <c r="AX85" s="65"/>
      <c r="AY85" s="347"/>
      <c r="AZ85" s="33"/>
      <c r="BA85" s="46"/>
      <c r="BB85" s="78"/>
      <c r="BC85" s="34"/>
      <c r="BD85" s="28"/>
      <c r="BE85" s="35"/>
      <c r="BF85" s="35"/>
      <c r="BG85" s="35"/>
    </row>
    <row r="86" spans="1:67" ht="13.5" customHeight="1">
      <c r="A86" s="22"/>
      <c r="B86" s="353"/>
      <c r="C86" s="352"/>
      <c r="D86" s="349" t="s">
        <v>45</v>
      </c>
      <c r="E86" s="137"/>
      <c r="F86" s="137"/>
      <c r="G86" s="137"/>
      <c r="H86" s="137"/>
      <c r="I86" s="137"/>
      <c r="J86" s="137"/>
      <c r="K86" s="350"/>
      <c r="L86" s="139"/>
      <c r="M86" s="108"/>
      <c r="N86" s="108"/>
      <c r="O86" s="145"/>
      <c r="P86" s="139"/>
      <c r="Q86" s="109"/>
      <c r="R86" s="138" t="s">
        <v>41</v>
      </c>
      <c r="S86" s="139"/>
      <c r="T86" s="108"/>
      <c r="U86" s="109"/>
      <c r="V86" s="140"/>
      <c r="W86" s="141"/>
      <c r="X86" s="142"/>
      <c r="Y86" s="116"/>
      <c r="Z86" s="41"/>
      <c r="AA86" s="116"/>
      <c r="AB86" s="116"/>
      <c r="AC86" s="116"/>
      <c r="AD86" s="116"/>
      <c r="AE86" s="116"/>
      <c r="AF86" s="116"/>
      <c r="AG86" s="116"/>
      <c r="AH86" s="116"/>
      <c r="AI86" s="116"/>
      <c r="AJ86" s="116"/>
      <c r="AK86" s="116"/>
      <c r="AL86" s="116"/>
      <c r="AM86" s="116"/>
      <c r="AN86" s="116"/>
      <c r="AO86" s="116"/>
      <c r="AP86" s="116"/>
      <c r="AQ86" s="65"/>
      <c r="AR86" s="65"/>
      <c r="AS86" s="65"/>
      <c r="AT86" s="125"/>
      <c r="AU86" s="65"/>
      <c r="AV86" s="65"/>
      <c r="AW86" s="65"/>
      <c r="AX86" s="65"/>
      <c r="AY86" s="347"/>
      <c r="AZ86" s="33"/>
      <c r="BA86" s="46"/>
      <c r="BB86" s="78"/>
      <c r="BC86" s="34"/>
      <c r="BD86" s="28"/>
      <c r="BE86" s="35"/>
      <c r="BF86" s="35"/>
      <c r="BG86" s="35"/>
    </row>
    <row r="87" spans="1:67" ht="5.15" customHeight="1">
      <c r="A87" s="22"/>
      <c r="B87" s="202"/>
      <c r="C87" s="315"/>
      <c r="D87" s="73"/>
      <c r="E87" s="73"/>
      <c r="F87" s="73"/>
      <c r="G87" s="73"/>
      <c r="H87" s="316"/>
      <c r="I87" s="275"/>
      <c r="J87" s="273"/>
      <c r="K87" s="275"/>
      <c r="L87" s="273"/>
      <c r="M87" s="317"/>
      <c r="N87" s="317"/>
      <c r="O87" s="270"/>
      <c r="P87" s="317"/>
      <c r="Q87" s="270"/>
      <c r="R87" s="317"/>
      <c r="S87" s="73"/>
      <c r="T87" s="73"/>
      <c r="U87" s="73"/>
      <c r="V87" s="73"/>
      <c r="W87" s="73"/>
      <c r="X87" s="316"/>
      <c r="Y87" s="275"/>
      <c r="Z87" s="273"/>
      <c r="AA87" s="275"/>
      <c r="AB87" s="273"/>
      <c r="AC87" s="317"/>
      <c r="AD87" s="317"/>
      <c r="AE87" s="270"/>
      <c r="AF87" s="317"/>
      <c r="AG87" s="270"/>
      <c r="AH87" s="317"/>
      <c r="AI87" s="276"/>
      <c r="AJ87" s="317"/>
      <c r="AK87" s="270"/>
      <c r="AL87" s="73"/>
      <c r="AM87" s="73"/>
      <c r="AN87" s="73"/>
      <c r="AO87" s="73"/>
      <c r="AP87" s="73"/>
      <c r="AQ87" s="73"/>
      <c r="AR87" s="73"/>
      <c r="AS87" s="73"/>
      <c r="AT87" s="73"/>
      <c r="AU87" s="73"/>
      <c r="AV87" s="318"/>
      <c r="AW87" s="73"/>
      <c r="AX87" s="73"/>
      <c r="AY87" s="277"/>
      <c r="AZ87" s="33"/>
      <c r="BA87" s="46"/>
      <c r="BB87" s="78"/>
      <c r="BC87" s="34"/>
      <c r="BD87" s="28"/>
    </row>
    <row r="88" spans="1:67" ht="14.15" customHeight="1">
      <c r="A88" s="22"/>
      <c r="B88" s="202">
        <v>35</v>
      </c>
      <c r="C88" s="331"/>
      <c r="D88" s="332"/>
      <c r="E88" s="65"/>
      <c r="F88" s="65"/>
      <c r="G88" s="65"/>
      <c r="H88" s="65"/>
      <c r="I88" s="65"/>
      <c r="J88" s="945"/>
      <c r="K88" s="945"/>
      <c r="L88" s="945"/>
      <c r="M88" s="945"/>
      <c r="N88" s="65"/>
      <c r="O88" s="65"/>
      <c r="P88" s="65"/>
      <c r="Q88" s="65"/>
      <c r="R88" s="65"/>
      <c r="S88" s="65"/>
      <c r="T88" s="65"/>
      <c r="U88" s="65"/>
      <c r="V88" s="65"/>
      <c r="W88" s="65"/>
      <c r="X88" s="65"/>
      <c r="Y88" s="65"/>
      <c r="Z88" s="65"/>
      <c r="AA88" s="65"/>
      <c r="AB88" s="65"/>
      <c r="AC88" s="65"/>
      <c r="AD88" s="65"/>
      <c r="AE88" s="65"/>
      <c r="AF88" s="65"/>
      <c r="AG88" s="65"/>
      <c r="AH88" s="65"/>
      <c r="AI88" s="65"/>
      <c r="AJ88" s="65"/>
      <c r="AK88" s="65"/>
      <c r="AL88" s="65"/>
      <c r="AM88" s="65"/>
      <c r="AN88" s="65"/>
      <c r="AO88" s="65"/>
      <c r="AP88" s="65"/>
      <c r="AQ88" s="65"/>
      <c r="AR88" s="65"/>
      <c r="AS88" s="65"/>
      <c r="AT88" s="125"/>
      <c r="AU88" s="65"/>
      <c r="AV88" s="65"/>
      <c r="AW88" s="65"/>
      <c r="AX88" s="65"/>
      <c r="AY88" s="65"/>
      <c r="AZ88" s="33"/>
      <c r="BA88" s="46"/>
      <c r="BB88" s="335"/>
      <c r="BC88" s="336"/>
      <c r="BD88" s="28"/>
      <c r="BG88" s="24"/>
      <c r="BH88" s="28"/>
    </row>
    <row r="89" spans="1:67" ht="14.15" customHeight="1">
      <c r="A89" s="22"/>
      <c r="B89" s="202">
        <v>35</v>
      </c>
      <c r="C89" s="346" t="s">
        <v>247</v>
      </c>
      <c r="D89" s="332"/>
      <c r="E89" s="65"/>
      <c r="F89" s="65"/>
      <c r="G89" s="65"/>
      <c r="H89" s="65"/>
      <c r="I89" s="65"/>
      <c r="J89" s="945"/>
      <c r="K89" s="945"/>
      <c r="L89" s="945"/>
      <c r="M89" s="945"/>
      <c r="N89" s="65"/>
      <c r="O89" s="65"/>
      <c r="P89" s="65"/>
      <c r="Q89" s="65"/>
      <c r="R89" s="65"/>
      <c r="S89" s="65"/>
      <c r="T89" s="65"/>
      <c r="U89" s="65"/>
      <c r="V89" s="65"/>
      <c r="W89" s="65"/>
      <c r="X89" s="65"/>
      <c r="Y89" s="65"/>
      <c r="Z89" s="65"/>
      <c r="AA89" s="65"/>
      <c r="AB89" s="65"/>
      <c r="AC89" s="65"/>
      <c r="AD89" s="65"/>
      <c r="AE89" s="65"/>
      <c r="AF89" s="65"/>
      <c r="AG89" s="65"/>
      <c r="AH89" s="65"/>
      <c r="AI89" s="65"/>
      <c r="AJ89" s="65"/>
      <c r="AK89" s="65"/>
      <c r="AL89" s="65"/>
      <c r="AM89" s="65"/>
      <c r="AN89" s="65"/>
      <c r="AO89" s="65"/>
      <c r="AP89" s="65"/>
      <c r="AQ89" s="65"/>
      <c r="AR89" s="65"/>
      <c r="AS89" s="65"/>
      <c r="AT89" s="125"/>
      <c r="AU89" s="65"/>
      <c r="AV89" s="65"/>
      <c r="AW89" s="65"/>
      <c r="AX89" s="65"/>
      <c r="AY89" s="65"/>
      <c r="AZ89" s="33"/>
      <c r="BA89" s="46"/>
      <c r="BB89" s="335"/>
      <c r="BC89" s="336"/>
      <c r="BD89" s="28"/>
      <c r="BG89" s="24"/>
      <c r="BH89" s="28"/>
    </row>
    <row r="90" spans="1:67" ht="14.15" customHeight="1">
      <c r="A90" s="22"/>
      <c r="B90" s="202">
        <v>35</v>
      </c>
      <c r="C90" s="331"/>
      <c r="D90" s="478" t="s">
        <v>248</v>
      </c>
      <c r="E90" s="65"/>
      <c r="F90" s="65"/>
      <c r="G90" s="65"/>
      <c r="H90" s="65"/>
      <c r="I90" s="65"/>
      <c r="J90" s="477"/>
      <c r="K90" s="477"/>
      <c r="L90" s="477"/>
      <c r="M90" s="477"/>
      <c r="N90" s="65"/>
      <c r="O90" s="65"/>
      <c r="P90" s="65"/>
      <c r="Q90" s="65"/>
      <c r="R90" s="65"/>
      <c r="S90" s="65"/>
      <c r="T90" s="65"/>
      <c r="U90" s="65"/>
      <c r="V90" s="65"/>
      <c r="W90" s="65"/>
      <c r="X90" s="65"/>
      <c r="Y90" s="65"/>
      <c r="Z90" s="65"/>
      <c r="AA90" s="65"/>
      <c r="AB90" s="65"/>
      <c r="AC90" s="65"/>
      <c r="AD90" s="65"/>
      <c r="AE90" s="65"/>
      <c r="AF90" s="65"/>
      <c r="AG90" s="65"/>
      <c r="AH90" s="65"/>
      <c r="AI90" s="65"/>
      <c r="AJ90" s="65"/>
      <c r="AK90" s="65"/>
      <c r="AL90" s="65"/>
      <c r="AM90" s="65"/>
      <c r="AN90" s="65"/>
      <c r="AO90" s="65"/>
      <c r="AP90" s="65"/>
      <c r="AQ90" s="65"/>
      <c r="AR90" s="65"/>
      <c r="AS90" s="65"/>
      <c r="AT90" s="125"/>
      <c r="AU90" s="65"/>
      <c r="AV90" s="65"/>
      <c r="AW90" s="65"/>
      <c r="AX90" s="65"/>
      <c r="AY90" s="65"/>
      <c r="AZ90" s="33"/>
      <c r="BA90" s="46"/>
      <c r="BB90" s="335"/>
      <c r="BC90" s="336"/>
      <c r="BD90" s="28"/>
      <c r="BG90" s="24"/>
      <c r="BH90" s="28"/>
    </row>
    <row r="91" spans="1:67" ht="14.15" customHeight="1">
      <c r="A91" s="22"/>
      <c r="B91" s="202">
        <v>35</v>
      </c>
      <c r="C91" s="331"/>
      <c r="D91" s="332"/>
      <c r="E91" s="65"/>
      <c r="F91" s="65"/>
      <c r="G91" s="65"/>
      <c r="H91" s="65"/>
      <c r="I91" s="65"/>
      <c r="J91" s="967"/>
      <c r="K91" s="967"/>
      <c r="L91" s="967"/>
      <c r="M91" s="967"/>
      <c r="N91" s="65"/>
      <c r="O91" s="65"/>
      <c r="P91" s="65"/>
      <c r="Q91" s="65"/>
      <c r="R91" s="65"/>
      <c r="S91" s="65"/>
      <c r="T91" s="65"/>
      <c r="U91" s="65"/>
      <c r="V91" s="65"/>
      <c r="W91" s="65"/>
      <c r="X91" s="65"/>
      <c r="Y91" s="65"/>
      <c r="Z91" s="65"/>
      <c r="AA91" s="65"/>
      <c r="AB91" s="65"/>
      <c r="AC91" s="65"/>
      <c r="AD91" s="65"/>
      <c r="AE91" s="65"/>
      <c r="AF91" s="65"/>
      <c r="AG91" s="65"/>
      <c r="AH91" s="65"/>
      <c r="AI91" s="65"/>
      <c r="AJ91" s="65"/>
      <c r="AK91" s="65"/>
      <c r="AL91" s="65"/>
      <c r="AM91" s="65"/>
      <c r="AN91" s="65"/>
      <c r="AO91" s="65"/>
      <c r="AP91" s="65"/>
      <c r="AQ91" s="65"/>
      <c r="AR91" s="65"/>
      <c r="AS91" s="65"/>
      <c r="AT91" s="125"/>
      <c r="AU91" s="65"/>
      <c r="AV91" s="65"/>
      <c r="AW91" s="65"/>
      <c r="AX91" s="65"/>
      <c r="AY91" s="65"/>
      <c r="AZ91" s="33"/>
      <c r="BA91" s="46"/>
      <c r="BB91" s="335"/>
      <c r="BC91" s="336"/>
      <c r="BD91" s="28"/>
      <c r="BG91" s="24"/>
      <c r="BH91" s="28"/>
    </row>
    <row r="92" spans="1:67" ht="5.15" customHeight="1">
      <c r="A92" s="22"/>
      <c r="B92" s="202"/>
      <c r="C92" s="296"/>
      <c r="D92" s="72"/>
      <c r="E92" s="72"/>
      <c r="F92" s="72"/>
      <c r="G92" s="72"/>
      <c r="H92" s="297"/>
      <c r="I92" s="278"/>
      <c r="J92" s="279"/>
      <c r="K92" s="278"/>
      <c r="L92" s="279"/>
      <c r="M92" s="298"/>
      <c r="N92" s="298"/>
      <c r="O92" s="263"/>
      <c r="P92" s="298"/>
      <c r="Q92" s="263"/>
      <c r="R92" s="298"/>
      <c r="S92" s="72"/>
      <c r="T92" s="72"/>
      <c r="U92" s="72"/>
      <c r="V92" s="72"/>
      <c r="W92" s="72"/>
      <c r="X92" s="297"/>
      <c r="Y92" s="278"/>
      <c r="Z92" s="279"/>
      <c r="AA92" s="278"/>
      <c r="AB92" s="279"/>
      <c r="AC92" s="298"/>
      <c r="AD92" s="298"/>
      <c r="AE92" s="263"/>
      <c r="AF92" s="298"/>
      <c r="AG92" s="263"/>
      <c r="AH92" s="298"/>
      <c r="AI92" s="280"/>
      <c r="AJ92" s="298"/>
      <c r="AK92" s="263"/>
      <c r="AL92" s="72"/>
      <c r="AM92" s="72"/>
      <c r="AN92" s="72"/>
      <c r="AO92" s="72"/>
      <c r="AP92" s="72"/>
      <c r="AQ92" s="72"/>
      <c r="AR92" s="72"/>
      <c r="AS92" s="72"/>
      <c r="AT92" s="72"/>
      <c r="AU92" s="72"/>
      <c r="AV92" s="300"/>
      <c r="AW92" s="72"/>
      <c r="AX92" s="72"/>
      <c r="AY92" s="265"/>
      <c r="AZ92" s="33"/>
      <c r="BA92" s="46"/>
      <c r="BB92" s="78"/>
      <c r="BC92" s="34"/>
      <c r="BD92" s="28"/>
    </row>
    <row r="93" spans="1:67" ht="14.15" customHeight="1">
      <c r="A93" s="23"/>
      <c r="B93" s="351"/>
      <c r="C93" s="282"/>
      <c r="D93" s="28" t="s">
        <v>240</v>
      </c>
      <c r="E93" s="28"/>
      <c r="F93" s="28"/>
      <c r="G93" s="28"/>
      <c r="H93" s="468" t="s">
        <v>245</v>
      </c>
      <c r="I93" s="257"/>
      <c r="J93" s="258"/>
      <c r="K93" s="258"/>
      <c r="L93" s="258"/>
      <c r="M93" s="259"/>
      <c r="N93" s="258"/>
      <c r="O93" s="110"/>
      <c r="P93" s="261" t="s">
        <v>33</v>
      </c>
      <c r="Q93" s="25"/>
      <c r="R93" s="469" t="s">
        <v>246</v>
      </c>
      <c r="S93" s="470"/>
      <c r="T93" s="471"/>
      <c r="U93" s="471"/>
      <c r="V93" s="483"/>
      <c r="W93" s="472"/>
      <c r="X93" s="471"/>
      <c r="Y93" s="473"/>
      <c r="Z93" s="474"/>
      <c r="AB93" s="469" t="s">
        <v>289</v>
      </c>
      <c r="AC93" s="470"/>
      <c r="AD93" s="471"/>
      <c r="AE93" s="471"/>
      <c r="AF93" s="471"/>
      <c r="AG93" s="472"/>
      <c r="AH93" s="471"/>
      <c r="AI93" s="473"/>
      <c r="AJ93" s="472"/>
      <c r="AK93" s="479"/>
      <c r="AL93" s="479"/>
      <c r="AM93" s="473"/>
      <c r="AN93" s="473"/>
      <c r="AO93" s="471"/>
      <c r="AP93" s="480"/>
      <c r="AQ93" s="471"/>
      <c r="AR93" s="471"/>
      <c r="AS93" s="471"/>
      <c r="AT93" s="471"/>
      <c r="AU93" s="481"/>
      <c r="AV93" s="473"/>
      <c r="AW93" s="473"/>
      <c r="AX93" s="482"/>
      <c r="AY93" s="347"/>
      <c r="AZ93" s="33"/>
      <c r="BA93" s="46"/>
      <c r="BB93" s="78"/>
      <c r="BC93" s="34"/>
      <c r="BD93" s="28"/>
      <c r="BG93" s="35"/>
    </row>
    <row r="94" spans="1:67" ht="14.15" customHeight="1">
      <c r="A94" s="23"/>
      <c r="B94" s="351"/>
      <c r="C94" s="282"/>
      <c r="D94" s="28"/>
      <c r="E94" s="28"/>
      <c r="F94" s="28"/>
      <c r="G94" s="28"/>
      <c r="H94" s="469" t="s">
        <v>54</v>
      </c>
      <c r="I94" s="470"/>
      <c r="J94" s="471"/>
      <c r="K94" s="471"/>
      <c r="L94" s="471"/>
      <c r="M94" s="472"/>
      <c r="N94" s="471"/>
      <c r="O94" s="473"/>
      <c r="P94" s="472"/>
      <c r="Q94" s="479"/>
      <c r="R94" s="479"/>
      <c r="S94" s="473"/>
      <c r="T94" s="473"/>
      <c r="U94" s="471"/>
      <c r="V94" s="480"/>
      <c r="W94" s="471"/>
      <c r="X94" s="471"/>
      <c r="Y94" s="471"/>
      <c r="Z94" s="471"/>
      <c r="AA94" s="481"/>
      <c r="AB94" s="473"/>
      <c r="AC94" s="473"/>
      <c r="AD94" s="479"/>
      <c r="AE94" s="471"/>
      <c r="AF94" s="471"/>
      <c r="AG94" s="472"/>
      <c r="AH94" s="471"/>
      <c r="AI94" s="473"/>
      <c r="AJ94" s="472"/>
      <c r="AK94" s="479"/>
      <c r="AL94" s="479"/>
      <c r="AM94" s="473"/>
      <c r="AN94" s="473"/>
      <c r="AO94" s="471"/>
      <c r="AP94" s="480"/>
      <c r="AQ94" s="471"/>
      <c r="AR94" s="471"/>
      <c r="AS94" s="471"/>
      <c r="AT94" s="471"/>
      <c r="AU94" s="481"/>
      <c r="AV94" s="473"/>
      <c r="AW94" s="473"/>
      <c r="AX94" s="482"/>
      <c r="AY94" s="347"/>
      <c r="AZ94" s="33"/>
      <c r="BA94" s="46"/>
      <c r="BB94" s="78"/>
      <c r="BC94" s="34"/>
      <c r="BD94" s="28"/>
      <c r="BG94" s="35"/>
    </row>
    <row r="95" spans="1:67" ht="5.15" customHeight="1">
      <c r="A95" s="22"/>
      <c r="B95" s="202"/>
      <c r="C95" s="315"/>
      <c r="D95" s="73"/>
      <c r="E95" s="73"/>
      <c r="F95" s="73"/>
      <c r="G95" s="73"/>
      <c r="H95" s="316"/>
      <c r="I95" s="275"/>
      <c r="J95" s="273"/>
      <c r="K95" s="275"/>
      <c r="L95" s="273"/>
      <c r="M95" s="317"/>
      <c r="N95" s="317"/>
      <c r="O95" s="270"/>
      <c r="P95" s="317"/>
      <c r="Q95" s="270"/>
      <c r="R95" s="317"/>
      <c r="S95" s="73"/>
      <c r="T95" s="73"/>
      <c r="U95" s="73"/>
      <c r="V95" s="73"/>
      <c r="W95" s="73"/>
      <c r="X95" s="316"/>
      <c r="Y95" s="275"/>
      <c r="Z95" s="273"/>
      <c r="AA95" s="275"/>
      <c r="AB95" s="273"/>
      <c r="AC95" s="317"/>
      <c r="AD95" s="317"/>
      <c r="AE95" s="270"/>
      <c r="AF95" s="317"/>
      <c r="AG95" s="270"/>
      <c r="AH95" s="317"/>
      <c r="AI95" s="276"/>
      <c r="AJ95" s="317"/>
      <c r="AK95" s="270"/>
      <c r="AL95" s="73"/>
      <c r="AM95" s="73"/>
      <c r="AN95" s="73"/>
      <c r="AO95" s="73"/>
      <c r="AP95" s="73"/>
      <c r="AQ95" s="73"/>
      <c r="AR95" s="73"/>
      <c r="AS95" s="73"/>
      <c r="AT95" s="73"/>
      <c r="AU95" s="73"/>
      <c r="AV95" s="318"/>
      <c r="AW95" s="73"/>
      <c r="AX95" s="73"/>
      <c r="AY95" s="277"/>
      <c r="AZ95" s="33"/>
      <c r="BA95" s="46"/>
      <c r="BB95" s="78"/>
      <c r="BC95" s="34"/>
      <c r="BD95" s="28"/>
    </row>
    <row r="96" spans="1:67" ht="5.15" customHeight="1">
      <c r="A96" s="22"/>
      <c r="B96" s="202"/>
      <c r="C96" s="476"/>
      <c r="D96" s="72"/>
      <c r="E96" s="72"/>
      <c r="F96" s="72"/>
      <c r="G96" s="72"/>
      <c r="H96" s="297"/>
      <c r="I96" s="278"/>
      <c r="J96" s="279"/>
      <c r="K96" s="278"/>
      <c r="L96" s="279"/>
      <c r="M96" s="298"/>
      <c r="N96" s="298"/>
      <c r="O96" s="263"/>
      <c r="P96" s="298"/>
      <c r="Q96" s="263"/>
      <c r="R96" s="298"/>
      <c r="S96" s="72"/>
      <c r="T96" s="72"/>
      <c r="U96" s="72"/>
      <c r="V96" s="72"/>
      <c r="W96" s="72"/>
      <c r="X96" s="297"/>
      <c r="Y96" s="278"/>
      <c r="Z96" s="279"/>
      <c r="AA96" s="278"/>
      <c r="AB96" s="279"/>
      <c r="AC96" s="298"/>
      <c r="AD96" s="298"/>
      <c r="AE96" s="263"/>
      <c r="AF96" s="298"/>
      <c r="AG96" s="263"/>
      <c r="AH96" s="298"/>
      <c r="AI96" s="280"/>
      <c r="AJ96" s="298"/>
      <c r="AK96" s="263"/>
      <c r="AL96" s="72"/>
      <c r="AM96" s="72"/>
      <c r="AN96" s="72"/>
      <c r="AO96" s="72"/>
      <c r="AP96" s="72"/>
      <c r="AQ96" s="72"/>
      <c r="AR96" s="72"/>
      <c r="AS96" s="72"/>
      <c r="AT96" s="72"/>
      <c r="AU96" s="72"/>
      <c r="AV96" s="300"/>
      <c r="AW96" s="72"/>
      <c r="AX96" s="72"/>
      <c r="AY96" s="264"/>
      <c r="AZ96" s="33"/>
      <c r="BA96" s="46"/>
      <c r="BB96" s="78"/>
      <c r="BC96" s="34"/>
      <c r="BD96" s="28"/>
    </row>
    <row r="97" spans="1:60" ht="14.15" customHeight="1">
      <c r="A97" s="22"/>
      <c r="B97" s="202">
        <v>35</v>
      </c>
      <c r="C97" s="62" t="s">
        <v>243</v>
      </c>
      <c r="D97" s="332"/>
      <c r="E97" s="65"/>
      <c r="F97" s="65"/>
      <c r="G97" s="65"/>
      <c r="H97" s="65"/>
      <c r="I97" s="65"/>
      <c r="J97" s="945"/>
      <c r="K97" s="945"/>
      <c r="L97" s="945"/>
      <c r="M97" s="945"/>
      <c r="N97" s="65"/>
      <c r="O97" s="65"/>
      <c r="P97" s="65"/>
      <c r="Q97" s="65"/>
      <c r="R97" s="65"/>
      <c r="S97" s="65"/>
      <c r="T97" s="65"/>
      <c r="U97" s="65"/>
      <c r="V97" s="65"/>
      <c r="W97" s="65"/>
      <c r="X97" s="65"/>
      <c r="Y97" s="65"/>
      <c r="Z97" s="65"/>
      <c r="AA97" s="65"/>
      <c r="AB97" s="65"/>
      <c r="AC97" s="65"/>
      <c r="AD97" s="65"/>
      <c r="AE97" s="65"/>
      <c r="AF97" s="65"/>
      <c r="AG97" s="65"/>
      <c r="AH97" s="65"/>
      <c r="AI97" s="65"/>
      <c r="AJ97" s="65"/>
      <c r="AK97" s="65"/>
      <c r="AL97" s="65"/>
      <c r="AM97" s="65"/>
      <c r="AN97" s="65"/>
      <c r="AO97" s="65"/>
      <c r="AP97" s="65"/>
      <c r="AQ97" s="65"/>
      <c r="AR97" s="65"/>
      <c r="AS97" s="65"/>
      <c r="AT97" s="125"/>
      <c r="AU97" s="65"/>
      <c r="AV97" s="65"/>
      <c r="AW97" s="65"/>
      <c r="AX97" s="65"/>
      <c r="AY97" s="65"/>
      <c r="AZ97" s="33"/>
      <c r="BA97" s="46"/>
      <c r="BB97" s="335"/>
      <c r="BC97" s="336"/>
      <c r="BD97" s="28"/>
      <c r="BG97" s="24"/>
      <c r="BH97" s="28"/>
    </row>
    <row r="98" spans="1:60" ht="5.15" customHeight="1">
      <c r="A98" s="22"/>
      <c r="B98" s="202"/>
      <c r="C98" s="296"/>
      <c r="D98" s="72"/>
      <c r="E98" s="72"/>
      <c r="F98" s="72"/>
      <c r="G98" s="72"/>
      <c r="H98" s="297"/>
      <c r="I98" s="278"/>
      <c r="J98" s="279"/>
      <c r="K98" s="278"/>
      <c r="L98" s="279"/>
      <c r="M98" s="298"/>
      <c r="N98" s="298"/>
      <c r="O98" s="263"/>
      <c r="P98" s="298"/>
      <c r="Q98" s="263"/>
      <c r="R98" s="298"/>
      <c r="S98" s="72"/>
      <c r="T98" s="72"/>
      <c r="U98" s="72"/>
      <c r="V98" s="72"/>
      <c r="W98" s="72"/>
      <c r="X98" s="297"/>
      <c r="Y98" s="278"/>
      <c r="Z98" s="279"/>
      <c r="AA98" s="278"/>
      <c r="AB98" s="279"/>
      <c r="AC98" s="298"/>
      <c r="AD98" s="298"/>
      <c r="AE98" s="263"/>
      <c r="AF98" s="298"/>
      <c r="AG98" s="263"/>
      <c r="AH98" s="298"/>
      <c r="AI98" s="280"/>
      <c r="AJ98" s="298"/>
      <c r="AK98" s="263"/>
      <c r="AL98" s="72"/>
      <c r="AM98" s="72"/>
      <c r="AN98" s="72"/>
      <c r="AO98" s="72"/>
      <c r="AP98" s="72"/>
      <c r="AQ98" s="72"/>
      <c r="AR98" s="72"/>
      <c r="AS98" s="72"/>
      <c r="AT98" s="72"/>
      <c r="AU98" s="72"/>
      <c r="AV98" s="300"/>
      <c r="AW98" s="72"/>
      <c r="AX98" s="72"/>
      <c r="AY98" s="265"/>
      <c r="AZ98" s="33"/>
      <c r="BA98" s="46"/>
      <c r="BB98" s="78"/>
      <c r="BC98" s="34"/>
      <c r="BD98" s="28"/>
    </row>
    <row r="99" spans="1:60" ht="14.15" customHeight="1">
      <c r="A99" s="23"/>
      <c r="B99" s="351"/>
      <c r="C99" s="282"/>
      <c r="D99" s="28" t="s">
        <v>240</v>
      </c>
      <c r="E99" s="28"/>
      <c r="F99" s="28"/>
      <c r="G99" s="28"/>
      <c r="H99" s="468" t="s">
        <v>241</v>
      </c>
      <c r="I99" s="257"/>
      <c r="J99" s="258"/>
      <c r="K99" s="258"/>
      <c r="L99" s="258"/>
      <c r="M99" s="259"/>
      <c r="N99" s="258"/>
      <c r="O99" s="110"/>
      <c r="P99" s="261" t="s">
        <v>33</v>
      </c>
      <c r="Q99" s="25"/>
      <c r="R99" s="469" t="s">
        <v>242</v>
      </c>
      <c r="S99" s="470"/>
      <c r="T99" s="471"/>
      <c r="U99" s="471"/>
      <c r="V99" s="483"/>
      <c r="W99" s="484" t="s">
        <v>254</v>
      </c>
      <c r="X99" s="471"/>
      <c r="Y99" s="473"/>
      <c r="Z99" s="474"/>
      <c r="AB99" s="529" t="s">
        <v>290</v>
      </c>
      <c r="AC99" s="530"/>
      <c r="AD99" s="531"/>
      <c r="AE99" s="531"/>
      <c r="AF99" s="531"/>
      <c r="AG99" s="532"/>
      <c r="AH99" s="531"/>
      <c r="AI99" s="533"/>
      <c r="AJ99" s="532"/>
      <c r="AK99" s="61"/>
      <c r="AL99" s="61"/>
      <c r="AM99" s="533"/>
      <c r="AN99" s="533"/>
      <c r="AO99" s="531"/>
      <c r="AP99" s="534"/>
      <c r="AQ99" s="531"/>
      <c r="AR99" s="531"/>
      <c r="AS99" s="531"/>
      <c r="AT99" s="531"/>
      <c r="AU99" s="535"/>
      <c r="AV99" s="533"/>
      <c r="AW99" s="533"/>
      <c r="AX99" s="70"/>
      <c r="AY99" s="347"/>
      <c r="AZ99" s="33"/>
      <c r="BA99" s="46"/>
      <c r="BB99" s="78"/>
      <c r="BC99" s="34"/>
      <c r="BD99" s="28"/>
      <c r="BG99" s="35"/>
    </row>
    <row r="100" spans="1:60" ht="14.15" customHeight="1">
      <c r="A100" s="23"/>
      <c r="B100" s="351"/>
      <c r="C100" s="282"/>
      <c r="D100" s="28"/>
      <c r="E100" s="28"/>
      <c r="F100" s="28"/>
      <c r="G100" s="28"/>
      <c r="H100" s="469" t="s">
        <v>253</v>
      </c>
      <c r="I100" s="470"/>
      <c r="J100" s="471"/>
      <c r="K100" s="471"/>
      <c r="L100" s="471"/>
      <c r="M100" s="472"/>
      <c r="N100" s="471"/>
      <c r="O100" s="473"/>
      <c r="P100" s="472"/>
      <c r="Q100" s="479"/>
      <c r="R100" s="479"/>
      <c r="S100" s="473"/>
      <c r="T100" s="473"/>
      <c r="U100" s="471"/>
      <c r="V100" s="480"/>
      <c r="W100" s="471"/>
      <c r="X100" s="471"/>
      <c r="Y100" s="471"/>
      <c r="Z100" s="471"/>
      <c r="AA100" s="481"/>
      <c r="AB100" s="473"/>
      <c r="AC100" s="473"/>
      <c r="AD100" s="479"/>
      <c r="AE100" s="471"/>
      <c r="AF100" s="471"/>
      <c r="AG100" s="472"/>
      <c r="AH100" s="471"/>
      <c r="AI100" s="473"/>
      <c r="AJ100" s="472"/>
      <c r="AK100" s="479"/>
      <c r="AL100" s="479"/>
      <c r="AM100" s="473"/>
      <c r="AN100" s="473"/>
      <c r="AO100" s="471"/>
      <c r="AP100" s="480"/>
      <c r="AQ100" s="471"/>
      <c r="AR100" s="471"/>
      <c r="AS100" s="471"/>
      <c r="AT100" s="471"/>
      <c r="AU100" s="481"/>
      <c r="AV100" s="473"/>
      <c r="AW100" s="473"/>
      <c r="AX100" s="482"/>
      <c r="AY100" s="347"/>
      <c r="AZ100" s="33"/>
      <c r="BA100" s="46"/>
      <c r="BB100" s="78"/>
      <c r="BC100" s="34"/>
      <c r="BD100" s="28"/>
      <c r="BG100" s="35"/>
    </row>
    <row r="101" spans="1:60" ht="5.15" customHeight="1">
      <c r="A101" s="22"/>
      <c r="B101" s="202"/>
      <c r="C101" s="315"/>
      <c r="D101" s="73"/>
      <c r="E101" s="73"/>
      <c r="F101" s="73"/>
      <c r="G101" s="73"/>
      <c r="H101" s="316"/>
      <c r="I101" s="275"/>
      <c r="J101" s="273"/>
      <c r="K101" s="275"/>
      <c r="L101" s="273"/>
      <c r="M101" s="317"/>
      <c r="N101" s="317"/>
      <c r="O101" s="270"/>
      <c r="P101" s="317"/>
      <c r="Q101" s="270"/>
      <c r="R101" s="317"/>
      <c r="S101" s="73"/>
      <c r="T101" s="73"/>
      <c r="U101" s="73"/>
      <c r="V101" s="73"/>
      <c r="W101" s="73"/>
      <c r="X101" s="316"/>
      <c r="Y101" s="275"/>
      <c r="Z101" s="273"/>
      <c r="AA101" s="275"/>
      <c r="AB101" s="273"/>
      <c r="AC101" s="317"/>
      <c r="AD101" s="317"/>
      <c r="AE101" s="270"/>
      <c r="AF101" s="317"/>
      <c r="AG101" s="270"/>
      <c r="AH101" s="317"/>
      <c r="AI101" s="276"/>
      <c r="AJ101" s="317"/>
      <c r="AK101" s="270"/>
      <c r="AL101" s="73"/>
      <c r="AM101" s="73"/>
      <c r="AN101" s="73"/>
      <c r="AO101" s="73"/>
      <c r="AP101" s="73"/>
      <c r="AQ101" s="73"/>
      <c r="AR101" s="73"/>
      <c r="AS101" s="73"/>
      <c r="AT101" s="73"/>
      <c r="AU101" s="73"/>
      <c r="AV101" s="318"/>
      <c r="AW101" s="73"/>
      <c r="AX101" s="73"/>
      <c r="AY101" s="277"/>
      <c r="AZ101" s="33"/>
      <c r="BA101" s="46"/>
      <c r="BB101" s="78"/>
      <c r="BC101" s="34"/>
      <c r="BD101" s="28"/>
    </row>
    <row r="102" spans="1:60" ht="5.15" customHeight="1">
      <c r="A102" s="22"/>
      <c r="B102" s="202"/>
      <c r="C102" s="476"/>
      <c r="D102" s="72"/>
      <c r="E102" s="72"/>
      <c r="F102" s="72"/>
      <c r="G102" s="72"/>
      <c r="H102" s="297"/>
      <c r="I102" s="278"/>
      <c r="J102" s="279"/>
      <c r="K102" s="278"/>
      <c r="L102" s="279"/>
      <c r="M102" s="298"/>
      <c r="N102" s="298"/>
      <c r="O102" s="263"/>
      <c r="P102" s="298"/>
      <c r="Q102" s="263"/>
      <c r="R102" s="298"/>
      <c r="S102" s="72"/>
      <c r="T102" s="72"/>
      <c r="U102" s="72"/>
      <c r="V102" s="72"/>
      <c r="W102" s="72"/>
      <c r="X102" s="297"/>
      <c r="Y102" s="278"/>
      <c r="Z102" s="279"/>
      <c r="AA102" s="278"/>
      <c r="AB102" s="279"/>
      <c r="AC102" s="298"/>
      <c r="AD102" s="298"/>
      <c r="AE102" s="263"/>
      <c r="AF102" s="298"/>
      <c r="AG102" s="263"/>
      <c r="AH102" s="298"/>
      <c r="AI102" s="280"/>
      <c r="AJ102" s="298"/>
      <c r="AK102" s="263"/>
      <c r="AL102" s="72"/>
      <c r="AM102" s="72"/>
      <c r="AN102" s="72"/>
      <c r="AO102" s="72"/>
      <c r="AP102" s="72"/>
      <c r="AQ102" s="72"/>
      <c r="AR102" s="72"/>
      <c r="AS102" s="72"/>
      <c r="AT102" s="72"/>
      <c r="AU102" s="72"/>
      <c r="AV102" s="300"/>
      <c r="AW102" s="72"/>
      <c r="AX102" s="72"/>
      <c r="AY102" s="264"/>
      <c r="AZ102" s="33"/>
      <c r="BA102" s="46"/>
      <c r="BB102" s="78"/>
      <c r="BC102" s="34"/>
      <c r="BD102" s="28"/>
    </row>
    <row r="103" spans="1:60" ht="14.15" customHeight="1">
      <c r="A103" s="22"/>
      <c r="B103" s="202">
        <v>35</v>
      </c>
      <c r="C103" s="62" t="s">
        <v>243</v>
      </c>
      <c r="D103" s="332"/>
      <c r="E103" s="65"/>
      <c r="F103" s="65"/>
      <c r="G103" s="65"/>
      <c r="H103" s="65"/>
      <c r="I103" s="65"/>
      <c r="J103" s="477"/>
      <c r="K103" s="477"/>
      <c r="L103" s="477"/>
      <c r="M103" s="477"/>
      <c r="N103" s="65"/>
      <c r="O103" s="65"/>
      <c r="P103" s="65"/>
      <c r="Q103" s="65"/>
      <c r="R103" s="65"/>
      <c r="S103" s="65"/>
      <c r="T103" s="65"/>
      <c r="U103" s="65"/>
      <c r="V103" s="65"/>
      <c r="W103" s="65"/>
      <c r="X103" s="65"/>
      <c r="Y103" s="65"/>
      <c r="Z103" s="65"/>
      <c r="AA103" s="65"/>
      <c r="AB103" s="65"/>
      <c r="AC103" s="65"/>
      <c r="AD103" s="65"/>
      <c r="AE103" s="65"/>
      <c r="AF103" s="65"/>
      <c r="AG103" s="65"/>
      <c r="AH103" s="65"/>
      <c r="AI103" s="65"/>
      <c r="AJ103" s="65"/>
      <c r="AK103" s="65"/>
      <c r="AL103" s="65"/>
      <c r="AM103" s="65"/>
      <c r="AN103" s="65"/>
      <c r="AO103" s="65"/>
      <c r="AP103" s="65"/>
      <c r="AQ103" s="65"/>
      <c r="AR103" s="65"/>
      <c r="AS103" s="65"/>
      <c r="AT103" s="125"/>
      <c r="AU103" s="65"/>
      <c r="AV103" s="65"/>
      <c r="AW103" s="65"/>
      <c r="AX103" s="65"/>
      <c r="AY103" s="65"/>
      <c r="AZ103" s="33"/>
      <c r="BA103" s="46"/>
      <c r="BB103" s="335"/>
      <c r="BC103" s="336"/>
      <c r="BD103" s="28"/>
      <c r="BG103" s="24"/>
      <c r="BH103" s="28"/>
    </row>
    <row r="104" spans="1:60" ht="14.15" customHeight="1">
      <c r="A104" s="22"/>
      <c r="B104" s="202">
        <v>35</v>
      </c>
      <c r="C104" s="331"/>
      <c r="D104" s="332"/>
      <c r="E104" s="65"/>
      <c r="F104" s="65"/>
      <c r="G104" s="65"/>
      <c r="H104" s="65"/>
      <c r="I104" s="65"/>
      <c r="J104" s="477"/>
      <c r="K104" s="477"/>
      <c r="L104" s="477"/>
      <c r="M104" s="477"/>
      <c r="N104" s="65"/>
      <c r="O104" s="65"/>
      <c r="P104" s="65"/>
      <c r="Q104" s="65"/>
      <c r="R104" s="65"/>
      <c r="S104" s="65"/>
      <c r="T104" s="65"/>
      <c r="U104" s="65"/>
      <c r="V104" s="65"/>
      <c r="W104" s="65"/>
      <c r="X104" s="65"/>
      <c r="Y104" s="65"/>
      <c r="Z104" s="65"/>
      <c r="AA104" s="65"/>
      <c r="AB104" s="65"/>
      <c r="AC104" s="65"/>
      <c r="AD104" s="65"/>
      <c r="AE104" s="65"/>
      <c r="AF104" s="65"/>
      <c r="AG104" s="65"/>
      <c r="AH104" s="65"/>
      <c r="AI104" s="65"/>
      <c r="AJ104" s="65"/>
      <c r="AK104" s="65"/>
      <c r="AL104" s="65"/>
      <c r="AM104" s="65"/>
      <c r="AN104" s="65"/>
      <c r="AO104" s="65"/>
      <c r="AP104" s="65"/>
      <c r="AQ104" s="65"/>
      <c r="AR104" s="65"/>
      <c r="AS104" s="65"/>
      <c r="AT104" s="125"/>
      <c r="AU104" s="65"/>
      <c r="AV104" s="65"/>
      <c r="AW104" s="65"/>
      <c r="AX104" s="65"/>
      <c r="AY104" s="65"/>
      <c r="AZ104" s="33"/>
      <c r="BA104" s="46"/>
      <c r="BB104" s="335"/>
      <c r="BC104" s="336"/>
      <c r="BD104" s="28"/>
      <c r="BG104" s="24"/>
      <c r="BH104" s="28"/>
    </row>
    <row r="105" spans="1:60" ht="14.15" customHeight="1">
      <c r="A105" s="22"/>
      <c r="B105" s="202">
        <v>35</v>
      </c>
      <c r="C105" s="346" t="s">
        <v>249</v>
      </c>
      <c r="D105" s="332"/>
      <c r="E105" s="65"/>
      <c r="F105" s="65"/>
      <c r="G105" s="65"/>
      <c r="H105" s="65"/>
      <c r="I105" s="65"/>
      <c r="J105" s="945"/>
      <c r="K105" s="945"/>
      <c r="L105" s="945"/>
      <c r="M105" s="945"/>
      <c r="N105" s="65"/>
      <c r="O105" s="65"/>
      <c r="P105" s="65"/>
      <c r="Q105" s="65"/>
      <c r="R105" s="65"/>
      <c r="S105" s="65"/>
      <c r="T105" s="65"/>
      <c r="U105" s="65"/>
      <c r="V105" s="65"/>
      <c r="W105" s="65"/>
      <c r="X105" s="65"/>
      <c r="Y105" s="65"/>
      <c r="Z105" s="65"/>
      <c r="AA105" s="65"/>
      <c r="AB105" s="65"/>
      <c r="AC105" s="65"/>
      <c r="AD105" s="65"/>
      <c r="AE105" s="65"/>
      <c r="AF105" s="65"/>
      <c r="AG105" s="65"/>
      <c r="AH105" s="65"/>
      <c r="AI105" s="65"/>
      <c r="AJ105" s="65"/>
      <c r="AK105" s="65"/>
      <c r="AL105" s="65"/>
      <c r="AM105" s="65"/>
      <c r="AN105" s="65"/>
      <c r="AO105" s="65"/>
      <c r="AP105" s="65"/>
      <c r="AQ105" s="65"/>
      <c r="AR105" s="65"/>
      <c r="AS105" s="65"/>
      <c r="AT105" s="125"/>
      <c r="AU105" s="65"/>
      <c r="AV105" s="65"/>
      <c r="AW105" s="65"/>
      <c r="AX105" s="65"/>
      <c r="AY105" s="65"/>
      <c r="AZ105" s="33"/>
      <c r="BA105" s="46"/>
      <c r="BB105" s="335"/>
      <c r="BC105" s="336"/>
      <c r="BD105" s="28"/>
      <c r="BG105" s="24"/>
      <c r="BH105" s="28"/>
    </row>
    <row r="106" spans="1:60" ht="5.15" customHeight="1">
      <c r="A106" s="22"/>
      <c r="B106" s="202"/>
      <c r="C106" s="296"/>
      <c r="D106" s="72"/>
      <c r="E106" s="72"/>
      <c r="F106" s="72"/>
      <c r="G106" s="72"/>
      <c r="H106" s="297"/>
      <c r="I106" s="278"/>
      <c r="J106" s="279"/>
      <c r="K106" s="278"/>
      <c r="L106" s="279"/>
      <c r="M106" s="298"/>
      <c r="N106" s="298"/>
      <c r="O106" s="263"/>
      <c r="P106" s="298"/>
      <c r="Q106" s="263"/>
      <c r="R106" s="298"/>
      <c r="S106" s="72"/>
      <c r="T106" s="72"/>
      <c r="U106" s="72"/>
      <c r="V106" s="72"/>
      <c r="W106" s="72"/>
      <c r="X106" s="297"/>
      <c r="Y106" s="278"/>
      <c r="Z106" s="279"/>
      <c r="AA106" s="278"/>
      <c r="AB106" s="279"/>
      <c r="AC106" s="298"/>
      <c r="AD106" s="298"/>
      <c r="AE106" s="263"/>
      <c r="AF106" s="298"/>
      <c r="AG106" s="263"/>
      <c r="AH106" s="298"/>
      <c r="AI106" s="280"/>
      <c r="AJ106" s="298"/>
      <c r="AK106" s="263"/>
      <c r="AL106" s="72"/>
      <c r="AM106" s="72"/>
      <c r="AN106" s="72"/>
      <c r="AO106" s="72"/>
      <c r="AP106" s="72"/>
      <c r="AQ106" s="72"/>
      <c r="AR106" s="72"/>
      <c r="AS106" s="72"/>
      <c r="AT106" s="72"/>
      <c r="AU106" s="72"/>
      <c r="AV106" s="300"/>
      <c r="AW106" s="72"/>
      <c r="AX106" s="72"/>
      <c r="AY106" s="265"/>
      <c r="AZ106" s="33"/>
      <c r="BA106" s="46"/>
      <c r="BB106" s="335"/>
      <c r="BC106" s="336"/>
      <c r="BD106" s="28"/>
    </row>
    <row r="107" spans="1:60" ht="13.5" customHeight="1">
      <c r="A107" s="22"/>
      <c r="B107" s="45"/>
      <c r="C107" s="266"/>
      <c r="D107" s="28" t="s">
        <v>250</v>
      </c>
      <c r="E107" s="28"/>
      <c r="F107" s="28"/>
      <c r="G107" s="28"/>
      <c r="H107" s="24"/>
      <c r="I107" s="24"/>
      <c r="J107" s="24"/>
      <c r="K107" s="24"/>
      <c r="L107" s="24"/>
      <c r="M107" s="127"/>
      <c r="N107" s="75"/>
      <c r="O107" s="84"/>
      <c r="P107" s="84"/>
      <c r="Q107" s="85"/>
      <c r="R107" s="75"/>
      <c r="S107" s="75"/>
      <c r="T107" s="75"/>
      <c r="U107" s="84"/>
      <c r="V107" s="85"/>
      <c r="W107" s="75"/>
      <c r="X107" s="65"/>
      <c r="Y107" s="28"/>
      <c r="Z107" s="28"/>
      <c r="AA107" s="28"/>
      <c r="AB107" s="28"/>
      <c r="AC107" s="28"/>
      <c r="AD107" s="28"/>
      <c r="AE107" s="28"/>
      <c r="AF107" s="28"/>
      <c r="AG107" s="28"/>
      <c r="AH107" s="28"/>
      <c r="AI107" s="28"/>
      <c r="AJ107" s="28"/>
      <c r="AK107" s="28"/>
      <c r="AL107" s="28"/>
      <c r="AM107" s="31"/>
      <c r="AN107" s="31"/>
      <c r="AO107" s="31"/>
      <c r="AP107" s="31"/>
      <c r="AQ107" s="31"/>
      <c r="AR107" s="31"/>
      <c r="AS107" s="31"/>
      <c r="AT107" s="31"/>
      <c r="AU107" s="31"/>
      <c r="AV107" s="31"/>
      <c r="AW107" s="31"/>
      <c r="AX107" s="65"/>
      <c r="AY107" s="267"/>
      <c r="AZ107" s="33"/>
      <c r="BA107" s="46"/>
      <c r="BB107" s="335"/>
      <c r="BC107" s="336"/>
      <c r="BD107" s="28"/>
      <c r="BE107" s="35"/>
      <c r="BF107" s="35"/>
      <c r="BG107" s="35"/>
    </row>
    <row r="108" spans="1:60" ht="13.5" customHeight="1">
      <c r="A108" s="22"/>
      <c r="B108" s="45"/>
      <c r="C108" s="266"/>
      <c r="D108" s="28"/>
      <c r="E108" s="28"/>
      <c r="F108" s="28"/>
      <c r="G108" s="28"/>
      <c r="H108" s="348" t="s">
        <v>252</v>
      </c>
      <c r="I108" s="131"/>
      <c r="J108" s="131"/>
      <c r="K108" s="131"/>
      <c r="L108" s="132"/>
      <c r="M108" s="132"/>
      <c r="N108" s="106"/>
      <c r="O108" s="133"/>
      <c r="P108" s="134"/>
      <c r="Q108" s="133" t="s">
        <v>251</v>
      </c>
      <c r="R108" s="134"/>
      <c r="S108" s="107"/>
      <c r="T108" s="107"/>
      <c r="U108" s="107"/>
      <c r="V108" s="107"/>
      <c r="W108" s="107"/>
      <c r="X108" s="107"/>
      <c r="Y108" s="107"/>
      <c r="Z108" s="107"/>
      <c r="AA108" s="107"/>
      <c r="AB108" s="107"/>
      <c r="AC108" s="107"/>
      <c r="AD108" s="107"/>
      <c r="AE108" s="107"/>
      <c r="AF108" s="107"/>
      <c r="AG108" s="107"/>
      <c r="AH108" s="107"/>
      <c r="AI108" s="107"/>
      <c r="AJ108" s="107"/>
      <c r="AK108" s="107"/>
      <c r="AL108" s="133" t="s">
        <v>44</v>
      </c>
      <c r="AM108" s="134"/>
      <c r="AN108" s="107"/>
      <c r="AO108" s="31"/>
      <c r="AP108" s="31"/>
      <c r="AQ108" s="31"/>
      <c r="AR108" s="31"/>
      <c r="AS108" s="31"/>
      <c r="AT108" s="31"/>
      <c r="AU108" s="31"/>
      <c r="AV108" s="31"/>
      <c r="AW108" s="31"/>
      <c r="AX108" s="65"/>
      <c r="AY108" s="267"/>
      <c r="AZ108" s="33"/>
      <c r="BA108" s="46"/>
      <c r="BB108" s="335"/>
      <c r="BC108" s="336"/>
      <c r="BD108" s="28"/>
      <c r="BE108" s="35"/>
      <c r="BF108" s="35"/>
      <c r="BG108" s="35"/>
    </row>
    <row r="109" spans="1:60" ht="13.5" customHeight="1">
      <c r="A109" s="22"/>
      <c r="B109" s="45"/>
      <c r="C109" s="266"/>
      <c r="D109" s="28"/>
      <c r="E109" s="28"/>
      <c r="F109" s="28"/>
      <c r="G109" s="28"/>
      <c r="H109" s="485" t="s">
        <v>255</v>
      </c>
      <c r="I109" s="137"/>
      <c r="J109" s="137"/>
      <c r="K109" s="137"/>
      <c r="L109" s="137"/>
      <c r="M109" s="137"/>
      <c r="N109" s="137"/>
      <c r="O109" s="350"/>
      <c r="P109" s="139"/>
      <c r="Q109" s="486" t="s">
        <v>54</v>
      </c>
      <c r="R109" s="139"/>
      <c r="S109" s="108"/>
      <c r="T109" s="108"/>
      <c r="U109" s="108"/>
      <c r="V109" s="156"/>
      <c r="W109" s="110"/>
      <c r="X109" s="110"/>
      <c r="Y109" s="156"/>
      <c r="Z109" s="156"/>
      <c r="AA109" s="110"/>
      <c r="AB109" s="110"/>
      <c r="AC109" s="37"/>
      <c r="AD109" s="37"/>
      <c r="AE109" s="37"/>
      <c r="AF109" s="37"/>
      <c r="AG109" s="37"/>
      <c r="AH109" s="37"/>
      <c r="AI109" s="37"/>
      <c r="AJ109" s="37"/>
      <c r="AK109" s="97"/>
      <c r="AL109" s="140"/>
      <c r="AM109" s="141"/>
      <c r="AN109" s="142"/>
      <c r="AO109" s="31"/>
      <c r="AP109" s="31"/>
      <c r="AQ109" s="31"/>
      <c r="AR109" s="31"/>
      <c r="AS109" s="31"/>
      <c r="AT109" s="31"/>
      <c r="AU109" s="31"/>
      <c r="AV109" s="31"/>
      <c r="AW109" s="31"/>
      <c r="AX109" s="65"/>
      <c r="AY109" s="267"/>
      <c r="AZ109" s="33"/>
      <c r="BA109" s="46"/>
      <c r="BB109" s="335"/>
      <c r="BC109" s="336"/>
      <c r="BD109" s="28"/>
      <c r="BE109" s="35"/>
      <c r="BF109" s="35"/>
      <c r="BG109" s="35"/>
    </row>
    <row r="110" spans="1:60" ht="13.5" customHeight="1">
      <c r="A110" s="22"/>
      <c r="B110" s="45"/>
      <c r="C110" s="266"/>
      <c r="D110" s="28"/>
      <c r="E110" s="28"/>
      <c r="F110" s="28"/>
      <c r="G110" s="28"/>
      <c r="H110" s="485" t="s">
        <v>256</v>
      </c>
      <c r="I110" s="137"/>
      <c r="J110" s="137"/>
      <c r="K110" s="137"/>
      <c r="L110" s="137"/>
      <c r="M110" s="137"/>
      <c r="N110" s="137"/>
      <c r="O110" s="350"/>
      <c r="P110" s="139"/>
      <c r="Q110" s="486" t="s">
        <v>54</v>
      </c>
      <c r="R110" s="139"/>
      <c r="S110" s="108"/>
      <c r="T110" s="108"/>
      <c r="U110" s="108"/>
      <c r="V110" s="156"/>
      <c r="W110" s="110"/>
      <c r="X110" s="110"/>
      <c r="Y110" s="156"/>
      <c r="Z110" s="156"/>
      <c r="AA110" s="110"/>
      <c r="AB110" s="110"/>
      <c r="AC110" s="37"/>
      <c r="AD110" s="37"/>
      <c r="AE110" s="37"/>
      <c r="AF110" s="37"/>
      <c r="AG110" s="37"/>
      <c r="AH110" s="37"/>
      <c r="AI110" s="37"/>
      <c r="AJ110" s="37"/>
      <c r="AK110" s="97"/>
      <c r="AL110" s="140"/>
      <c r="AM110" s="141"/>
      <c r="AN110" s="142"/>
      <c r="AO110" s="31"/>
      <c r="AP110" s="31"/>
      <c r="AQ110" s="31"/>
      <c r="AR110" s="31"/>
      <c r="AS110" s="31"/>
      <c r="AT110" s="31"/>
      <c r="AU110" s="31"/>
      <c r="AV110" s="31"/>
      <c r="AW110" s="31"/>
      <c r="AX110" s="65"/>
      <c r="AY110" s="267"/>
      <c r="AZ110" s="33"/>
      <c r="BA110" s="46"/>
      <c r="BB110" s="335"/>
      <c r="BC110" s="336"/>
      <c r="BD110" s="28"/>
      <c r="BE110" s="35"/>
      <c r="BF110" s="35"/>
      <c r="BG110" s="35"/>
    </row>
    <row r="111" spans="1:60" ht="13.5" customHeight="1">
      <c r="A111" s="22"/>
      <c r="B111" s="45"/>
      <c r="C111" s="266"/>
      <c r="D111" s="28"/>
      <c r="E111" s="28"/>
      <c r="F111" s="28"/>
      <c r="G111" s="28"/>
      <c r="H111" s="485" t="s">
        <v>257</v>
      </c>
      <c r="I111" s="137"/>
      <c r="J111" s="137"/>
      <c r="K111" s="137"/>
      <c r="L111" s="137"/>
      <c r="M111" s="137"/>
      <c r="N111" s="137"/>
      <c r="O111" s="350"/>
      <c r="P111" s="139"/>
      <c r="Q111" s="486" t="s">
        <v>54</v>
      </c>
      <c r="R111" s="139"/>
      <c r="S111" s="108"/>
      <c r="T111" s="108"/>
      <c r="U111" s="108"/>
      <c r="V111" s="156"/>
      <c r="W111" s="110"/>
      <c r="X111" s="110"/>
      <c r="Y111" s="156"/>
      <c r="Z111" s="156"/>
      <c r="AA111" s="110"/>
      <c r="AB111" s="110"/>
      <c r="AC111" s="37"/>
      <c r="AD111" s="37"/>
      <c r="AE111" s="37"/>
      <c r="AF111" s="37"/>
      <c r="AG111" s="37"/>
      <c r="AH111" s="37"/>
      <c r="AI111" s="37"/>
      <c r="AJ111" s="37"/>
      <c r="AK111" s="97"/>
      <c r="AL111" s="140"/>
      <c r="AM111" s="141"/>
      <c r="AN111" s="142"/>
      <c r="AO111" s="31"/>
      <c r="AP111" s="31"/>
      <c r="AQ111" s="31"/>
      <c r="AR111" s="31"/>
      <c r="AS111" s="31"/>
      <c r="AT111" s="31"/>
      <c r="AU111" s="31"/>
      <c r="AV111" s="31"/>
      <c r="AW111" s="31"/>
      <c r="AX111" s="65"/>
      <c r="AY111" s="267"/>
      <c r="AZ111" s="33"/>
      <c r="BA111" s="46"/>
      <c r="BB111" s="335"/>
      <c r="BC111" s="336"/>
      <c r="BD111" s="28"/>
      <c r="BE111" s="35"/>
      <c r="BF111" s="35"/>
      <c r="BG111" s="35"/>
    </row>
    <row r="112" spans="1:60" ht="5.15" customHeight="1">
      <c r="A112" s="22"/>
      <c r="B112" s="202"/>
      <c r="C112" s="315"/>
      <c r="D112" s="73"/>
      <c r="E112" s="73"/>
      <c r="F112" s="73"/>
      <c r="G112" s="73"/>
      <c r="H112" s="316"/>
      <c r="I112" s="275"/>
      <c r="J112" s="273"/>
      <c r="K112" s="275"/>
      <c r="L112" s="273"/>
      <c r="M112" s="317"/>
      <c r="N112" s="317"/>
      <c r="O112" s="270"/>
      <c r="P112" s="317"/>
      <c r="Q112" s="270"/>
      <c r="R112" s="317"/>
      <c r="S112" s="73"/>
      <c r="T112" s="73"/>
      <c r="U112" s="73"/>
      <c r="V112" s="73"/>
      <c r="W112" s="73"/>
      <c r="X112" s="316"/>
      <c r="Y112" s="275"/>
      <c r="Z112" s="273"/>
      <c r="AA112" s="275"/>
      <c r="AB112" s="273"/>
      <c r="AC112" s="317"/>
      <c r="AD112" s="317"/>
      <c r="AE112" s="270"/>
      <c r="AF112" s="317"/>
      <c r="AG112" s="270"/>
      <c r="AH112" s="317"/>
      <c r="AI112" s="276"/>
      <c r="AJ112" s="317"/>
      <c r="AK112" s="270"/>
      <c r="AL112" s="73"/>
      <c r="AM112" s="73"/>
      <c r="AN112" s="73"/>
      <c r="AO112" s="73"/>
      <c r="AP112" s="73"/>
      <c r="AQ112" s="73"/>
      <c r="AR112" s="73"/>
      <c r="AS112" s="73"/>
      <c r="AT112" s="73"/>
      <c r="AU112" s="73"/>
      <c r="AV112" s="318"/>
      <c r="AW112" s="73"/>
      <c r="AX112" s="73"/>
      <c r="AY112" s="277"/>
      <c r="AZ112" s="33"/>
      <c r="BA112" s="46"/>
      <c r="BB112" s="335"/>
      <c r="BC112" s="336"/>
      <c r="BD112" s="28"/>
    </row>
    <row r="113" spans="1:60" ht="14.15" customHeight="1">
      <c r="A113" s="22"/>
      <c r="B113" s="202"/>
      <c r="C113" s="331"/>
      <c r="D113" s="332"/>
      <c r="E113" s="65"/>
      <c r="F113" s="65"/>
      <c r="G113" s="65"/>
      <c r="H113" s="65"/>
      <c r="I113" s="65"/>
      <c r="J113" s="354"/>
      <c r="K113" s="354"/>
      <c r="L113" s="354"/>
      <c r="M113" s="354"/>
      <c r="N113" s="65"/>
      <c r="O113" s="65"/>
      <c r="P113" s="65"/>
      <c r="Q113" s="65"/>
      <c r="R113" s="65"/>
      <c r="S113" s="65"/>
      <c r="T113" s="65"/>
      <c r="U113" s="65"/>
      <c r="V113" s="65"/>
      <c r="W113" s="65"/>
      <c r="X113" s="65"/>
      <c r="Y113" s="65"/>
      <c r="Z113" s="65"/>
      <c r="AA113" s="65"/>
      <c r="AB113" s="65"/>
      <c r="AC113" s="65"/>
      <c r="AD113" s="65"/>
      <c r="AE113" s="65"/>
      <c r="AF113" s="65"/>
      <c r="AG113" s="65"/>
      <c r="AH113" s="65"/>
      <c r="AI113" s="65"/>
      <c r="AJ113" s="65"/>
      <c r="AK113" s="65"/>
      <c r="AL113" s="65"/>
      <c r="AM113" s="65"/>
      <c r="AN113" s="65"/>
      <c r="AO113" s="65"/>
      <c r="AP113" s="65"/>
      <c r="AQ113" s="65"/>
      <c r="AR113" s="65"/>
      <c r="AS113" s="65"/>
      <c r="AT113" s="125"/>
      <c r="AU113" s="65"/>
      <c r="AV113" s="65"/>
      <c r="AW113" s="65"/>
      <c r="AX113" s="65"/>
      <c r="AY113" s="65"/>
      <c r="AZ113" s="33"/>
      <c r="BA113" s="46"/>
      <c r="BB113" s="335"/>
      <c r="BC113" s="336"/>
      <c r="BD113" s="28"/>
      <c r="BG113" s="24"/>
      <c r="BH113" s="28"/>
    </row>
    <row r="114" spans="1:60" ht="13.5" customHeight="1">
      <c r="A114" s="22"/>
      <c r="B114" s="202">
        <v>36</v>
      </c>
      <c r="C114" s="331"/>
      <c r="D114" s="332"/>
      <c r="E114" s="65"/>
      <c r="F114" s="65"/>
      <c r="G114" s="65"/>
      <c r="H114" s="65"/>
      <c r="I114" s="65"/>
      <c r="J114" s="945"/>
      <c r="K114" s="945"/>
      <c r="L114" s="945"/>
      <c r="M114" s="945"/>
      <c r="N114" s="63"/>
      <c r="O114" s="65"/>
      <c r="P114" s="65"/>
      <c r="Q114" s="65"/>
      <c r="R114" s="28"/>
      <c r="S114" s="28"/>
      <c r="T114" s="31"/>
      <c r="U114" s="31"/>
      <c r="V114" s="31"/>
      <c r="W114" s="31"/>
      <c r="X114" s="31"/>
      <c r="Y114" s="44"/>
      <c r="Z114" s="31"/>
      <c r="AA114" s="28"/>
      <c r="AB114" s="44"/>
      <c r="AC114" s="31"/>
      <c r="AD114" s="28"/>
      <c r="AE114" s="44"/>
      <c r="AF114" s="28"/>
      <c r="AG114" s="116"/>
      <c r="AH114" s="41"/>
      <c r="AI114" s="116"/>
      <c r="AJ114" s="116"/>
      <c r="AK114" s="116"/>
      <c r="AL114" s="116"/>
      <c r="AM114" s="116"/>
      <c r="AN114" s="116"/>
      <c r="AO114" s="116"/>
      <c r="AP114" s="116"/>
      <c r="AQ114" s="116"/>
      <c r="AR114" s="116"/>
      <c r="AS114" s="116"/>
      <c r="AT114" s="116"/>
      <c r="AU114" s="116"/>
      <c r="AV114" s="116"/>
      <c r="AW114" s="116"/>
      <c r="AX114" s="116"/>
      <c r="AY114" s="116"/>
      <c r="AZ114" s="33"/>
      <c r="BA114" s="46"/>
      <c r="BB114" s="335"/>
      <c r="BC114" s="336"/>
      <c r="BD114" s="28"/>
      <c r="BG114" s="24"/>
      <c r="BH114" s="28"/>
    </row>
    <row r="115" spans="1:60" ht="13.5" customHeight="1">
      <c r="A115" s="22"/>
      <c r="B115" s="202">
        <v>37</v>
      </c>
      <c r="C115" s="331"/>
      <c r="D115" s="332"/>
      <c r="E115" s="65"/>
      <c r="F115" s="65"/>
      <c r="G115" s="65"/>
      <c r="H115" s="65"/>
      <c r="I115" s="65"/>
      <c r="J115" s="945"/>
      <c r="K115" s="945"/>
      <c r="L115" s="945"/>
      <c r="M115" s="945"/>
      <c r="N115" s="193"/>
      <c r="O115" s="195"/>
      <c r="P115" s="193"/>
      <c r="Q115" s="194"/>
      <c r="R115" s="194"/>
      <c r="S115" s="194"/>
      <c r="T115" s="196"/>
      <c r="U115" s="196"/>
      <c r="V115" s="196"/>
      <c r="W115" s="196"/>
      <c r="X115" s="196"/>
      <c r="Y115" s="195"/>
      <c r="Z115" s="196"/>
      <c r="AA115" s="194"/>
      <c r="AB115" s="195"/>
      <c r="AC115" s="196"/>
      <c r="AD115" s="194"/>
      <c r="AE115" s="195"/>
      <c r="AF115" s="194"/>
      <c r="AG115" s="194"/>
      <c r="AH115" s="195"/>
      <c r="AI115" s="194"/>
      <c r="AJ115" s="194"/>
      <c r="AK115" s="197"/>
      <c r="AL115" s="194"/>
      <c r="AM115" s="194"/>
      <c r="AN115" s="194"/>
      <c r="AO115" s="194"/>
      <c r="AP115" s="194"/>
      <c r="AQ115" s="194"/>
      <c r="AR115" s="194"/>
      <c r="AS115" s="194"/>
      <c r="AT115" s="194"/>
      <c r="AU115" s="194"/>
      <c r="AV115" s="194"/>
      <c r="AW115" s="194"/>
      <c r="AX115" s="194"/>
      <c r="AY115" s="194"/>
      <c r="AZ115" s="33"/>
      <c r="BA115" s="46"/>
      <c r="BB115" s="335"/>
      <c r="BC115" s="336"/>
      <c r="BD115" s="28"/>
      <c r="BG115" s="24"/>
      <c r="BH115" s="28"/>
    </row>
    <row r="116" spans="1:60">
      <c r="A116" s="22"/>
      <c r="B116" s="32"/>
      <c r="C116" s="28"/>
      <c r="D116" s="28"/>
      <c r="E116" s="28"/>
      <c r="F116" s="28"/>
      <c r="G116" s="28"/>
      <c r="H116" s="28"/>
      <c r="I116" s="28"/>
      <c r="J116" s="28"/>
      <c r="K116" s="28"/>
      <c r="L116" s="28"/>
      <c r="M116" s="28"/>
      <c r="N116" s="28"/>
      <c r="O116" s="28"/>
      <c r="P116" s="28"/>
      <c r="Q116" s="28"/>
      <c r="R116" s="28"/>
      <c r="S116" s="81"/>
      <c r="T116" s="81"/>
      <c r="U116" s="81"/>
      <c r="V116" s="81"/>
      <c r="W116" s="28"/>
      <c r="X116" s="28"/>
      <c r="Y116" s="81"/>
      <c r="Z116" s="81"/>
      <c r="AA116" s="28"/>
      <c r="AB116" s="28"/>
      <c r="AC116" s="28"/>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31"/>
      <c r="AZ116" s="33"/>
      <c r="BA116" s="46"/>
      <c r="BB116" s="335"/>
      <c r="BC116" s="336"/>
    </row>
    <row r="117" spans="1:60">
      <c r="A117" s="155"/>
      <c r="B117" s="95"/>
      <c r="C117" s="110"/>
      <c r="D117" s="110"/>
      <c r="E117" s="110"/>
      <c r="F117" s="110"/>
      <c r="G117" s="110"/>
      <c r="H117" s="110"/>
      <c r="I117" s="110"/>
      <c r="J117" s="110"/>
      <c r="K117" s="110"/>
      <c r="L117" s="110"/>
      <c r="M117" s="110"/>
      <c r="N117" s="110"/>
      <c r="O117" s="110"/>
      <c r="P117" s="110"/>
      <c r="Q117" s="110"/>
      <c r="R117" s="110"/>
      <c r="S117" s="156"/>
      <c r="T117" s="156"/>
      <c r="U117" s="156"/>
      <c r="V117" s="156"/>
      <c r="W117" s="110"/>
      <c r="X117" s="110"/>
      <c r="Y117" s="156"/>
      <c r="Z117" s="156"/>
      <c r="AA117" s="110"/>
      <c r="AB117" s="110"/>
      <c r="AC117" s="110"/>
      <c r="AD117" s="156"/>
      <c r="AE117" s="156"/>
      <c r="AF117" s="156"/>
      <c r="AG117" s="156"/>
      <c r="AH117" s="156"/>
      <c r="AI117" s="156"/>
      <c r="AJ117" s="156"/>
      <c r="AK117" s="156"/>
      <c r="AL117" s="156"/>
      <c r="AM117" s="156"/>
      <c r="AN117" s="156"/>
      <c r="AO117" s="156"/>
      <c r="AP117" s="156"/>
      <c r="AQ117" s="156"/>
      <c r="AR117" s="156"/>
      <c r="AS117" s="156"/>
      <c r="AT117" s="156"/>
      <c r="AU117" s="156"/>
      <c r="AV117" s="156"/>
      <c r="AW117" s="156"/>
      <c r="AX117" s="156"/>
      <c r="AY117" s="95"/>
      <c r="AZ117" s="95"/>
      <c r="BA117" s="157"/>
      <c r="BB117" s="355"/>
      <c r="BC117" s="356"/>
    </row>
  </sheetData>
  <mergeCells count="127">
    <mergeCell ref="BA70:BD70"/>
    <mergeCell ref="BE70:BH70"/>
    <mergeCell ref="BE82:BH82"/>
    <mergeCell ref="BA75:BD75"/>
    <mergeCell ref="BA65:BD65"/>
    <mergeCell ref="BE65:BH65"/>
    <mergeCell ref="BE75:BH75"/>
    <mergeCell ref="X69:AA69"/>
    <mergeCell ref="AB69:AE69"/>
    <mergeCell ref="AF69:AJ69"/>
    <mergeCell ref="AK69:AN69"/>
    <mergeCell ref="AO69:AR69"/>
    <mergeCell ref="BA69:BD69"/>
    <mergeCell ref="BE69:BH69"/>
    <mergeCell ref="X74:AA74"/>
    <mergeCell ref="AB74:AE74"/>
    <mergeCell ref="AF74:AJ74"/>
    <mergeCell ref="AK74:AN74"/>
    <mergeCell ref="AO74:AR74"/>
    <mergeCell ref="AS74:AV74"/>
    <mergeCell ref="AW74:AZ74"/>
    <mergeCell ref="BA74:BD74"/>
    <mergeCell ref="BE74:BH74"/>
    <mergeCell ref="H42:L42"/>
    <mergeCell ref="H43:L43"/>
    <mergeCell ref="J114:M114"/>
    <mergeCell ref="X70:AA70"/>
    <mergeCell ref="AB70:AE70"/>
    <mergeCell ref="AF70:AJ70"/>
    <mergeCell ref="AK70:AN70"/>
    <mergeCell ref="AO70:AR70"/>
    <mergeCell ref="AS70:AV70"/>
    <mergeCell ref="J115:M115"/>
    <mergeCell ref="AE51:AI51"/>
    <mergeCell ref="AE52:AI52"/>
    <mergeCell ref="AW75:AZ75"/>
    <mergeCell ref="J81:M81"/>
    <mergeCell ref="J88:M88"/>
    <mergeCell ref="J89:M89"/>
    <mergeCell ref="J91:M91"/>
    <mergeCell ref="J97:M97"/>
    <mergeCell ref="J105:M105"/>
    <mergeCell ref="AF64:AJ64"/>
    <mergeCell ref="AK64:AN64"/>
    <mergeCell ref="AO64:AR64"/>
    <mergeCell ref="AS64:AV64"/>
    <mergeCell ref="X75:AA75"/>
    <mergeCell ref="AB75:AE75"/>
    <mergeCell ref="AF75:AJ75"/>
    <mergeCell ref="AK75:AN75"/>
    <mergeCell ref="AO75:AR75"/>
    <mergeCell ref="AS75:AV75"/>
    <mergeCell ref="AS69:AV69"/>
    <mergeCell ref="AW69:AZ69"/>
    <mergeCell ref="J77:M77"/>
    <mergeCell ref="AW70:AZ70"/>
    <mergeCell ref="BU64:BX64"/>
    <mergeCell ref="BY64:CB64"/>
    <mergeCell ref="CC64:CE64"/>
    <mergeCell ref="X65:AA65"/>
    <mergeCell ref="AB65:AE65"/>
    <mergeCell ref="AF65:AJ65"/>
    <mergeCell ref="AK65:AN65"/>
    <mergeCell ref="AO65:AR65"/>
    <mergeCell ref="AS65:AV65"/>
    <mergeCell ref="AW65:AZ65"/>
    <mergeCell ref="AW64:AZ64"/>
    <mergeCell ref="BA64:BD64"/>
    <mergeCell ref="BE64:BH64"/>
    <mergeCell ref="BI64:BL64"/>
    <mergeCell ref="BM64:BP64"/>
    <mergeCell ref="BQ64:BT64"/>
    <mergeCell ref="X64:AA64"/>
    <mergeCell ref="AB64:AE64"/>
    <mergeCell ref="CC65:CE65"/>
    <mergeCell ref="BI65:BL65"/>
    <mergeCell ref="BM65:BP65"/>
    <mergeCell ref="BQ65:BT65"/>
    <mergeCell ref="BU65:BX65"/>
    <mergeCell ref="BY65:CB65"/>
    <mergeCell ref="A1:H1"/>
    <mergeCell ref="I1:L1"/>
    <mergeCell ref="M1:W1"/>
    <mergeCell ref="X1:Z2"/>
    <mergeCell ref="AA1:AJ2"/>
    <mergeCell ref="A2:H2"/>
    <mergeCell ref="I2:L2"/>
    <mergeCell ref="M2:W2"/>
    <mergeCell ref="AK2:AM2"/>
    <mergeCell ref="AK1:AM1"/>
    <mergeCell ref="AV2:AY2"/>
    <mergeCell ref="AZ2:BC3"/>
    <mergeCell ref="M3:W3"/>
    <mergeCell ref="X3:Z3"/>
    <mergeCell ref="AA3:AR3"/>
    <mergeCell ref="AS3:AU3"/>
    <mergeCell ref="AV3:AY3"/>
    <mergeCell ref="AN2:AR2"/>
    <mergeCell ref="AN1:AR1"/>
    <mergeCell ref="AS1:AU1"/>
    <mergeCell ref="AV1:AY1"/>
    <mergeCell ref="AZ1:BC1"/>
    <mergeCell ref="AS2:AU2"/>
    <mergeCell ref="BK81:BO81"/>
    <mergeCell ref="I3:L3"/>
    <mergeCell ref="BB5:BC5"/>
    <mergeCell ref="R51:U51"/>
    <mergeCell ref="Z51:AD51"/>
    <mergeCell ref="AN51:AQ51"/>
    <mergeCell ref="AR51:AU51"/>
    <mergeCell ref="AV51:AY51"/>
    <mergeCell ref="AZ51:BC51"/>
    <mergeCell ref="BD51:BG51"/>
    <mergeCell ref="A5:BA5"/>
    <mergeCell ref="A3:H3"/>
    <mergeCell ref="BL52:BN52"/>
    <mergeCell ref="BH51:BK51"/>
    <mergeCell ref="BL51:BN51"/>
    <mergeCell ref="R52:U52"/>
    <mergeCell ref="Z52:AD52"/>
    <mergeCell ref="AN52:AQ52"/>
    <mergeCell ref="AR52:AU52"/>
    <mergeCell ref="AV52:AY52"/>
    <mergeCell ref="AZ52:BC52"/>
    <mergeCell ref="BD52:BG52"/>
    <mergeCell ref="BH52:BK52"/>
    <mergeCell ref="BD76:BF76"/>
  </mergeCells>
  <phoneticPr fontId="57"/>
  <conditionalFormatting sqref="AK69:AV70">
    <cfRule type="cellIs" dxfId="12" priority="4" operator="lessThan">
      <formula>0</formula>
    </cfRule>
  </conditionalFormatting>
  <conditionalFormatting sqref="AK74:AV75">
    <cfRule type="cellIs" dxfId="11" priority="2" operator="lessThan">
      <formula>0</formula>
    </cfRule>
  </conditionalFormatting>
  <conditionalFormatting sqref="BA64:BD65">
    <cfRule type="cellIs" dxfId="10" priority="10" operator="lessThan">
      <formula>0.3</formula>
    </cfRule>
  </conditionalFormatting>
  <conditionalFormatting sqref="BE64:BH65">
    <cfRule type="cellIs" dxfId="9" priority="14" operator="lessThan">
      <formula>0</formula>
    </cfRule>
  </conditionalFormatting>
  <conditionalFormatting sqref="BE69:BH70">
    <cfRule type="cellIs" dxfId="8" priority="3" operator="lessThan">
      <formula>0.3</formula>
    </cfRule>
  </conditionalFormatting>
  <conditionalFormatting sqref="BE74:BH75">
    <cfRule type="cellIs" dxfId="7" priority="1" operator="lessThan">
      <formula>0.3</formula>
    </cfRule>
  </conditionalFormatting>
  <conditionalFormatting sqref="BQ64:BT65">
    <cfRule type="cellIs" dxfId="6" priority="12" operator="lessThan">
      <formula>0.3</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8F4CE-E231-4DB9-9A50-8A11224C626C}">
  <dimension ref="A1:CI113"/>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40" t="s">
        <v>4</v>
      </c>
      <c r="B1" s="740"/>
      <c r="C1" s="740"/>
      <c r="D1" s="740"/>
      <c r="E1" s="740"/>
      <c r="F1" s="740"/>
      <c r="G1" s="740"/>
      <c r="H1" s="740"/>
      <c r="I1" s="727" t="s">
        <v>5</v>
      </c>
      <c r="J1" s="727"/>
      <c r="K1" s="727"/>
      <c r="L1" s="727"/>
      <c r="M1" s="738" t="str">
        <f>変更来歴!M1</f>
        <v>ヒロセ電機株式会社</v>
      </c>
      <c r="N1" s="738"/>
      <c r="O1" s="738"/>
      <c r="P1" s="738"/>
      <c r="Q1" s="738"/>
      <c r="R1" s="738"/>
      <c r="S1" s="738"/>
      <c r="T1" s="738"/>
      <c r="U1" s="738"/>
      <c r="V1" s="738"/>
      <c r="W1" s="738"/>
      <c r="X1" s="727" t="s">
        <v>7</v>
      </c>
      <c r="Y1" s="727"/>
      <c r="Z1" s="727"/>
      <c r="AA1" s="742" t="str">
        <f>変更来歴!AA1</f>
        <v>化学物質データ申請</v>
      </c>
      <c r="AB1" s="742"/>
      <c r="AC1" s="742"/>
      <c r="AD1" s="742"/>
      <c r="AE1" s="742"/>
      <c r="AF1" s="742"/>
      <c r="AG1" s="742"/>
      <c r="AH1" s="742"/>
      <c r="AI1" s="742"/>
      <c r="AJ1" s="742"/>
      <c r="AK1" s="716" t="s">
        <v>8</v>
      </c>
      <c r="AL1" s="716"/>
      <c r="AM1" s="716"/>
      <c r="AN1" s="718" t="str">
        <f>変更来歴!AP7</f>
        <v>古竹</v>
      </c>
      <c r="AO1" s="718"/>
      <c r="AP1" s="718"/>
      <c r="AQ1" s="718"/>
      <c r="AR1" s="718"/>
      <c r="AS1" s="716" t="s">
        <v>9</v>
      </c>
      <c r="AT1" s="716"/>
      <c r="AU1" s="716"/>
      <c r="AV1" s="719">
        <f>変更来歴!AL7</f>
        <v>46125</v>
      </c>
      <c r="AW1" s="717"/>
      <c r="AX1" s="717"/>
      <c r="AY1" s="717"/>
      <c r="AZ1" s="723" t="s">
        <v>10</v>
      </c>
      <c r="BA1" s="724"/>
      <c r="BB1" s="724"/>
      <c r="BC1" s="725"/>
    </row>
    <row r="2" spans="1:59">
      <c r="A2" s="726" t="s">
        <v>16</v>
      </c>
      <c r="B2" s="726"/>
      <c r="C2" s="726"/>
      <c r="D2" s="726"/>
      <c r="E2" s="726"/>
      <c r="F2" s="726"/>
      <c r="G2" s="726"/>
      <c r="H2" s="726"/>
      <c r="I2" s="727" t="s">
        <v>11</v>
      </c>
      <c r="J2" s="727"/>
      <c r="K2" s="727"/>
      <c r="L2" s="727"/>
      <c r="M2" s="762" t="str">
        <f>変更来歴!M2</f>
        <v>　</v>
      </c>
      <c r="N2" s="762"/>
      <c r="O2" s="762"/>
      <c r="P2" s="762"/>
      <c r="Q2" s="762"/>
      <c r="R2" s="762"/>
      <c r="S2" s="762"/>
      <c r="T2" s="762"/>
      <c r="U2" s="762"/>
      <c r="V2" s="762"/>
      <c r="W2" s="762"/>
      <c r="X2" s="727"/>
      <c r="Y2" s="727"/>
      <c r="Z2" s="727"/>
      <c r="AA2" s="742"/>
      <c r="AB2" s="742"/>
      <c r="AC2" s="742"/>
      <c r="AD2" s="742"/>
      <c r="AE2" s="742"/>
      <c r="AF2" s="742"/>
      <c r="AG2" s="742"/>
      <c r="AH2" s="742"/>
      <c r="AI2" s="742"/>
      <c r="AJ2" s="742"/>
      <c r="AK2" s="716" t="s">
        <v>12</v>
      </c>
      <c r="AL2" s="716"/>
      <c r="AM2" s="716"/>
      <c r="AN2" s="718" t="str">
        <f ca="1">INDIRECT("変更来歴!AP" &amp; COUNTA(変更来歴!AP7:'変更来歴'!AP39) + 6)</f>
        <v>古竹</v>
      </c>
      <c r="AO2" s="718"/>
      <c r="AP2" s="718"/>
      <c r="AQ2" s="718"/>
      <c r="AR2" s="718"/>
      <c r="AS2" s="716" t="s">
        <v>13</v>
      </c>
      <c r="AT2" s="716"/>
      <c r="AU2" s="716"/>
      <c r="AV2" s="719">
        <f ca="1">INDIRECT("変更来歴!AL" &amp; COUNTA(変更来歴!AL7:'変更来歴'!AL39) + 6)</f>
        <v>46162</v>
      </c>
      <c r="AW2" s="717"/>
      <c r="AX2" s="717"/>
      <c r="AY2" s="717"/>
      <c r="AZ2" s="731" t="str">
        <f>変更来歴!AX2</f>
        <v>IMWF-53</v>
      </c>
      <c r="BA2" s="732"/>
      <c r="BB2" s="732"/>
      <c r="BC2" s="733"/>
    </row>
    <row r="3" spans="1:59" ht="12" customHeight="1">
      <c r="A3" s="737" t="str">
        <f>変更来歴!A3</f>
        <v>画面設計書</v>
      </c>
      <c r="B3" s="737"/>
      <c r="C3" s="737"/>
      <c r="D3" s="737"/>
      <c r="E3" s="737"/>
      <c r="F3" s="737"/>
      <c r="G3" s="737"/>
      <c r="H3" s="737"/>
      <c r="I3" s="727" t="s">
        <v>14</v>
      </c>
      <c r="J3" s="727"/>
      <c r="K3" s="727"/>
      <c r="L3" s="727"/>
      <c r="M3" s="738" t="str">
        <f ca="1">RIGHT(CELL("filename",A1),LEN(CELL("filename",A1))-FIND("]",CELL("filename",A1)))</f>
        <v>外貨(コリア原計)</v>
      </c>
      <c r="N3" s="738"/>
      <c r="O3" s="738"/>
      <c r="P3" s="738"/>
      <c r="Q3" s="738"/>
      <c r="R3" s="738"/>
      <c r="S3" s="738"/>
      <c r="T3" s="738"/>
      <c r="U3" s="738"/>
      <c r="V3" s="738"/>
      <c r="W3" s="738"/>
      <c r="X3" s="727" t="s">
        <v>27</v>
      </c>
      <c r="Y3" s="727"/>
      <c r="Z3" s="727"/>
      <c r="AA3" s="739" t="str">
        <f ca="1">MID(CELL("filename"),FIND("]",CELL("filename"))+1,LEN(CELL("filename"))) &amp; "画面"</f>
        <v>表紙画面</v>
      </c>
      <c r="AB3" s="739"/>
      <c r="AC3" s="739"/>
      <c r="AD3" s="739"/>
      <c r="AE3" s="739"/>
      <c r="AF3" s="739"/>
      <c r="AG3" s="739"/>
      <c r="AH3" s="739"/>
      <c r="AI3" s="739"/>
      <c r="AJ3" s="739"/>
      <c r="AK3" s="739"/>
      <c r="AL3" s="739"/>
      <c r="AM3" s="739"/>
      <c r="AN3" s="739"/>
      <c r="AO3" s="739"/>
      <c r="AP3" s="739"/>
      <c r="AQ3" s="739"/>
      <c r="AR3" s="739"/>
      <c r="AS3" s="716" t="s">
        <v>15</v>
      </c>
      <c r="AT3" s="716"/>
      <c r="AU3" s="716"/>
      <c r="AV3" s="717" t="str">
        <f ca="1">INDIRECT("変更来歴!A" &amp; COUNTA(変更来歴!A7:'変更来歴'!A39) + 6)</f>
        <v>r1.2</v>
      </c>
      <c r="AW3" s="717"/>
      <c r="AX3" s="717"/>
      <c r="AY3" s="717"/>
      <c r="AZ3" s="734"/>
      <c r="BA3" s="735"/>
      <c r="BB3" s="735"/>
      <c r="BC3" s="736"/>
    </row>
    <row r="4" spans="1:59" ht="5.9" customHeight="1"/>
    <row r="5" spans="1:59" ht="13.5" customHeight="1">
      <c r="A5" s="763" t="str">
        <f ca="1">"画面レイアウト"&amp;"("&amp;MID(CELL("filename"),FIND("]",CELL("filename"))+1,LEN(CELL("filename")))&amp;")"</f>
        <v>画面レイアウト(表紙)</v>
      </c>
      <c r="B5" s="764"/>
      <c r="C5" s="764"/>
      <c r="D5" s="764"/>
      <c r="E5" s="764"/>
      <c r="F5" s="764"/>
      <c r="G5" s="764"/>
      <c r="H5" s="764"/>
      <c r="I5" s="764"/>
      <c r="J5" s="764"/>
      <c r="K5" s="764"/>
      <c r="L5" s="764"/>
      <c r="M5" s="764"/>
      <c r="N5" s="764"/>
      <c r="O5" s="764"/>
      <c r="P5" s="764"/>
      <c r="Q5" s="764"/>
      <c r="R5" s="764"/>
      <c r="S5" s="764"/>
      <c r="T5" s="764"/>
      <c r="U5" s="764"/>
      <c r="V5" s="764"/>
      <c r="W5" s="764"/>
      <c r="X5" s="764"/>
      <c r="Y5" s="764"/>
      <c r="Z5" s="764"/>
      <c r="AA5" s="764"/>
      <c r="AB5" s="764"/>
      <c r="AC5" s="764"/>
      <c r="AD5" s="764"/>
      <c r="AE5" s="764"/>
      <c r="AF5" s="764"/>
      <c r="AG5" s="764"/>
      <c r="AH5" s="764"/>
      <c r="AI5" s="764"/>
      <c r="AJ5" s="764"/>
      <c r="AK5" s="764"/>
      <c r="AL5" s="764"/>
      <c r="AM5" s="764"/>
      <c r="AN5" s="764"/>
      <c r="AO5" s="764"/>
      <c r="AP5" s="764"/>
      <c r="AQ5" s="764"/>
      <c r="AR5" s="764"/>
      <c r="AS5" s="764"/>
      <c r="AT5" s="764"/>
      <c r="AU5" s="764"/>
      <c r="AV5" s="764"/>
      <c r="AW5" s="764"/>
      <c r="AX5" s="764"/>
      <c r="AY5" s="764"/>
      <c r="AZ5" s="764"/>
      <c r="BA5" s="765"/>
      <c r="BB5" s="766" t="s">
        <v>24</v>
      </c>
      <c r="BC5" s="767"/>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286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456">
        <v>0.05</v>
      </c>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28"/>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267</v>
      </c>
      <c r="D26" s="28"/>
      <c r="E26" s="28"/>
      <c r="F26" s="28"/>
      <c r="H26" s="58"/>
      <c r="I26" s="59"/>
      <c r="J26" s="59"/>
      <c r="K26" s="59"/>
      <c r="L26" s="60"/>
      <c r="M26" s="59"/>
      <c r="N26" s="61"/>
      <c r="O26" s="61"/>
      <c r="P26" s="70"/>
      <c r="Q26" s="64"/>
      <c r="R26" s="28"/>
      <c r="S26" s="35"/>
      <c r="T26" s="28" t="s">
        <v>265</v>
      </c>
      <c r="V26" s="28"/>
      <c r="W26" s="28"/>
      <c r="Y26" s="58"/>
      <c r="Z26" s="59"/>
      <c r="AA26" s="59"/>
      <c r="AB26" s="59"/>
      <c r="AC26" s="60"/>
      <c r="AD26" s="59"/>
      <c r="AE26" s="61"/>
      <c r="AF26" s="61"/>
      <c r="AG26" s="70"/>
      <c r="AH26" s="28"/>
      <c r="AI26" s="28"/>
      <c r="AJ26" s="28"/>
      <c r="AL26" s="28"/>
      <c r="AM26" s="28"/>
      <c r="AN26" s="28"/>
      <c r="AO26" s="35"/>
      <c r="AP26" s="62"/>
      <c r="AQ26" s="63"/>
      <c r="AR26" s="63"/>
      <c r="AS26" s="63"/>
      <c r="AT26" s="64"/>
      <c r="AU26" s="63"/>
      <c r="AV26" s="65"/>
      <c r="AW26" s="65"/>
      <c r="AX26" s="65"/>
      <c r="AY26" s="283"/>
      <c r="AZ26" s="33"/>
      <c r="BA26" s="46"/>
      <c r="BB26" s="78"/>
      <c r="BC26" s="34"/>
      <c r="BD26" s="28"/>
      <c r="BE26" s="35"/>
      <c r="BF26" s="35"/>
      <c r="BG26" s="35"/>
    </row>
    <row r="27" spans="1:59" ht="14.15" customHeight="1">
      <c r="A27" s="22"/>
      <c r="B27" s="256"/>
      <c r="C27" s="497" t="s">
        <v>273</v>
      </c>
      <c r="F27" s="285"/>
      <c r="G27" s="285"/>
      <c r="H27" s="98" t="s">
        <v>122</v>
      </c>
      <c r="I27" s="257"/>
      <c r="J27" s="258"/>
      <c r="K27" s="258"/>
      <c r="L27" s="258"/>
      <c r="M27" s="259"/>
      <c r="N27" s="258"/>
      <c r="O27" s="110"/>
      <c r="P27" s="260" t="s">
        <v>33</v>
      </c>
      <c r="R27" s="130"/>
      <c r="S27" s="35"/>
      <c r="T27" s="285" t="s">
        <v>274</v>
      </c>
      <c r="U27" s="35"/>
      <c r="V27" s="285"/>
      <c r="W27" s="285"/>
      <c r="X27" s="285"/>
      <c r="Y27" s="98" t="s">
        <v>123</v>
      </c>
      <c r="Z27" s="257"/>
      <c r="AA27" s="258"/>
      <c r="AB27" s="258"/>
      <c r="AC27" s="258"/>
      <c r="AD27" s="259"/>
      <c r="AE27" s="258"/>
      <c r="AF27" s="142"/>
      <c r="AG27" s="496" t="s">
        <v>33</v>
      </c>
      <c r="AH27" s="35"/>
      <c r="AI27" s="35"/>
      <c r="AJ27" s="285"/>
      <c r="AL27" s="35"/>
      <c r="AM27" s="285"/>
      <c r="AN27" s="35"/>
      <c r="AO27" s="35"/>
      <c r="AP27" s="26"/>
      <c r="AQ27" s="493"/>
      <c r="AR27" s="494"/>
      <c r="AS27" s="494"/>
      <c r="AT27" s="494"/>
      <c r="AU27" s="495"/>
      <c r="AV27" s="38"/>
      <c r="AW27" s="26"/>
      <c r="AX27" s="499"/>
      <c r="AY27" s="286"/>
      <c r="AZ27" s="33"/>
      <c r="BA27" s="46"/>
      <c r="BB27" s="78"/>
      <c r="BC27" s="34"/>
      <c r="BD27" s="35"/>
      <c r="BE27" s="35"/>
      <c r="BF27" s="35"/>
      <c r="BG27" s="35"/>
    </row>
    <row r="28" spans="1:59" ht="13.5" customHeight="1">
      <c r="A28" s="22"/>
      <c r="B28" s="45"/>
      <c r="C28" s="282" t="s">
        <v>268</v>
      </c>
      <c r="D28" s="28"/>
      <c r="E28" s="28"/>
      <c r="F28" s="28"/>
      <c r="H28" s="58"/>
      <c r="I28" s="59"/>
      <c r="J28" s="59"/>
      <c r="K28" s="59"/>
      <c r="L28" s="60"/>
      <c r="M28" s="59"/>
      <c r="N28" s="61"/>
      <c r="O28" s="61"/>
      <c r="P28" s="70"/>
      <c r="Q28" s="64"/>
      <c r="R28" s="28"/>
      <c r="S28" s="35"/>
      <c r="T28" s="28" t="s">
        <v>269</v>
      </c>
      <c r="U28" s="28"/>
      <c r="V28" s="28"/>
      <c r="W28" s="28"/>
      <c r="Y28" s="58"/>
      <c r="Z28" s="59"/>
      <c r="AA28" s="59"/>
      <c r="AB28" s="59"/>
      <c r="AC28" s="60"/>
      <c r="AD28" s="59"/>
      <c r="AE28" s="61"/>
      <c r="AF28" s="61"/>
      <c r="AG28" s="70"/>
      <c r="AH28" s="28"/>
      <c r="AI28" s="28"/>
      <c r="AJ28" s="28" t="s">
        <v>270</v>
      </c>
      <c r="AK28" s="28"/>
      <c r="AL28" s="28"/>
      <c r="AM28" s="28"/>
      <c r="AN28" s="28"/>
      <c r="AO28" s="35"/>
      <c r="AP28" s="58"/>
      <c r="AQ28" s="59"/>
      <c r="AR28" s="59"/>
      <c r="AS28" s="59"/>
      <c r="AT28" s="60"/>
      <c r="AU28" s="59"/>
      <c r="AV28" s="61"/>
      <c r="AW28" s="61"/>
      <c r="AX28" s="498"/>
      <c r="AY28" s="283"/>
      <c r="AZ28" s="33"/>
      <c r="BA28" s="46"/>
      <c r="BB28" s="78"/>
      <c r="BC28" s="34"/>
      <c r="BD28" s="28"/>
      <c r="BE28" s="35"/>
      <c r="BF28" s="35"/>
      <c r="BG28" s="35"/>
    </row>
    <row r="29" spans="1:59" ht="13.5" customHeight="1">
      <c r="A29" s="22"/>
      <c r="B29" s="45"/>
      <c r="C29" s="282" t="s">
        <v>118</v>
      </c>
      <c r="D29" s="28"/>
      <c r="E29" s="28"/>
      <c r="F29" s="28"/>
      <c r="H29" s="58"/>
      <c r="I29" s="59"/>
      <c r="J29" s="59"/>
      <c r="K29" s="59"/>
      <c r="L29" s="60"/>
      <c r="M29" s="59"/>
      <c r="N29" s="61"/>
      <c r="O29" s="61"/>
      <c r="P29" s="260" t="s">
        <v>33</v>
      </c>
      <c r="Q29" s="64"/>
      <c r="R29" s="28"/>
      <c r="S29" s="35"/>
      <c r="T29" s="26" t="s">
        <v>271</v>
      </c>
      <c r="U29" s="28"/>
      <c r="V29" s="28"/>
      <c r="W29" s="28"/>
      <c r="Y29" s="58"/>
      <c r="Z29" s="59"/>
      <c r="AA29" s="59"/>
      <c r="AB29" s="59"/>
      <c r="AC29" s="60"/>
      <c r="AD29" s="59"/>
      <c r="AE29" s="61"/>
      <c r="AF29" s="61"/>
      <c r="AG29" s="70"/>
      <c r="AH29" s="28"/>
      <c r="AI29" s="28"/>
      <c r="AJ29" s="28" t="s">
        <v>272</v>
      </c>
      <c r="AK29" s="28"/>
      <c r="AL29" s="28"/>
      <c r="AM29" s="28"/>
      <c r="AN29" s="28"/>
      <c r="AO29" s="35"/>
      <c r="AP29" s="58"/>
      <c r="AQ29" s="59"/>
      <c r="AR29" s="59"/>
      <c r="AS29" s="59"/>
      <c r="AT29" s="60"/>
      <c r="AU29" s="59"/>
      <c r="AV29" s="70"/>
      <c r="AW29" s="94" t="s">
        <v>266</v>
      </c>
      <c r="AX29" s="35"/>
      <c r="AY29" s="283"/>
      <c r="AZ29" s="33"/>
      <c r="BA29" s="46"/>
      <c r="BB29" s="78"/>
      <c r="BC29" s="34"/>
      <c r="BD29" s="28"/>
      <c r="BE29" s="35"/>
      <c r="BF29" s="35"/>
      <c r="BG29" s="35"/>
    </row>
    <row r="30" spans="1:59" ht="13.5" customHeight="1">
      <c r="A30" s="22"/>
      <c r="B30" s="32"/>
      <c r="C30" s="287" t="s">
        <v>124</v>
      </c>
      <c r="D30" s="41"/>
      <c r="E30" s="41"/>
      <c r="F30" s="41"/>
      <c r="G30" s="41"/>
      <c r="H30" s="163"/>
      <c r="I30" s="164"/>
      <c r="J30" s="165"/>
      <c r="K30" s="164"/>
      <c r="L30" s="165"/>
      <c r="M30" s="164"/>
      <c r="N30" s="166"/>
      <c r="O30" s="164"/>
      <c r="P30" s="165"/>
      <c r="Q30" s="165"/>
      <c r="R30" s="165"/>
      <c r="S30" s="167"/>
      <c r="T30" s="167"/>
      <c r="U30" s="167"/>
      <c r="V30" s="167"/>
      <c r="W30" s="167"/>
      <c r="X30" s="166"/>
      <c r="Y30" s="167"/>
      <c r="Z30" s="165"/>
      <c r="AA30" s="166"/>
      <c r="AB30" s="167"/>
      <c r="AC30" s="165"/>
      <c r="AD30" s="166"/>
      <c r="AE30" s="165"/>
      <c r="AF30" s="165"/>
      <c r="AG30" s="166"/>
      <c r="AH30" s="165"/>
      <c r="AI30" s="165"/>
      <c r="AJ30" s="168"/>
      <c r="AK30" s="165"/>
      <c r="AL30" s="165"/>
      <c r="AM30" s="165"/>
      <c r="AN30" s="165"/>
      <c r="AO30" s="165"/>
      <c r="AP30" s="165"/>
      <c r="AQ30" s="165"/>
      <c r="AR30" s="165"/>
      <c r="AS30" s="165"/>
      <c r="AT30" s="165"/>
      <c r="AU30" s="165"/>
      <c r="AV30" s="165"/>
      <c r="AW30" s="165"/>
      <c r="AX30" s="160" t="s">
        <v>37</v>
      </c>
      <c r="AY30" s="283"/>
      <c r="AZ30" s="33"/>
      <c r="BA30" s="46"/>
      <c r="BB30" s="78"/>
      <c r="BC30" s="34"/>
      <c r="BD30" s="28"/>
      <c r="BE30" s="35"/>
      <c r="BF30" s="35"/>
      <c r="BG30" s="35"/>
    </row>
    <row r="31" spans="1:59" ht="13.5" customHeight="1">
      <c r="A31" s="22"/>
      <c r="B31" s="32"/>
      <c r="C31" s="287"/>
      <c r="D31" s="41"/>
      <c r="E31" s="41"/>
      <c r="F31" s="41"/>
      <c r="G31" s="41"/>
      <c r="H31" s="169"/>
      <c r="I31" s="170"/>
      <c r="J31" s="171"/>
      <c r="K31" s="170"/>
      <c r="L31" s="171"/>
      <c r="M31" s="170"/>
      <c r="N31" s="172"/>
      <c r="O31" s="170"/>
      <c r="P31" s="171"/>
      <c r="Q31" s="171"/>
      <c r="R31" s="171"/>
      <c r="S31" s="173"/>
      <c r="T31" s="173"/>
      <c r="U31" s="173"/>
      <c r="V31" s="173"/>
      <c r="W31" s="173"/>
      <c r="X31" s="172"/>
      <c r="Y31" s="173"/>
      <c r="Z31" s="171"/>
      <c r="AA31" s="172"/>
      <c r="AB31" s="173"/>
      <c r="AC31" s="171"/>
      <c r="AD31" s="172"/>
      <c r="AE31" s="171"/>
      <c r="AF31" s="171"/>
      <c r="AG31" s="172"/>
      <c r="AH31" s="171"/>
      <c r="AI31" s="171"/>
      <c r="AJ31" s="174"/>
      <c r="AK31" s="171"/>
      <c r="AL31" s="171"/>
      <c r="AM31" s="171"/>
      <c r="AN31" s="171"/>
      <c r="AO31" s="171"/>
      <c r="AP31" s="171"/>
      <c r="AQ31" s="171"/>
      <c r="AR31" s="171"/>
      <c r="AS31" s="171"/>
      <c r="AT31" s="171"/>
      <c r="AU31" s="171"/>
      <c r="AV31" s="171"/>
      <c r="AW31" s="171"/>
      <c r="AX31" s="122" t="s">
        <v>33</v>
      </c>
      <c r="AY31" s="283"/>
      <c r="AZ31" s="33"/>
      <c r="BA31" s="46"/>
      <c r="BB31" s="78"/>
      <c r="BC31" s="34"/>
      <c r="BD31" s="28"/>
      <c r="BE31" s="35"/>
      <c r="BF31" s="35"/>
      <c r="BG31" s="35"/>
    </row>
    <row r="32" spans="1:59" ht="13.5" customHeight="1">
      <c r="A32" s="22"/>
      <c r="B32" s="32"/>
      <c r="C32" s="287" t="s">
        <v>126</v>
      </c>
      <c r="D32" s="41"/>
      <c r="E32" s="41"/>
      <c r="F32" s="41"/>
      <c r="G32" s="41"/>
      <c r="H32" s="163" t="s">
        <v>171</v>
      </c>
      <c r="I32" s="164"/>
      <c r="J32" s="165"/>
      <c r="K32" s="164"/>
      <c r="L32" s="165"/>
      <c r="M32" s="164"/>
      <c r="N32" s="166"/>
      <c r="O32" s="164"/>
      <c r="P32" s="165"/>
      <c r="Q32" s="165"/>
      <c r="R32" s="165"/>
      <c r="S32" s="167"/>
      <c r="T32" s="167"/>
      <c r="U32" s="167"/>
      <c r="V32" s="167"/>
      <c r="W32" s="167"/>
      <c r="X32" s="166"/>
      <c r="Y32" s="167"/>
      <c r="Z32" s="165"/>
      <c r="AA32" s="166"/>
      <c r="AB32" s="167"/>
      <c r="AC32" s="165"/>
      <c r="AD32" s="166"/>
      <c r="AE32" s="165"/>
      <c r="AF32" s="165"/>
      <c r="AG32" s="166"/>
      <c r="AH32" s="165"/>
      <c r="AI32" s="165"/>
      <c r="AJ32" s="168"/>
      <c r="AK32" s="165"/>
      <c r="AL32" s="165"/>
      <c r="AM32" s="165"/>
      <c r="AN32" s="165"/>
      <c r="AO32" s="165"/>
      <c r="AP32" s="165"/>
      <c r="AQ32" s="165"/>
      <c r="AR32" s="165"/>
      <c r="AS32" s="165"/>
      <c r="AT32" s="165"/>
      <c r="AU32" s="165"/>
      <c r="AV32" s="165"/>
      <c r="AW32" s="165"/>
      <c r="AX32" s="160" t="s">
        <v>37</v>
      </c>
      <c r="AY32" s="283"/>
      <c r="AZ32" s="33"/>
      <c r="BA32" s="46"/>
      <c r="BB32" s="78"/>
      <c r="BC32" s="34"/>
      <c r="BD32" s="28"/>
      <c r="BE32" s="35"/>
      <c r="BF32" s="35"/>
      <c r="BG32" s="35"/>
    </row>
    <row r="33" spans="1:59" ht="13.5" customHeight="1">
      <c r="A33" s="22"/>
      <c r="B33" s="32"/>
      <c r="C33" s="287"/>
      <c r="D33" s="41"/>
      <c r="E33" s="41"/>
      <c r="F33" s="41"/>
      <c r="G33" s="41"/>
      <c r="H33" s="169"/>
      <c r="I33" s="170"/>
      <c r="J33" s="171"/>
      <c r="K33" s="170"/>
      <c r="L33" s="171"/>
      <c r="M33" s="170"/>
      <c r="N33" s="172"/>
      <c r="O33" s="170"/>
      <c r="P33" s="171"/>
      <c r="Q33" s="171"/>
      <c r="R33" s="171"/>
      <c r="S33" s="173"/>
      <c r="T33" s="173"/>
      <c r="U33" s="173"/>
      <c r="V33" s="173"/>
      <c r="W33" s="173"/>
      <c r="X33" s="172"/>
      <c r="Y33" s="173"/>
      <c r="Z33" s="171"/>
      <c r="AA33" s="172"/>
      <c r="AB33" s="173"/>
      <c r="AC33" s="171"/>
      <c r="AD33" s="172"/>
      <c r="AE33" s="171"/>
      <c r="AF33" s="171"/>
      <c r="AG33" s="172"/>
      <c r="AH33" s="171"/>
      <c r="AI33" s="171"/>
      <c r="AJ33" s="174"/>
      <c r="AK33" s="171"/>
      <c r="AL33" s="171"/>
      <c r="AM33" s="171"/>
      <c r="AN33" s="171"/>
      <c r="AO33" s="171"/>
      <c r="AP33" s="171"/>
      <c r="AQ33" s="171"/>
      <c r="AR33" s="171"/>
      <c r="AS33" s="171"/>
      <c r="AT33" s="171"/>
      <c r="AU33" s="171"/>
      <c r="AV33" s="171"/>
      <c r="AW33" s="171"/>
      <c r="AX33" s="122" t="s">
        <v>33</v>
      </c>
      <c r="AY33" s="283"/>
      <c r="AZ33" s="33"/>
      <c r="BA33" s="46"/>
      <c r="BB33" s="78"/>
      <c r="BC33" s="34"/>
      <c r="BD33" s="28"/>
      <c r="BE33" s="35"/>
      <c r="BF33" s="35"/>
      <c r="BG33" s="35"/>
    </row>
    <row r="34" spans="1:59" ht="13.5" customHeight="1">
      <c r="A34" s="22"/>
      <c r="B34" s="32"/>
      <c r="C34" s="287" t="s">
        <v>127</v>
      </c>
      <c r="D34" s="41"/>
      <c r="E34" s="41"/>
      <c r="F34" s="41"/>
      <c r="G34" s="41"/>
      <c r="H34" s="163"/>
      <c r="I34" s="164"/>
      <c r="J34" s="165"/>
      <c r="K34" s="164"/>
      <c r="L34" s="165"/>
      <c r="M34" s="164"/>
      <c r="N34" s="166"/>
      <c r="O34" s="164"/>
      <c r="P34" s="165"/>
      <c r="Q34" s="165"/>
      <c r="R34" s="165"/>
      <c r="S34" s="167"/>
      <c r="T34" s="167"/>
      <c r="U34" s="167"/>
      <c r="V34" s="167"/>
      <c r="W34" s="167"/>
      <c r="X34" s="166"/>
      <c r="Y34" s="167"/>
      <c r="Z34" s="165"/>
      <c r="AA34" s="166"/>
      <c r="AB34" s="167"/>
      <c r="AC34" s="165"/>
      <c r="AD34" s="166"/>
      <c r="AE34" s="165"/>
      <c r="AF34" s="165"/>
      <c r="AG34" s="166"/>
      <c r="AH34" s="165"/>
      <c r="AI34" s="165"/>
      <c r="AJ34" s="168"/>
      <c r="AK34" s="165"/>
      <c r="AL34" s="165"/>
      <c r="AM34" s="165"/>
      <c r="AN34" s="165"/>
      <c r="AO34" s="165"/>
      <c r="AP34" s="165"/>
      <c r="AQ34" s="165"/>
      <c r="AR34" s="165"/>
      <c r="AS34" s="165"/>
      <c r="AT34" s="165"/>
      <c r="AU34" s="165"/>
      <c r="AV34" s="165"/>
      <c r="AW34" s="165"/>
      <c r="AX34" s="160" t="s">
        <v>37</v>
      </c>
      <c r="AY34" s="283"/>
      <c r="AZ34" s="33"/>
      <c r="BA34" s="46"/>
      <c r="BB34" s="78"/>
      <c r="BC34" s="34"/>
      <c r="BD34" s="28"/>
      <c r="BE34" s="35"/>
      <c r="BF34" s="35"/>
      <c r="BG34" s="35"/>
    </row>
    <row r="35" spans="1:59" ht="13.5" customHeight="1">
      <c r="A35" s="22"/>
      <c r="B35" s="32"/>
      <c r="C35" s="287"/>
      <c r="D35" s="41"/>
      <c r="E35" s="41"/>
      <c r="F35" s="41"/>
      <c r="G35" s="41"/>
      <c r="H35" s="169"/>
      <c r="I35" s="170"/>
      <c r="J35" s="171"/>
      <c r="K35" s="170"/>
      <c r="L35" s="171"/>
      <c r="M35" s="170"/>
      <c r="N35" s="172"/>
      <c r="O35" s="170"/>
      <c r="P35" s="171"/>
      <c r="Q35" s="171"/>
      <c r="R35" s="171"/>
      <c r="S35" s="173"/>
      <c r="T35" s="173"/>
      <c r="U35" s="173"/>
      <c r="V35" s="173"/>
      <c r="W35" s="173"/>
      <c r="X35" s="172"/>
      <c r="Y35" s="173"/>
      <c r="Z35" s="171"/>
      <c r="AA35" s="172"/>
      <c r="AB35" s="173"/>
      <c r="AC35" s="171"/>
      <c r="AD35" s="172"/>
      <c r="AE35" s="171"/>
      <c r="AF35" s="171"/>
      <c r="AG35" s="172"/>
      <c r="AH35" s="171"/>
      <c r="AI35" s="171"/>
      <c r="AJ35" s="174"/>
      <c r="AK35" s="171"/>
      <c r="AL35" s="171"/>
      <c r="AM35" s="171"/>
      <c r="AN35" s="171"/>
      <c r="AO35" s="171"/>
      <c r="AP35" s="171"/>
      <c r="AQ35" s="171"/>
      <c r="AR35" s="171"/>
      <c r="AS35" s="171"/>
      <c r="AT35" s="171"/>
      <c r="AU35" s="171"/>
      <c r="AV35" s="171"/>
      <c r="AW35" s="171"/>
      <c r="AX35" s="122" t="s">
        <v>33</v>
      </c>
      <c r="AY35" s="283"/>
      <c r="AZ35" s="33"/>
      <c r="BA35" s="46"/>
      <c r="BB35" s="78"/>
      <c r="BC35" s="34"/>
      <c r="BD35" s="28"/>
      <c r="BE35" s="35"/>
      <c r="BF35" s="35"/>
      <c r="BG35" s="35"/>
    </row>
    <row r="36" spans="1:59" ht="5.15" customHeight="1">
      <c r="A36" s="22"/>
      <c r="B36" s="32"/>
      <c r="C36" s="288"/>
      <c r="D36" s="289"/>
      <c r="E36" s="289"/>
      <c r="F36" s="289"/>
      <c r="G36" s="289"/>
      <c r="H36" s="290"/>
      <c r="I36" s="290"/>
      <c r="J36" s="291"/>
      <c r="K36" s="290"/>
      <c r="L36" s="291"/>
      <c r="M36" s="290"/>
      <c r="N36" s="292"/>
      <c r="O36" s="290"/>
      <c r="P36" s="291"/>
      <c r="Q36" s="291"/>
      <c r="R36" s="291"/>
      <c r="S36" s="293"/>
      <c r="T36" s="293"/>
      <c r="U36" s="293"/>
      <c r="V36" s="293"/>
      <c r="W36" s="293"/>
      <c r="X36" s="292"/>
      <c r="Y36" s="293"/>
      <c r="Z36" s="291"/>
      <c r="AA36" s="292"/>
      <c r="AB36" s="293"/>
      <c r="AC36" s="291"/>
      <c r="AD36" s="292"/>
      <c r="AE36" s="291"/>
      <c r="AF36" s="291"/>
      <c r="AG36" s="292"/>
      <c r="AH36" s="291"/>
      <c r="AI36" s="291"/>
      <c r="AJ36" s="294"/>
      <c r="AK36" s="291"/>
      <c r="AL36" s="291"/>
      <c r="AM36" s="291"/>
      <c r="AN36" s="291"/>
      <c r="AO36" s="291"/>
      <c r="AP36" s="291"/>
      <c r="AQ36" s="291"/>
      <c r="AR36" s="291"/>
      <c r="AS36" s="291"/>
      <c r="AT36" s="291"/>
      <c r="AU36" s="291"/>
      <c r="AV36" s="291"/>
      <c r="AW36" s="291"/>
      <c r="AX36" s="276"/>
      <c r="AY36" s="295"/>
      <c r="AZ36" s="33"/>
      <c r="BA36" s="46"/>
      <c r="BB36" s="78"/>
      <c r="BC36" s="34"/>
      <c r="BD36" s="28"/>
      <c r="BE36" s="35"/>
      <c r="BF36" s="35"/>
      <c r="BG36" s="35"/>
    </row>
    <row r="37" spans="1:59" ht="13.5" customHeight="1">
      <c r="A37" s="22"/>
      <c r="B37" s="32"/>
      <c r="C37" s="41"/>
      <c r="D37" s="41"/>
      <c r="E37" s="41"/>
      <c r="F37" s="41"/>
      <c r="G37" s="41"/>
      <c r="H37" s="364"/>
      <c r="I37" s="364"/>
      <c r="J37" s="365"/>
      <c r="K37" s="364"/>
      <c r="L37" s="365"/>
      <c r="M37" s="364"/>
      <c r="N37" s="366"/>
      <c r="O37" s="364"/>
      <c r="P37" s="365"/>
      <c r="Q37" s="365"/>
      <c r="R37" s="365"/>
      <c r="S37" s="367"/>
      <c r="T37" s="367"/>
      <c r="U37" s="367"/>
      <c r="V37" s="367"/>
      <c r="W37" s="367"/>
      <c r="X37" s="366"/>
      <c r="Y37" s="367"/>
      <c r="Z37" s="365"/>
      <c r="AA37" s="366"/>
      <c r="AB37" s="367"/>
      <c r="AC37" s="365"/>
      <c r="AD37" s="366"/>
      <c r="AE37" s="365"/>
      <c r="AF37" s="365"/>
      <c r="AG37" s="366"/>
      <c r="AH37" s="365"/>
      <c r="AI37" s="365"/>
      <c r="AJ37" s="368"/>
      <c r="AK37" s="365"/>
      <c r="AL37" s="365"/>
      <c r="AM37" s="365"/>
      <c r="AN37" s="365"/>
      <c r="AO37" s="365"/>
      <c r="AP37" s="365"/>
      <c r="AQ37" s="365"/>
      <c r="AR37" s="365"/>
      <c r="AS37" s="365"/>
      <c r="AT37" s="365"/>
      <c r="AU37" s="365"/>
      <c r="AV37" s="365"/>
      <c r="AW37" s="365"/>
      <c r="AX37" s="280"/>
      <c r="AY37" s="279"/>
      <c r="AZ37" s="33"/>
      <c r="BA37" s="46"/>
      <c r="BB37" s="78"/>
      <c r="BC37" s="34"/>
      <c r="BD37" s="28"/>
      <c r="BE37" s="35"/>
      <c r="BF37" s="35"/>
      <c r="BG37" s="35"/>
    </row>
    <row r="38" spans="1:59" ht="13.5" customHeight="1">
      <c r="A38" s="22"/>
      <c r="B38" s="202">
        <v>5</v>
      </c>
      <c r="C38" s="204" t="s">
        <v>264</v>
      </c>
      <c r="D38" s="28"/>
      <c r="E38" s="28"/>
      <c r="F38" s="28"/>
      <c r="G38" s="28"/>
      <c r="H38" s="121"/>
      <c r="I38" s="62"/>
      <c r="J38" s="62"/>
      <c r="K38" s="63"/>
      <c r="L38" s="69"/>
      <c r="M38" s="69"/>
      <c r="N38" s="65"/>
      <c r="O38" s="69"/>
      <c r="P38" s="65"/>
      <c r="Q38" s="65"/>
      <c r="R38" s="69"/>
      <c r="S38" s="28"/>
      <c r="T38" s="28"/>
      <c r="U38" s="28"/>
      <c r="V38" s="28"/>
      <c r="W38" s="28"/>
      <c r="X38" s="121"/>
      <c r="Y38" s="62"/>
      <c r="Z38" s="63"/>
      <c r="AA38" s="62"/>
      <c r="AB38" s="63"/>
      <c r="AC38" s="69"/>
      <c r="AD38" s="69"/>
      <c r="AE38" s="65"/>
      <c r="AF38" s="69"/>
      <c r="AG38" s="65"/>
      <c r="AH38" s="69"/>
      <c r="AI38" s="64"/>
      <c r="AJ38" s="69"/>
      <c r="AK38" s="65"/>
      <c r="AL38" s="28"/>
      <c r="AM38" s="28"/>
      <c r="AN38" s="28"/>
      <c r="AO38" s="28"/>
      <c r="AP38" s="28"/>
      <c r="AQ38" s="28"/>
      <c r="AR38" s="28"/>
      <c r="AS38" s="28"/>
      <c r="AT38" s="28"/>
      <c r="AU38" s="28"/>
      <c r="AV38" s="233"/>
      <c r="AW38" s="28"/>
      <c r="AX38" s="28"/>
      <c r="AY38" s="31"/>
      <c r="AZ38" s="33"/>
      <c r="BA38" s="46"/>
      <c r="BB38" s="159"/>
      <c r="BC38" s="115"/>
      <c r="BD38" s="28"/>
    </row>
    <row r="39" spans="1:59" ht="5.15" customHeight="1">
      <c r="A39" s="22"/>
      <c r="B39" s="202"/>
      <c r="C39" s="296"/>
      <c r="D39" s="72"/>
      <c r="E39" s="72"/>
      <c r="F39" s="72"/>
      <c r="G39" s="72"/>
      <c r="H39" s="297"/>
      <c r="I39" s="278"/>
      <c r="J39" s="278"/>
      <c r="K39" s="279"/>
      <c r="L39" s="298"/>
      <c r="M39" s="298"/>
      <c r="N39" s="263"/>
      <c r="O39" s="298"/>
      <c r="P39" s="263"/>
      <c r="Q39" s="263"/>
      <c r="R39" s="298"/>
      <c r="S39" s="72"/>
      <c r="T39" s="72"/>
      <c r="U39" s="72"/>
      <c r="V39" s="72"/>
      <c r="W39" s="72"/>
      <c r="X39" s="297"/>
      <c r="Y39" s="278"/>
      <c r="Z39" s="279"/>
      <c r="AA39" s="278"/>
      <c r="AB39" s="279"/>
      <c r="AC39" s="298"/>
      <c r="AD39" s="298"/>
      <c r="AE39" s="263"/>
      <c r="AF39" s="298"/>
      <c r="AG39" s="263"/>
      <c r="AH39" s="298"/>
      <c r="AI39" s="280"/>
      <c r="AJ39" s="298"/>
      <c r="AK39" s="263"/>
      <c r="AL39" s="72"/>
      <c r="AM39" s="72"/>
      <c r="AN39" s="72"/>
      <c r="AO39" s="72"/>
      <c r="AP39" s="72"/>
      <c r="AQ39" s="72"/>
      <c r="AR39" s="72"/>
      <c r="AS39" s="72"/>
      <c r="AT39" s="72"/>
      <c r="AU39" s="72"/>
      <c r="AV39" s="300"/>
      <c r="AW39" s="72"/>
      <c r="AX39" s="72"/>
      <c r="AY39" s="265"/>
      <c r="AZ39" s="33"/>
      <c r="BA39" s="46"/>
      <c r="BB39" s="159"/>
      <c r="BC39" s="115"/>
      <c r="BD39" s="28"/>
    </row>
    <row r="40" spans="1:59" ht="13.9" customHeight="1">
      <c r="A40" s="22"/>
      <c r="B40" s="202"/>
      <c r="C40" s="501" t="s">
        <v>282</v>
      </c>
      <c r="D40" s="28"/>
      <c r="E40" s="28"/>
      <c r="F40" s="28"/>
      <c r="G40" s="86" t="s">
        <v>277</v>
      </c>
      <c r="H40" s="86"/>
      <c r="I40" s="86"/>
      <c r="J40" s="86"/>
      <c r="K40" s="86"/>
      <c r="L40" s="322"/>
      <c r="M40" s="75"/>
      <c r="N40" s="65"/>
      <c r="O40" s="69"/>
      <c r="P40" s="65"/>
      <c r="Q40" s="65"/>
      <c r="R40" s="69"/>
      <c r="S40" s="28"/>
      <c r="T40" s="28"/>
      <c r="U40" s="28"/>
      <c r="V40" s="28"/>
      <c r="W40" s="28"/>
      <c r="X40" s="121"/>
      <c r="Y40" s="62"/>
      <c r="Z40" s="63"/>
      <c r="AA40" s="62"/>
      <c r="AB40" s="63"/>
      <c r="AC40" s="69"/>
      <c r="AD40" s="69"/>
      <c r="AE40" s="65"/>
      <c r="AF40" s="69"/>
      <c r="AG40" s="65"/>
      <c r="AH40" s="69"/>
      <c r="AI40" s="64"/>
      <c r="AJ40" s="69"/>
      <c r="AK40" s="65"/>
      <c r="AL40" s="28"/>
      <c r="AM40" s="28"/>
      <c r="AN40" s="28"/>
      <c r="AO40" s="28"/>
      <c r="AP40" s="28"/>
      <c r="AQ40" s="28"/>
      <c r="AR40" s="28"/>
      <c r="AS40" s="28"/>
      <c r="AT40" s="28"/>
      <c r="AU40" s="28"/>
      <c r="AV40" s="233"/>
      <c r="AW40" s="28"/>
      <c r="AX40" s="28"/>
      <c r="AY40" s="267"/>
      <c r="AZ40" s="33"/>
      <c r="BA40" s="46"/>
      <c r="BB40" s="159"/>
      <c r="BC40" s="115"/>
      <c r="BD40" s="28"/>
    </row>
    <row r="41" spans="1:59" ht="13.5" customHeight="1">
      <c r="A41" s="22"/>
      <c r="B41" s="202">
        <v>6</v>
      </c>
      <c r="C41" s="304" t="s">
        <v>32</v>
      </c>
      <c r="D41" s="205" t="s">
        <v>262</v>
      </c>
      <c r="E41" s="206"/>
      <c r="F41" s="206"/>
      <c r="G41" s="207"/>
      <c r="H41" s="208" t="s">
        <v>276</v>
      </c>
      <c r="I41" s="209"/>
      <c r="J41" s="209"/>
      <c r="K41" s="206"/>
      <c r="L41" s="207"/>
      <c r="M41" s="28"/>
      <c r="N41" s="28"/>
      <c r="O41" s="28"/>
      <c r="P41" s="28"/>
      <c r="Q41" s="28"/>
      <c r="R41" s="28"/>
      <c r="S41" s="35"/>
      <c r="T41" s="35"/>
      <c r="U41" s="35"/>
      <c r="V41" s="35"/>
      <c r="Y41" s="35"/>
      <c r="Z41" s="35"/>
      <c r="AD41" s="35"/>
      <c r="AE41" s="35"/>
      <c r="AF41" s="35"/>
      <c r="AG41" s="35"/>
      <c r="AH41" s="35"/>
      <c r="AI41" s="35"/>
      <c r="AJ41" s="35"/>
      <c r="AK41" s="35"/>
      <c r="AL41" s="35"/>
      <c r="AM41" s="35"/>
      <c r="AN41" s="35"/>
      <c r="AO41" s="35"/>
      <c r="AP41" s="35"/>
      <c r="AQ41" s="35"/>
      <c r="AR41" s="35"/>
      <c r="AS41" s="35"/>
      <c r="AT41" s="35"/>
      <c r="AU41" s="35"/>
      <c r="AV41" s="35"/>
      <c r="AW41" s="35"/>
      <c r="AX41" s="35"/>
      <c r="AY41" s="311"/>
      <c r="AZ41" s="33"/>
      <c r="BA41" s="46"/>
      <c r="BB41" s="159"/>
      <c r="BC41" s="115"/>
      <c r="BD41" s="35"/>
      <c r="BE41" s="35"/>
      <c r="BF41" s="35"/>
      <c r="BG41" s="35"/>
    </row>
    <row r="42" spans="1:59" ht="13.5" customHeight="1">
      <c r="A42" s="22"/>
      <c r="B42" s="202">
        <v>8</v>
      </c>
      <c r="C42" s="308">
        <v>1</v>
      </c>
      <c r="D42" s="148" t="s">
        <v>148</v>
      </c>
      <c r="E42" s="149"/>
      <c r="F42" s="149"/>
      <c r="G42" s="151"/>
      <c r="H42" s="1010">
        <v>110</v>
      </c>
      <c r="I42" s="947"/>
      <c r="J42" s="947"/>
      <c r="K42" s="947"/>
      <c r="L42" s="948"/>
      <c r="M42" s="28"/>
      <c r="N42" s="28"/>
      <c r="O42" s="28"/>
      <c r="P42" s="28"/>
      <c r="Q42" s="28"/>
      <c r="R42" s="28"/>
      <c r="S42" s="35"/>
      <c r="T42" s="35"/>
      <c r="U42" s="35"/>
      <c r="V42" s="35"/>
      <c r="Y42" s="35"/>
      <c r="Z42" s="35"/>
      <c r="AD42" s="35"/>
      <c r="AE42" s="35"/>
      <c r="AF42" s="35"/>
      <c r="AG42" s="35"/>
      <c r="AH42" s="35"/>
      <c r="AI42" s="35"/>
      <c r="AJ42" s="35"/>
      <c r="AK42" s="35"/>
      <c r="AL42" s="35"/>
      <c r="AM42" s="35"/>
      <c r="AN42" s="35"/>
      <c r="AO42" s="35"/>
      <c r="AP42" s="35"/>
      <c r="AQ42" s="35"/>
      <c r="AR42" s="35"/>
      <c r="AS42" s="35"/>
      <c r="AT42" s="35"/>
      <c r="AU42" s="35"/>
      <c r="AV42" s="35"/>
      <c r="AW42" s="35"/>
      <c r="AX42" s="35"/>
      <c r="AY42" s="311"/>
      <c r="AZ42" s="33"/>
      <c r="BA42" s="46"/>
      <c r="BB42" s="159"/>
      <c r="BC42" s="115"/>
      <c r="BD42" s="35"/>
      <c r="BE42" s="35"/>
      <c r="BF42" s="35"/>
      <c r="BG42" s="35"/>
    </row>
    <row r="43" spans="1:59" ht="13.5" customHeight="1">
      <c r="A43" s="22"/>
      <c r="B43" s="202">
        <v>9</v>
      </c>
      <c r="C43" s="308">
        <v>2</v>
      </c>
      <c r="D43" s="148" t="s">
        <v>263</v>
      </c>
      <c r="E43" s="149"/>
      <c r="F43" s="149"/>
      <c r="G43" s="151"/>
      <c r="H43" s="1010">
        <v>125</v>
      </c>
      <c r="I43" s="947"/>
      <c r="J43" s="947"/>
      <c r="K43" s="947"/>
      <c r="L43" s="948"/>
      <c r="M43" s="28"/>
      <c r="N43" s="28"/>
      <c r="O43" s="28"/>
      <c r="P43" s="28"/>
      <c r="Q43" s="28"/>
      <c r="R43" s="28"/>
      <c r="S43" s="35"/>
      <c r="T43" s="35"/>
      <c r="U43" s="35"/>
      <c r="V43" s="35"/>
      <c r="Y43" s="35"/>
      <c r="Z43" s="35"/>
      <c r="AD43" s="35"/>
      <c r="AE43" s="35"/>
      <c r="AF43" s="35"/>
      <c r="AG43" s="35"/>
      <c r="AH43" s="35"/>
      <c r="AI43" s="35"/>
      <c r="AJ43" s="35"/>
      <c r="AK43" s="35"/>
      <c r="AL43" s="35"/>
      <c r="AM43" s="35"/>
      <c r="AN43" s="35"/>
      <c r="AO43" s="35"/>
      <c r="AP43" s="35"/>
      <c r="AQ43" s="35"/>
      <c r="AR43" s="35"/>
      <c r="AS43" s="35"/>
      <c r="AT43" s="35"/>
      <c r="AU43" s="35"/>
      <c r="AV43" s="35"/>
      <c r="AW43" s="35"/>
      <c r="AX43" s="35"/>
      <c r="AY43" s="311"/>
      <c r="AZ43" s="33"/>
      <c r="BA43" s="46"/>
      <c r="BB43" s="159"/>
      <c r="BC43" s="115"/>
      <c r="BD43" s="35"/>
      <c r="BE43" s="35"/>
      <c r="BF43" s="35"/>
      <c r="BG43" s="35"/>
    </row>
    <row r="44" spans="1:59" ht="5.15" customHeight="1">
      <c r="A44" s="22"/>
      <c r="B44" s="202"/>
      <c r="C44" s="315"/>
      <c r="D44" s="73"/>
      <c r="E44" s="73"/>
      <c r="F44" s="73"/>
      <c r="G44" s="73"/>
      <c r="H44" s="316"/>
      <c r="I44" s="275"/>
      <c r="J44" s="275"/>
      <c r="K44" s="273"/>
      <c r="L44" s="317"/>
      <c r="M44" s="317"/>
      <c r="N44" s="270"/>
      <c r="O44" s="317"/>
      <c r="P44" s="270"/>
      <c r="Q44" s="270"/>
      <c r="R44" s="317"/>
      <c r="S44" s="73"/>
      <c r="T44" s="73"/>
      <c r="U44" s="73"/>
      <c r="V44" s="73"/>
      <c r="W44" s="73"/>
      <c r="X44" s="316"/>
      <c r="Y44" s="275"/>
      <c r="Z44" s="273"/>
      <c r="AA44" s="275"/>
      <c r="AB44" s="273"/>
      <c r="AC44" s="317"/>
      <c r="AD44" s="317"/>
      <c r="AE44" s="270"/>
      <c r="AF44" s="317"/>
      <c r="AG44" s="270"/>
      <c r="AH44" s="317"/>
      <c r="AI44" s="276"/>
      <c r="AJ44" s="317"/>
      <c r="AK44" s="270"/>
      <c r="AL44" s="73"/>
      <c r="AM44" s="73"/>
      <c r="AN44" s="73"/>
      <c r="AO44" s="73"/>
      <c r="AP44" s="73"/>
      <c r="AQ44" s="73"/>
      <c r="AR44" s="73"/>
      <c r="AS44" s="73"/>
      <c r="AT44" s="73"/>
      <c r="AU44" s="73"/>
      <c r="AV44" s="318"/>
      <c r="AW44" s="73"/>
      <c r="AX44" s="73"/>
      <c r="AY44" s="277"/>
      <c r="AZ44" s="33"/>
      <c r="BA44" s="46"/>
      <c r="BB44" s="159"/>
      <c r="BC44" s="115"/>
      <c r="BD44" s="28"/>
    </row>
    <row r="45" spans="1:59" ht="13.5" customHeight="1">
      <c r="A45" s="22"/>
      <c r="B45" s="202">
        <v>10</v>
      </c>
      <c r="C45" s="492"/>
      <c r="D45" s="65"/>
      <c r="E45" s="65"/>
      <c r="F45" s="65"/>
      <c r="G45" s="65"/>
      <c r="H45" s="65"/>
      <c r="I45" s="65"/>
      <c r="J45" s="65"/>
      <c r="K45" s="65"/>
      <c r="L45" s="65"/>
      <c r="M45" s="62"/>
      <c r="N45" s="63"/>
      <c r="O45" s="65"/>
      <c r="P45" s="65"/>
      <c r="Q45" s="64"/>
      <c r="R45" s="63"/>
      <c r="S45" s="190"/>
      <c r="T45" s="190"/>
      <c r="U45" s="191"/>
      <c r="V45" s="192"/>
      <c r="W45" s="190"/>
      <c r="X45" s="65"/>
      <c r="Y45" s="65"/>
      <c r="Z45" s="65"/>
      <c r="AA45" s="65"/>
      <c r="AB45" s="65"/>
      <c r="AC45" s="65"/>
      <c r="AD45" s="65"/>
      <c r="AE45" s="65"/>
      <c r="AF45" s="65"/>
      <c r="AG45" s="65"/>
      <c r="AH45" s="65"/>
      <c r="AI45" s="65"/>
      <c r="AJ45" s="65"/>
      <c r="AK45" s="65"/>
      <c r="AL45" s="65"/>
      <c r="AM45" s="63"/>
      <c r="AN45" s="63"/>
      <c r="AO45" s="63"/>
      <c r="AP45" s="63"/>
      <c r="AQ45" s="63"/>
      <c r="AR45" s="63"/>
      <c r="AS45" s="63"/>
      <c r="AT45" s="63"/>
      <c r="AU45" s="63"/>
      <c r="AV45" s="63"/>
      <c r="AW45" s="63"/>
      <c r="AX45" s="63"/>
      <c r="AY45" s="63"/>
      <c r="AZ45" s="33"/>
      <c r="BA45" s="46"/>
      <c r="BB45" s="159"/>
      <c r="BC45" s="115"/>
      <c r="BD45" s="28"/>
    </row>
    <row r="46" spans="1:59" ht="13.5" customHeight="1">
      <c r="A46" s="22"/>
      <c r="B46" s="202">
        <v>5</v>
      </c>
      <c r="C46" s="204" t="s">
        <v>63</v>
      </c>
      <c r="D46" s="28"/>
      <c r="E46" s="28"/>
      <c r="F46" s="28"/>
      <c r="G46" s="28"/>
      <c r="H46" s="121"/>
      <c r="I46" s="62"/>
      <c r="J46" s="63"/>
      <c r="K46" s="62"/>
      <c r="L46" s="63"/>
      <c r="M46" s="69"/>
      <c r="N46" s="69"/>
      <c r="O46" s="65"/>
      <c r="P46" s="69"/>
      <c r="Q46" s="65"/>
      <c r="R46" s="69"/>
      <c r="S46" s="28"/>
      <c r="T46" s="28"/>
      <c r="U46" s="28"/>
      <c r="V46" s="28"/>
      <c r="W46" s="28"/>
      <c r="X46" s="121"/>
      <c r="Y46" s="62"/>
      <c r="Z46" s="63"/>
      <c r="AA46" s="62"/>
      <c r="AB46" s="63"/>
      <c r="AC46" s="69"/>
      <c r="AD46" s="69"/>
      <c r="AE46" s="65"/>
      <c r="AF46" s="69"/>
      <c r="AG46" s="65"/>
      <c r="AH46" s="69"/>
      <c r="AI46" s="64"/>
      <c r="AJ46" s="69"/>
      <c r="AK46" s="65"/>
      <c r="AL46" s="28"/>
      <c r="AM46" s="28"/>
      <c r="AN46" s="28"/>
      <c r="AO46" s="28"/>
      <c r="AP46" s="28"/>
      <c r="AQ46" s="28"/>
      <c r="AR46" s="28"/>
      <c r="AS46" s="28"/>
      <c r="AT46" s="28"/>
      <c r="AU46" s="28"/>
      <c r="AV46" s="233"/>
      <c r="AW46" s="28"/>
      <c r="AX46" s="28"/>
      <c r="AY46" s="31"/>
      <c r="AZ46" s="33"/>
      <c r="BA46" s="46"/>
      <c r="BB46" s="159"/>
      <c r="BC46" s="115"/>
      <c r="BD46" s="28"/>
    </row>
    <row r="47" spans="1:59" ht="5.15" customHeight="1">
      <c r="A47" s="22"/>
      <c r="B47" s="202"/>
      <c r="C47" s="296"/>
      <c r="D47" s="72"/>
      <c r="E47" s="72"/>
      <c r="F47" s="72"/>
      <c r="G47" s="72"/>
      <c r="H47" s="297"/>
      <c r="I47" s="278"/>
      <c r="J47" s="279"/>
      <c r="K47" s="278"/>
      <c r="L47" s="279"/>
      <c r="M47" s="298"/>
      <c r="N47" s="298"/>
      <c r="O47" s="263"/>
      <c r="P47" s="298"/>
      <c r="Q47" s="263"/>
      <c r="R47" s="298"/>
      <c r="S47" s="72"/>
      <c r="T47" s="72"/>
      <c r="U47" s="72"/>
      <c r="V47" s="72"/>
      <c r="W47" s="72"/>
      <c r="X47" s="297"/>
      <c r="Y47" s="278"/>
      <c r="Z47" s="279"/>
      <c r="AA47" s="278"/>
      <c r="AB47" s="279"/>
      <c r="AC47" s="298"/>
      <c r="AD47" s="298"/>
      <c r="AE47" s="263"/>
      <c r="AF47" s="298"/>
      <c r="AG47" s="263"/>
      <c r="AH47" s="298"/>
      <c r="AI47" s="280"/>
      <c r="AJ47" s="298"/>
      <c r="AK47" s="263"/>
      <c r="AL47" s="72"/>
      <c r="AM47" s="72"/>
      <c r="AN47" s="72"/>
      <c r="AO47" s="72"/>
      <c r="AP47" s="72"/>
      <c r="AQ47" s="72"/>
      <c r="AR47" s="72"/>
      <c r="AS47" s="72"/>
      <c r="AT47" s="72"/>
      <c r="AU47" s="72"/>
      <c r="AV47" s="300"/>
      <c r="AW47" s="72"/>
      <c r="AX47" s="72"/>
      <c r="AY47" s="264"/>
      <c r="AZ47" s="264"/>
      <c r="BA47" s="301"/>
      <c r="BB47" s="302"/>
      <c r="BC47" s="303"/>
      <c r="BD47" s="28"/>
    </row>
    <row r="48" spans="1:59" ht="13.5" customHeight="1">
      <c r="A48" s="22"/>
      <c r="B48" s="45"/>
      <c r="C48" s="266"/>
      <c r="D48" s="28" t="s">
        <v>288</v>
      </c>
      <c r="E48" s="28"/>
      <c r="F48" s="28"/>
      <c r="G48" s="28"/>
      <c r="H48" s="86" t="s">
        <v>146</v>
      </c>
      <c r="I48" s="86"/>
      <c r="J48" s="86"/>
      <c r="K48" s="86"/>
      <c r="L48" s="86"/>
      <c r="M48" s="322"/>
      <c r="N48" s="87"/>
      <c r="O48" s="88"/>
      <c r="P48" s="88"/>
      <c r="Q48" s="89"/>
      <c r="R48" s="87"/>
      <c r="S48" s="87"/>
      <c r="T48" s="87"/>
      <c r="U48" s="88"/>
      <c r="V48" s="89"/>
      <c r="W48" s="87"/>
      <c r="X48" s="65"/>
      <c r="Y48" s="28"/>
      <c r="Z48" s="28"/>
      <c r="AA48" s="28"/>
      <c r="AB48" s="28"/>
      <c r="AC48" s="28"/>
      <c r="AD48" s="28"/>
      <c r="AE48" s="28"/>
      <c r="AF48" s="28"/>
      <c r="AG48" s="28"/>
      <c r="AH48" s="28"/>
      <c r="AI48" s="28"/>
      <c r="AJ48" s="28"/>
      <c r="AK48" s="28"/>
      <c r="AL48" s="28"/>
      <c r="AM48" s="31"/>
      <c r="AN48" s="31"/>
      <c r="AO48" s="31"/>
      <c r="AP48" s="31"/>
      <c r="AQ48" s="31"/>
      <c r="AR48" s="31"/>
      <c r="AS48" s="31"/>
      <c r="AT48" s="31"/>
      <c r="AU48" s="31"/>
      <c r="AV48" s="31"/>
      <c r="AW48" s="31"/>
      <c r="AX48" s="65"/>
      <c r="AY48" s="31"/>
      <c r="AZ48" s="52"/>
      <c r="BA48" s="93"/>
      <c r="BB48" s="327"/>
      <c r="BC48" s="328"/>
      <c r="BD48" s="28"/>
      <c r="BE48" s="35"/>
      <c r="BF48" s="35"/>
      <c r="BG48" s="35"/>
    </row>
    <row r="49" spans="1:87" ht="13.5" customHeight="1">
      <c r="A49" s="22"/>
      <c r="B49" s="202">
        <v>6</v>
      </c>
      <c r="C49" s="304" t="s">
        <v>32</v>
      </c>
      <c r="D49" s="205" t="s">
        <v>64</v>
      </c>
      <c r="E49" s="206"/>
      <c r="F49" s="206"/>
      <c r="G49" s="207"/>
      <c r="H49" s="208" t="s">
        <v>73</v>
      </c>
      <c r="I49" s="209"/>
      <c r="J49" s="209"/>
      <c r="K49" s="209"/>
      <c r="L49" s="206"/>
      <c r="M49" s="207"/>
      <c r="N49" s="205" t="s">
        <v>74</v>
      </c>
      <c r="O49" s="206"/>
      <c r="P49" s="206"/>
      <c r="Q49" s="207"/>
      <c r="R49" s="205" t="s">
        <v>75</v>
      </c>
      <c r="S49" s="206"/>
      <c r="T49" s="206"/>
      <c r="U49" s="206"/>
      <c r="V49" s="210" t="s">
        <v>292</v>
      </c>
      <c r="W49" s="211"/>
      <c r="X49" s="211"/>
      <c r="Y49" s="212"/>
      <c r="Z49" s="210" t="s">
        <v>150</v>
      </c>
      <c r="AA49" s="211"/>
      <c r="AB49" s="211"/>
      <c r="AC49" s="211"/>
      <c r="AD49" s="212"/>
      <c r="AE49" s="210" t="s">
        <v>293</v>
      </c>
      <c r="AF49" s="211"/>
      <c r="AG49" s="211"/>
      <c r="AH49" s="212"/>
      <c r="AI49" s="210" t="s">
        <v>162</v>
      </c>
      <c r="AJ49" s="211"/>
      <c r="AK49" s="211"/>
      <c r="AL49" s="212"/>
      <c r="AM49" s="211" t="s">
        <v>152</v>
      </c>
      <c r="AN49" s="211"/>
      <c r="AO49" s="211"/>
      <c r="AP49" s="212"/>
      <c r="AQ49" s="211" t="s">
        <v>197</v>
      </c>
      <c r="AR49" s="211"/>
      <c r="AS49" s="211"/>
      <c r="AT49" s="212"/>
      <c r="AU49" s="210" t="s">
        <v>199</v>
      </c>
      <c r="AV49" s="211"/>
      <c r="AW49" s="211"/>
      <c r="AX49" s="212"/>
      <c r="AY49" s="210" t="s">
        <v>83</v>
      </c>
      <c r="AZ49" s="211"/>
      <c r="BA49" s="211"/>
      <c r="BB49" s="212"/>
      <c r="BC49" s="210" t="s">
        <v>42</v>
      </c>
      <c r="BD49" s="211"/>
      <c r="BE49" s="211"/>
      <c r="BF49" s="212"/>
      <c r="BG49" s="211" t="s">
        <v>156</v>
      </c>
      <c r="BH49" s="211"/>
      <c r="BI49" s="212"/>
      <c r="BJ49" s="305" t="s">
        <v>86</v>
      </c>
      <c r="BK49" s="211"/>
      <c r="BL49" s="211"/>
      <c r="BM49" s="212"/>
      <c r="BN49" s="211" t="s">
        <v>69</v>
      </c>
      <c r="BO49" s="211"/>
      <c r="BP49" s="211"/>
      <c r="BQ49" s="212"/>
      <c r="BR49" s="28"/>
      <c r="BS49" s="28"/>
      <c r="BT49" s="28"/>
      <c r="BU49" s="28"/>
      <c r="BV49" s="28"/>
    </row>
    <row r="50" spans="1:87" ht="13.5" customHeight="1">
      <c r="A50" s="22"/>
      <c r="B50" s="202">
        <v>7</v>
      </c>
      <c r="C50" s="306"/>
      <c r="D50" s="213" t="s">
        <v>30</v>
      </c>
      <c r="E50" s="216"/>
      <c r="F50" s="214"/>
      <c r="G50" s="215"/>
      <c r="H50" s="213" t="s">
        <v>30</v>
      </c>
      <c r="I50" s="216"/>
      <c r="J50" s="216"/>
      <c r="K50" s="216"/>
      <c r="L50" s="214"/>
      <c r="M50" s="215"/>
      <c r="N50" s="213" t="s">
        <v>30</v>
      </c>
      <c r="O50" s="214"/>
      <c r="P50" s="214"/>
      <c r="Q50" s="215"/>
      <c r="R50" s="213" t="s">
        <v>30</v>
      </c>
      <c r="S50" s="216"/>
      <c r="T50" s="214"/>
      <c r="U50" s="214"/>
      <c r="V50" s="217" t="s">
        <v>43</v>
      </c>
      <c r="W50" s="218"/>
      <c r="X50" s="219"/>
      <c r="Y50" s="220"/>
      <c r="Z50" s="217" t="s">
        <v>30</v>
      </c>
      <c r="AA50" s="218"/>
      <c r="AB50" s="218"/>
      <c r="AC50" s="219"/>
      <c r="AD50" s="220"/>
      <c r="AE50" s="217" t="s">
        <v>43</v>
      </c>
      <c r="AF50" s="218"/>
      <c r="AG50" s="219"/>
      <c r="AH50" s="220"/>
      <c r="AI50" s="217" t="s">
        <v>30</v>
      </c>
      <c r="AJ50" s="218"/>
      <c r="AK50" s="219"/>
      <c r="AL50" s="220"/>
      <c r="AM50" s="218" t="s">
        <v>43</v>
      </c>
      <c r="AN50" s="218"/>
      <c r="AO50" s="219"/>
      <c r="AP50" s="220"/>
      <c r="AQ50" s="218" t="s">
        <v>198</v>
      </c>
      <c r="AR50" s="218"/>
      <c r="AS50" s="219"/>
      <c r="AT50" s="220"/>
      <c r="AU50" s="217" t="s">
        <v>155</v>
      </c>
      <c r="AV50" s="218"/>
      <c r="AW50" s="219"/>
      <c r="AX50" s="220"/>
      <c r="AY50" s="217" t="s">
        <v>155</v>
      </c>
      <c r="AZ50" s="218"/>
      <c r="BA50" s="219"/>
      <c r="BB50" s="220"/>
      <c r="BC50" s="217" t="s">
        <v>200</v>
      </c>
      <c r="BD50" s="218"/>
      <c r="BE50" s="219"/>
      <c r="BF50" s="220"/>
      <c r="BG50" s="218" t="s">
        <v>201</v>
      </c>
      <c r="BH50" s="218"/>
      <c r="BI50" s="220"/>
      <c r="BJ50" s="307" t="s">
        <v>43</v>
      </c>
      <c r="BK50" s="218"/>
      <c r="BL50" s="219"/>
      <c r="BM50" s="220"/>
      <c r="BN50" s="218" t="s">
        <v>43</v>
      </c>
      <c r="BO50" s="218"/>
      <c r="BP50" s="219"/>
      <c r="BQ50" s="220"/>
      <c r="BR50" s="28"/>
      <c r="BS50" s="28"/>
      <c r="BT50" s="28"/>
      <c r="BU50" s="28"/>
      <c r="BV50" s="28"/>
    </row>
    <row r="51" spans="1:87" ht="13.5" customHeight="1">
      <c r="A51" s="22"/>
      <c r="B51" s="202">
        <v>8</v>
      </c>
      <c r="C51" s="308">
        <v>1</v>
      </c>
      <c r="D51" s="148" t="s">
        <v>158</v>
      </c>
      <c r="E51" s="149"/>
      <c r="F51" s="149"/>
      <c r="G51" s="151"/>
      <c r="H51" s="242" t="s">
        <v>159</v>
      </c>
      <c r="I51" s="150"/>
      <c r="J51" s="150"/>
      <c r="K51" s="150"/>
      <c r="L51" s="161"/>
      <c r="M51" s="162"/>
      <c r="N51" s="242" t="s">
        <v>160</v>
      </c>
      <c r="O51" s="150"/>
      <c r="P51" s="150"/>
      <c r="Q51" s="99" t="s">
        <v>33</v>
      </c>
      <c r="R51" s="958">
        <v>70000</v>
      </c>
      <c r="S51" s="959"/>
      <c r="T51" s="959"/>
      <c r="U51" s="960"/>
      <c r="V51" s="148" t="s">
        <v>148</v>
      </c>
      <c r="W51" s="150"/>
      <c r="X51" s="150"/>
      <c r="Y51" s="99" t="s">
        <v>33</v>
      </c>
      <c r="Z51" s="998">
        <v>6.7299999999999999E-2</v>
      </c>
      <c r="AA51" s="999"/>
      <c r="AB51" s="999"/>
      <c r="AC51" s="999"/>
      <c r="AD51" s="1000"/>
      <c r="AE51" s="148" t="s">
        <v>148</v>
      </c>
      <c r="AF51" s="150"/>
      <c r="AG51" s="150"/>
      <c r="AH51" s="99" t="s">
        <v>33</v>
      </c>
      <c r="AI51" s="998">
        <v>0.1211</v>
      </c>
      <c r="AJ51" s="999"/>
      <c r="AK51" s="999"/>
      <c r="AL51" s="1000"/>
      <c r="AM51" s="998">
        <v>0.12</v>
      </c>
      <c r="AN51" s="999"/>
      <c r="AO51" s="999"/>
      <c r="AP51" s="1000"/>
      <c r="AQ51" s="1007">
        <v>0.01</v>
      </c>
      <c r="AR51" s="1008"/>
      <c r="AS51" s="1008"/>
      <c r="AT51" s="1009"/>
      <c r="AU51" s="998">
        <v>0.13589999999999999</v>
      </c>
      <c r="AV51" s="999"/>
      <c r="AW51" s="999"/>
      <c r="AX51" s="1000"/>
      <c r="AY51" s="998">
        <v>0.151</v>
      </c>
      <c r="AZ51" s="999"/>
      <c r="BA51" s="999"/>
      <c r="BB51" s="1000"/>
      <c r="BC51" s="998">
        <v>0.151</v>
      </c>
      <c r="BD51" s="999"/>
      <c r="BE51" s="999"/>
      <c r="BF51" s="1000"/>
      <c r="BG51" s="1001">
        <v>6.1000000000000004E-3</v>
      </c>
      <c r="BH51" s="1002"/>
      <c r="BI51" s="1003"/>
      <c r="BJ51" s="309" t="s">
        <v>208</v>
      </c>
      <c r="BK51" s="150"/>
      <c r="BL51" s="150"/>
      <c r="BM51" s="152"/>
      <c r="BN51" s="149" t="s">
        <v>30</v>
      </c>
      <c r="BO51" s="150"/>
      <c r="BP51" s="150"/>
      <c r="BQ51" s="152"/>
      <c r="BR51" s="28"/>
      <c r="BS51" s="28"/>
      <c r="BT51" s="28"/>
      <c r="BU51" s="28"/>
      <c r="BV51" s="28"/>
    </row>
    <row r="52" spans="1:87" ht="13.5" customHeight="1">
      <c r="A52" s="22"/>
      <c r="B52" s="202">
        <v>9</v>
      </c>
      <c r="C52" s="308">
        <v>2</v>
      </c>
      <c r="D52" s="148"/>
      <c r="E52" s="149"/>
      <c r="F52" s="149"/>
      <c r="G52" s="151"/>
      <c r="H52" s="242"/>
      <c r="I52" s="150"/>
      <c r="J52" s="150"/>
      <c r="K52" s="150"/>
      <c r="L52" s="161"/>
      <c r="M52" s="162"/>
      <c r="N52" s="242"/>
      <c r="O52" s="150"/>
      <c r="P52" s="150"/>
      <c r="Q52" s="99" t="s">
        <v>33</v>
      </c>
      <c r="R52" s="958"/>
      <c r="S52" s="959"/>
      <c r="T52" s="959"/>
      <c r="U52" s="960"/>
      <c r="V52" s="148"/>
      <c r="W52" s="150"/>
      <c r="X52" s="150"/>
      <c r="Y52" s="99" t="s">
        <v>33</v>
      </c>
      <c r="Z52" s="946"/>
      <c r="AA52" s="968"/>
      <c r="AB52" s="968"/>
      <c r="AC52" s="968"/>
      <c r="AD52" s="969"/>
      <c r="AE52" s="148"/>
      <c r="AF52" s="150"/>
      <c r="AG52" s="150"/>
      <c r="AH52" s="99" t="s">
        <v>33</v>
      </c>
      <c r="AI52" s="998"/>
      <c r="AJ52" s="999"/>
      <c r="AK52" s="999"/>
      <c r="AL52" s="1000"/>
      <c r="AM52" s="998"/>
      <c r="AN52" s="999"/>
      <c r="AO52" s="999"/>
      <c r="AP52" s="1000"/>
      <c r="AQ52" s="1007"/>
      <c r="AR52" s="1008"/>
      <c r="AS52" s="1008"/>
      <c r="AT52" s="1009"/>
      <c r="AU52" s="998"/>
      <c r="AV52" s="999"/>
      <c r="AW52" s="999"/>
      <c r="AX52" s="1000"/>
      <c r="AY52" s="998"/>
      <c r="AZ52" s="999"/>
      <c r="BA52" s="999"/>
      <c r="BB52" s="1000"/>
      <c r="BC52" s="998"/>
      <c r="BD52" s="999"/>
      <c r="BE52" s="999"/>
      <c r="BF52" s="1000"/>
      <c r="BG52" s="1001"/>
      <c r="BH52" s="1002"/>
      <c r="BI52" s="1003"/>
      <c r="BJ52" s="148"/>
      <c r="BK52" s="150"/>
      <c r="BL52" s="150"/>
      <c r="BM52" s="152"/>
      <c r="BN52" s="149"/>
      <c r="BO52" s="150"/>
      <c r="BP52" s="150"/>
      <c r="BQ52" s="152"/>
      <c r="BR52" s="28"/>
      <c r="BS52" s="28"/>
      <c r="BT52" s="28"/>
      <c r="BU52" s="28"/>
      <c r="BV52" s="28"/>
    </row>
    <row r="53" spans="1:87" ht="13.5" customHeight="1">
      <c r="A53" s="22"/>
      <c r="B53" s="202">
        <v>10</v>
      </c>
      <c r="C53" s="310"/>
      <c r="D53" s="65"/>
      <c r="E53" s="65"/>
      <c r="F53" s="65"/>
      <c r="G53" s="65"/>
      <c r="H53" s="65"/>
      <c r="I53" s="65"/>
      <c r="J53" s="65"/>
      <c r="K53" s="65"/>
      <c r="L53" s="65"/>
      <c r="M53" s="62"/>
      <c r="N53" s="63"/>
      <c r="O53" s="65"/>
      <c r="P53" s="65"/>
      <c r="Q53" s="64"/>
      <c r="R53" s="63"/>
      <c r="S53" s="190"/>
      <c r="T53" s="190"/>
      <c r="U53" s="191"/>
      <c r="V53" s="192"/>
      <c r="W53" s="190"/>
      <c r="X53" s="65"/>
      <c r="Y53" s="65"/>
      <c r="Z53" s="65"/>
      <c r="AA53" s="65"/>
      <c r="AB53" s="65"/>
      <c r="AC53" s="65"/>
      <c r="AD53" s="65"/>
      <c r="AE53" s="65"/>
      <c r="AF53" s="65"/>
      <c r="AG53" s="65"/>
      <c r="AH53" s="65"/>
      <c r="AI53" s="65"/>
      <c r="AJ53" s="65"/>
      <c r="AK53" s="65"/>
      <c r="AL53" s="65"/>
      <c r="AM53" s="63"/>
      <c r="AN53" s="63"/>
      <c r="AO53" s="63"/>
      <c r="AP53" s="63"/>
      <c r="AQ53" s="63"/>
      <c r="AR53" s="63"/>
      <c r="AS53" s="63"/>
      <c r="AT53" s="63"/>
      <c r="AU53" s="63"/>
      <c r="AV53" s="63"/>
      <c r="AW53" s="63"/>
      <c r="AX53" s="63"/>
      <c r="AY53" s="63"/>
      <c r="AZ53" s="31"/>
      <c r="BA53" s="35"/>
      <c r="BB53" s="35"/>
      <c r="BC53" s="311"/>
      <c r="BD53" s="28"/>
    </row>
    <row r="54" spans="1:87" ht="13.5" customHeight="1">
      <c r="A54" s="22"/>
      <c r="B54" s="202">
        <v>14</v>
      </c>
      <c r="C54" s="312"/>
      <c r="D54" s="65"/>
      <c r="E54" s="65"/>
      <c r="F54" s="65"/>
      <c r="G54" s="65"/>
      <c r="H54" s="65"/>
      <c r="I54" s="65"/>
      <c r="J54" s="65"/>
      <c r="K54" s="198"/>
      <c r="L54" s="65"/>
      <c r="M54" s="65"/>
      <c r="N54" s="65"/>
      <c r="O54" s="65"/>
      <c r="P54" s="65"/>
      <c r="Q54" s="198"/>
      <c r="R54" s="65"/>
      <c r="S54" s="65"/>
      <c r="T54" s="65"/>
      <c r="U54" s="198"/>
      <c r="V54" s="65"/>
      <c r="W54" s="65"/>
      <c r="X54" s="65"/>
      <c r="Y54" s="65"/>
      <c r="Z54" s="65"/>
      <c r="AA54" s="65"/>
      <c r="AB54" s="65"/>
      <c r="AC54" s="65"/>
      <c r="AD54" s="65"/>
      <c r="AE54" s="65"/>
      <c r="AF54" s="65"/>
      <c r="AG54" s="65"/>
      <c r="AH54" s="65"/>
      <c r="AI54" s="65"/>
      <c r="AJ54" s="125"/>
      <c r="AK54" s="112"/>
      <c r="AL54" s="62"/>
      <c r="AM54" s="63"/>
      <c r="AN54" s="63"/>
      <c r="AO54" s="63"/>
      <c r="AP54" s="63"/>
      <c r="AQ54" s="64"/>
      <c r="AR54" s="63"/>
      <c r="AS54" s="65"/>
      <c r="AT54" s="65"/>
      <c r="AU54" s="65"/>
      <c r="AV54" s="65"/>
      <c r="AW54" s="65"/>
      <c r="AX54" s="65"/>
      <c r="AY54" s="63"/>
      <c r="AZ54" s="31"/>
      <c r="BA54" s="35"/>
      <c r="BB54" s="35"/>
      <c r="BC54" s="311"/>
      <c r="BD54" s="28"/>
    </row>
    <row r="55" spans="1:87" ht="13.5" customHeight="1">
      <c r="A55" s="22"/>
      <c r="B55" s="202">
        <v>15</v>
      </c>
      <c r="C55" s="313" t="s">
        <v>71</v>
      </c>
      <c r="D55" s="223"/>
      <c r="E55" s="224"/>
      <c r="F55" s="223"/>
      <c r="G55" s="224"/>
      <c r="H55" s="225"/>
      <c r="I55" s="226"/>
      <c r="J55" s="227"/>
      <c r="K55" s="227"/>
      <c r="L55" s="227"/>
      <c r="M55" s="228"/>
      <c r="N55" s="227"/>
      <c r="O55" s="227"/>
      <c r="P55" s="227"/>
      <c r="Q55" s="229"/>
      <c r="R55" s="227"/>
      <c r="S55" s="227"/>
      <c r="T55" s="227"/>
      <c r="U55" s="227"/>
      <c r="V55" s="227"/>
      <c r="W55" s="229"/>
      <c r="X55" s="227"/>
      <c r="Y55" s="227"/>
      <c r="Z55" s="227"/>
      <c r="AA55" s="229"/>
      <c r="AB55" s="227"/>
      <c r="AC55" s="227"/>
      <c r="AD55" s="227"/>
      <c r="AE55" s="227"/>
      <c r="AF55" s="227"/>
      <c r="AG55" s="232"/>
      <c r="AH55" s="227"/>
      <c r="AI55" s="227"/>
      <c r="AJ55" s="227"/>
      <c r="AK55" s="227"/>
      <c r="AL55" s="227"/>
      <c r="AM55" s="227"/>
      <c r="AN55" s="227"/>
      <c r="AO55" s="227"/>
      <c r="AP55" s="227"/>
      <c r="AQ55" s="230"/>
      <c r="AR55" s="227"/>
      <c r="AS55" s="230"/>
      <c r="AT55" s="227"/>
      <c r="AU55" s="227"/>
      <c r="AV55" s="227"/>
      <c r="AW55" s="227"/>
      <c r="AX55" s="227"/>
      <c r="AY55" s="224"/>
      <c r="AZ55" s="224"/>
      <c r="BA55" s="231"/>
      <c r="BB55" s="231"/>
      <c r="BC55" s="314"/>
      <c r="BD55" s="28"/>
    </row>
    <row r="56" spans="1:87" ht="13.5" customHeight="1">
      <c r="A56" s="22"/>
      <c r="B56" s="202"/>
      <c r="C56" s="394"/>
      <c r="D56" s="62"/>
      <c r="E56" s="63"/>
      <c r="F56" s="62"/>
      <c r="G56" s="63"/>
      <c r="H56" s="398"/>
      <c r="I56" s="399"/>
      <c r="J56" s="74"/>
      <c r="K56" s="74"/>
      <c r="L56" s="74"/>
      <c r="M56" s="400"/>
      <c r="N56" s="74"/>
      <c r="O56" s="74"/>
      <c r="P56" s="74"/>
      <c r="Q56" s="401"/>
      <c r="R56" s="74"/>
      <c r="S56" s="74"/>
      <c r="T56" s="74"/>
      <c r="U56" s="74"/>
      <c r="V56" s="74"/>
      <c r="W56" s="401"/>
      <c r="X56" s="65"/>
      <c r="Y56" s="65"/>
      <c r="Z56" s="65"/>
      <c r="AA56" s="198"/>
      <c r="AB56" s="65"/>
      <c r="AC56" s="65"/>
      <c r="AD56" s="65"/>
      <c r="AE56" s="65"/>
      <c r="AF56" s="65"/>
      <c r="AG56" s="158"/>
      <c r="AH56" s="65"/>
      <c r="AI56" s="65"/>
      <c r="AJ56" s="65"/>
      <c r="AK56" s="65"/>
      <c r="AL56" s="65"/>
      <c r="AM56" s="65"/>
      <c r="AN56" s="65"/>
      <c r="AO56" s="65"/>
      <c r="AP56" s="65"/>
      <c r="AQ56" s="125"/>
      <c r="AR56" s="65"/>
      <c r="AS56" s="125"/>
      <c r="AT56" s="65"/>
      <c r="AU56" s="65"/>
      <c r="AV56" s="65"/>
      <c r="AW56" s="65"/>
      <c r="AX56" s="65"/>
      <c r="AY56" s="63"/>
      <c r="AZ56" s="103"/>
      <c r="BA56" s="396"/>
      <c r="BB56"/>
      <c r="BC56" s="397"/>
      <c r="BD56" s="28"/>
    </row>
    <row r="57" spans="1:87" ht="13.5" customHeight="1">
      <c r="A57" s="22"/>
      <c r="B57" s="202">
        <v>16</v>
      </c>
      <c r="C57" s="310"/>
      <c r="D57" s="65"/>
      <c r="E57" s="65"/>
      <c r="F57" s="65"/>
      <c r="G57" s="65"/>
      <c r="H57" s="65"/>
      <c r="I57" s="65"/>
      <c r="J57" s="65"/>
      <c r="K57" s="65"/>
      <c r="L57" s="65"/>
      <c r="M57" s="62"/>
      <c r="N57" s="65"/>
      <c r="O57" s="65"/>
      <c r="P57" s="63"/>
      <c r="Q57" s="64"/>
      <c r="R57" s="63"/>
      <c r="S57" s="111"/>
      <c r="T57" s="112"/>
      <c r="U57" s="111"/>
      <c r="V57" s="112"/>
      <c r="W57" s="111"/>
      <c r="X57" s="111"/>
      <c r="Y57" s="111"/>
      <c r="Z57" s="111"/>
      <c r="AA57" s="65"/>
      <c r="AB57" s="65"/>
      <c r="AC57" s="65"/>
      <c r="AD57" s="65"/>
      <c r="AE57" s="65"/>
      <c r="AF57" s="65"/>
      <c r="AG57" s="65"/>
      <c r="AH57" s="65"/>
      <c r="AI57" s="65"/>
      <c r="AJ57" s="65"/>
      <c r="AK57" s="65"/>
      <c r="AL57" s="65"/>
      <c r="AM57" s="65"/>
      <c r="AN57" s="65"/>
      <c r="AO57" s="65"/>
      <c r="AP57" s="65"/>
      <c r="AQ57" s="65"/>
      <c r="AR57" s="65"/>
      <c r="AS57" s="65"/>
      <c r="AT57" s="65"/>
      <c r="AU57" s="65"/>
      <c r="AV57" s="65"/>
      <c r="AW57" s="65"/>
      <c r="AX57" s="65"/>
      <c r="AY57" s="63"/>
      <c r="AZ57" s="53"/>
      <c r="BA57" s="323"/>
      <c r="BB57" s="324"/>
      <c r="BC57" s="326"/>
      <c r="BD57" s="28"/>
    </row>
    <row r="58" spans="1:87" ht="13.5" customHeight="1">
      <c r="A58" s="22"/>
      <c r="B58" s="202">
        <v>17</v>
      </c>
      <c r="C58" s="310"/>
      <c r="D58" s="65"/>
      <c r="E58" s="65"/>
      <c r="F58" s="65"/>
      <c r="G58" s="65"/>
      <c r="H58" s="126"/>
      <c r="I58" s="65"/>
      <c r="J58" s="65"/>
      <c r="K58" s="65"/>
      <c r="L58" s="198"/>
      <c r="M58" s="65"/>
      <c r="N58" s="65"/>
      <c r="O58" s="65"/>
      <c r="P58" s="198"/>
      <c r="Q58" s="65"/>
      <c r="R58" s="65"/>
      <c r="S58" s="65"/>
      <c r="T58" s="198"/>
      <c r="U58" s="65"/>
      <c r="V58" s="65"/>
      <c r="W58" s="65"/>
      <c r="X58" s="65"/>
      <c r="Y58" s="65"/>
      <c r="Z58" s="65"/>
      <c r="AA58" s="65"/>
      <c r="AB58" s="65"/>
      <c r="AC58" s="65"/>
      <c r="AD58" s="65"/>
      <c r="AE58" s="65"/>
      <c r="AF58" s="65"/>
      <c r="AG58" s="65"/>
      <c r="AH58" s="65"/>
      <c r="AI58" s="65"/>
      <c r="AJ58" s="65"/>
      <c r="AK58" s="125"/>
      <c r="AL58" s="65"/>
      <c r="AM58" s="65"/>
      <c r="AN58" s="65"/>
      <c r="AO58" s="65"/>
      <c r="AP58" s="65"/>
      <c r="AQ58" s="65"/>
      <c r="AR58" s="65"/>
      <c r="AS58" s="65"/>
      <c r="AT58" s="65"/>
      <c r="AU58" s="65"/>
      <c r="AV58" s="65"/>
      <c r="AW58" s="65"/>
      <c r="AX58" s="65"/>
      <c r="AY58" s="63"/>
      <c r="AZ58" s="31"/>
      <c r="BA58" s="30"/>
      <c r="BB58" s="175"/>
      <c r="BC58" s="326"/>
      <c r="BD58" s="28"/>
      <c r="BM58" s="1046">
        <f>1-(0.0673/0.1359)</f>
        <v>0.50478292862398821</v>
      </c>
      <c r="BN58" s="1046"/>
      <c r="BO58" s="1046"/>
      <c r="BP58" s="1046"/>
    </row>
    <row r="59" spans="1:87" ht="5.15" customHeight="1">
      <c r="A59" s="22"/>
      <c r="B59" s="202"/>
      <c r="C59" s="315"/>
      <c r="D59" s="73"/>
      <c r="E59" s="73"/>
      <c r="F59" s="73"/>
      <c r="G59" s="73"/>
      <c r="H59" s="316"/>
      <c r="I59" s="275"/>
      <c r="J59" s="273"/>
      <c r="K59" s="275"/>
      <c r="L59" s="273"/>
      <c r="M59" s="317"/>
      <c r="N59" s="317"/>
      <c r="O59" s="270"/>
      <c r="P59" s="317"/>
      <c r="Q59" s="270"/>
      <c r="R59" s="317"/>
      <c r="S59" s="73"/>
      <c r="T59" s="73"/>
      <c r="U59" s="73"/>
      <c r="V59" s="73"/>
      <c r="W59" s="73"/>
      <c r="X59" s="316"/>
      <c r="Y59" s="275"/>
      <c r="Z59" s="273"/>
      <c r="AA59" s="275"/>
      <c r="AB59" s="273"/>
      <c r="AC59" s="317"/>
      <c r="AD59" s="317"/>
      <c r="AE59" s="270"/>
      <c r="AF59" s="317"/>
      <c r="AG59" s="270"/>
      <c r="AH59" s="317"/>
      <c r="AI59" s="276"/>
      <c r="AJ59" s="317"/>
      <c r="AK59" s="270"/>
      <c r="AL59" s="73"/>
      <c r="AM59" s="73"/>
      <c r="AN59" s="73"/>
      <c r="AO59" s="73"/>
      <c r="AP59" s="73"/>
      <c r="AQ59" s="73"/>
      <c r="AR59" s="73"/>
      <c r="AS59" s="73"/>
      <c r="AT59" s="73"/>
      <c r="AU59" s="73"/>
      <c r="AV59" s="318"/>
      <c r="AW59" s="73"/>
      <c r="AX59" s="73"/>
      <c r="AY59" s="269"/>
      <c r="AZ59" s="269"/>
      <c r="BA59" s="319"/>
      <c r="BB59" s="320"/>
      <c r="BC59" s="321"/>
      <c r="BD59" s="28"/>
    </row>
    <row r="60" spans="1:87" ht="13.5" customHeight="1">
      <c r="A60" s="22"/>
      <c r="B60" s="202">
        <v>18</v>
      </c>
      <c r="C60" s="75"/>
      <c r="D60" s="63"/>
      <c r="E60" s="63"/>
      <c r="F60" s="63"/>
      <c r="G60" s="63"/>
      <c r="H60" s="69"/>
      <c r="I60" s="69"/>
      <c r="J60" s="65"/>
      <c r="K60" s="69"/>
      <c r="L60" s="65"/>
      <c r="M60" s="69"/>
      <c r="N60" s="64"/>
      <c r="O60" s="69"/>
      <c r="P60" s="65"/>
      <c r="Q60" s="65"/>
      <c r="R60" s="65"/>
      <c r="S60" s="63"/>
      <c r="T60" s="63"/>
      <c r="U60" s="63"/>
      <c r="V60" s="63"/>
      <c r="W60" s="63"/>
      <c r="X60" s="64"/>
      <c r="Y60" s="63"/>
      <c r="Z60" s="65"/>
      <c r="AA60" s="64"/>
      <c r="AB60" s="63"/>
      <c r="AC60" s="65"/>
      <c r="AD60" s="64"/>
      <c r="AE60" s="65"/>
      <c r="AF60" s="65"/>
      <c r="AG60" s="64"/>
      <c r="AH60" s="65"/>
      <c r="AI60" s="65"/>
      <c r="AJ60" s="126"/>
      <c r="AK60" s="65"/>
      <c r="AL60" s="65"/>
      <c r="AM60" s="65"/>
      <c r="AN60" s="65"/>
      <c r="AO60" s="65"/>
      <c r="AP60" s="65"/>
      <c r="AQ60" s="65"/>
      <c r="AR60" s="65"/>
      <c r="AS60" s="65"/>
      <c r="AT60" s="65"/>
      <c r="AU60" s="65"/>
      <c r="AV60" s="65"/>
      <c r="AW60" s="65"/>
      <c r="AX60" s="65"/>
      <c r="AY60" s="63"/>
      <c r="AZ60" s="264"/>
      <c r="BA60" s="301"/>
      <c r="BB60" s="302"/>
      <c r="BC60" s="343"/>
      <c r="BD60" s="28"/>
    </row>
    <row r="61" spans="1:87" ht="13.5" customHeight="1">
      <c r="A61" s="22"/>
      <c r="B61" s="202">
        <v>20</v>
      </c>
      <c r="C61" s="204" t="s">
        <v>78</v>
      </c>
      <c r="D61" s="28"/>
      <c r="E61" s="28"/>
      <c r="F61" s="28"/>
      <c r="G61" s="28"/>
      <c r="H61" s="121"/>
      <c r="I61" s="62"/>
      <c r="J61" s="63"/>
      <c r="K61" s="62"/>
      <c r="L61" s="63"/>
      <c r="M61" s="69"/>
      <c r="N61" s="69"/>
      <c r="O61" s="65"/>
      <c r="P61" s="69"/>
      <c r="Q61" s="65"/>
      <c r="R61" s="69"/>
      <c r="S61" s="28"/>
      <c r="T61" s="28"/>
      <c r="U61" s="28"/>
      <c r="V61" s="28"/>
      <c r="W61" s="28"/>
      <c r="X61" s="121"/>
      <c r="Y61" s="62"/>
      <c r="Z61" s="63"/>
      <c r="AA61" s="62"/>
      <c r="AB61" s="63"/>
      <c r="AC61" s="69"/>
      <c r="AD61" s="69"/>
      <c r="AE61" s="65"/>
      <c r="AF61" s="69"/>
      <c r="AG61" s="65"/>
      <c r="AH61" s="69"/>
      <c r="AI61" s="64"/>
      <c r="AJ61" s="69"/>
      <c r="AK61" s="65"/>
      <c r="AL61" s="28"/>
      <c r="AM61" s="28"/>
      <c r="AN61" s="28"/>
      <c r="AO61" s="28"/>
      <c r="AP61" s="28"/>
      <c r="AQ61" s="28"/>
      <c r="AR61" s="28"/>
      <c r="AS61" s="28"/>
      <c r="AT61" s="28"/>
      <c r="AU61" s="28"/>
      <c r="AV61" s="233"/>
      <c r="AW61" s="28"/>
      <c r="AX61" s="28"/>
      <c r="AY61" s="31"/>
      <c r="AZ61" s="269"/>
      <c r="BA61" s="319"/>
      <c r="BB61" s="320"/>
      <c r="BC61" s="344"/>
      <c r="BD61" s="28"/>
    </row>
    <row r="62" spans="1:87" ht="5.15" customHeight="1">
      <c r="A62" s="22"/>
      <c r="B62" s="202"/>
      <c r="C62" s="296"/>
      <c r="D62" s="72"/>
      <c r="E62" s="72"/>
      <c r="F62" s="72"/>
      <c r="G62" s="72"/>
      <c r="H62" s="297"/>
      <c r="I62" s="278"/>
      <c r="J62" s="279"/>
      <c r="K62" s="278"/>
      <c r="L62" s="279"/>
      <c r="M62" s="298"/>
      <c r="N62" s="298"/>
      <c r="O62" s="263"/>
      <c r="P62" s="298"/>
      <c r="Q62" s="263"/>
      <c r="R62" s="298"/>
      <c r="S62" s="72"/>
      <c r="T62" s="72"/>
      <c r="U62" s="72"/>
      <c r="V62" s="72"/>
      <c r="W62" s="72"/>
      <c r="X62" s="297"/>
      <c r="Y62" s="278"/>
      <c r="Z62" s="279"/>
      <c r="AA62" s="278"/>
      <c r="AB62" s="279"/>
      <c r="AC62" s="298"/>
      <c r="AD62" s="298"/>
      <c r="AE62" s="263"/>
      <c r="AF62" s="298"/>
      <c r="AG62" s="263"/>
      <c r="AH62" s="298"/>
      <c r="AI62" s="280"/>
      <c r="AJ62" s="298"/>
      <c r="AK62" s="263"/>
      <c r="AL62" s="72"/>
      <c r="AM62" s="72"/>
      <c r="AN62" s="72"/>
      <c r="AO62" s="72"/>
      <c r="AP62" s="72"/>
      <c r="AQ62" s="72"/>
      <c r="AR62" s="72"/>
      <c r="AS62" s="72"/>
      <c r="AT62" s="72"/>
      <c r="AU62" s="72"/>
      <c r="AV62" s="300"/>
      <c r="AW62" s="72"/>
      <c r="AX62" s="72"/>
      <c r="AY62" s="264"/>
      <c r="AZ62" s="264"/>
      <c r="BA62" s="301"/>
      <c r="BB62" s="302"/>
      <c r="BC62" s="303"/>
      <c r="BD62" s="28"/>
    </row>
    <row r="63" spans="1:87" ht="13.5" customHeight="1">
      <c r="A63" s="22"/>
      <c r="B63" s="202">
        <v>21</v>
      </c>
      <c r="C63" s="304" t="s">
        <v>32</v>
      </c>
      <c r="D63" s="234" t="s">
        <v>260</v>
      </c>
      <c r="E63" s="235"/>
      <c r="F63" s="234" t="s">
        <v>64</v>
      </c>
      <c r="G63" s="235"/>
      <c r="H63" s="235"/>
      <c r="I63" s="236"/>
      <c r="J63" s="237" t="s">
        <v>34</v>
      </c>
      <c r="K63" s="238"/>
      <c r="L63" s="238"/>
      <c r="M63" s="238"/>
      <c r="N63" s="235"/>
      <c r="O63" s="236"/>
      <c r="P63" s="239" t="s">
        <v>67</v>
      </c>
      <c r="Q63" s="240"/>
      <c r="R63" s="240"/>
      <c r="S63" s="241"/>
      <c r="T63" s="239" t="s">
        <v>151</v>
      </c>
      <c r="U63" s="240"/>
      <c r="V63" s="240"/>
      <c r="W63" s="241"/>
      <c r="X63" s="234" t="s">
        <v>79</v>
      </c>
      <c r="Y63" s="235"/>
      <c r="Z63" s="235"/>
      <c r="AA63" s="236"/>
      <c r="AB63" s="234" t="s">
        <v>150</v>
      </c>
      <c r="AC63" s="235"/>
      <c r="AD63" s="235"/>
      <c r="AE63" s="235"/>
      <c r="AF63" s="239" t="s">
        <v>65</v>
      </c>
      <c r="AG63" s="240"/>
      <c r="AH63" s="240"/>
      <c r="AI63" s="240"/>
      <c r="AJ63" s="241"/>
      <c r="AK63" s="240" t="s">
        <v>210</v>
      </c>
      <c r="AL63" s="240"/>
      <c r="AM63" s="240"/>
      <c r="AN63" s="241"/>
      <c r="AO63" s="240" t="s">
        <v>162</v>
      </c>
      <c r="AP63" s="240"/>
      <c r="AQ63" s="240"/>
      <c r="AR63" s="241"/>
      <c r="AS63" s="240" t="s">
        <v>211</v>
      </c>
      <c r="AT63" s="240"/>
      <c r="AU63" s="240"/>
      <c r="AV63" s="241"/>
      <c r="AW63" s="240" t="s">
        <v>66</v>
      </c>
      <c r="AX63" s="240"/>
      <c r="AY63" s="240"/>
      <c r="AZ63" s="241"/>
      <c r="BA63" s="239" t="s">
        <v>213</v>
      </c>
      <c r="BB63" s="240"/>
      <c r="BC63" s="240"/>
      <c r="BD63" s="240"/>
      <c r="BE63" s="239" t="s">
        <v>199</v>
      </c>
      <c r="BF63" s="240"/>
      <c r="BG63" s="240"/>
      <c r="BH63" s="241"/>
      <c r="BI63" s="239" t="s">
        <v>214</v>
      </c>
      <c r="BJ63" s="240"/>
      <c r="BK63" s="240"/>
      <c r="BL63" s="241"/>
      <c r="BM63" s="239" t="s">
        <v>236</v>
      </c>
      <c r="BN63" s="240"/>
      <c r="BO63" s="240"/>
      <c r="BP63" s="241"/>
      <c r="BQ63" s="239" t="s">
        <v>83</v>
      </c>
      <c r="BR63" s="240"/>
      <c r="BS63" s="240"/>
      <c r="BT63" s="241"/>
      <c r="BU63" s="239" t="s">
        <v>84</v>
      </c>
      <c r="BV63" s="240"/>
      <c r="BW63" s="240"/>
      <c r="BX63" s="241"/>
      <c r="BY63" s="240" t="s">
        <v>85</v>
      </c>
      <c r="BZ63" s="240"/>
      <c r="CA63" s="241"/>
      <c r="CB63" s="240" t="s">
        <v>86</v>
      </c>
      <c r="CC63" s="240"/>
      <c r="CD63" s="240"/>
      <c r="CE63" s="241"/>
      <c r="CF63" s="240" t="s">
        <v>69</v>
      </c>
      <c r="CG63" s="240"/>
      <c r="CH63" s="240"/>
      <c r="CI63" s="241"/>
    </row>
    <row r="64" spans="1:87" ht="13.5" customHeight="1">
      <c r="A64" s="22"/>
      <c r="B64" s="202">
        <v>22</v>
      </c>
      <c r="C64" s="308">
        <v>1</v>
      </c>
      <c r="D64" s="148" t="str">
        <f>N51</f>
        <v>KFH</v>
      </c>
      <c r="E64" s="149"/>
      <c r="F64" s="148" t="str">
        <f>D51</f>
        <v>4800215830</v>
      </c>
      <c r="G64" s="149"/>
      <c r="H64" s="149"/>
      <c r="I64" s="151"/>
      <c r="J64" s="242" t="str">
        <f>H51</f>
        <v>TF38-20S-0.5SV(830)</v>
      </c>
      <c r="K64" s="150"/>
      <c r="L64" s="150"/>
      <c r="M64" s="150"/>
      <c r="N64" s="161"/>
      <c r="O64" s="162"/>
      <c r="P64" s="148" t="s">
        <v>149</v>
      </c>
      <c r="Q64" s="150"/>
      <c r="R64" s="150"/>
      <c r="S64" s="162"/>
      <c r="T64" s="148" t="str">
        <f>AE51</f>
        <v>USD</v>
      </c>
      <c r="U64" s="150"/>
      <c r="V64" s="150"/>
      <c r="W64" s="162"/>
      <c r="X64" s="958">
        <f>R51</f>
        <v>70000</v>
      </c>
      <c r="Y64" s="959"/>
      <c r="Z64" s="959"/>
      <c r="AA64" s="960"/>
      <c r="AB64" s="998">
        <f>Z51</f>
        <v>6.7299999999999999E-2</v>
      </c>
      <c r="AC64" s="999"/>
      <c r="AD64" s="999"/>
      <c r="AE64" s="1000"/>
      <c r="AF64" s="998">
        <f>BC51</f>
        <v>0.151</v>
      </c>
      <c r="AG64" s="999"/>
      <c r="AH64" s="999"/>
      <c r="AI64" s="999"/>
      <c r="AJ64" s="1000"/>
      <c r="AK64" s="998">
        <f>AM51</f>
        <v>0.12</v>
      </c>
      <c r="AL64" s="999"/>
      <c r="AM64" s="999"/>
      <c r="AN64" s="1000"/>
      <c r="AO64" s="998">
        <f>AI51</f>
        <v>0.1211</v>
      </c>
      <c r="AP64" s="999"/>
      <c r="AQ64" s="999"/>
      <c r="AR64" s="1000"/>
      <c r="AS64" s="998">
        <f>AI51/(1-AQ51)</f>
        <v>0.12232323232323232</v>
      </c>
      <c r="AT64" s="999"/>
      <c r="AU64" s="999"/>
      <c r="AV64" s="1000"/>
      <c r="AW64" s="998">
        <f>AO64-(AS64*$K$20)</f>
        <v>0.11498383838383838</v>
      </c>
      <c r="AX64" s="999"/>
      <c r="AY64" s="999"/>
      <c r="AZ64" s="1000"/>
      <c r="BA64" s="979">
        <f>IFERROR((AI51-AM51)/AM51,"")</f>
        <v>9.1666666666666979E-3</v>
      </c>
      <c r="BB64" s="980"/>
      <c r="BC64" s="980"/>
      <c r="BD64" s="981"/>
      <c r="BE64" s="1030">
        <f>AU51</f>
        <v>0.13589999999999999</v>
      </c>
      <c r="BF64" s="1031"/>
      <c r="BG64" s="1031"/>
      <c r="BH64" s="1032"/>
      <c r="BI64" s="982">
        <f>1-AI51/(1-AQ51)/AU51</f>
        <v>9.990263191146187E-2</v>
      </c>
      <c r="BJ64" s="983"/>
      <c r="BK64" s="983"/>
      <c r="BL64" s="984"/>
      <c r="BM64" s="982">
        <f>1-AB64/BE64</f>
        <v>0.50478292862398821</v>
      </c>
      <c r="BN64" s="983"/>
      <c r="BO64" s="983"/>
      <c r="BP64" s="984"/>
      <c r="BQ64" s="1001">
        <f>AY51</f>
        <v>0.151</v>
      </c>
      <c r="BR64" s="1002"/>
      <c r="BS64" s="1002"/>
      <c r="BT64" s="1003"/>
      <c r="BU64" s="982">
        <f>1-AU51/AY51</f>
        <v>9.9999999999999978E-2</v>
      </c>
      <c r="BV64" s="983"/>
      <c r="BW64" s="983"/>
      <c r="BX64" s="984"/>
      <c r="BY64" s="998">
        <f>BG51</f>
        <v>6.1000000000000004E-3</v>
      </c>
      <c r="BZ64" s="999"/>
      <c r="CA64" s="1000"/>
      <c r="CB64" s="149" t="str">
        <f>BJ51</f>
        <v>JAE</v>
      </c>
      <c r="CC64" s="150"/>
      <c r="CD64" s="150"/>
      <c r="CE64" s="152"/>
      <c r="CF64" s="149" t="s">
        <v>30</v>
      </c>
      <c r="CG64" s="150"/>
      <c r="CH64" s="150"/>
      <c r="CI64" s="152"/>
    </row>
    <row r="65" spans="1:87" ht="13.5" customHeight="1">
      <c r="A65" s="22"/>
      <c r="B65" s="489">
        <v>20</v>
      </c>
      <c r="C65" s="204" t="s">
        <v>281</v>
      </c>
      <c r="D65" s="28"/>
      <c r="E65" s="28"/>
      <c r="F65" s="28"/>
      <c r="G65" s="28"/>
      <c r="H65" s="121"/>
      <c r="I65" s="62"/>
      <c r="J65" s="63"/>
      <c r="K65" s="62"/>
      <c r="L65" s="63"/>
      <c r="M65" s="69"/>
      <c r="N65" s="69"/>
      <c r="O65" s="65"/>
      <c r="P65" s="69"/>
      <c r="Q65" s="65"/>
      <c r="R65" s="69"/>
      <c r="S65" s="28"/>
      <c r="T65" s="28"/>
      <c r="U65" s="28"/>
      <c r="V65" s="28"/>
      <c r="W65" s="28"/>
      <c r="X65" s="121"/>
      <c r="Y65" s="62"/>
      <c r="Z65" s="63"/>
      <c r="AA65" s="62"/>
      <c r="AB65" s="63"/>
      <c r="AC65" s="69"/>
      <c r="AD65" s="69"/>
      <c r="AE65" s="65"/>
      <c r="AF65" s="69"/>
      <c r="AG65" s="65"/>
      <c r="AH65" s="69"/>
      <c r="AI65" s="64"/>
      <c r="AJ65" s="69"/>
      <c r="AK65" s="65"/>
      <c r="AL65" s="28"/>
      <c r="AM65" s="28"/>
      <c r="AN65" s="28"/>
      <c r="AO65" s="28"/>
      <c r="AP65" s="28"/>
      <c r="AQ65" s="28"/>
      <c r="AR65" s="28"/>
      <c r="AS65" s="28"/>
      <c r="AT65" s="28"/>
      <c r="AU65" s="28"/>
      <c r="AV65" s="233"/>
      <c r="AW65" s="28"/>
      <c r="AX65" s="28"/>
      <c r="AY65" s="31"/>
      <c r="AZ65" s="52"/>
      <c r="BA65" s="93"/>
      <c r="BB65" s="327"/>
      <c r="BC65" s="328"/>
      <c r="BD65" s="26"/>
      <c r="BE65" s="26"/>
      <c r="BF65" s="26"/>
    </row>
    <row r="66" spans="1:87" ht="13.5" customHeight="1">
      <c r="A66" s="22"/>
      <c r="B66" s="202">
        <v>24</v>
      </c>
      <c r="C66" s="304"/>
      <c r="D66" s="502" t="s">
        <v>280</v>
      </c>
      <c r="E66" s="503"/>
      <c r="F66" s="504" t="s">
        <v>294</v>
      </c>
      <c r="G66" s="503"/>
      <c r="H66" s="503"/>
      <c r="I66" s="505"/>
      <c r="J66" s="504" t="s">
        <v>30</v>
      </c>
      <c r="K66" s="506"/>
      <c r="L66" s="506"/>
      <c r="M66" s="506"/>
      <c r="N66" s="503"/>
      <c r="O66" s="505"/>
      <c r="P66" s="511" t="s">
        <v>30</v>
      </c>
      <c r="Q66" s="508"/>
      <c r="R66" s="508"/>
      <c r="S66" s="509"/>
      <c r="T66" s="502"/>
      <c r="U66" s="503"/>
      <c r="V66" s="503"/>
      <c r="W66" s="505"/>
      <c r="X66" s="508" t="s">
        <v>239</v>
      </c>
      <c r="Y66" s="503"/>
      <c r="Z66" s="503"/>
      <c r="AA66" s="503"/>
      <c r="AB66" s="507" t="s">
        <v>234</v>
      </c>
      <c r="AC66" s="503"/>
      <c r="AD66" s="503"/>
      <c r="AE66" s="503"/>
      <c r="AF66" s="507" t="s">
        <v>235</v>
      </c>
      <c r="AG66" s="508"/>
      <c r="AH66" s="508"/>
      <c r="AI66" s="508"/>
      <c r="AJ66" s="509"/>
      <c r="AK66" s="507" t="s">
        <v>236</v>
      </c>
      <c r="AL66" s="508"/>
      <c r="AM66" s="508"/>
      <c r="AN66" s="509"/>
      <c r="AO66" s="507" t="s">
        <v>237</v>
      </c>
      <c r="AP66" s="508"/>
      <c r="AQ66" s="508"/>
      <c r="AR66" s="509"/>
      <c r="AS66" s="507" t="s">
        <v>238</v>
      </c>
      <c r="AT66" s="508"/>
      <c r="AU66" s="508"/>
      <c r="AV66" s="508"/>
      <c r="AW66" s="511" t="s">
        <v>30</v>
      </c>
      <c r="AX66" s="508"/>
      <c r="AY66" s="508"/>
      <c r="AZ66" s="509"/>
      <c r="BA66" s="511"/>
      <c r="BB66" s="508"/>
      <c r="BC66" s="508"/>
      <c r="BD66" s="509"/>
      <c r="BE66" s="513"/>
      <c r="BF66" s="508"/>
      <c r="BG66" s="508"/>
      <c r="BH66" s="509"/>
      <c r="BI66" s="513" t="s">
        <v>30</v>
      </c>
      <c r="BJ66" s="508"/>
      <c r="BK66" s="508"/>
      <c r="BL66" s="509"/>
      <c r="BM66" s="513" t="s">
        <v>30</v>
      </c>
      <c r="BN66" s="508"/>
      <c r="BO66" s="508"/>
      <c r="BP66" s="509"/>
      <c r="BQ66" s="513" t="s">
        <v>30</v>
      </c>
      <c r="BR66" s="508"/>
      <c r="BS66" s="508"/>
      <c r="BT66" s="509"/>
      <c r="BU66" s="508"/>
      <c r="BV66" s="508"/>
      <c r="BW66" s="508"/>
      <c r="BX66" s="509"/>
      <c r="BY66" s="513" t="s">
        <v>30</v>
      </c>
      <c r="BZ66" s="508"/>
      <c r="CA66" s="509"/>
      <c r="CB66" s="508"/>
      <c r="CC66" s="508"/>
      <c r="CD66" s="508"/>
      <c r="CE66" s="509"/>
      <c r="CF66" s="508"/>
      <c r="CG66" s="508"/>
      <c r="CH66" s="508"/>
      <c r="CI66" s="509"/>
    </row>
    <row r="67" spans="1:87" ht="13.5" customHeight="1">
      <c r="A67" s="22"/>
      <c r="B67" s="202">
        <v>25</v>
      </c>
      <c r="C67" s="308">
        <v>1</v>
      </c>
      <c r="D67" s="148" t="s">
        <v>160</v>
      </c>
      <c r="E67" s="149"/>
      <c r="F67" s="148" t="s">
        <v>148</v>
      </c>
      <c r="G67" s="149"/>
      <c r="H67" s="149"/>
      <c r="I67" s="151"/>
      <c r="J67" s="221"/>
      <c r="K67" s="222"/>
      <c r="L67" s="222"/>
      <c r="M67" s="222"/>
      <c r="N67" s="161"/>
      <c r="O67" s="162"/>
      <c r="P67" s="148"/>
      <c r="Q67" s="150"/>
      <c r="R67" s="150"/>
      <c r="S67" s="162"/>
      <c r="T67" s="119"/>
      <c r="U67" s="120"/>
      <c r="V67" s="120"/>
      <c r="W67" s="162"/>
      <c r="X67" s="946">
        <f>SUMPRODUCT(X$64:AA$64,BE$64:BH$64)</f>
        <v>9513</v>
      </c>
      <c r="Y67" s="968"/>
      <c r="Z67" s="968"/>
      <c r="AA67" s="969"/>
      <c r="AB67" s="946">
        <f>SUMPRODUCT(X$64:AA$64,AB$64:AE$64)</f>
        <v>4711</v>
      </c>
      <c r="AC67" s="968"/>
      <c r="AD67" s="968"/>
      <c r="AE67" s="969"/>
      <c r="AF67" s="946">
        <f>X67-AB67</f>
        <v>4802</v>
      </c>
      <c r="AG67" s="968"/>
      <c r="AH67" s="968"/>
      <c r="AI67" s="968"/>
      <c r="AJ67" s="969"/>
      <c r="AK67" s="952">
        <f>AF67/X67</f>
        <v>0.50478292862398821</v>
      </c>
      <c r="AL67" s="953"/>
      <c r="AM67" s="953"/>
      <c r="AN67" s="954"/>
      <c r="AO67" s="952">
        <f>IFERROR(AS67/(X67-AS67),"")</f>
        <v>0.13249999999999998</v>
      </c>
      <c r="AP67" s="953"/>
      <c r="AQ67" s="953"/>
      <c r="AR67" s="954"/>
      <c r="AS67" s="1047">
        <f>X$64*(BE$64-AK$64)</f>
        <v>1112.9999999999998</v>
      </c>
      <c r="AT67" s="1048"/>
      <c r="AU67" s="1048"/>
      <c r="AV67" s="1049"/>
      <c r="AW67" s="1023"/>
      <c r="AX67" s="1024"/>
      <c r="AY67" s="1024"/>
      <c r="AZ67" s="1025"/>
      <c r="BA67" s="973"/>
      <c r="BB67" s="974"/>
      <c r="BC67" s="974"/>
      <c r="BD67" s="975"/>
      <c r="BE67" s="982"/>
      <c r="BF67" s="983"/>
      <c r="BG67" s="983"/>
      <c r="BH67" s="984"/>
      <c r="BI67" s="149" t="s">
        <v>30</v>
      </c>
      <c r="BJ67" s="150"/>
      <c r="BK67" s="150"/>
      <c r="BL67" s="152"/>
      <c r="BM67" s="149" t="s">
        <v>30</v>
      </c>
      <c r="BN67" s="150"/>
      <c r="BO67" s="150"/>
      <c r="BP67" s="152"/>
      <c r="BQ67" s="149" t="s">
        <v>30</v>
      </c>
      <c r="BR67" s="150"/>
      <c r="BS67" s="150"/>
      <c r="BT67" s="152"/>
      <c r="BU67" s="149" t="s">
        <v>30</v>
      </c>
      <c r="BV67" s="150"/>
      <c r="BW67" s="150"/>
      <c r="BX67" s="152"/>
      <c r="BY67" s="149" t="s">
        <v>30</v>
      </c>
      <c r="BZ67" s="150"/>
      <c r="CA67" s="152"/>
      <c r="CB67" s="149" t="s">
        <v>30</v>
      </c>
      <c r="CC67" s="150"/>
      <c r="CD67" s="150"/>
      <c r="CE67" s="152"/>
      <c r="CF67" s="149" t="s">
        <v>30</v>
      </c>
      <c r="CG67" s="150"/>
      <c r="CH67" s="150"/>
      <c r="CI67" s="152"/>
    </row>
    <row r="68" spans="1:87" ht="13.5" customHeight="1">
      <c r="A68" s="22"/>
      <c r="B68" s="202">
        <v>25</v>
      </c>
      <c r="C68" s="308">
        <v>2</v>
      </c>
      <c r="D68" s="148" t="s">
        <v>160</v>
      </c>
      <c r="E68" s="149"/>
      <c r="F68" s="148" t="s">
        <v>207</v>
      </c>
      <c r="G68" s="149"/>
      <c r="H68" s="149"/>
      <c r="I68" s="151"/>
      <c r="J68" s="221"/>
      <c r="K68" s="222"/>
      <c r="L68" s="222"/>
      <c r="M68" s="222"/>
      <c r="N68" s="161"/>
      <c r="O68" s="162"/>
      <c r="P68" s="148"/>
      <c r="Q68" s="150"/>
      <c r="R68" s="150"/>
      <c r="S68" s="162"/>
      <c r="T68" s="119"/>
      <c r="U68" s="120"/>
      <c r="V68" s="120"/>
      <c r="W68" s="162"/>
      <c r="X68" s="973">
        <f>SUMPRODUCT(X$64:AA$64,BE$64:BH$64)</f>
        <v>9513</v>
      </c>
      <c r="Y68" s="974"/>
      <c r="Z68" s="974"/>
      <c r="AA68" s="975"/>
      <c r="AB68" s="973">
        <f>SUMPRODUCT(X$64:AA$64,AB$64:AE$64)</f>
        <v>4711</v>
      </c>
      <c r="AC68" s="974"/>
      <c r="AD68" s="974"/>
      <c r="AE68" s="975"/>
      <c r="AF68" s="973">
        <f>X68-AB68</f>
        <v>4802</v>
      </c>
      <c r="AG68" s="974"/>
      <c r="AH68" s="974"/>
      <c r="AI68" s="974"/>
      <c r="AJ68" s="975"/>
      <c r="AK68" s="952">
        <f>AF68/X68</f>
        <v>0.50478292862398821</v>
      </c>
      <c r="AL68" s="953"/>
      <c r="AM68" s="953"/>
      <c r="AN68" s="954"/>
      <c r="AO68" s="952">
        <f>IFERROR(AS68/(X68-AS68),"")</f>
        <v>0.13249999999999998</v>
      </c>
      <c r="AP68" s="953"/>
      <c r="AQ68" s="953"/>
      <c r="AR68" s="954"/>
      <c r="AS68" s="1026">
        <f>X$64*(BE$64-AK$64)</f>
        <v>1112.9999999999998</v>
      </c>
      <c r="AT68" s="1027"/>
      <c r="AU68" s="1027"/>
      <c r="AV68" s="1028"/>
      <c r="AW68" s="1023"/>
      <c r="AX68" s="1024"/>
      <c r="AY68" s="1024"/>
      <c r="AZ68" s="1025"/>
      <c r="BA68" s="973"/>
      <c r="BB68" s="974"/>
      <c r="BC68" s="974"/>
      <c r="BD68" s="975"/>
      <c r="BE68" s="982"/>
      <c r="BF68" s="983"/>
      <c r="BG68" s="983"/>
      <c r="BH68" s="984"/>
      <c r="BI68" s="149" t="s">
        <v>30</v>
      </c>
      <c r="BJ68" s="150"/>
      <c r="BK68" s="150"/>
      <c r="BL68" s="152"/>
      <c r="BM68" s="149" t="s">
        <v>30</v>
      </c>
      <c r="BN68" s="150"/>
      <c r="BO68" s="150"/>
      <c r="BP68" s="152"/>
      <c r="BQ68" s="149" t="s">
        <v>30</v>
      </c>
      <c r="BR68" s="150"/>
      <c r="BS68" s="150"/>
      <c r="BT68" s="152"/>
      <c r="BU68" s="149" t="s">
        <v>30</v>
      </c>
      <c r="BV68" s="150"/>
      <c r="BW68" s="150"/>
      <c r="BX68" s="152"/>
      <c r="BY68" s="149" t="s">
        <v>30</v>
      </c>
      <c r="BZ68" s="150"/>
      <c r="CA68" s="152"/>
      <c r="CB68" s="149" t="s">
        <v>30</v>
      </c>
      <c r="CC68" s="150"/>
      <c r="CD68" s="150"/>
      <c r="CE68" s="152"/>
      <c r="CF68" s="149" t="s">
        <v>30</v>
      </c>
      <c r="CG68" s="150"/>
      <c r="CH68" s="150"/>
      <c r="CI68" s="152"/>
    </row>
    <row r="69" spans="1:87" ht="13.5" customHeight="1">
      <c r="A69" s="22"/>
      <c r="B69" s="489">
        <v>20</v>
      </c>
      <c r="C69" s="204" t="s">
        <v>279</v>
      </c>
      <c r="D69" s="28"/>
      <c r="E69" s="28"/>
      <c r="F69" s="28"/>
      <c r="G69" s="28"/>
      <c r="H69" s="121"/>
      <c r="I69" s="62"/>
      <c r="J69" s="63"/>
      <c r="K69" s="62"/>
      <c r="L69" s="63"/>
      <c r="M69" s="69"/>
      <c r="N69" s="69"/>
      <c r="O69" s="65"/>
      <c r="P69" s="69"/>
      <c r="Q69" s="65"/>
      <c r="R69" s="69"/>
      <c r="S69" s="28"/>
      <c r="T69" s="28"/>
      <c r="U69" s="28"/>
      <c r="V69" s="28"/>
      <c r="W69" s="28"/>
      <c r="X69" s="121"/>
      <c r="Y69" s="62"/>
      <c r="Z69" s="63"/>
      <c r="AA69" s="62"/>
      <c r="AB69" s="63"/>
      <c r="AC69" s="69"/>
      <c r="AD69" s="69"/>
      <c r="AE69" s="65"/>
      <c r="AF69" s="69"/>
      <c r="AG69" s="65"/>
      <c r="AH69" s="69"/>
      <c r="AI69" s="64"/>
      <c r="AJ69" s="69"/>
      <c r="AK69" s="65"/>
      <c r="AL69" s="28"/>
      <c r="AM69" s="28"/>
      <c r="AN69" s="28"/>
      <c r="AO69" s="28"/>
      <c r="AP69" s="28"/>
      <c r="AQ69" s="28"/>
      <c r="AR69" s="28"/>
      <c r="AS69" s="28"/>
      <c r="AT69" s="28"/>
      <c r="AU69" s="28"/>
      <c r="AV69" s="233"/>
      <c r="AW69" s="28"/>
      <c r="AX69" s="28"/>
      <c r="AY69" s="31"/>
      <c r="AZ69" s="52"/>
      <c r="BA69" s="93"/>
      <c r="BB69" s="327"/>
      <c r="BC69" s="328"/>
      <c r="BD69" s="26"/>
      <c r="BE69" s="26"/>
      <c r="BF69" s="26"/>
    </row>
    <row r="70" spans="1:87" ht="13.5" customHeight="1">
      <c r="A70" s="22"/>
      <c r="B70" s="202">
        <v>24</v>
      </c>
      <c r="C70" s="304"/>
      <c r="D70" s="243"/>
      <c r="E70" s="244"/>
      <c r="F70" s="243" t="s">
        <v>295</v>
      </c>
      <c r="G70" s="244"/>
      <c r="H70" s="244"/>
      <c r="I70" s="245"/>
      <c r="J70" s="246" t="s">
        <v>30</v>
      </c>
      <c r="K70" s="247"/>
      <c r="L70" s="247"/>
      <c r="M70" s="247"/>
      <c r="N70" s="244"/>
      <c r="O70" s="245"/>
      <c r="P70" s="248"/>
      <c r="Q70" s="249"/>
      <c r="R70" s="249"/>
      <c r="S70" s="250"/>
      <c r="T70" s="243"/>
      <c r="U70" s="244"/>
      <c r="V70" s="244"/>
      <c r="W70" s="245"/>
      <c r="X70" s="249" t="s">
        <v>239</v>
      </c>
      <c r="Y70" s="244"/>
      <c r="Z70" s="244"/>
      <c r="AA70" s="244"/>
      <c r="AB70" s="248" t="s">
        <v>234</v>
      </c>
      <c r="AC70" s="244"/>
      <c r="AD70" s="244"/>
      <c r="AE70" s="244"/>
      <c r="AF70" s="248" t="s">
        <v>235</v>
      </c>
      <c r="AG70" s="249"/>
      <c r="AH70" s="249"/>
      <c r="AI70" s="249"/>
      <c r="AJ70" s="250"/>
      <c r="AK70" s="248" t="s">
        <v>236</v>
      </c>
      <c r="AL70" s="249"/>
      <c r="AM70" s="249"/>
      <c r="AN70" s="250"/>
      <c r="AO70" s="248" t="s">
        <v>237</v>
      </c>
      <c r="AP70" s="249"/>
      <c r="AQ70" s="249"/>
      <c r="AR70" s="250"/>
      <c r="AS70" s="248" t="s">
        <v>238</v>
      </c>
      <c r="AT70" s="249"/>
      <c r="AU70" s="249"/>
      <c r="AV70" s="249"/>
      <c r="AW70" s="253" t="s">
        <v>30</v>
      </c>
      <c r="AX70" s="249"/>
      <c r="AY70" s="249"/>
      <c r="AZ70" s="250"/>
      <c r="BA70" s="253"/>
      <c r="BB70" s="249"/>
      <c r="BC70" s="249"/>
      <c r="BD70" s="250"/>
      <c r="BE70" s="251"/>
      <c r="BF70" s="249"/>
      <c r="BG70" s="249"/>
      <c r="BH70" s="250"/>
      <c r="BI70" s="251" t="s">
        <v>30</v>
      </c>
      <c r="BJ70" s="249"/>
      <c r="BK70" s="249"/>
      <c r="BL70" s="250"/>
      <c r="BM70" s="251" t="s">
        <v>30</v>
      </c>
      <c r="BN70" s="249"/>
      <c r="BO70" s="249"/>
      <c r="BP70" s="250"/>
      <c r="BQ70" s="251" t="s">
        <v>30</v>
      </c>
      <c r="BR70" s="249"/>
      <c r="BS70" s="249"/>
      <c r="BT70" s="250"/>
      <c r="BU70" s="249"/>
      <c r="BV70" s="249"/>
      <c r="BW70" s="249"/>
      <c r="BX70" s="250"/>
      <c r="BY70" s="251" t="s">
        <v>30</v>
      </c>
      <c r="BZ70" s="249"/>
      <c r="CA70" s="250"/>
      <c r="CB70" s="249"/>
      <c r="CC70" s="249"/>
      <c r="CD70" s="249"/>
      <c r="CE70" s="250"/>
      <c r="CF70" s="249"/>
      <c r="CG70" s="249"/>
      <c r="CH70" s="249"/>
      <c r="CI70" s="250"/>
    </row>
    <row r="71" spans="1:87" ht="13.5" customHeight="1">
      <c r="A71" s="22"/>
      <c r="B71" s="202">
        <v>25</v>
      </c>
      <c r="C71" s="308"/>
      <c r="D71" s="148"/>
      <c r="E71" s="149"/>
      <c r="F71" s="148" t="s">
        <v>148</v>
      </c>
      <c r="G71" s="149"/>
      <c r="H71" s="149"/>
      <c r="I71" s="151"/>
      <c r="J71" s="221"/>
      <c r="K71" s="222"/>
      <c r="L71" s="222"/>
      <c r="M71" s="222"/>
      <c r="N71" s="161"/>
      <c r="O71" s="162"/>
      <c r="P71" s="148"/>
      <c r="Q71" s="150"/>
      <c r="R71" s="150"/>
      <c r="S71" s="162"/>
      <c r="T71" s="119"/>
      <c r="U71" s="120"/>
      <c r="V71" s="120"/>
      <c r="W71" s="162"/>
      <c r="X71" s="946">
        <f>SUMPRODUCT(X$64:AA$64,BE$64:BH$64)</f>
        <v>9513</v>
      </c>
      <c r="Y71" s="968"/>
      <c r="Z71" s="968"/>
      <c r="AA71" s="969"/>
      <c r="AB71" s="946">
        <f>SUMPRODUCT(X$64:AA$64,AB$64:AE$64)</f>
        <v>4711</v>
      </c>
      <c r="AC71" s="968"/>
      <c r="AD71" s="968"/>
      <c r="AE71" s="969"/>
      <c r="AF71" s="946">
        <f>X71-AB71</f>
        <v>4802</v>
      </c>
      <c r="AG71" s="968"/>
      <c r="AH71" s="968"/>
      <c r="AI71" s="968"/>
      <c r="AJ71" s="969"/>
      <c r="AK71" s="952">
        <f>AF71/X71</f>
        <v>0.50478292862398821</v>
      </c>
      <c r="AL71" s="953"/>
      <c r="AM71" s="953"/>
      <c r="AN71" s="954"/>
      <c r="AO71" s="952">
        <f>IFERROR(AS71/(X71-AS71),"")</f>
        <v>0.13249999999999998</v>
      </c>
      <c r="AP71" s="953"/>
      <c r="AQ71" s="953"/>
      <c r="AR71" s="954"/>
      <c r="AS71" s="1047">
        <f>X$64*(BE$64-AK$64)</f>
        <v>1112.9999999999998</v>
      </c>
      <c r="AT71" s="1048"/>
      <c r="AU71" s="1048"/>
      <c r="AV71" s="1049"/>
      <c r="AW71" s="1023"/>
      <c r="AX71" s="1024"/>
      <c r="AY71" s="1024"/>
      <c r="AZ71" s="1025"/>
      <c r="BA71" s="973"/>
      <c r="BB71" s="974"/>
      <c r="BC71" s="974"/>
      <c r="BD71" s="975"/>
      <c r="BE71" s="982"/>
      <c r="BF71" s="983"/>
      <c r="BG71" s="983"/>
      <c r="BH71" s="984"/>
      <c r="BI71" s="149" t="s">
        <v>30</v>
      </c>
      <c r="BJ71" s="150"/>
      <c r="BK71" s="150"/>
      <c r="BL71" s="152"/>
      <c r="BM71" s="149" t="s">
        <v>30</v>
      </c>
      <c r="BN71" s="150"/>
      <c r="BO71" s="150"/>
      <c r="BP71" s="152"/>
      <c r="BQ71" s="149" t="s">
        <v>30</v>
      </c>
      <c r="BR71" s="150"/>
      <c r="BS71" s="150"/>
      <c r="BT71" s="152"/>
      <c r="BU71" s="149" t="s">
        <v>30</v>
      </c>
      <c r="BV71" s="150"/>
      <c r="BW71" s="150"/>
      <c r="BX71" s="152"/>
      <c r="BY71" s="149" t="s">
        <v>30</v>
      </c>
      <c r="BZ71" s="150"/>
      <c r="CA71" s="152"/>
      <c r="CB71" s="149" t="s">
        <v>30</v>
      </c>
      <c r="CC71" s="150"/>
      <c r="CD71" s="150"/>
      <c r="CE71" s="152"/>
      <c r="CF71" s="149" t="s">
        <v>30</v>
      </c>
      <c r="CG71" s="150"/>
      <c r="CH71" s="150"/>
      <c r="CI71" s="152"/>
    </row>
    <row r="72" spans="1:87" ht="13.5" customHeight="1">
      <c r="A72" s="22"/>
      <c r="B72" s="202">
        <v>25</v>
      </c>
      <c r="C72" s="308"/>
      <c r="D72" s="148"/>
      <c r="E72" s="149"/>
      <c r="F72" s="148" t="s">
        <v>207</v>
      </c>
      <c r="G72" s="149"/>
      <c r="H72" s="149"/>
      <c r="I72" s="151"/>
      <c r="J72" s="221"/>
      <c r="K72" s="222"/>
      <c r="L72" s="222"/>
      <c r="M72" s="222"/>
      <c r="N72" s="161"/>
      <c r="O72" s="162"/>
      <c r="P72" s="148"/>
      <c r="Q72" s="150"/>
      <c r="R72" s="150"/>
      <c r="S72" s="162"/>
      <c r="T72" s="119"/>
      <c r="U72" s="120"/>
      <c r="V72" s="120"/>
      <c r="W72" s="162"/>
      <c r="X72" s="973">
        <f>SUMPRODUCT(X$64:AA$64,BE$64:BH$64)</f>
        <v>9513</v>
      </c>
      <c r="Y72" s="974"/>
      <c r="Z72" s="974"/>
      <c r="AA72" s="975"/>
      <c r="AB72" s="973">
        <f>SUMPRODUCT(X$64:AA$64,AB$64:AE$64)</f>
        <v>4711</v>
      </c>
      <c r="AC72" s="974"/>
      <c r="AD72" s="974"/>
      <c r="AE72" s="975"/>
      <c r="AF72" s="973">
        <f>X72-AB72</f>
        <v>4802</v>
      </c>
      <c r="AG72" s="974"/>
      <c r="AH72" s="974"/>
      <c r="AI72" s="974"/>
      <c r="AJ72" s="975"/>
      <c r="AK72" s="952">
        <f>AF72/X72</f>
        <v>0.50478292862398821</v>
      </c>
      <c r="AL72" s="953"/>
      <c r="AM72" s="953"/>
      <c r="AN72" s="954"/>
      <c r="AO72" s="952">
        <f>IFERROR(AS72/(X72-AS72),"")</f>
        <v>0.13249999999999998</v>
      </c>
      <c r="AP72" s="953"/>
      <c r="AQ72" s="953"/>
      <c r="AR72" s="954"/>
      <c r="AS72" s="1026">
        <f>X$64*(BE$64-AK$64)</f>
        <v>1112.9999999999998</v>
      </c>
      <c r="AT72" s="1027"/>
      <c r="AU72" s="1027"/>
      <c r="AV72" s="1028"/>
      <c r="AW72" s="1023"/>
      <c r="AX72" s="1024"/>
      <c r="AY72" s="1024"/>
      <c r="AZ72" s="1025"/>
      <c r="BA72" s="973"/>
      <c r="BB72" s="974"/>
      <c r="BC72" s="974"/>
      <c r="BD72" s="975"/>
      <c r="BE72" s="982"/>
      <c r="BF72" s="983"/>
      <c r="BG72" s="983"/>
      <c r="BH72" s="984"/>
      <c r="BI72" s="149" t="s">
        <v>30</v>
      </c>
      <c r="BJ72" s="150"/>
      <c r="BK72" s="150"/>
      <c r="BL72" s="152"/>
      <c r="BM72" s="149" t="s">
        <v>30</v>
      </c>
      <c r="BN72" s="150"/>
      <c r="BO72" s="150"/>
      <c r="BP72" s="152"/>
      <c r="BQ72" s="149" t="s">
        <v>30</v>
      </c>
      <c r="BR72" s="150"/>
      <c r="BS72" s="150"/>
      <c r="BT72" s="152"/>
      <c r="BU72" s="149" t="s">
        <v>30</v>
      </c>
      <c r="BV72" s="150"/>
      <c r="BW72" s="150"/>
      <c r="BX72" s="152"/>
      <c r="BY72" s="149" t="s">
        <v>30</v>
      </c>
      <c r="BZ72" s="150"/>
      <c r="CA72" s="152"/>
      <c r="CB72" s="149" t="s">
        <v>30</v>
      </c>
      <c r="CC72" s="150"/>
      <c r="CD72" s="150"/>
      <c r="CE72" s="152"/>
      <c r="CF72" s="149" t="s">
        <v>30</v>
      </c>
      <c r="CG72" s="150"/>
      <c r="CH72" s="150"/>
      <c r="CI72" s="152"/>
    </row>
    <row r="73" spans="1:87" ht="13.5" customHeight="1">
      <c r="A73" s="22"/>
      <c r="B73" s="202">
        <v>26</v>
      </c>
      <c r="C73" s="339"/>
      <c r="D73" s="75"/>
      <c r="E73" s="75"/>
      <c r="F73" s="75"/>
      <c r="G73" s="75"/>
      <c r="H73" s="199"/>
      <c r="I73" s="199"/>
      <c r="J73" s="200"/>
      <c r="K73" s="199"/>
      <c r="L73" s="200"/>
      <c r="M73" s="199"/>
      <c r="N73" s="199"/>
      <c r="O73" s="83"/>
      <c r="P73" s="84"/>
      <c r="Q73" s="84"/>
      <c r="R73" s="84"/>
      <c r="S73" s="75"/>
      <c r="T73" s="75"/>
      <c r="U73" s="75"/>
      <c r="V73" s="75"/>
      <c r="W73" s="75"/>
      <c r="X73" s="85"/>
      <c r="Y73" s="75"/>
      <c r="Z73" s="84"/>
      <c r="AA73" s="85"/>
      <c r="AB73" s="75"/>
      <c r="AC73" s="84"/>
      <c r="AD73" s="85"/>
      <c r="AE73" s="84"/>
      <c r="AF73" s="84"/>
      <c r="AG73" s="85"/>
      <c r="AH73" s="84"/>
      <c r="AI73" s="84"/>
      <c r="AJ73" s="90"/>
      <c r="AK73" s="84"/>
      <c r="AL73" s="84"/>
      <c r="AM73" s="84"/>
      <c r="AN73" s="84"/>
      <c r="AO73" s="84"/>
      <c r="AP73" s="84"/>
      <c r="AQ73" s="84"/>
      <c r="AR73" s="84"/>
      <c r="AS73" s="65"/>
      <c r="AT73" s="65"/>
      <c r="AU73" s="65"/>
      <c r="AV73" s="65"/>
      <c r="AW73" s="65"/>
      <c r="AX73" s="65"/>
      <c r="AY73" s="63"/>
      <c r="AZ73" s="31"/>
      <c r="BA73" s="30"/>
      <c r="BB73" s="175"/>
      <c r="BC73" s="343"/>
      <c r="BD73" s="1034"/>
      <c r="BE73" s="1035"/>
      <c r="BF73" s="1035"/>
    </row>
    <row r="74" spans="1:87" ht="13.5" customHeight="1">
      <c r="A74" s="22"/>
      <c r="B74" s="202"/>
      <c r="C74" s="342"/>
      <c r="D74" s="332"/>
      <c r="E74" s="65"/>
      <c r="F74" s="65"/>
      <c r="G74" s="65"/>
      <c r="H74" s="65"/>
      <c r="I74" s="65"/>
      <c r="J74" s="333"/>
      <c r="K74" s="334"/>
      <c r="L74" s="334"/>
      <c r="M74" s="334"/>
      <c r="N74"/>
      <c r="O74"/>
      <c r="P74"/>
      <c r="Q74"/>
      <c r="R74"/>
      <c r="S74"/>
      <c r="T74"/>
      <c r="U74"/>
      <c r="V74"/>
      <c r="W74" s="65"/>
      <c r="X74" s="65"/>
      <c r="Y74" s="65"/>
      <c r="Z74" s="65"/>
      <c r="AA74" s="65"/>
      <c r="AB74" s="65"/>
      <c r="AC74" s="65"/>
      <c r="AD74" s="65"/>
      <c r="AE74" s="65"/>
      <c r="AF74" s="65"/>
      <c r="AG74" s="65"/>
      <c r="AH74" s="65"/>
      <c r="AI74" s="65"/>
      <c r="AJ74" s="65"/>
      <c r="AK74" s="65"/>
      <c r="AL74" s="65"/>
      <c r="AM74" s="198"/>
      <c r="AN74" s="198"/>
      <c r="AO74" s="198"/>
      <c r="AP74" s="198"/>
      <c r="AQ74" s="198"/>
      <c r="AR74" s="198"/>
      <c r="AS74" s="254"/>
      <c r="AT74" s="35"/>
      <c r="AU74" s="35"/>
      <c r="AV74" s="254"/>
      <c r="AW74" s="198"/>
      <c r="AX74" s="198"/>
      <c r="AY74" s="198"/>
      <c r="AZ74" s="31"/>
      <c r="BA74" s="30"/>
      <c r="BB74" s="175"/>
      <c r="BC74" s="345"/>
      <c r="BD74" s="28"/>
      <c r="BG74" s="24"/>
      <c r="BH74" s="28"/>
    </row>
    <row r="75" spans="1:87" ht="13.5" customHeight="1">
      <c r="A75" s="22"/>
      <c r="B75" s="202"/>
      <c r="C75" s="342"/>
      <c r="D75" s="332"/>
      <c r="E75" s="65"/>
      <c r="F75" s="65"/>
      <c r="G75" s="65"/>
      <c r="H75" s="65"/>
      <c r="I75" s="65"/>
      <c r="J75" s="333"/>
      <c r="K75" s="334"/>
      <c r="L75" s="334"/>
      <c r="M75" s="334"/>
      <c r="N75"/>
      <c r="O75"/>
      <c r="P75"/>
      <c r="Q75"/>
      <c r="R75"/>
      <c r="S75"/>
      <c r="T75"/>
      <c r="U75"/>
      <c r="V75"/>
      <c r="W75" s="65"/>
      <c r="X75" s="65"/>
      <c r="Y75" s="65"/>
      <c r="Z75" s="65"/>
      <c r="AA75" s="65"/>
      <c r="AB75" s="65"/>
      <c r="AC75" s="65"/>
      <c r="AD75" s="65"/>
      <c r="AE75" s="65"/>
      <c r="AF75" s="65"/>
      <c r="AG75" s="65"/>
      <c r="AH75" s="65"/>
      <c r="AI75" s="65"/>
      <c r="AJ75" s="65"/>
      <c r="AK75" s="65"/>
      <c r="AL75" s="65"/>
      <c r="AM75" s="198"/>
      <c r="AN75" s="198"/>
      <c r="AO75" s="198"/>
      <c r="AP75" s="198"/>
      <c r="AQ75" s="198"/>
      <c r="AR75" s="198"/>
      <c r="AS75" s="254"/>
      <c r="AT75" s="35"/>
      <c r="AU75" s="35"/>
      <c r="AV75" s="254"/>
      <c r="AW75" s="198"/>
      <c r="AX75" s="198"/>
      <c r="AY75" s="198"/>
      <c r="AZ75" s="31"/>
      <c r="BA75" s="30"/>
      <c r="BB75" s="175"/>
      <c r="BC75" s="345"/>
      <c r="BD75" s="28"/>
      <c r="BG75" s="24"/>
      <c r="BH75" s="28"/>
    </row>
    <row r="76" spans="1:87" ht="5.15" customHeight="1">
      <c r="A76" s="22"/>
      <c r="B76" s="202"/>
      <c r="C76" s="315"/>
      <c r="D76" s="73"/>
      <c r="E76" s="73"/>
      <c r="F76" s="73"/>
      <c r="G76" s="73"/>
      <c r="H76" s="316"/>
      <c r="I76" s="275"/>
      <c r="J76" s="273"/>
      <c r="K76" s="275"/>
      <c r="L76" s="273"/>
      <c r="M76" s="317"/>
      <c r="N76" s="317"/>
      <c r="O76" s="270"/>
      <c r="P76" s="317"/>
      <c r="Q76" s="270"/>
      <c r="R76" s="317"/>
      <c r="S76" s="73"/>
      <c r="T76" s="73"/>
      <c r="U76" s="73"/>
      <c r="V76" s="73"/>
      <c r="W76" s="73"/>
      <c r="X76" s="316"/>
      <c r="Y76" s="275"/>
      <c r="Z76" s="273"/>
      <c r="AA76" s="275"/>
      <c r="AB76" s="273"/>
      <c r="AC76" s="317"/>
      <c r="AD76" s="317"/>
      <c r="AE76" s="270"/>
      <c r="AF76" s="317"/>
      <c r="AG76" s="270"/>
      <c r="AH76" s="317"/>
      <c r="AI76" s="276"/>
      <c r="AJ76" s="317"/>
      <c r="AK76" s="270"/>
      <c r="AL76" s="73"/>
      <c r="AM76" s="73"/>
      <c r="AN76" s="73"/>
      <c r="AO76" s="73"/>
      <c r="AP76" s="73"/>
      <c r="AQ76" s="73"/>
      <c r="AR76" s="73"/>
      <c r="AS76" s="73"/>
      <c r="AT76" s="73"/>
      <c r="AU76" s="73"/>
      <c r="AV76" s="318"/>
      <c r="AW76" s="73"/>
      <c r="AX76" s="73"/>
      <c r="AY76" s="269"/>
      <c r="AZ76" s="269"/>
      <c r="BA76" s="319"/>
      <c r="BB76" s="320"/>
      <c r="BC76" s="344"/>
      <c r="BD76" s="28"/>
    </row>
    <row r="77" spans="1:87" ht="13.5" customHeight="1">
      <c r="A77" s="22"/>
      <c r="B77" s="202">
        <v>31</v>
      </c>
      <c r="C77" s="331"/>
      <c r="D77" s="332"/>
      <c r="E77" s="65"/>
      <c r="F77" s="65"/>
      <c r="G77" s="65"/>
      <c r="H77" s="65"/>
      <c r="I77" s="65"/>
      <c r="J77" s="966"/>
      <c r="K77" s="966"/>
      <c r="L77" s="966"/>
      <c r="M77" s="966"/>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198"/>
      <c r="AN77" s="198"/>
      <c r="AO77" s="198"/>
      <c r="AP77" s="198"/>
      <c r="AQ77" s="198"/>
      <c r="AR77" s="198"/>
      <c r="AS77" s="198"/>
      <c r="AT77" s="198"/>
      <c r="AU77" s="198"/>
      <c r="AV77" s="198"/>
      <c r="AW77" s="198"/>
      <c r="AX77" s="198"/>
      <c r="AY77" s="198"/>
      <c r="AZ77" s="33"/>
      <c r="BA77" s="46"/>
      <c r="BB77" s="78"/>
      <c r="BC77" s="34"/>
      <c r="BD77" s="28"/>
      <c r="BG77" s="24"/>
      <c r="BH77" s="28"/>
    </row>
    <row r="78" spans="1:87" ht="14.15" customHeight="1">
      <c r="A78" s="22"/>
      <c r="B78" s="129"/>
      <c r="C78" s="346" t="s">
        <v>131</v>
      </c>
      <c r="D78" s="28"/>
      <c r="E78" s="28"/>
      <c r="F78" s="28"/>
      <c r="G78" s="28"/>
      <c r="S78" s="35"/>
      <c r="T78" s="35"/>
      <c r="U78" s="35"/>
      <c r="V78" s="35"/>
      <c r="Y78" s="35"/>
      <c r="Z78" s="35"/>
      <c r="AD78" s="35"/>
      <c r="AE78" s="35"/>
      <c r="AF78" s="35"/>
      <c r="AG78" s="35"/>
      <c r="AH78" s="35"/>
      <c r="AI78" s="35"/>
      <c r="AJ78" s="28"/>
      <c r="AK78" s="28"/>
      <c r="AL78" s="28"/>
      <c r="AM78" s="130"/>
      <c r="AN78" s="130"/>
      <c r="AO78" s="35"/>
      <c r="AP78" s="35"/>
      <c r="AQ78" s="35"/>
      <c r="AR78" s="35"/>
      <c r="AS78" s="35"/>
      <c r="AT78" s="35"/>
      <c r="AU78" s="35"/>
      <c r="AV78" s="35"/>
      <c r="AW78" s="35"/>
      <c r="AX78" s="65"/>
      <c r="AY78" s="65"/>
      <c r="AZ78" s="33"/>
      <c r="BA78" s="46"/>
      <c r="BB78" s="78"/>
      <c r="BC78" s="34"/>
      <c r="BD78" s="28"/>
      <c r="BG78" s="35"/>
    </row>
    <row r="79" spans="1:87" ht="5.15" customHeight="1">
      <c r="A79" s="22"/>
      <c r="B79" s="202"/>
      <c r="C79" s="296"/>
      <c r="D79" s="72"/>
      <c r="E79" s="72"/>
      <c r="F79" s="72"/>
      <c r="G79" s="72"/>
      <c r="H79" s="297"/>
      <c r="I79" s="278"/>
      <c r="J79" s="279"/>
      <c r="K79" s="278"/>
      <c r="L79" s="279"/>
      <c r="M79" s="298"/>
      <c r="N79" s="298"/>
      <c r="O79" s="263"/>
      <c r="P79" s="298"/>
      <c r="Q79" s="263"/>
      <c r="R79" s="298"/>
      <c r="S79" s="72"/>
      <c r="T79" s="72"/>
      <c r="U79" s="72"/>
      <c r="V79" s="72"/>
      <c r="W79" s="72"/>
      <c r="X79" s="297"/>
      <c r="Y79" s="278"/>
      <c r="Z79" s="279"/>
      <c r="AA79" s="278"/>
      <c r="AB79" s="279"/>
      <c r="AC79" s="298"/>
      <c r="AD79" s="298"/>
      <c r="AE79" s="263"/>
      <c r="AF79" s="298"/>
      <c r="AG79" s="263"/>
      <c r="AH79" s="298"/>
      <c r="AI79" s="280"/>
      <c r="AJ79" s="298"/>
      <c r="AK79" s="263"/>
      <c r="AL79" s="72"/>
      <c r="AM79" s="72"/>
      <c r="AN79" s="72"/>
      <c r="AO79" s="72"/>
      <c r="AP79" s="72"/>
      <c r="AQ79" s="72"/>
      <c r="AR79" s="72"/>
      <c r="AS79" s="72"/>
      <c r="AT79" s="72"/>
      <c r="AU79" s="72"/>
      <c r="AV79" s="300"/>
      <c r="AW79" s="72"/>
      <c r="AX79" s="72"/>
      <c r="AY79" s="265"/>
      <c r="AZ79" s="33"/>
      <c r="BA79" s="46"/>
      <c r="BB79" s="78"/>
      <c r="BC79" s="34"/>
      <c r="BD79" s="28"/>
    </row>
    <row r="80" spans="1:87" ht="14.15" customHeight="1">
      <c r="A80" s="23"/>
      <c r="B80" s="351"/>
      <c r="C80" s="282"/>
      <c r="D80" s="28"/>
      <c r="E80" s="28"/>
      <c r="F80" s="28"/>
      <c r="G80" s="28"/>
      <c r="H80" s="28"/>
      <c r="I80" s="28"/>
      <c r="J80" s="28"/>
      <c r="K80" s="28"/>
      <c r="L80" s="28"/>
      <c r="M80" s="28"/>
      <c r="N80" s="28"/>
      <c r="O80" s="28"/>
      <c r="P80" s="28"/>
      <c r="Q80" s="25"/>
      <c r="S80" s="35"/>
      <c r="T80" s="28"/>
      <c r="U80" s="28"/>
      <c r="V80" s="28"/>
      <c r="W80" s="28"/>
      <c r="X80" s="28"/>
      <c r="Y80" s="28"/>
      <c r="Z80" s="28"/>
      <c r="AC80" s="28"/>
      <c r="AD80" s="28"/>
      <c r="AE80" s="35"/>
      <c r="AF80" s="35"/>
      <c r="AG80" s="35"/>
      <c r="AH80" s="35"/>
      <c r="AI80" s="35"/>
      <c r="AJ80" s="28"/>
      <c r="AK80" s="28"/>
      <c r="AL80" s="28"/>
      <c r="AM80" s="35"/>
      <c r="AN80" s="35"/>
      <c r="AO80" s="135"/>
      <c r="AP80" s="136"/>
      <c r="AQ80" s="130"/>
      <c r="AR80" s="130"/>
      <c r="AS80" s="130"/>
      <c r="AT80" s="130"/>
      <c r="AU80" s="81"/>
      <c r="AV80" s="35"/>
      <c r="AW80" s="35"/>
      <c r="AX80" s="65"/>
      <c r="AY80" s="347"/>
      <c r="AZ80" s="33"/>
      <c r="BA80" s="46"/>
      <c r="BB80" s="78"/>
      <c r="BC80" s="34"/>
      <c r="BD80" s="28"/>
      <c r="BG80" s="35"/>
    </row>
    <row r="81" spans="1:60" ht="14.15" customHeight="1">
      <c r="A81" s="23"/>
      <c r="B81" s="351"/>
      <c r="C81" s="352"/>
      <c r="D81" s="348" t="s">
        <v>38</v>
      </c>
      <c r="E81" s="131"/>
      <c r="F81" s="131"/>
      <c r="G81" s="131"/>
      <c r="H81" s="132"/>
      <c r="I81" s="132"/>
      <c r="J81" s="106"/>
      <c r="K81" s="133"/>
      <c r="L81" s="134"/>
      <c r="M81" s="144"/>
      <c r="N81" s="144"/>
      <c r="O81" s="131"/>
      <c r="P81" s="134"/>
      <c r="Q81" s="107"/>
      <c r="R81" s="133" t="s">
        <v>40</v>
      </c>
      <c r="S81" s="134"/>
      <c r="T81" s="107"/>
      <c r="U81" s="107"/>
      <c r="V81" s="133" t="s">
        <v>44</v>
      </c>
      <c r="W81" s="134"/>
      <c r="X81" s="107"/>
      <c r="Y81" s="35"/>
      <c r="Z81" s="35"/>
      <c r="AC81" s="28"/>
      <c r="AD81" s="28"/>
      <c r="AE81" s="28"/>
      <c r="AF81" s="35"/>
      <c r="AG81" s="35"/>
      <c r="AH81" s="28"/>
      <c r="AI81" s="28"/>
      <c r="AJ81" s="28"/>
      <c r="AK81" s="81"/>
      <c r="AL81" s="28"/>
      <c r="AM81" s="28"/>
      <c r="AN81" s="28"/>
      <c r="AO81" s="28"/>
      <c r="AP81" s="28"/>
      <c r="AQ81" s="65"/>
      <c r="AR81" s="65"/>
      <c r="AS81" s="65"/>
      <c r="AT81" s="125"/>
      <c r="AU81" s="65"/>
      <c r="AV81" s="65"/>
      <c r="AW81" s="65"/>
      <c r="AX81" s="65"/>
      <c r="AY81" s="347"/>
      <c r="AZ81" s="33"/>
      <c r="BA81" s="46"/>
      <c r="BB81" s="78"/>
      <c r="BC81" s="34"/>
      <c r="BD81" s="28"/>
      <c r="BE81" s="35"/>
      <c r="BF81" s="35"/>
      <c r="BG81" s="35"/>
    </row>
    <row r="82" spans="1:60" ht="13.5" customHeight="1">
      <c r="A82" s="22"/>
      <c r="B82" s="353"/>
      <c r="C82" s="352"/>
      <c r="D82" s="349" t="s">
        <v>45</v>
      </c>
      <c r="E82" s="137"/>
      <c r="F82" s="137"/>
      <c r="G82" s="137"/>
      <c r="H82" s="137"/>
      <c r="I82" s="137"/>
      <c r="J82" s="137"/>
      <c r="K82" s="350"/>
      <c r="L82" s="139"/>
      <c r="M82" s="108"/>
      <c r="N82" s="108"/>
      <c r="O82" s="145"/>
      <c r="P82" s="139"/>
      <c r="Q82" s="109"/>
      <c r="R82" s="138" t="s">
        <v>41</v>
      </c>
      <c r="S82" s="139"/>
      <c r="T82" s="108"/>
      <c r="U82" s="109"/>
      <c r="V82" s="140"/>
      <c r="W82" s="141"/>
      <c r="X82" s="142"/>
      <c r="Y82" s="116"/>
      <c r="Z82" s="41"/>
      <c r="AA82" s="116"/>
      <c r="AB82" s="116"/>
      <c r="AC82" s="116"/>
      <c r="AD82" s="116"/>
      <c r="AE82" s="116"/>
      <c r="AF82" s="116"/>
      <c r="AG82" s="116"/>
      <c r="AH82" s="116"/>
      <c r="AI82" s="116"/>
      <c r="AJ82" s="116"/>
      <c r="AK82" s="116"/>
      <c r="AL82" s="116"/>
      <c r="AM82" s="116"/>
      <c r="AN82" s="116"/>
      <c r="AO82" s="116"/>
      <c r="AP82" s="116"/>
      <c r="AQ82" s="65"/>
      <c r="AR82" s="65"/>
      <c r="AS82" s="65"/>
      <c r="AT82" s="125"/>
      <c r="AU82" s="65"/>
      <c r="AV82" s="65"/>
      <c r="AW82" s="65"/>
      <c r="AX82" s="65"/>
      <c r="AY82" s="347"/>
      <c r="AZ82" s="33"/>
      <c r="BA82" s="46"/>
      <c r="BB82" s="78"/>
      <c r="BC82" s="34"/>
      <c r="BD82" s="28"/>
      <c r="BE82" s="35"/>
      <c r="BF82" s="35"/>
      <c r="BG82" s="35"/>
    </row>
    <row r="83" spans="1:60" ht="5.15" customHeight="1">
      <c r="A83" s="22"/>
      <c r="B83" s="202"/>
      <c r="C83" s="315"/>
      <c r="D83" s="73"/>
      <c r="E83" s="73"/>
      <c r="F83" s="73"/>
      <c r="G83" s="73"/>
      <c r="H83" s="316"/>
      <c r="I83" s="275"/>
      <c r="J83" s="273"/>
      <c r="K83" s="275"/>
      <c r="L83" s="273"/>
      <c r="M83" s="317"/>
      <c r="N83" s="317"/>
      <c r="O83" s="270"/>
      <c r="P83" s="317"/>
      <c r="Q83" s="270"/>
      <c r="R83" s="317"/>
      <c r="S83" s="73"/>
      <c r="T83" s="73"/>
      <c r="U83" s="73"/>
      <c r="V83" s="73"/>
      <c r="W83" s="73"/>
      <c r="X83" s="316"/>
      <c r="Y83" s="275"/>
      <c r="Z83" s="273"/>
      <c r="AA83" s="275"/>
      <c r="AB83" s="273"/>
      <c r="AC83" s="317"/>
      <c r="AD83" s="317"/>
      <c r="AE83" s="270"/>
      <c r="AF83" s="317"/>
      <c r="AG83" s="270"/>
      <c r="AH83" s="317"/>
      <c r="AI83" s="276"/>
      <c r="AJ83" s="317"/>
      <c r="AK83" s="270"/>
      <c r="AL83" s="73"/>
      <c r="AM83" s="73"/>
      <c r="AN83" s="73"/>
      <c r="AO83" s="73"/>
      <c r="AP83" s="73"/>
      <c r="AQ83" s="73"/>
      <c r="AR83" s="73"/>
      <c r="AS83" s="73"/>
      <c r="AT83" s="73"/>
      <c r="AU83" s="73"/>
      <c r="AV83" s="318"/>
      <c r="AW83" s="73"/>
      <c r="AX83" s="73"/>
      <c r="AY83" s="277"/>
      <c r="AZ83" s="33"/>
      <c r="BA83" s="46"/>
      <c r="BB83" s="78"/>
      <c r="BC83" s="34"/>
      <c r="BD83" s="28"/>
    </row>
    <row r="84" spans="1:60" ht="14.15" customHeight="1">
      <c r="A84" s="22"/>
      <c r="B84" s="202">
        <v>35</v>
      </c>
      <c r="C84" s="331"/>
      <c r="D84" s="332"/>
      <c r="E84" s="65"/>
      <c r="F84" s="65"/>
      <c r="G84" s="65"/>
      <c r="H84" s="65"/>
      <c r="I84" s="65"/>
      <c r="J84" s="945"/>
      <c r="K84" s="945"/>
      <c r="L84" s="945"/>
      <c r="M84" s="945"/>
      <c r="N84" s="65"/>
      <c r="O84" s="65"/>
      <c r="P84" s="65"/>
      <c r="Q84" s="65"/>
      <c r="R84" s="65"/>
      <c r="S84" s="65"/>
      <c r="T84" s="65"/>
      <c r="U84" s="65"/>
      <c r="V84" s="65"/>
      <c r="W84" s="65"/>
      <c r="X84" s="65"/>
      <c r="Y84" s="65"/>
      <c r="Z84" s="65"/>
      <c r="AA84" s="65"/>
      <c r="AB84" s="65"/>
      <c r="AC84" s="65"/>
      <c r="AD84" s="65"/>
      <c r="AE84" s="65"/>
      <c r="AF84" s="65"/>
      <c r="AG84" s="65"/>
      <c r="AH84" s="65"/>
      <c r="AI84" s="65"/>
      <c r="AJ84" s="65"/>
      <c r="AK84" s="65"/>
      <c r="AL84" s="65"/>
      <c r="AM84" s="65"/>
      <c r="AN84" s="65"/>
      <c r="AO84" s="65"/>
      <c r="AP84" s="65"/>
      <c r="AQ84" s="65"/>
      <c r="AR84" s="65"/>
      <c r="AS84" s="65"/>
      <c r="AT84" s="125"/>
      <c r="AU84" s="65"/>
      <c r="AV84" s="65"/>
      <c r="AW84" s="65"/>
      <c r="AX84" s="65"/>
      <c r="AY84" s="65"/>
      <c r="AZ84" s="33"/>
      <c r="BA84" s="46"/>
      <c r="BB84" s="335"/>
      <c r="BC84" s="336"/>
      <c r="BD84" s="28"/>
      <c r="BG84" s="24"/>
      <c r="BH84" s="28"/>
    </row>
    <row r="85" spans="1:60" ht="14.15" customHeight="1">
      <c r="A85" s="22"/>
      <c r="B85" s="202">
        <v>35</v>
      </c>
      <c r="C85" s="346" t="s">
        <v>247</v>
      </c>
      <c r="D85" s="332"/>
      <c r="E85" s="65"/>
      <c r="F85" s="65"/>
      <c r="G85" s="65"/>
      <c r="H85" s="65"/>
      <c r="I85" s="65"/>
      <c r="J85" s="945"/>
      <c r="K85" s="945"/>
      <c r="L85" s="945"/>
      <c r="M85" s="945"/>
      <c r="N85" s="65"/>
      <c r="O85" s="65"/>
      <c r="P85" s="65"/>
      <c r="Q85" s="65"/>
      <c r="R85" s="65"/>
      <c r="S85" s="65"/>
      <c r="T85" s="65"/>
      <c r="U85" s="65"/>
      <c r="V85" s="65"/>
      <c r="W85" s="65"/>
      <c r="X85" s="65"/>
      <c r="Y85" s="65"/>
      <c r="Z85" s="65"/>
      <c r="AA85" s="65"/>
      <c r="AB85" s="65"/>
      <c r="AC85" s="65"/>
      <c r="AD85" s="65"/>
      <c r="AE85" s="65"/>
      <c r="AF85" s="65"/>
      <c r="AG85" s="65"/>
      <c r="AH85" s="65"/>
      <c r="AI85" s="65"/>
      <c r="AJ85" s="65"/>
      <c r="AK85" s="65"/>
      <c r="AL85" s="65"/>
      <c r="AM85" s="65"/>
      <c r="AN85" s="65"/>
      <c r="AO85" s="65"/>
      <c r="AP85" s="65"/>
      <c r="AQ85" s="65"/>
      <c r="AR85" s="65"/>
      <c r="AS85" s="65"/>
      <c r="AT85" s="125"/>
      <c r="AU85" s="65"/>
      <c r="AV85" s="65"/>
      <c r="AW85" s="65"/>
      <c r="AX85" s="65"/>
      <c r="AY85" s="65"/>
      <c r="AZ85" s="33"/>
      <c r="BA85" s="46"/>
      <c r="BB85" s="335"/>
      <c r="BC85" s="336"/>
      <c r="BD85" s="28"/>
      <c r="BG85" s="24"/>
      <c r="BH85" s="28"/>
    </row>
    <row r="86" spans="1:60" ht="14.15" customHeight="1">
      <c r="A86" s="22"/>
      <c r="B86" s="202">
        <v>35</v>
      </c>
      <c r="C86" s="331"/>
      <c r="D86" s="478" t="s">
        <v>248</v>
      </c>
      <c r="E86" s="65"/>
      <c r="F86" s="65"/>
      <c r="G86" s="65"/>
      <c r="H86" s="65"/>
      <c r="I86" s="65"/>
      <c r="J86" s="477"/>
      <c r="K86" s="477"/>
      <c r="L86" s="477"/>
      <c r="M86" s="477"/>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125"/>
      <c r="AU86" s="65"/>
      <c r="AV86" s="65"/>
      <c r="AW86" s="65"/>
      <c r="AX86" s="65"/>
      <c r="AY86" s="65"/>
      <c r="AZ86" s="33"/>
      <c r="BA86" s="46"/>
      <c r="BB86" s="335"/>
      <c r="BC86" s="336"/>
      <c r="BD86" s="28"/>
      <c r="BG86" s="24"/>
      <c r="BH86" s="28"/>
    </row>
    <row r="87" spans="1:60" ht="14.15" customHeight="1">
      <c r="A87" s="22"/>
      <c r="B87" s="202">
        <v>35</v>
      </c>
      <c r="C87" s="331"/>
      <c r="D87" s="332"/>
      <c r="E87" s="65"/>
      <c r="F87" s="65"/>
      <c r="G87" s="65"/>
      <c r="H87" s="65"/>
      <c r="I87" s="65"/>
      <c r="J87" s="967"/>
      <c r="K87" s="967"/>
      <c r="L87" s="967"/>
      <c r="M87" s="967"/>
      <c r="N87" s="65"/>
      <c r="O87" s="65"/>
      <c r="P87" s="65"/>
      <c r="Q87" s="65"/>
      <c r="R87" s="65"/>
      <c r="S87" s="65"/>
      <c r="T87" s="65"/>
      <c r="U87" s="65"/>
      <c r="V87" s="65"/>
      <c r="W87" s="65"/>
      <c r="X87" s="65"/>
      <c r="Y87" s="65"/>
      <c r="Z87" s="65"/>
      <c r="AA87" s="65"/>
      <c r="AB87" s="65"/>
      <c r="AC87" s="65"/>
      <c r="AD87" s="65"/>
      <c r="AE87" s="65"/>
      <c r="AF87" s="65"/>
      <c r="AG87" s="65"/>
      <c r="AH87" s="65"/>
      <c r="AI87" s="65"/>
      <c r="AJ87" s="65"/>
      <c r="AK87" s="65"/>
      <c r="AL87" s="65"/>
      <c r="AM87" s="65"/>
      <c r="AN87" s="65"/>
      <c r="AO87" s="65"/>
      <c r="AP87" s="65"/>
      <c r="AQ87" s="65"/>
      <c r="AR87" s="65"/>
      <c r="AS87" s="65"/>
      <c r="AT87" s="125"/>
      <c r="AU87" s="65"/>
      <c r="AV87" s="65"/>
      <c r="AW87" s="65"/>
      <c r="AX87" s="65"/>
      <c r="AY87" s="65"/>
      <c r="AZ87" s="33"/>
      <c r="BA87" s="46"/>
      <c r="BB87" s="335"/>
      <c r="BC87" s="336"/>
      <c r="BD87" s="28"/>
      <c r="BG87" s="24"/>
      <c r="BH87" s="28"/>
    </row>
    <row r="88" spans="1:60" ht="5.15" customHeight="1">
      <c r="A88" s="22"/>
      <c r="B88" s="202"/>
      <c r="C88" s="296"/>
      <c r="D88" s="72"/>
      <c r="E88" s="72"/>
      <c r="F88" s="72"/>
      <c r="G88" s="72"/>
      <c r="H88" s="297"/>
      <c r="I88" s="278"/>
      <c r="J88" s="279"/>
      <c r="K88" s="278"/>
      <c r="L88" s="279"/>
      <c r="M88" s="298"/>
      <c r="N88" s="298"/>
      <c r="O88" s="263"/>
      <c r="P88" s="298"/>
      <c r="Q88" s="263"/>
      <c r="R88" s="298"/>
      <c r="S88" s="72"/>
      <c r="T88" s="72"/>
      <c r="U88" s="72"/>
      <c r="V88" s="72"/>
      <c r="W88" s="72"/>
      <c r="X88" s="297"/>
      <c r="Y88" s="278"/>
      <c r="Z88" s="279"/>
      <c r="AA88" s="278"/>
      <c r="AB88" s="279"/>
      <c r="AC88" s="298"/>
      <c r="AD88" s="298"/>
      <c r="AE88" s="263"/>
      <c r="AF88" s="298"/>
      <c r="AG88" s="263"/>
      <c r="AH88" s="298"/>
      <c r="AI88" s="280"/>
      <c r="AJ88" s="298"/>
      <c r="AK88" s="263"/>
      <c r="AL88" s="72"/>
      <c r="AM88" s="72"/>
      <c r="AN88" s="72"/>
      <c r="AO88" s="72"/>
      <c r="AP88" s="72"/>
      <c r="AQ88" s="72"/>
      <c r="AR88" s="72"/>
      <c r="AS88" s="72"/>
      <c r="AT88" s="72"/>
      <c r="AU88" s="72"/>
      <c r="AV88" s="300"/>
      <c r="AW88" s="72"/>
      <c r="AX88" s="72"/>
      <c r="AY88" s="265"/>
      <c r="AZ88" s="33"/>
      <c r="BA88" s="46"/>
      <c r="BB88" s="78"/>
      <c r="BC88" s="34"/>
      <c r="BD88" s="28"/>
    </row>
    <row r="89" spans="1:60" ht="14.15" customHeight="1">
      <c r="A89" s="23"/>
      <c r="B89" s="351"/>
      <c r="C89" s="282"/>
      <c r="D89" s="28" t="s">
        <v>240</v>
      </c>
      <c r="E89" s="28"/>
      <c r="F89" s="28"/>
      <c r="G89" s="28"/>
      <c r="H89" s="468" t="s">
        <v>245</v>
      </c>
      <c r="I89" s="257"/>
      <c r="J89" s="258"/>
      <c r="K89" s="258"/>
      <c r="L89" s="258"/>
      <c r="M89" s="259"/>
      <c r="N89" s="258"/>
      <c r="O89" s="110"/>
      <c r="P89" s="261" t="s">
        <v>33</v>
      </c>
      <c r="Q89" s="25"/>
      <c r="R89" s="469" t="s">
        <v>246</v>
      </c>
      <c r="S89" s="470"/>
      <c r="T89" s="471"/>
      <c r="U89" s="471"/>
      <c r="V89" s="483"/>
      <c r="W89" s="472"/>
      <c r="X89" s="471"/>
      <c r="Y89" s="473"/>
      <c r="Z89" s="474"/>
      <c r="AB89" s="469" t="s">
        <v>289</v>
      </c>
      <c r="AC89" s="470"/>
      <c r="AD89" s="471"/>
      <c r="AE89" s="471"/>
      <c r="AF89" s="471"/>
      <c r="AG89" s="472"/>
      <c r="AH89" s="471"/>
      <c r="AI89" s="473"/>
      <c r="AJ89" s="472"/>
      <c r="AK89" s="479"/>
      <c r="AL89" s="479"/>
      <c r="AM89" s="473"/>
      <c r="AN89" s="473"/>
      <c r="AO89" s="471"/>
      <c r="AP89" s="480"/>
      <c r="AQ89" s="471"/>
      <c r="AR89" s="471"/>
      <c r="AS89" s="471"/>
      <c r="AT89" s="471"/>
      <c r="AU89" s="481"/>
      <c r="AV89" s="473"/>
      <c r="AW89" s="473"/>
      <c r="AX89" s="482"/>
      <c r="AY89" s="347"/>
      <c r="AZ89" s="33"/>
      <c r="BA89" s="46"/>
      <c r="BB89" s="78"/>
      <c r="BC89" s="34"/>
      <c r="BD89" s="28"/>
      <c r="BG89" s="35"/>
    </row>
    <row r="90" spans="1:60" ht="14.15" customHeight="1">
      <c r="A90" s="23"/>
      <c r="B90" s="351"/>
      <c r="C90" s="282"/>
      <c r="D90" s="28"/>
      <c r="E90" s="28"/>
      <c r="F90" s="28"/>
      <c r="G90" s="28"/>
      <c r="H90" s="469" t="s">
        <v>54</v>
      </c>
      <c r="I90" s="470"/>
      <c r="J90" s="471"/>
      <c r="K90" s="471"/>
      <c r="L90" s="471"/>
      <c r="M90" s="472"/>
      <c r="N90" s="471"/>
      <c r="O90" s="473"/>
      <c r="P90" s="472"/>
      <c r="Q90" s="479"/>
      <c r="R90" s="479"/>
      <c r="S90" s="473"/>
      <c r="T90" s="473"/>
      <c r="U90" s="471"/>
      <c r="V90" s="480"/>
      <c r="W90" s="471"/>
      <c r="X90" s="471"/>
      <c r="Y90" s="471"/>
      <c r="Z90" s="471"/>
      <c r="AA90" s="481"/>
      <c r="AB90" s="473"/>
      <c r="AC90" s="473"/>
      <c r="AD90" s="479"/>
      <c r="AE90" s="471"/>
      <c r="AF90" s="471"/>
      <c r="AG90" s="472"/>
      <c r="AH90" s="471"/>
      <c r="AI90" s="473"/>
      <c r="AJ90" s="472"/>
      <c r="AK90" s="479"/>
      <c r="AL90" s="479"/>
      <c r="AM90" s="473"/>
      <c r="AN90" s="473"/>
      <c r="AO90" s="471"/>
      <c r="AP90" s="480"/>
      <c r="AQ90" s="471"/>
      <c r="AR90" s="471"/>
      <c r="AS90" s="471"/>
      <c r="AT90" s="471"/>
      <c r="AU90" s="481"/>
      <c r="AV90" s="473"/>
      <c r="AW90" s="473"/>
      <c r="AX90" s="482"/>
      <c r="AY90" s="347"/>
      <c r="AZ90" s="33"/>
      <c r="BA90" s="46"/>
      <c r="BB90" s="78"/>
      <c r="BC90" s="34"/>
      <c r="BD90" s="28"/>
      <c r="BG90" s="35"/>
    </row>
    <row r="91" spans="1:60" ht="5.15" customHeight="1">
      <c r="A91" s="22"/>
      <c r="B91" s="202"/>
      <c r="C91" s="315"/>
      <c r="D91" s="73"/>
      <c r="E91" s="73"/>
      <c r="F91" s="73"/>
      <c r="G91" s="73"/>
      <c r="H91" s="316"/>
      <c r="I91" s="275"/>
      <c r="J91" s="273"/>
      <c r="K91" s="275"/>
      <c r="L91" s="273"/>
      <c r="M91" s="317"/>
      <c r="N91" s="317"/>
      <c r="O91" s="270"/>
      <c r="P91" s="317"/>
      <c r="Q91" s="270"/>
      <c r="R91" s="317"/>
      <c r="S91" s="73"/>
      <c r="T91" s="73"/>
      <c r="U91" s="73"/>
      <c r="V91" s="73"/>
      <c r="W91" s="73"/>
      <c r="X91" s="316"/>
      <c r="Y91" s="275"/>
      <c r="Z91" s="273"/>
      <c r="AA91" s="275"/>
      <c r="AB91" s="273"/>
      <c r="AC91" s="317"/>
      <c r="AD91" s="317"/>
      <c r="AE91" s="270"/>
      <c r="AF91" s="317"/>
      <c r="AG91" s="270"/>
      <c r="AH91" s="317"/>
      <c r="AI91" s="276"/>
      <c r="AJ91" s="317"/>
      <c r="AK91" s="270"/>
      <c r="AL91" s="73"/>
      <c r="AM91" s="73"/>
      <c r="AN91" s="73"/>
      <c r="AO91" s="73"/>
      <c r="AP91" s="73"/>
      <c r="AQ91" s="73"/>
      <c r="AR91" s="73"/>
      <c r="AS91" s="73"/>
      <c r="AT91" s="73"/>
      <c r="AU91" s="73"/>
      <c r="AV91" s="318"/>
      <c r="AW91" s="73"/>
      <c r="AX91" s="73"/>
      <c r="AY91" s="277"/>
      <c r="AZ91" s="33"/>
      <c r="BA91" s="46"/>
      <c r="BB91" s="78"/>
      <c r="BC91" s="34"/>
      <c r="BD91" s="28"/>
    </row>
    <row r="92" spans="1:60" ht="5.15" customHeight="1">
      <c r="A92" s="22"/>
      <c r="B92" s="202"/>
      <c r="C92" s="476"/>
      <c r="D92" s="72"/>
      <c r="E92" s="72"/>
      <c r="F92" s="72"/>
      <c r="G92" s="72"/>
      <c r="H92" s="297"/>
      <c r="I92" s="278"/>
      <c r="J92" s="279"/>
      <c r="K92" s="278"/>
      <c r="L92" s="279"/>
      <c r="M92" s="298"/>
      <c r="N92" s="298"/>
      <c r="O92" s="263"/>
      <c r="P92" s="298"/>
      <c r="Q92" s="263"/>
      <c r="R92" s="298"/>
      <c r="S92" s="72"/>
      <c r="T92" s="72"/>
      <c r="U92" s="72"/>
      <c r="V92" s="72"/>
      <c r="W92" s="72"/>
      <c r="X92" s="297"/>
      <c r="Y92" s="278"/>
      <c r="Z92" s="279"/>
      <c r="AA92" s="278"/>
      <c r="AB92" s="279"/>
      <c r="AC92" s="298"/>
      <c r="AD92" s="298"/>
      <c r="AE92" s="263"/>
      <c r="AF92" s="298"/>
      <c r="AG92" s="263"/>
      <c r="AH92" s="298"/>
      <c r="AI92" s="280"/>
      <c r="AJ92" s="298"/>
      <c r="AK92" s="263"/>
      <c r="AL92" s="72"/>
      <c r="AM92" s="72"/>
      <c r="AN92" s="72"/>
      <c r="AO92" s="72"/>
      <c r="AP92" s="72"/>
      <c r="AQ92" s="72"/>
      <c r="AR92" s="72"/>
      <c r="AS92" s="72"/>
      <c r="AT92" s="72"/>
      <c r="AU92" s="72"/>
      <c r="AV92" s="300"/>
      <c r="AW92" s="72"/>
      <c r="AX92" s="72"/>
      <c r="AY92" s="264"/>
      <c r="AZ92" s="33"/>
      <c r="BA92" s="46"/>
      <c r="BB92" s="78"/>
      <c r="BC92" s="34"/>
      <c r="BD92" s="28"/>
    </row>
    <row r="93" spans="1:60" ht="14.15" customHeight="1">
      <c r="A93" s="22"/>
      <c r="B93" s="202">
        <v>35</v>
      </c>
      <c r="C93" s="62" t="s">
        <v>243</v>
      </c>
      <c r="D93" s="332"/>
      <c r="E93" s="65"/>
      <c r="F93" s="65"/>
      <c r="G93" s="65"/>
      <c r="H93" s="65"/>
      <c r="I93" s="65"/>
      <c r="J93" s="945"/>
      <c r="K93" s="945"/>
      <c r="L93" s="945"/>
      <c r="M93" s="945"/>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125"/>
      <c r="AU93" s="65"/>
      <c r="AV93" s="65"/>
      <c r="AW93" s="65"/>
      <c r="AX93" s="65"/>
      <c r="AY93" s="65"/>
      <c r="AZ93" s="33"/>
      <c r="BA93" s="46"/>
      <c r="BB93" s="335"/>
      <c r="BC93" s="336"/>
      <c r="BD93" s="28"/>
      <c r="BG93" s="24"/>
      <c r="BH93" s="28"/>
    </row>
    <row r="94" spans="1:60" ht="5.15" customHeight="1">
      <c r="A94" s="22"/>
      <c r="B94" s="202"/>
      <c r="C94" s="296"/>
      <c r="D94" s="72"/>
      <c r="E94" s="72"/>
      <c r="F94" s="72"/>
      <c r="G94" s="72"/>
      <c r="H94" s="297"/>
      <c r="I94" s="278"/>
      <c r="J94" s="279"/>
      <c r="K94" s="278"/>
      <c r="L94" s="279"/>
      <c r="M94" s="298"/>
      <c r="N94" s="298"/>
      <c r="O94" s="263"/>
      <c r="P94" s="298"/>
      <c r="Q94" s="263"/>
      <c r="R94" s="298"/>
      <c r="S94" s="72"/>
      <c r="T94" s="72"/>
      <c r="U94" s="72"/>
      <c r="V94" s="72"/>
      <c r="W94" s="72"/>
      <c r="X94" s="297"/>
      <c r="Y94" s="278"/>
      <c r="Z94" s="279"/>
      <c r="AA94" s="278"/>
      <c r="AB94" s="279"/>
      <c r="AC94" s="298"/>
      <c r="AD94" s="298"/>
      <c r="AE94" s="263"/>
      <c r="AF94" s="298"/>
      <c r="AG94" s="263"/>
      <c r="AH94" s="298"/>
      <c r="AI94" s="280"/>
      <c r="AJ94" s="298"/>
      <c r="AK94" s="263"/>
      <c r="AL94" s="72"/>
      <c r="AM94" s="72"/>
      <c r="AN94" s="72"/>
      <c r="AO94" s="72"/>
      <c r="AP94" s="72"/>
      <c r="AQ94" s="72"/>
      <c r="AR94" s="72"/>
      <c r="AS94" s="72"/>
      <c r="AT94" s="72"/>
      <c r="AU94" s="72"/>
      <c r="AV94" s="300"/>
      <c r="AW94" s="72"/>
      <c r="AX94" s="72"/>
      <c r="AY94" s="265"/>
      <c r="AZ94" s="33"/>
      <c r="BA94" s="46"/>
      <c r="BB94" s="78"/>
      <c r="BC94" s="34"/>
      <c r="BD94" s="28"/>
    </row>
    <row r="95" spans="1:60" ht="14.15" customHeight="1">
      <c r="A95" s="23"/>
      <c r="B95" s="351"/>
      <c r="C95" s="282"/>
      <c r="D95" s="28" t="s">
        <v>240</v>
      </c>
      <c r="E95" s="28"/>
      <c r="F95" s="28"/>
      <c r="G95" s="28"/>
      <c r="H95" s="468" t="s">
        <v>241</v>
      </c>
      <c r="I95" s="257"/>
      <c r="J95" s="258"/>
      <c r="K95" s="258"/>
      <c r="L95" s="258"/>
      <c r="M95" s="259"/>
      <c r="N95" s="258"/>
      <c r="O95" s="110"/>
      <c r="P95" s="261" t="s">
        <v>33</v>
      </c>
      <c r="Q95" s="25"/>
      <c r="R95" s="469" t="s">
        <v>242</v>
      </c>
      <c r="S95" s="470"/>
      <c r="T95" s="471"/>
      <c r="U95" s="471"/>
      <c r="V95" s="483"/>
      <c r="W95" s="484" t="s">
        <v>254</v>
      </c>
      <c r="X95" s="471"/>
      <c r="Y95" s="473"/>
      <c r="Z95" s="474"/>
      <c r="AB95" s="529" t="s">
        <v>290</v>
      </c>
      <c r="AC95" s="530"/>
      <c r="AD95" s="531"/>
      <c r="AE95" s="531"/>
      <c r="AF95" s="531"/>
      <c r="AG95" s="532"/>
      <c r="AH95" s="531"/>
      <c r="AI95" s="533"/>
      <c r="AJ95" s="532"/>
      <c r="AK95" s="61"/>
      <c r="AL95" s="61"/>
      <c r="AM95" s="533"/>
      <c r="AN95" s="533"/>
      <c r="AO95" s="531"/>
      <c r="AP95" s="534"/>
      <c r="AQ95" s="531"/>
      <c r="AR95" s="531"/>
      <c r="AS95" s="531"/>
      <c r="AT95" s="531"/>
      <c r="AU95" s="535"/>
      <c r="AV95" s="533"/>
      <c r="AW95" s="533"/>
      <c r="AX95" s="70"/>
      <c r="AY95" s="347"/>
      <c r="AZ95" s="33"/>
      <c r="BA95" s="46"/>
      <c r="BB95" s="78"/>
      <c r="BC95" s="34"/>
      <c r="BD95" s="28"/>
      <c r="BG95" s="35"/>
    </row>
    <row r="96" spans="1:60" ht="14.15" customHeight="1">
      <c r="A96" s="23"/>
      <c r="B96" s="351"/>
      <c r="C96" s="282"/>
      <c r="D96" s="28"/>
      <c r="E96" s="28"/>
      <c r="F96" s="28"/>
      <c r="G96" s="28"/>
      <c r="H96" s="469" t="s">
        <v>253</v>
      </c>
      <c r="I96" s="470"/>
      <c r="J96" s="471"/>
      <c r="K96" s="471"/>
      <c r="L96" s="471"/>
      <c r="M96" s="472"/>
      <c r="N96" s="471"/>
      <c r="O96" s="473"/>
      <c r="P96" s="472"/>
      <c r="Q96" s="479"/>
      <c r="R96" s="479"/>
      <c r="S96" s="473"/>
      <c r="T96" s="473"/>
      <c r="U96" s="471"/>
      <c r="V96" s="480"/>
      <c r="W96" s="471"/>
      <c r="X96" s="471"/>
      <c r="Y96" s="471"/>
      <c r="Z96" s="471"/>
      <c r="AA96" s="481"/>
      <c r="AB96" s="473"/>
      <c r="AC96" s="473"/>
      <c r="AD96" s="479"/>
      <c r="AE96" s="471"/>
      <c r="AF96" s="471"/>
      <c r="AG96" s="472"/>
      <c r="AH96" s="471"/>
      <c r="AI96" s="473"/>
      <c r="AJ96" s="472"/>
      <c r="AK96" s="479"/>
      <c r="AL96" s="479"/>
      <c r="AM96" s="473"/>
      <c r="AN96" s="473"/>
      <c r="AO96" s="471"/>
      <c r="AP96" s="480"/>
      <c r="AQ96" s="471"/>
      <c r="AR96" s="471"/>
      <c r="AS96" s="471"/>
      <c r="AT96" s="471"/>
      <c r="AU96" s="481"/>
      <c r="AV96" s="473"/>
      <c r="AW96" s="473"/>
      <c r="AX96" s="482"/>
      <c r="AY96" s="347"/>
      <c r="AZ96" s="33"/>
      <c r="BA96" s="46"/>
      <c r="BB96" s="78"/>
      <c r="BC96" s="34"/>
      <c r="BD96" s="28"/>
      <c r="BG96" s="35"/>
    </row>
    <row r="97" spans="1:60" ht="5.15" customHeight="1">
      <c r="A97" s="22"/>
      <c r="B97" s="202"/>
      <c r="C97" s="315"/>
      <c r="D97" s="73"/>
      <c r="E97" s="73"/>
      <c r="F97" s="73"/>
      <c r="G97" s="73"/>
      <c r="H97" s="316"/>
      <c r="I97" s="275"/>
      <c r="J97" s="273"/>
      <c r="K97" s="275"/>
      <c r="L97" s="273"/>
      <c r="M97" s="317"/>
      <c r="N97" s="317"/>
      <c r="O97" s="270"/>
      <c r="P97" s="317"/>
      <c r="Q97" s="270"/>
      <c r="R97" s="317"/>
      <c r="S97" s="73"/>
      <c r="T97" s="73"/>
      <c r="U97" s="73"/>
      <c r="V97" s="73"/>
      <c r="W97" s="73"/>
      <c r="X97" s="316"/>
      <c r="Y97" s="275"/>
      <c r="Z97" s="273"/>
      <c r="AA97" s="275"/>
      <c r="AB97" s="273"/>
      <c r="AC97" s="317"/>
      <c r="AD97" s="317"/>
      <c r="AE97" s="270"/>
      <c r="AF97" s="317"/>
      <c r="AG97" s="270"/>
      <c r="AH97" s="317"/>
      <c r="AI97" s="276"/>
      <c r="AJ97" s="317"/>
      <c r="AK97" s="270"/>
      <c r="AL97" s="73"/>
      <c r="AM97" s="73"/>
      <c r="AN97" s="73"/>
      <c r="AO97" s="73"/>
      <c r="AP97" s="73"/>
      <c r="AQ97" s="73"/>
      <c r="AR97" s="73"/>
      <c r="AS97" s="73"/>
      <c r="AT97" s="73"/>
      <c r="AU97" s="73"/>
      <c r="AV97" s="318"/>
      <c r="AW97" s="73"/>
      <c r="AX97" s="73"/>
      <c r="AY97" s="277"/>
      <c r="AZ97" s="33"/>
      <c r="BA97" s="46"/>
      <c r="BB97" s="78"/>
      <c r="BC97" s="34"/>
      <c r="BD97" s="28"/>
    </row>
    <row r="98" spans="1:60" ht="5.15" customHeight="1">
      <c r="A98" s="22"/>
      <c r="B98" s="202"/>
      <c r="C98" s="476"/>
      <c r="D98" s="72"/>
      <c r="E98" s="72"/>
      <c r="F98" s="72"/>
      <c r="G98" s="72"/>
      <c r="H98" s="297"/>
      <c r="I98" s="278"/>
      <c r="J98" s="279"/>
      <c r="K98" s="278"/>
      <c r="L98" s="279"/>
      <c r="M98" s="298"/>
      <c r="N98" s="298"/>
      <c r="O98" s="263"/>
      <c r="P98" s="298"/>
      <c r="Q98" s="263"/>
      <c r="R98" s="298"/>
      <c r="S98" s="72"/>
      <c r="T98" s="72"/>
      <c r="U98" s="72"/>
      <c r="V98" s="72"/>
      <c r="W98" s="72"/>
      <c r="X98" s="297"/>
      <c r="Y98" s="278"/>
      <c r="Z98" s="279"/>
      <c r="AA98" s="278"/>
      <c r="AB98" s="279"/>
      <c r="AC98" s="298"/>
      <c r="AD98" s="298"/>
      <c r="AE98" s="263"/>
      <c r="AF98" s="298"/>
      <c r="AG98" s="263"/>
      <c r="AH98" s="298"/>
      <c r="AI98" s="280"/>
      <c r="AJ98" s="298"/>
      <c r="AK98" s="263"/>
      <c r="AL98" s="72"/>
      <c r="AM98" s="72"/>
      <c r="AN98" s="72"/>
      <c r="AO98" s="72"/>
      <c r="AP98" s="72"/>
      <c r="AQ98" s="72"/>
      <c r="AR98" s="72"/>
      <c r="AS98" s="72"/>
      <c r="AT98" s="72"/>
      <c r="AU98" s="72"/>
      <c r="AV98" s="300"/>
      <c r="AW98" s="72"/>
      <c r="AX98" s="72"/>
      <c r="AY98" s="264"/>
      <c r="AZ98" s="33"/>
      <c r="BA98" s="46"/>
      <c r="BB98" s="78"/>
      <c r="BC98" s="34"/>
      <c r="BD98" s="28"/>
    </row>
    <row r="99" spans="1:60" ht="14.15" customHeight="1">
      <c r="A99" s="22"/>
      <c r="B99" s="202">
        <v>35</v>
      </c>
      <c r="C99" s="62" t="s">
        <v>243</v>
      </c>
      <c r="D99" s="332"/>
      <c r="E99" s="65"/>
      <c r="F99" s="65"/>
      <c r="G99" s="65"/>
      <c r="H99" s="65"/>
      <c r="I99" s="65"/>
      <c r="J99" s="477"/>
      <c r="K99" s="477"/>
      <c r="L99" s="477"/>
      <c r="M99" s="477"/>
      <c r="N99" s="65"/>
      <c r="O99" s="65"/>
      <c r="P99" s="65"/>
      <c r="Q99" s="65"/>
      <c r="R99" s="65"/>
      <c r="S99" s="65"/>
      <c r="T99" s="65"/>
      <c r="U99" s="65"/>
      <c r="V99" s="65"/>
      <c r="W99" s="65"/>
      <c r="X99" s="65"/>
      <c r="Y99" s="65"/>
      <c r="Z99" s="65"/>
      <c r="AA99" s="65"/>
      <c r="AB99" s="65"/>
      <c r="AC99" s="65"/>
      <c r="AD99" s="65"/>
      <c r="AE99" s="65"/>
      <c r="AF99" s="65"/>
      <c r="AG99" s="65"/>
      <c r="AH99" s="65"/>
      <c r="AI99" s="65"/>
      <c r="AJ99" s="65"/>
      <c r="AK99" s="65"/>
      <c r="AL99" s="65"/>
      <c r="AM99" s="65"/>
      <c r="AN99" s="65"/>
      <c r="AO99" s="65"/>
      <c r="AP99" s="65"/>
      <c r="AQ99" s="65"/>
      <c r="AR99" s="65"/>
      <c r="AS99" s="65"/>
      <c r="AT99" s="125"/>
      <c r="AU99" s="65"/>
      <c r="AV99" s="65"/>
      <c r="AW99" s="65"/>
      <c r="AX99" s="65"/>
      <c r="AY99" s="65"/>
      <c r="AZ99" s="33"/>
      <c r="BA99" s="46"/>
      <c r="BB99" s="335"/>
      <c r="BC99" s="336"/>
      <c r="BD99" s="28"/>
      <c r="BG99" s="24"/>
      <c r="BH99" s="28"/>
    </row>
    <row r="100" spans="1:60" ht="14.15" customHeight="1">
      <c r="A100" s="22"/>
      <c r="B100" s="202">
        <v>35</v>
      </c>
      <c r="C100" s="331"/>
      <c r="D100" s="332"/>
      <c r="E100" s="65"/>
      <c r="F100" s="65"/>
      <c r="G100" s="65"/>
      <c r="H100" s="65"/>
      <c r="I100" s="65"/>
      <c r="J100" s="477"/>
      <c r="K100" s="477"/>
      <c r="L100" s="477"/>
      <c r="M100" s="477"/>
      <c r="N100" s="65"/>
      <c r="O100" s="65"/>
      <c r="P100" s="65"/>
      <c r="Q100" s="65"/>
      <c r="R100" s="65"/>
      <c r="S100" s="65"/>
      <c r="T100" s="65"/>
      <c r="U100" s="65"/>
      <c r="V100" s="65"/>
      <c r="W100" s="65"/>
      <c r="X100" s="65"/>
      <c r="Y100" s="65"/>
      <c r="Z100" s="65"/>
      <c r="AA100" s="65"/>
      <c r="AB100" s="65"/>
      <c r="AC100" s="65"/>
      <c r="AD100" s="65"/>
      <c r="AE100" s="65"/>
      <c r="AF100" s="65"/>
      <c r="AG100" s="65"/>
      <c r="AH100" s="65"/>
      <c r="AI100" s="65"/>
      <c r="AJ100" s="65"/>
      <c r="AK100" s="65"/>
      <c r="AL100" s="65"/>
      <c r="AM100" s="65"/>
      <c r="AN100" s="65"/>
      <c r="AO100" s="65"/>
      <c r="AP100" s="65"/>
      <c r="AQ100" s="65"/>
      <c r="AR100" s="65"/>
      <c r="AS100" s="65"/>
      <c r="AT100" s="125"/>
      <c r="AU100" s="65"/>
      <c r="AV100" s="65"/>
      <c r="AW100" s="65"/>
      <c r="AX100" s="65"/>
      <c r="AY100" s="65"/>
      <c r="AZ100" s="33"/>
      <c r="BA100" s="46"/>
      <c r="BB100" s="335"/>
      <c r="BC100" s="336"/>
      <c r="BD100" s="28"/>
      <c r="BG100" s="24"/>
      <c r="BH100" s="28"/>
    </row>
    <row r="101" spans="1:60" ht="14.15" customHeight="1">
      <c r="A101" s="22"/>
      <c r="B101" s="202">
        <v>35</v>
      </c>
      <c r="C101" s="346" t="s">
        <v>249</v>
      </c>
      <c r="D101" s="332"/>
      <c r="E101" s="65"/>
      <c r="F101" s="65"/>
      <c r="G101" s="65"/>
      <c r="H101" s="65"/>
      <c r="I101" s="65"/>
      <c r="J101" s="945"/>
      <c r="K101" s="945"/>
      <c r="L101" s="945"/>
      <c r="M101" s="945"/>
      <c r="N101" s="65"/>
      <c r="O101" s="65"/>
      <c r="P101" s="65"/>
      <c r="Q101" s="65"/>
      <c r="R101" s="65"/>
      <c r="S101" s="65"/>
      <c r="T101" s="65"/>
      <c r="U101" s="65"/>
      <c r="V101" s="65"/>
      <c r="W101" s="65"/>
      <c r="X101" s="65"/>
      <c r="Y101" s="65"/>
      <c r="Z101" s="65"/>
      <c r="AA101" s="65"/>
      <c r="AB101" s="65"/>
      <c r="AC101" s="65"/>
      <c r="AD101" s="65"/>
      <c r="AE101" s="65"/>
      <c r="AF101" s="65"/>
      <c r="AG101" s="65"/>
      <c r="AH101" s="65"/>
      <c r="AI101" s="65"/>
      <c r="AJ101" s="65"/>
      <c r="AK101" s="65"/>
      <c r="AL101" s="65"/>
      <c r="AM101" s="65"/>
      <c r="AN101" s="65"/>
      <c r="AO101" s="65"/>
      <c r="AP101" s="65"/>
      <c r="AQ101" s="65"/>
      <c r="AR101" s="65"/>
      <c r="AS101" s="65"/>
      <c r="AT101" s="125"/>
      <c r="AU101" s="65"/>
      <c r="AV101" s="65"/>
      <c r="AW101" s="65"/>
      <c r="AX101" s="65"/>
      <c r="AY101" s="65"/>
      <c r="AZ101" s="33"/>
      <c r="BA101" s="46"/>
      <c r="BB101" s="335"/>
      <c r="BC101" s="336"/>
      <c r="BD101" s="28"/>
      <c r="BG101" s="24"/>
      <c r="BH101" s="28"/>
    </row>
    <row r="102" spans="1:60" ht="5.15" customHeight="1">
      <c r="A102" s="22"/>
      <c r="B102" s="202"/>
      <c r="C102" s="296"/>
      <c r="D102" s="72"/>
      <c r="E102" s="72"/>
      <c r="F102" s="72"/>
      <c r="G102" s="72"/>
      <c r="H102" s="297"/>
      <c r="I102" s="278"/>
      <c r="J102" s="279"/>
      <c r="K102" s="278"/>
      <c r="L102" s="279"/>
      <c r="M102" s="298"/>
      <c r="N102" s="298"/>
      <c r="O102" s="263"/>
      <c r="P102" s="298"/>
      <c r="Q102" s="263"/>
      <c r="R102" s="298"/>
      <c r="S102" s="72"/>
      <c r="T102" s="72"/>
      <c r="U102" s="72"/>
      <c r="V102" s="72"/>
      <c r="W102" s="72"/>
      <c r="X102" s="297"/>
      <c r="Y102" s="278"/>
      <c r="Z102" s="279"/>
      <c r="AA102" s="278"/>
      <c r="AB102" s="279"/>
      <c r="AC102" s="298"/>
      <c r="AD102" s="298"/>
      <c r="AE102" s="263"/>
      <c r="AF102" s="298"/>
      <c r="AG102" s="263"/>
      <c r="AH102" s="298"/>
      <c r="AI102" s="280"/>
      <c r="AJ102" s="298"/>
      <c r="AK102" s="263"/>
      <c r="AL102" s="72"/>
      <c r="AM102" s="72"/>
      <c r="AN102" s="72"/>
      <c r="AO102" s="72"/>
      <c r="AP102" s="72"/>
      <c r="AQ102" s="72"/>
      <c r="AR102" s="72"/>
      <c r="AS102" s="72"/>
      <c r="AT102" s="72"/>
      <c r="AU102" s="72"/>
      <c r="AV102" s="300"/>
      <c r="AW102" s="72"/>
      <c r="AX102" s="72"/>
      <c r="AY102" s="265"/>
      <c r="AZ102" s="33"/>
      <c r="BA102" s="46"/>
      <c r="BB102" s="335"/>
      <c r="BC102" s="336"/>
      <c r="BD102" s="28"/>
    </row>
    <row r="103" spans="1:60" ht="13.5" customHeight="1">
      <c r="A103" s="22"/>
      <c r="B103" s="45"/>
      <c r="C103" s="266"/>
      <c r="D103" s="28" t="s">
        <v>250</v>
      </c>
      <c r="E103" s="28"/>
      <c r="F103" s="28"/>
      <c r="G103" s="28"/>
      <c r="H103" s="24"/>
      <c r="I103" s="24"/>
      <c r="J103" s="24"/>
      <c r="K103" s="24"/>
      <c r="L103" s="24"/>
      <c r="M103" s="127"/>
      <c r="N103" s="75"/>
      <c r="O103" s="84"/>
      <c r="P103" s="84"/>
      <c r="Q103" s="85"/>
      <c r="R103" s="75"/>
      <c r="S103" s="75"/>
      <c r="T103" s="75"/>
      <c r="U103" s="84"/>
      <c r="V103" s="85"/>
      <c r="W103" s="75"/>
      <c r="X103" s="65"/>
      <c r="Y103" s="28"/>
      <c r="Z103" s="28"/>
      <c r="AA103" s="28"/>
      <c r="AB103" s="28"/>
      <c r="AC103" s="28"/>
      <c r="AD103" s="28"/>
      <c r="AE103" s="28"/>
      <c r="AF103" s="28"/>
      <c r="AG103" s="28"/>
      <c r="AH103" s="28"/>
      <c r="AI103" s="28"/>
      <c r="AJ103" s="28"/>
      <c r="AK103" s="28"/>
      <c r="AL103" s="28"/>
      <c r="AM103" s="31"/>
      <c r="AN103" s="31"/>
      <c r="AO103" s="31"/>
      <c r="AP103" s="31"/>
      <c r="AQ103" s="31"/>
      <c r="AR103" s="31"/>
      <c r="AS103" s="31"/>
      <c r="AT103" s="31"/>
      <c r="AU103" s="31"/>
      <c r="AV103" s="31"/>
      <c r="AW103" s="31"/>
      <c r="AX103" s="65"/>
      <c r="AY103" s="267"/>
      <c r="AZ103" s="33"/>
      <c r="BA103" s="46"/>
      <c r="BB103" s="335"/>
      <c r="BC103" s="336"/>
      <c r="BD103" s="28"/>
      <c r="BE103" s="35"/>
      <c r="BF103" s="35"/>
      <c r="BG103" s="35"/>
    </row>
    <row r="104" spans="1:60" ht="13.5" customHeight="1">
      <c r="A104" s="22"/>
      <c r="B104" s="45"/>
      <c r="C104" s="266"/>
      <c r="D104" s="28"/>
      <c r="E104" s="28"/>
      <c r="F104" s="28"/>
      <c r="G104" s="28"/>
      <c r="H104" s="348" t="s">
        <v>252</v>
      </c>
      <c r="I104" s="131"/>
      <c r="J104" s="131"/>
      <c r="K104" s="131"/>
      <c r="L104" s="132"/>
      <c r="M104" s="132"/>
      <c r="N104" s="106"/>
      <c r="O104" s="133"/>
      <c r="P104" s="134"/>
      <c r="Q104" s="133" t="s">
        <v>251</v>
      </c>
      <c r="R104" s="134"/>
      <c r="S104" s="107"/>
      <c r="T104" s="107"/>
      <c r="U104" s="107"/>
      <c r="V104" s="107"/>
      <c r="W104" s="107"/>
      <c r="X104" s="107"/>
      <c r="Y104" s="107"/>
      <c r="Z104" s="107"/>
      <c r="AA104" s="107"/>
      <c r="AB104" s="107"/>
      <c r="AC104" s="107"/>
      <c r="AD104" s="107"/>
      <c r="AE104" s="107"/>
      <c r="AF104" s="107"/>
      <c r="AG104" s="107"/>
      <c r="AH104" s="107"/>
      <c r="AI104" s="107"/>
      <c r="AJ104" s="107"/>
      <c r="AK104" s="107"/>
      <c r="AL104" s="133" t="s">
        <v>44</v>
      </c>
      <c r="AM104" s="134"/>
      <c r="AN104" s="107"/>
      <c r="AO104" s="31"/>
      <c r="AP104" s="31"/>
      <c r="AQ104" s="31"/>
      <c r="AR104" s="31"/>
      <c r="AS104" s="31"/>
      <c r="AT104" s="31"/>
      <c r="AU104" s="31"/>
      <c r="AV104" s="31"/>
      <c r="AW104" s="31"/>
      <c r="AX104" s="65"/>
      <c r="AY104" s="267"/>
      <c r="AZ104" s="33"/>
      <c r="BA104" s="46"/>
      <c r="BB104" s="335"/>
      <c r="BC104" s="336"/>
      <c r="BD104" s="28"/>
      <c r="BE104" s="35"/>
      <c r="BF104" s="35"/>
      <c r="BG104" s="35"/>
    </row>
    <row r="105" spans="1:60" ht="13.5" customHeight="1">
      <c r="A105" s="22"/>
      <c r="B105" s="45"/>
      <c r="C105" s="266"/>
      <c r="D105" s="28"/>
      <c r="E105" s="28"/>
      <c r="F105" s="28"/>
      <c r="G105" s="28"/>
      <c r="H105" s="485" t="s">
        <v>255</v>
      </c>
      <c r="I105" s="137"/>
      <c r="J105" s="137"/>
      <c r="K105" s="137"/>
      <c r="L105" s="137"/>
      <c r="M105" s="137"/>
      <c r="N105" s="137"/>
      <c r="O105" s="350"/>
      <c r="P105" s="139"/>
      <c r="Q105" s="486" t="s">
        <v>54</v>
      </c>
      <c r="R105" s="139"/>
      <c r="S105" s="108"/>
      <c r="T105" s="108"/>
      <c r="U105" s="108"/>
      <c r="V105" s="156"/>
      <c r="W105" s="110"/>
      <c r="X105" s="110"/>
      <c r="Y105" s="156"/>
      <c r="Z105" s="156"/>
      <c r="AA105" s="110"/>
      <c r="AB105" s="110"/>
      <c r="AC105" s="37"/>
      <c r="AD105" s="37"/>
      <c r="AE105" s="37"/>
      <c r="AF105" s="37"/>
      <c r="AG105" s="37"/>
      <c r="AH105" s="37"/>
      <c r="AI105" s="37"/>
      <c r="AJ105" s="37"/>
      <c r="AK105" s="97"/>
      <c r="AL105" s="140"/>
      <c r="AM105" s="141"/>
      <c r="AN105" s="142"/>
      <c r="AO105" s="31"/>
      <c r="AP105" s="31"/>
      <c r="AQ105" s="31"/>
      <c r="AR105" s="31"/>
      <c r="AS105" s="31"/>
      <c r="AT105" s="31"/>
      <c r="AU105" s="31"/>
      <c r="AV105" s="31"/>
      <c r="AW105" s="31"/>
      <c r="AX105" s="65"/>
      <c r="AY105" s="267"/>
      <c r="AZ105" s="33"/>
      <c r="BA105" s="46"/>
      <c r="BB105" s="335"/>
      <c r="BC105" s="336"/>
      <c r="BD105" s="28"/>
      <c r="BE105" s="35"/>
      <c r="BF105" s="35"/>
      <c r="BG105" s="35"/>
    </row>
    <row r="106" spans="1:60" ht="13.5" customHeight="1">
      <c r="A106" s="22"/>
      <c r="B106" s="45"/>
      <c r="C106" s="266"/>
      <c r="D106" s="28"/>
      <c r="E106" s="28"/>
      <c r="F106" s="28"/>
      <c r="G106" s="28"/>
      <c r="H106" s="485" t="s">
        <v>256</v>
      </c>
      <c r="I106" s="137"/>
      <c r="J106" s="137"/>
      <c r="K106" s="137"/>
      <c r="L106" s="137"/>
      <c r="M106" s="137"/>
      <c r="N106" s="137"/>
      <c r="O106" s="350"/>
      <c r="P106" s="139"/>
      <c r="Q106" s="486" t="s">
        <v>54</v>
      </c>
      <c r="R106" s="139"/>
      <c r="S106" s="108"/>
      <c r="T106" s="108"/>
      <c r="U106" s="108"/>
      <c r="V106" s="156"/>
      <c r="W106" s="110"/>
      <c r="X106" s="110"/>
      <c r="Y106" s="156"/>
      <c r="Z106" s="156"/>
      <c r="AA106" s="110"/>
      <c r="AB106" s="110"/>
      <c r="AC106" s="37"/>
      <c r="AD106" s="37"/>
      <c r="AE106" s="37"/>
      <c r="AF106" s="37"/>
      <c r="AG106" s="37"/>
      <c r="AH106" s="37"/>
      <c r="AI106" s="37"/>
      <c r="AJ106" s="37"/>
      <c r="AK106" s="97"/>
      <c r="AL106" s="140"/>
      <c r="AM106" s="141"/>
      <c r="AN106" s="142"/>
      <c r="AO106" s="31"/>
      <c r="AP106" s="31"/>
      <c r="AQ106" s="31"/>
      <c r="AR106" s="31"/>
      <c r="AS106" s="31"/>
      <c r="AT106" s="31"/>
      <c r="AU106" s="31"/>
      <c r="AV106" s="31"/>
      <c r="AW106" s="31"/>
      <c r="AX106" s="65"/>
      <c r="AY106" s="267"/>
      <c r="AZ106" s="33"/>
      <c r="BA106" s="46"/>
      <c r="BB106" s="335"/>
      <c r="BC106" s="336"/>
      <c r="BD106" s="28"/>
      <c r="BE106" s="35"/>
      <c r="BF106" s="35"/>
      <c r="BG106" s="35"/>
    </row>
    <row r="107" spans="1:60" ht="13.5" customHeight="1">
      <c r="A107" s="22"/>
      <c r="B107" s="45"/>
      <c r="C107" s="266"/>
      <c r="D107" s="28"/>
      <c r="E107" s="28"/>
      <c r="F107" s="28"/>
      <c r="G107" s="28"/>
      <c r="H107" s="485" t="s">
        <v>257</v>
      </c>
      <c r="I107" s="137"/>
      <c r="J107" s="137"/>
      <c r="K107" s="137"/>
      <c r="L107" s="137"/>
      <c r="M107" s="137"/>
      <c r="N107" s="137"/>
      <c r="O107" s="350"/>
      <c r="P107" s="139"/>
      <c r="Q107" s="486" t="s">
        <v>54</v>
      </c>
      <c r="R107" s="139"/>
      <c r="S107" s="108"/>
      <c r="T107" s="108"/>
      <c r="U107" s="108"/>
      <c r="V107" s="156"/>
      <c r="W107" s="110"/>
      <c r="X107" s="110"/>
      <c r="Y107" s="156"/>
      <c r="Z107" s="156"/>
      <c r="AA107" s="110"/>
      <c r="AB107" s="110"/>
      <c r="AC107" s="37"/>
      <c r="AD107" s="37"/>
      <c r="AE107" s="37"/>
      <c r="AF107" s="37"/>
      <c r="AG107" s="37"/>
      <c r="AH107" s="37"/>
      <c r="AI107" s="37"/>
      <c r="AJ107" s="37"/>
      <c r="AK107" s="97"/>
      <c r="AL107" s="140"/>
      <c r="AM107" s="141"/>
      <c r="AN107" s="142"/>
      <c r="AO107" s="31"/>
      <c r="AP107" s="31"/>
      <c r="AQ107" s="31"/>
      <c r="AR107" s="31"/>
      <c r="AS107" s="31"/>
      <c r="AT107" s="31"/>
      <c r="AU107" s="31"/>
      <c r="AV107" s="31"/>
      <c r="AW107" s="31"/>
      <c r="AX107" s="65"/>
      <c r="AY107" s="267"/>
      <c r="AZ107" s="33"/>
      <c r="BA107" s="46"/>
      <c r="BB107" s="335"/>
      <c r="BC107" s="336"/>
      <c r="BD107" s="28"/>
      <c r="BE107" s="35"/>
      <c r="BF107" s="35"/>
      <c r="BG107" s="35"/>
    </row>
    <row r="108" spans="1:60" ht="5.15" customHeight="1">
      <c r="A108" s="22"/>
      <c r="B108" s="202"/>
      <c r="C108" s="315"/>
      <c r="D108" s="73"/>
      <c r="E108" s="73"/>
      <c r="F108" s="73"/>
      <c r="G108" s="73"/>
      <c r="H108" s="316"/>
      <c r="I108" s="275"/>
      <c r="J108" s="273"/>
      <c r="K108" s="275"/>
      <c r="L108" s="273"/>
      <c r="M108" s="317"/>
      <c r="N108" s="317"/>
      <c r="O108" s="270"/>
      <c r="P108" s="317"/>
      <c r="Q108" s="270"/>
      <c r="R108" s="317"/>
      <c r="S108" s="73"/>
      <c r="T108" s="73"/>
      <c r="U108" s="73"/>
      <c r="V108" s="73"/>
      <c r="W108" s="73"/>
      <c r="X108" s="316"/>
      <c r="Y108" s="275"/>
      <c r="Z108" s="273"/>
      <c r="AA108" s="275"/>
      <c r="AB108" s="273"/>
      <c r="AC108" s="317"/>
      <c r="AD108" s="317"/>
      <c r="AE108" s="270"/>
      <c r="AF108" s="317"/>
      <c r="AG108" s="270"/>
      <c r="AH108" s="317"/>
      <c r="AI108" s="276"/>
      <c r="AJ108" s="317"/>
      <c r="AK108" s="270"/>
      <c r="AL108" s="73"/>
      <c r="AM108" s="73"/>
      <c r="AN108" s="73"/>
      <c r="AO108" s="73"/>
      <c r="AP108" s="73"/>
      <c r="AQ108" s="73"/>
      <c r="AR108" s="73"/>
      <c r="AS108" s="73"/>
      <c r="AT108" s="73"/>
      <c r="AU108" s="73"/>
      <c r="AV108" s="318"/>
      <c r="AW108" s="73"/>
      <c r="AX108" s="73"/>
      <c r="AY108" s="277"/>
      <c r="AZ108" s="33"/>
      <c r="BA108" s="46"/>
      <c r="BB108" s="335"/>
      <c r="BC108" s="336"/>
      <c r="BD108" s="28"/>
    </row>
    <row r="109" spans="1:60" ht="14.15" customHeight="1">
      <c r="A109" s="22"/>
      <c r="B109" s="202"/>
      <c r="C109" s="331"/>
      <c r="D109" s="332"/>
      <c r="E109" s="65"/>
      <c r="F109" s="65"/>
      <c r="G109" s="65"/>
      <c r="H109" s="65"/>
      <c r="I109" s="65"/>
      <c r="J109" s="354"/>
      <c r="K109" s="354"/>
      <c r="L109" s="354"/>
      <c r="M109" s="354"/>
      <c r="N109" s="65"/>
      <c r="O109" s="65"/>
      <c r="P109" s="65"/>
      <c r="Q109" s="65"/>
      <c r="R109" s="65"/>
      <c r="S109" s="65"/>
      <c r="T109" s="65"/>
      <c r="U109" s="65"/>
      <c r="V109" s="65"/>
      <c r="W109" s="65"/>
      <c r="X109" s="65"/>
      <c r="Y109" s="65"/>
      <c r="Z109" s="65"/>
      <c r="AA109" s="65"/>
      <c r="AB109" s="65"/>
      <c r="AC109" s="65"/>
      <c r="AD109" s="65"/>
      <c r="AE109" s="65"/>
      <c r="AF109" s="65"/>
      <c r="AG109" s="65"/>
      <c r="AH109" s="65"/>
      <c r="AI109" s="65"/>
      <c r="AJ109" s="65"/>
      <c r="AK109" s="65"/>
      <c r="AL109" s="65"/>
      <c r="AM109" s="65"/>
      <c r="AN109" s="65"/>
      <c r="AO109" s="65"/>
      <c r="AP109" s="65"/>
      <c r="AQ109" s="65"/>
      <c r="AR109" s="65"/>
      <c r="AS109" s="65"/>
      <c r="AT109" s="125"/>
      <c r="AU109" s="65"/>
      <c r="AV109" s="65"/>
      <c r="AW109" s="65"/>
      <c r="AX109" s="65"/>
      <c r="AY109" s="65"/>
      <c r="AZ109" s="33"/>
      <c r="BA109" s="46"/>
      <c r="BB109" s="335"/>
      <c r="BC109" s="336"/>
      <c r="BD109" s="28"/>
      <c r="BG109" s="24"/>
      <c r="BH109" s="28"/>
    </row>
    <row r="110" spans="1:60" ht="13.5" customHeight="1">
      <c r="A110" s="22"/>
      <c r="B110" s="202">
        <v>36</v>
      </c>
      <c r="C110" s="331"/>
      <c r="D110" s="332"/>
      <c r="E110" s="65"/>
      <c r="F110" s="65"/>
      <c r="G110" s="65"/>
      <c r="H110" s="65"/>
      <c r="I110" s="65"/>
      <c r="J110" s="945"/>
      <c r="K110" s="945"/>
      <c r="L110" s="945"/>
      <c r="M110" s="945"/>
      <c r="N110" s="63"/>
      <c r="O110" s="65"/>
      <c r="P110" s="65"/>
      <c r="Q110" s="65"/>
      <c r="R110" s="28"/>
      <c r="S110" s="28"/>
      <c r="T110" s="31"/>
      <c r="U110" s="31"/>
      <c r="V110" s="31"/>
      <c r="W110" s="31"/>
      <c r="X110" s="31"/>
      <c r="Y110" s="44"/>
      <c r="Z110" s="31"/>
      <c r="AA110" s="28"/>
      <c r="AB110" s="44"/>
      <c r="AC110" s="31"/>
      <c r="AD110" s="28"/>
      <c r="AE110" s="44"/>
      <c r="AF110" s="28"/>
      <c r="AG110" s="116"/>
      <c r="AH110" s="41"/>
      <c r="AI110" s="116"/>
      <c r="AJ110" s="116"/>
      <c r="AK110" s="116"/>
      <c r="AL110" s="116"/>
      <c r="AM110" s="116"/>
      <c r="AN110" s="116"/>
      <c r="AO110" s="116"/>
      <c r="AP110" s="116"/>
      <c r="AQ110" s="116"/>
      <c r="AR110" s="116"/>
      <c r="AS110" s="116"/>
      <c r="AT110" s="116"/>
      <c r="AU110" s="116"/>
      <c r="AV110" s="116"/>
      <c r="AW110" s="116"/>
      <c r="AX110" s="116"/>
      <c r="AY110" s="116"/>
      <c r="AZ110" s="33"/>
      <c r="BA110" s="46"/>
      <c r="BB110" s="335"/>
      <c r="BC110" s="336"/>
      <c r="BD110" s="28"/>
      <c r="BG110" s="24"/>
      <c r="BH110" s="28"/>
    </row>
    <row r="111" spans="1:60" ht="13.5" customHeight="1">
      <c r="A111" s="22"/>
      <c r="B111" s="202">
        <v>37</v>
      </c>
      <c r="C111" s="331"/>
      <c r="D111" s="332"/>
      <c r="E111" s="65"/>
      <c r="F111" s="65"/>
      <c r="G111" s="65"/>
      <c r="H111" s="65"/>
      <c r="I111" s="65"/>
      <c r="J111" s="945"/>
      <c r="K111" s="945"/>
      <c r="L111" s="945"/>
      <c r="M111" s="945"/>
      <c r="N111" s="193"/>
      <c r="O111" s="195"/>
      <c r="P111" s="193"/>
      <c r="Q111" s="194"/>
      <c r="R111" s="194"/>
      <c r="S111" s="194"/>
      <c r="T111" s="196"/>
      <c r="U111" s="196"/>
      <c r="V111" s="196"/>
      <c r="W111" s="196"/>
      <c r="X111" s="196"/>
      <c r="Y111" s="195"/>
      <c r="Z111" s="196"/>
      <c r="AA111" s="194"/>
      <c r="AB111" s="195"/>
      <c r="AC111" s="196"/>
      <c r="AD111" s="194"/>
      <c r="AE111" s="195"/>
      <c r="AF111" s="194"/>
      <c r="AG111" s="194"/>
      <c r="AH111" s="195"/>
      <c r="AI111" s="194"/>
      <c r="AJ111" s="194"/>
      <c r="AK111" s="197"/>
      <c r="AL111" s="194"/>
      <c r="AM111" s="194"/>
      <c r="AN111" s="194"/>
      <c r="AO111" s="194"/>
      <c r="AP111" s="194"/>
      <c r="AQ111" s="194"/>
      <c r="AR111" s="194"/>
      <c r="AS111" s="194"/>
      <c r="AT111" s="194"/>
      <c r="AU111" s="194"/>
      <c r="AV111" s="194"/>
      <c r="AW111" s="194"/>
      <c r="AX111" s="194"/>
      <c r="AY111" s="194"/>
      <c r="AZ111" s="33"/>
      <c r="BA111" s="46"/>
      <c r="BB111" s="335"/>
      <c r="BC111" s="336"/>
      <c r="BD111" s="28"/>
      <c r="BG111" s="24"/>
      <c r="BH111" s="28"/>
    </row>
    <row r="112" spans="1:60">
      <c r="A112" s="22"/>
      <c r="B112" s="32"/>
      <c r="C112" s="28"/>
      <c r="D112" s="28"/>
      <c r="E112" s="28"/>
      <c r="F112" s="28"/>
      <c r="G112" s="28"/>
      <c r="H112" s="28"/>
      <c r="I112" s="28"/>
      <c r="J112" s="28"/>
      <c r="K112" s="28"/>
      <c r="L112" s="28"/>
      <c r="M112" s="28"/>
      <c r="N112" s="28"/>
      <c r="O112" s="28"/>
      <c r="P112" s="28"/>
      <c r="Q112" s="28"/>
      <c r="R112" s="28"/>
      <c r="S112" s="81"/>
      <c r="T112" s="81"/>
      <c r="U112" s="81"/>
      <c r="V112" s="81"/>
      <c r="W112" s="28"/>
      <c r="X112" s="28"/>
      <c r="Y112" s="81"/>
      <c r="Z112" s="81"/>
      <c r="AA112" s="28"/>
      <c r="AB112" s="28"/>
      <c r="AC112" s="28"/>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31"/>
      <c r="AZ112" s="33"/>
      <c r="BA112" s="46"/>
      <c r="BB112" s="335"/>
      <c r="BC112" s="336"/>
    </row>
    <row r="113" spans="1:55">
      <c r="A113" s="155"/>
      <c r="B113" s="95"/>
      <c r="C113" s="110"/>
      <c r="D113" s="110"/>
      <c r="E113" s="110"/>
      <c r="F113" s="110"/>
      <c r="G113" s="110"/>
      <c r="H113" s="110"/>
      <c r="I113" s="110"/>
      <c r="J113" s="110"/>
      <c r="K113" s="110"/>
      <c r="L113" s="110"/>
      <c r="M113" s="110"/>
      <c r="N113" s="110"/>
      <c r="O113" s="110"/>
      <c r="P113" s="110"/>
      <c r="Q113" s="110"/>
      <c r="R113" s="110"/>
      <c r="S113" s="156"/>
      <c r="T113" s="156"/>
      <c r="U113" s="156"/>
      <c r="V113" s="156"/>
      <c r="W113" s="110"/>
      <c r="X113" s="110"/>
      <c r="Y113" s="156"/>
      <c r="Z113" s="156"/>
      <c r="AA113" s="110"/>
      <c r="AB113" s="110"/>
      <c r="AC113" s="110"/>
      <c r="AD113" s="156"/>
      <c r="AE113" s="156"/>
      <c r="AF113" s="156"/>
      <c r="AG113" s="156"/>
      <c r="AH113" s="156"/>
      <c r="AI113" s="156"/>
      <c r="AJ113" s="156"/>
      <c r="AK113" s="156"/>
      <c r="AL113" s="156"/>
      <c r="AM113" s="156"/>
      <c r="AN113" s="156"/>
      <c r="AO113" s="156"/>
      <c r="AP113" s="156"/>
      <c r="AQ113" s="156"/>
      <c r="AR113" s="156"/>
      <c r="AS113" s="156"/>
      <c r="AT113" s="156"/>
      <c r="AU113" s="156"/>
      <c r="AV113" s="156"/>
      <c r="AW113" s="156"/>
      <c r="AX113" s="156"/>
      <c r="AY113" s="95"/>
      <c r="AZ113" s="95"/>
      <c r="BA113" s="157"/>
      <c r="BB113" s="355"/>
      <c r="BC113" s="356"/>
    </row>
  </sheetData>
  <mergeCells count="107">
    <mergeCell ref="BE67:BH67"/>
    <mergeCell ref="BE68:BH68"/>
    <mergeCell ref="AF68:AJ68"/>
    <mergeCell ref="AK68:AN68"/>
    <mergeCell ref="AO68:AR68"/>
    <mergeCell ref="AS68:AV68"/>
    <mergeCell ref="AW68:AZ68"/>
    <mergeCell ref="AS71:AV71"/>
    <mergeCell ref="AW71:AZ71"/>
    <mergeCell ref="BA71:BD71"/>
    <mergeCell ref="BE71:BH71"/>
    <mergeCell ref="AF71:AJ71"/>
    <mergeCell ref="AK71:AN71"/>
    <mergeCell ref="AO71:AR71"/>
    <mergeCell ref="J110:M110"/>
    <mergeCell ref="J111:M111"/>
    <mergeCell ref="J77:M77"/>
    <mergeCell ref="J84:M84"/>
    <mergeCell ref="BE72:BH72"/>
    <mergeCell ref="BD73:BF73"/>
    <mergeCell ref="J85:M85"/>
    <mergeCell ref="J87:M87"/>
    <mergeCell ref="J93:M93"/>
    <mergeCell ref="J101:M101"/>
    <mergeCell ref="X72:AA72"/>
    <mergeCell ref="AB72:AE72"/>
    <mergeCell ref="AF72:AJ72"/>
    <mergeCell ref="AK72:AN72"/>
    <mergeCell ref="AO72:AR72"/>
    <mergeCell ref="AS64:AV64"/>
    <mergeCell ref="AS72:AV72"/>
    <mergeCell ref="AW72:AZ72"/>
    <mergeCell ref="BA72:BD72"/>
    <mergeCell ref="X68:AA68"/>
    <mergeCell ref="AB68:AE68"/>
    <mergeCell ref="BA68:BD68"/>
    <mergeCell ref="X64:AA64"/>
    <mergeCell ref="AB64:AE64"/>
    <mergeCell ref="AF64:AJ64"/>
    <mergeCell ref="AK64:AN64"/>
    <mergeCell ref="AO64:AR64"/>
    <mergeCell ref="X67:AA67"/>
    <mergeCell ref="AB67:AE67"/>
    <mergeCell ref="AF67:AJ67"/>
    <mergeCell ref="AK67:AN67"/>
    <mergeCell ref="AO67:AR67"/>
    <mergeCell ref="AS67:AV67"/>
    <mergeCell ref="AW67:AZ67"/>
    <mergeCell ref="BA67:BD67"/>
    <mergeCell ref="X71:AA71"/>
    <mergeCell ref="AB71:AE71"/>
    <mergeCell ref="BQ64:BT64"/>
    <mergeCell ref="BU64:BX64"/>
    <mergeCell ref="BY64:CA64"/>
    <mergeCell ref="AW64:AZ64"/>
    <mergeCell ref="BA64:BD64"/>
    <mergeCell ref="BE64:BH64"/>
    <mergeCell ref="BI64:BL64"/>
    <mergeCell ref="BM64:BP64"/>
    <mergeCell ref="BG52:BI52"/>
    <mergeCell ref="BM58:BP58"/>
    <mergeCell ref="BG51:BI51"/>
    <mergeCell ref="R52:U52"/>
    <mergeCell ref="Z52:AD52"/>
    <mergeCell ref="AI52:AL52"/>
    <mergeCell ref="AM52:AP52"/>
    <mergeCell ref="AQ52:AT52"/>
    <mergeCell ref="AU52:AX52"/>
    <mergeCell ref="AY52:BB52"/>
    <mergeCell ref="BC52:BF52"/>
    <mergeCell ref="AV3:AY3"/>
    <mergeCell ref="A5:BA5"/>
    <mergeCell ref="BB5:BC5"/>
    <mergeCell ref="R51:U51"/>
    <mergeCell ref="Z51:AD51"/>
    <mergeCell ref="AI51:AL51"/>
    <mergeCell ref="AM51:AP51"/>
    <mergeCell ref="AQ51:AT51"/>
    <mergeCell ref="AU51:AX51"/>
    <mergeCell ref="AY51:BB51"/>
    <mergeCell ref="H42:L42"/>
    <mergeCell ref="H43:L43"/>
    <mergeCell ref="BC51:BF51"/>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V2:AY2"/>
    <mergeCell ref="AZ2:BC3"/>
    <mergeCell ref="A3:H3"/>
    <mergeCell ref="I3:L3"/>
    <mergeCell ref="M3:W3"/>
    <mergeCell ref="X3:Z3"/>
    <mergeCell ref="AA3:AR3"/>
    <mergeCell ref="AS3:AU3"/>
  </mergeCells>
  <phoneticPr fontId="57"/>
  <conditionalFormatting sqref="AK67:AV68">
    <cfRule type="cellIs" dxfId="5" priority="3" operator="lessThan">
      <formula>0</formula>
    </cfRule>
  </conditionalFormatting>
  <conditionalFormatting sqref="AK71:AV72">
    <cfRule type="cellIs" dxfId="4" priority="2" operator="lessThan">
      <formula>0</formula>
    </cfRule>
  </conditionalFormatting>
  <conditionalFormatting sqref="BA64:BD64">
    <cfRule type="cellIs" dxfId="3" priority="15" operator="lessThan">
      <formula>0</formula>
    </cfRule>
  </conditionalFormatting>
  <conditionalFormatting sqref="BE67:BH68">
    <cfRule type="cellIs" dxfId="2" priority="4" operator="lessThan">
      <formula>0.3</formula>
    </cfRule>
  </conditionalFormatting>
  <conditionalFormatting sqref="BE71:BH72">
    <cfRule type="cellIs" dxfId="1" priority="1" operator="lessThan">
      <formula>0.3</formula>
    </cfRule>
  </conditionalFormatting>
  <conditionalFormatting sqref="BM64:BP64">
    <cfRule type="cellIs" dxfId="0" priority="10" operator="lessThan">
      <formula>0.3</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12</vt:i4>
      </vt:variant>
    </vt:vector>
  </HeadingPairs>
  <TitlesOfParts>
    <vt:vector size="25" baseType="lpstr">
      <vt:lpstr>表紙</vt:lpstr>
      <vt:lpstr>変更来歴</vt:lpstr>
      <vt:lpstr>化学物質データ画面(日本語)</vt:lpstr>
      <vt:lpstr>化学物質データ申請画面(日英併記)</vt:lpstr>
      <vt:lpstr>画面項目</vt:lpstr>
      <vt:lpstr>入力チェック</vt:lpstr>
      <vt:lpstr>選択画面</vt:lpstr>
      <vt:lpstr>円(PPM)</vt:lpstr>
      <vt:lpstr>円(技術原計)</vt:lpstr>
      <vt:lpstr>円(コリア原計)</vt:lpstr>
      <vt:lpstr>外貨(PPM)</vt:lpstr>
      <vt:lpstr>外貨(技術原計)</vt:lpstr>
      <vt:lpstr>外貨(コリア原計)</vt:lpstr>
      <vt:lpstr>'円(PPM)'!Print_Area</vt:lpstr>
      <vt:lpstr>'円(コリア原計)'!Print_Area</vt:lpstr>
      <vt:lpstr>'円(技術原計)'!Print_Area</vt:lpstr>
      <vt:lpstr>'化学物質データ画面(日本語)'!Print_Area</vt:lpstr>
      <vt:lpstr>'化学物質データ申請画面(日英併記)'!Print_Area</vt:lpstr>
      <vt:lpstr>画面項目!Print_Area</vt:lpstr>
      <vt:lpstr>'外貨(PPM)'!Print_Area</vt:lpstr>
      <vt:lpstr>'外貨(コリア原計)'!Print_Area</vt:lpstr>
      <vt:lpstr>'外貨(技術原計)'!Print_Area</vt:lpstr>
      <vt:lpstr>選択画面!Print_Area</vt:lpstr>
      <vt:lpstr>入力チェック!Print_Area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2026-05-21T07:21:48Z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