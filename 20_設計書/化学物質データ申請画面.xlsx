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drawings/drawing10.xml" ContentType="application/vnd.openxmlformats-officedocument.drawing+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A75B80FF-23EC-4909-9A01-42BCE8FFF49C}" xr6:coauthVersionLast="47" xr6:coauthVersionMax="47" xr10:uidLastSave="{00000000-0000-0000-0000-000000000000}"/>
  <bookViews>
    <workbookView xWindow="630" yWindow="2800" windowWidth="15080" windowHeight="8090" tabRatio="859" xr2:uid="{00000000-000D-0000-FFFF-FFFF00000000}"/>
  </bookViews>
  <sheets>
    <sheet name="表紙" sheetId="2" r:id="rId1"/>
    <sheet name="変更来歴" sheetId="3" r:id="rId2"/>
    <sheet name="化学物質データ画面(日本語)" sheetId="77" state="hidden" r:id="rId3"/>
    <sheet name="化学物質データ申請画面(日英併記)" sheetId="74" r:id="rId4"/>
    <sheet name="画面項目" sheetId="70" r:id="rId5"/>
    <sheet name="画面状態" sheetId="71" r:id="rId6"/>
    <sheet name="入力チェック" sheetId="72" r:id="rId7"/>
    <sheet name="選択画面" sheetId="63" state="hidden" r:id="rId8"/>
    <sheet name="円(PPM)" sheetId="16" state="hidden" r:id="rId9"/>
    <sheet name="円(技術原計)" sheetId="59" state="hidden" r:id="rId10"/>
    <sheet name="円(コリア原計)" sheetId="61" state="hidden" r:id="rId11"/>
    <sheet name="外貨(PPM)" sheetId="64" state="hidden" r:id="rId12"/>
    <sheet name="外貨(技術原計)" sheetId="65" state="hidden" r:id="rId13"/>
    <sheet name="外貨(コリア原計)" sheetId="66" state="hidden" r:id="rId14"/>
  </sheets>
  <definedNames>
    <definedName name="_2a1_" hidden="1">{"'Sheet1'!$A$3:$I$11"}</definedName>
    <definedName name="_a1" hidden="1">{"'Sheet1'!$A$3:$I$11"}</definedName>
    <definedName name="_xlnm._FilterDatabase" localSheetId="5" hidden="1">画面状態!$A$1:$AD$16</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8">'円(PPM)'!$A$1:$BC$106</definedName>
    <definedName name="_xlnm.Print_Area" localSheetId="10">'円(コリア原計)'!$A$1:$BC$116</definedName>
    <definedName name="_xlnm.Print_Area" localSheetId="9">'円(技術原計)'!$A$1:$BC$106</definedName>
    <definedName name="_xlnm.Print_Area" localSheetId="2">'化学物質データ画面(日本語)'!$A$1:$BC$66</definedName>
    <definedName name="_xlnm.Print_Area" localSheetId="3">'化学物質データ申請画面(日英併記)'!$A$1:$BC$68</definedName>
    <definedName name="_xlnm.Print_Area" localSheetId="4">画面項目!$A$1:$CJ$29</definedName>
    <definedName name="_xlnm.Print_Area" localSheetId="5">画面状態!$A$1:$CI$17</definedName>
    <definedName name="_xlnm.Print_Area" localSheetId="11">'外貨(PPM)'!$A$1:$BC$150</definedName>
    <definedName name="_xlnm.Print_Area" localSheetId="13">'外貨(コリア原計)'!$A$1:$BC$113</definedName>
    <definedName name="_xlnm.Print_Area" localSheetId="12">'外貨(技術原計)'!$A$1:$BC$117</definedName>
    <definedName name="_xlnm.Print_Area" localSheetId="7">選択画面!$A$1:$BC$41</definedName>
    <definedName name="_xlnm.Print_Area" localSheetId="6">入力チェック!$A$1:$DZ$19</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7" l="1"/>
  <c r="AA3" i="77"/>
  <c r="M3" i="77"/>
  <c r="A3" i="77"/>
  <c r="AZ2" i="77"/>
  <c r="M2" i="77"/>
  <c r="AV1" i="77"/>
  <c r="AN1" i="77"/>
  <c r="AA1" i="77"/>
  <c r="M1" i="77"/>
  <c r="A5" i="74"/>
  <c r="AA3" i="74"/>
  <c r="M3" i="74"/>
  <c r="A3" i="74"/>
  <c r="AZ2" i="74"/>
  <c r="M2" i="74"/>
  <c r="AV1" i="74"/>
  <c r="AN1" i="74"/>
  <c r="AA1" i="74"/>
  <c r="M1" i="74"/>
  <c r="AV2" i="77"/>
  <c r="AN2" i="74"/>
  <c r="AN2" i="77"/>
  <c r="AV2" i="74"/>
  <c r="AV3" i="77"/>
  <c r="AV3" i="74"/>
  <c r="BM58" i="66" l="1"/>
  <c r="AB70" i="65" l="1"/>
  <c r="AB69" i="65"/>
  <c r="AB65" i="65"/>
  <c r="AB64" i="65"/>
  <c r="X73" i="61"/>
  <c r="X69" i="61"/>
  <c r="AB74" i="65" l="1"/>
  <c r="AK65" i="61"/>
  <c r="BE64" i="66" l="1"/>
  <c r="AB75" i="65"/>
  <c r="X70" i="61"/>
  <c r="AG61" i="59" l="1"/>
  <c r="AG64" i="59"/>
  <c r="AS64" i="66" l="1"/>
  <c r="BA65" i="61"/>
  <c r="X74" i="61"/>
  <c r="BA58" i="59"/>
  <c r="D64" i="66"/>
  <c r="D65" i="65"/>
  <c r="D64" i="65"/>
  <c r="D81" i="64"/>
  <c r="D80" i="64"/>
  <c r="D65" i="61"/>
  <c r="D58" i="59"/>
  <c r="D57" i="59"/>
  <c r="D59" i="16"/>
  <c r="D58" i="16"/>
  <c r="BA57" i="59"/>
  <c r="BA64" i="66" l="1"/>
  <c r="AB64" i="66"/>
  <c r="BM64" i="66" s="1"/>
  <c r="CB64" i="66"/>
  <c r="BU64" i="66"/>
  <c r="BQ64" i="66"/>
  <c r="BI64" i="66"/>
  <c r="AO64" i="66"/>
  <c r="AW64" i="66" s="1"/>
  <c r="AK64" i="66"/>
  <c r="AF64" i="66"/>
  <c r="X64" i="66"/>
  <c r="T64" i="66"/>
  <c r="J64" i="66"/>
  <c r="F64" i="66"/>
  <c r="BY64" i="66"/>
  <c r="A5" i="66"/>
  <c r="AA3" i="66"/>
  <c r="M3" i="66"/>
  <c r="A3" i="66"/>
  <c r="AZ2" i="66"/>
  <c r="M2" i="66"/>
  <c r="AV1" i="66"/>
  <c r="AN1" i="66"/>
  <c r="AA1" i="66"/>
  <c r="M1" i="66"/>
  <c r="BY65" i="65"/>
  <c r="BY64" i="65"/>
  <c r="BU65" i="65"/>
  <c r="BM65" i="65"/>
  <c r="BI65" i="65"/>
  <c r="BE65" i="65"/>
  <c r="AS65" i="65"/>
  <c r="BQ65" i="65" s="1"/>
  <c r="AO65" i="65"/>
  <c r="AK65" i="65"/>
  <c r="AF65" i="65"/>
  <c r="X65" i="65"/>
  <c r="T65" i="65"/>
  <c r="J65" i="65"/>
  <c r="F65" i="65"/>
  <c r="BU64" i="65"/>
  <c r="BM64" i="65"/>
  <c r="BI64" i="65"/>
  <c r="BE64" i="65"/>
  <c r="AS64" i="65"/>
  <c r="BQ64" i="65" s="1"/>
  <c r="AO64" i="65"/>
  <c r="AK64" i="65"/>
  <c r="AF64" i="65"/>
  <c r="X64" i="65"/>
  <c r="X70" i="65" s="1"/>
  <c r="T64" i="65"/>
  <c r="J64" i="65"/>
  <c r="F64" i="65"/>
  <c r="CC65" i="65"/>
  <c r="CC64" i="65"/>
  <c r="A5" i="65"/>
  <c r="AA3" i="65"/>
  <c r="M3" i="65"/>
  <c r="A3" i="65"/>
  <c r="AZ2" i="65"/>
  <c r="M2" i="65"/>
  <c r="AV1" i="65"/>
  <c r="AN1" i="65"/>
  <c r="AA1" i="65"/>
  <c r="M1" i="65"/>
  <c r="AV3" i="66"/>
  <c r="AV3" i="65"/>
  <c r="AN2" i="65"/>
  <c r="AV2" i="66"/>
  <c r="AV2" i="65"/>
  <c r="AN2" i="66"/>
  <c r="BA64" i="65" l="1"/>
  <c r="BA65" i="65"/>
  <c r="AS71" i="66"/>
  <c r="AB71" i="66"/>
  <c r="X71" i="66"/>
  <c r="AF71" i="66" s="1"/>
  <c r="AK71" i="66" s="1"/>
  <c r="X67" i="66"/>
  <c r="AS67" i="66"/>
  <c r="AB67" i="66"/>
  <c r="AS74" i="65"/>
  <c r="AW74" i="65"/>
  <c r="X74" i="65"/>
  <c r="AF74" i="65" s="1"/>
  <c r="AK74" i="65" s="1"/>
  <c r="BA74" i="65"/>
  <c r="BA69" i="65"/>
  <c r="AW69" i="65"/>
  <c r="AS69" i="65"/>
  <c r="X69" i="65"/>
  <c r="AF69" i="65" s="1"/>
  <c r="AK69" i="65" s="1"/>
  <c r="AS68" i="66"/>
  <c r="AB68" i="66"/>
  <c r="X68" i="66"/>
  <c r="AS72" i="66"/>
  <c r="AB72" i="66"/>
  <c r="X72" i="66"/>
  <c r="AS75" i="65"/>
  <c r="AF70" i="65"/>
  <c r="AK70" i="65" s="1"/>
  <c r="BA70" i="65"/>
  <c r="AW75" i="65"/>
  <c r="BA75" i="65"/>
  <c r="AW70" i="65"/>
  <c r="AS70" i="65"/>
  <c r="X75" i="65"/>
  <c r="AW65" i="65"/>
  <c r="AW64" i="65"/>
  <c r="AO67" i="66" l="1"/>
  <c r="AO71" i="66"/>
  <c r="AF67" i="66"/>
  <c r="AK67" i="66" s="1"/>
  <c r="AO74" i="65"/>
  <c r="BE69" i="65"/>
  <c r="BE74" i="65"/>
  <c r="AO69" i="65"/>
  <c r="AF72" i="66"/>
  <c r="AK72" i="66" s="1"/>
  <c r="AF68" i="66"/>
  <c r="AK68" i="66" s="1"/>
  <c r="AO68" i="66"/>
  <c r="AO70" i="65"/>
  <c r="BE70" i="65"/>
  <c r="BE75" i="65"/>
  <c r="AO72" i="66"/>
  <c r="AO75" i="65"/>
  <c r="AF75" i="65"/>
  <c r="AK75" i="65" s="1"/>
  <c r="BI81" i="64" l="1"/>
  <c r="BY81" i="64"/>
  <c r="BY80" i="64"/>
  <c r="BU81" i="64"/>
  <c r="BU80" i="64"/>
  <c r="BM81" i="64"/>
  <c r="BM80" i="64"/>
  <c r="BI80" i="64"/>
  <c r="BE81" i="64"/>
  <c r="BE80" i="64"/>
  <c r="AS81" i="64"/>
  <c r="BQ81" i="64" s="1"/>
  <c r="AS80" i="64"/>
  <c r="BQ80" i="64" s="1"/>
  <c r="AO81" i="64"/>
  <c r="AO80" i="64"/>
  <c r="AF81" i="64"/>
  <c r="AF80" i="64"/>
  <c r="AB81" i="64"/>
  <c r="AB80" i="64"/>
  <c r="AK81" i="64"/>
  <c r="AK80" i="64"/>
  <c r="T81" i="64"/>
  <c r="T80" i="64"/>
  <c r="BG57" i="64"/>
  <c r="BG56" i="64"/>
  <c r="AW80" i="64" l="1"/>
  <c r="BA80" i="64" s="1"/>
  <c r="AW81" i="64"/>
  <c r="BA81" i="64" s="1"/>
  <c r="CF81" i="64"/>
  <c r="CC81" i="64"/>
  <c r="X81" i="64"/>
  <c r="J81" i="64"/>
  <c r="F81" i="64"/>
  <c r="CF80" i="64"/>
  <c r="CC80" i="64"/>
  <c r="X80" i="64"/>
  <c r="J80" i="64"/>
  <c r="F80" i="64"/>
  <c r="A5" i="64"/>
  <c r="AA3" i="64"/>
  <c r="M3" i="64"/>
  <c r="A3" i="64"/>
  <c r="AZ2" i="64"/>
  <c r="M2" i="64"/>
  <c r="AV1" i="64"/>
  <c r="AN1" i="64"/>
  <c r="AA1" i="64"/>
  <c r="M1" i="64"/>
  <c r="A5" i="63"/>
  <c r="AA3" i="63"/>
  <c r="M3" i="63"/>
  <c r="A3" i="63"/>
  <c r="AZ2" i="63"/>
  <c r="M2" i="63"/>
  <c r="AV1" i="63"/>
  <c r="AN1" i="63"/>
  <c r="AA1" i="63"/>
  <c r="M1" i="63"/>
  <c r="BE65" i="61"/>
  <c r="AO65" i="61"/>
  <c r="AG65" i="61"/>
  <c r="AB65" i="61"/>
  <c r="X65" i="61"/>
  <c r="J58" i="59"/>
  <c r="F58" i="59"/>
  <c r="J57" i="59"/>
  <c r="F57" i="59"/>
  <c r="J59" i="16"/>
  <c r="F59" i="16"/>
  <c r="J58" i="16"/>
  <c r="F58" i="16"/>
  <c r="J65" i="61"/>
  <c r="F65" i="61"/>
  <c r="AW65" i="61"/>
  <c r="T65" i="61"/>
  <c r="A5" i="61"/>
  <c r="AA3" i="61"/>
  <c r="M3" i="61"/>
  <c r="A3" i="61"/>
  <c r="AZ2" i="61"/>
  <c r="M2" i="61"/>
  <c r="AV1" i="61"/>
  <c r="AN1" i="61"/>
  <c r="AA1" i="61"/>
  <c r="M1" i="61"/>
  <c r="X58" i="59"/>
  <c r="X57" i="59"/>
  <c r="BA59" i="16"/>
  <c r="BA58" i="16"/>
  <c r="AO58" i="59"/>
  <c r="AO57" i="59"/>
  <c r="BH58" i="59"/>
  <c r="BE58" i="59"/>
  <c r="AK58" i="59"/>
  <c r="AG58" i="59"/>
  <c r="AB58" i="59"/>
  <c r="T58" i="59"/>
  <c r="BH57" i="59"/>
  <c r="BE57" i="59"/>
  <c r="AK57" i="59"/>
  <c r="AG57" i="59"/>
  <c r="AB57" i="59"/>
  <c r="T57" i="59"/>
  <c r="A5" i="59"/>
  <c r="AA3" i="59"/>
  <c r="M3" i="59"/>
  <c r="A3" i="59"/>
  <c r="AZ2" i="59"/>
  <c r="M2" i="59"/>
  <c r="AV1" i="59"/>
  <c r="AN1" i="59"/>
  <c r="AA1" i="59"/>
  <c r="M1" i="59"/>
  <c r="AV2" i="61"/>
  <c r="AV2" i="64"/>
  <c r="AV3" i="63"/>
  <c r="AN2" i="64"/>
  <c r="AN2" i="63"/>
  <c r="AV3" i="61"/>
  <c r="AV3" i="59"/>
  <c r="AV3" i="64"/>
  <c r="AN2" i="61"/>
  <c r="AV2" i="63"/>
  <c r="AV2" i="59"/>
  <c r="AN2" i="59"/>
  <c r="AS73" i="61" l="1"/>
  <c r="T73" i="61"/>
  <c r="AG73" i="61" s="1"/>
  <c r="AK73" i="61" s="1"/>
  <c r="AS69" i="61"/>
  <c r="T69" i="61"/>
  <c r="AG69" i="61" s="1"/>
  <c r="AK69" i="61" s="1"/>
  <c r="X90" i="64"/>
  <c r="BA90" i="64"/>
  <c r="AW90" i="64"/>
  <c r="AB90" i="64"/>
  <c r="AS90" i="64"/>
  <c r="X85" i="64"/>
  <c r="BA85" i="64"/>
  <c r="AW85" i="64"/>
  <c r="AS85" i="64"/>
  <c r="AB85" i="64"/>
  <c r="X91" i="64"/>
  <c r="AB86" i="64"/>
  <c r="AB91" i="64"/>
  <c r="AW86" i="64"/>
  <c r="AW91" i="64"/>
  <c r="BA86" i="64"/>
  <c r="AS86" i="64"/>
  <c r="BA91" i="64"/>
  <c r="AS91" i="64"/>
  <c r="X86" i="64"/>
  <c r="T70" i="61"/>
  <c r="AG70" i="61" s="1"/>
  <c r="AK70" i="61" s="1"/>
  <c r="AS70" i="61"/>
  <c r="AS74" i="61"/>
  <c r="T74" i="61"/>
  <c r="AG74" i="61" s="1"/>
  <c r="AK74" i="61" s="1"/>
  <c r="AB61" i="59"/>
  <c r="AK61" i="59" s="1"/>
  <c r="AO61" i="59" s="1"/>
  <c r="BA61" i="59"/>
  <c r="AW61" i="59"/>
  <c r="AW64" i="59"/>
  <c r="AS65" i="61"/>
  <c r="AS58" i="59"/>
  <c r="AS57" i="59"/>
  <c r="BA64" i="59"/>
  <c r="AB64" i="59"/>
  <c r="AK64" i="59" s="1"/>
  <c r="AO64" i="59" s="1"/>
  <c r="AO90" i="64" l="1"/>
  <c r="AO69" i="61"/>
  <c r="AO73" i="61"/>
  <c r="AF90" i="64"/>
  <c r="AK90" i="64" s="1"/>
  <c r="BE85" i="64"/>
  <c r="BE90" i="64"/>
  <c r="AO85" i="64"/>
  <c r="AF86" i="64"/>
  <c r="AK86" i="64" s="1"/>
  <c r="AF85" i="64"/>
  <c r="AK85" i="64" s="1"/>
  <c r="AO91" i="64"/>
  <c r="AO86" i="64"/>
  <c r="BE86" i="64"/>
  <c r="BE91" i="64"/>
  <c r="AF91" i="64"/>
  <c r="AK91" i="64" s="1"/>
  <c r="AO70" i="61"/>
  <c r="AS61" i="59"/>
  <c r="AO74" i="61"/>
  <c r="AS64" i="59"/>
  <c r="X59" i="16" l="1"/>
  <c r="X58" i="16"/>
  <c r="BE59" i="16"/>
  <c r="BE58" i="16"/>
  <c r="BH59" i="16"/>
  <c r="BH58" i="16"/>
  <c r="AK59" i="16"/>
  <c r="AK58" i="16"/>
  <c r="AG59" i="16"/>
  <c r="AG58" i="16"/>
  <c r="T59" i="16"/>
  <c r="T58" i="16"/>
  <c r="AB59" i="16"/>
  <c r="AB58" i="16"/>
  <c r="AB62" i="16" l="1"/>
  <c r="AK62" i="16" s="1"/>
  <c r="AO62" i="16" s="1"/>
  <c r="AW62" i="16"/>
  <c r="BA62" i="16"/>
  <c r="AG62" i="16"/>
  <c r="AW65" i="16"/>
  <c r="AG65" i="16"/>
  <c r="AO58" i="16"/>
  <c r="AO59" i="16"/>
  <c r="BA65" i="16"/>
  <c r="AB65" i="16"/>
  <c r="AK65" i="16" s="1"/>
  <c r="AO65" i="16" s="1"/>
  <c r="AS58" i="16"/>
  <c r="AS59" i="16"/>
  <c r="AS62" i="16" l="1"/>
  <c r="AS65" i="16"/>
  <c r="AA3" i="16" l="1"/>
  <c r="AA1" i="16" l="1"/>
  <c r="AN1" i="16" l="1"/>
  <c r="AV1" i="16"/>
  <c r="AT1" i="3"/>
  <c r="AV2" i="16"/>
  <c r="AV3" i="16"/>
  <c r="AN2" i="16"/>
  <c r="A5" i="16" l="1"/>
  <c r="AT3" i="3"/>
  <c r="B22" i="2" l="1"/>
  <c r="M3" i="16"/>
  <c r="A3" i="16"/>
  <c r="AZ2" i="16"/>
  <c r="M2" i="16"/>
  <c r="M1"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F2" authorId="0" shapeId="0" xr:uid="{E4BB0FB1-979D-4225-8DDE-9EC27D8BABED}">
      <text>
        <r>
          <rPr>
            <sz val="9"/>
            <color indexed="81"/>
            <rFont val="ＭＳ Ｐゴシック"/>
            <family val="3"/>
            <charset val="128"/>
          </rPr>
          <t>OOTBは記入不要</t>
        </r>
      </text>
    </comment>
    <comment ref="Q3" authorId="0" shapeId="0" xr:uid="{08E4E9B3-AD73-4D8E-9888-DC199838A768}">
      <text>
        <r>
          <rPr>
            <sz val="9"/>
            <color indexed="81"/>
            <rFont val="ＭＳ Ｐゴシック"/>
            <family val="3"/>
            <charset val="128"/>
          </rPr>
          <t>画面項目のコンポーネントの種類</t>
        </r>
      </text>
    </comment>
    <comment ref="X3" authorId="0" shapeId="0" xr:uid="{86931DB5-4C33-4BBB-8968-500D4DB7667A}">
      <text>
        <r>
          <rPr>
            <sz val="9"/>
            <color indexed="81"/>
            <rFont val="ＭＳ Ｐゴシック"/>
            <family val="3"/>
            <charset val="128"/>
          </rPr>
          <t>表示内容が固定値を取り変わらない項目（見出しなど）を「固定」、導出元のデータ内容や入力値により変わる項目は「可変」を指定します。
「可変」は右隣の「IO」列は必ず記載します。</t>
        </r>
      </text>
    </comment>
    <comment ref="AB3" authorId="0" shapeId="0" xr:uid="{DCAFC747-5937-4C7E-96A2-195477CE0FF7}">
      <text>
        <r>
          <rPr>
            <sz val="9"/>
            <color indexed="8"/>
            <rFont val="ＭＳ Ｐゴシック"/>
            <family val="3"/>
            <charset val="128"/>
          </rPr>
          <t>ユーザが入力する項目は「I」、DB等から出力され動的な値が表示される項目は「O」を入力します。
出力された値をユーザが編集する場合は「I/O」を入力します。</t>
        </r>
      </text>
    </comment>
    <comment ref="AD3" authorId="0" shapeId="0" xr:uid="{C6A43273-5D82-4637-9958-117711C85132}">
      <text>
        <r>
          <rPr>
            <sz val="9"/>
            <color indexed="81"/>
            <rFont val="ＭＳ Ｐゴシック"/>
            <family val="3"/>
            <charset val="128"/>
          </rPr>
          <t>項目レベルで、OOTBとしてアクセラレータが提供しているかどうかを記入する</t>
        </r>
      </text>
    </comment>
    <comment ref="AF3" authorId="0" shapeId="0" xr:uid="{410112A5-32B5-493B-867F-C2BAC16464EC}">
      <text>
        <r>
          <rPr>
            <sz val="9"/>
            <color indexed="8"/>
            <rFont val="ＭＳ Ｐゴシック"/>
            <family val="3"/>
            <charset val="128"/>
          </rPr>
          <t>入力可能文字数を指定する
（入力ボックスの幅ではない）</t>
        </r>
      </text>
    </comment>
    <comment ref="AJ3" authorId="0" shapeId="0" xr:uid="{1D1163C3-E562-4071-A7E5-7138F2CD46E1}">
      <text>
        <r>
          <rPr>
            <sz val="9"/>
            <color indexed="81"/>
            <rFont val="ＭＳ Ｐゴシック"/>
            <family val="3"/>
            <charset val="128"/>
          </rPr>
          <t xml:space="preserve">表示ラベルのキー値
</t>
        </r>
      </text>
    </comment>
    <comment ref="AP3" authorId="0" shapeId="0" xr:uid="{8967CDE2-C970-4A79-A857-ADB7207C60EC}">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 ref="C20" authorId="0" shapeId="0" xr:uid="{85B327E6-3C72-474C-BD56-B8637CF98F2C}">
      <text>
        <r>
          <rPr>
            <sz val="9"/>
            <color indexed="8"/>
            <rFont val="ＭＳ Ｐゴシック"/>
            <family val="3"/>
            <charset val="128"/>
          </rPr>
          <t>クライアントまたはサーバ処理の処理名を記入します。
サーバ処理の場合は処理ID同様、画面遷移図との整合性を確保する必要があります。</t>
        </r>
      </text>
    </comment>
    <comment ref="X20" authorId="0" shapeId="0" xr:uid="{9430FEF3-956C-4B83-A579-E2FF797931AF}">
      <text>
        <r>
          <rPr>
            <sz val="9"/>
            <color indexed="81"/>
            <rFont val="ＭＳ Ｐゴシック"/>
            <family val="3"/>
            <charset val="128"/>
          </rPr>
          <t>Java Scriptの関数を記載する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 authorId="0" shapeId="0" xr:uid="{A2A870E3-E25C-4C41-9C07-C49FDC44B55D}">
      <text>
        <r>
          <rPr>
            <sz val="9"/>
            <color indexed="81"/>
            <rFont val="ＭＳ Ｐゴシック"/>
            <family val="3"/>
            <charset val="128"/>
          </rPr>
          <t>本シートは概要設計では空欄とし、詳細設計で追記します。</t>
        </r>
      </text>
    </comment>
    <comment ref="C2" authorId="0" shapeId="0" xr:uid="{93294EB9-D451-4E8C-83AB-73CD228374C0}">
      <text>
        <r>
          <rPr>
            <sz val="10"/>
            <color indexed="8"/>
            <rFont val="ＭＳ Ｐゴシック"/>
            <family val="3"/>
            <charset val="128"/>
          </rPr>
          <t>ユーザ操作等により入力可否などの画面状態が変化する画面項目を「画面項目」シートの「画面項目」と同じ形式で記入します。(項目はすべて記述)</t>
        </r>
        <r>
          <rPr>
            <b/>
            <sz val="10"/>
            <color indexed="8"/>
            <rFont val="ＭＳ Ｐゴシック"/>
            <family val="3"/>
            <charset val="128"/>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93BB445E-02C2-436F-96AC-F066B5F5F48E}">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B34C6BDB-6BCB-494F-8B16-35B2A13C0AC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 ref="A14" authorId="0" shapeId="0" xr:uid="{BDB9F9C6-7A81-470D-AE23-57BFA72F9AEC}">
      <text>
        <r>
          <rPr>
            <sz val="9"/>
            <color indexed="81"/>
            <rFont val="ＭＳ Ｐゴシック"/>
            <family val="3"/>
            <charset val="128"/>
          </rPr>
          <t>主に、Controllerで実装するチック
・マスタ存在チェック
・相関チェック</t>
        </r>
      </text>
    </comment>
    <comment ref="Q15" authorId="0" shapeId="0" xr:uid="{2624BFA2-69C9-4AEA-89DE-FA05175971A7}">
      <text>
        <r>
          <rPr>
            <sz val="9"/>
            <color indexed="81"/>
            <rFont val="ＭＳ Ｐゴシック"/>
            <family val="3"/>
            <charset val="128"/>
          </rPr>
          <t>チェック処理の記載の詳細が記載しづらい場合は、別シートを参照する</t>
        </r>
        <r>
          <rPr>
            <b/>
            <sz val="9"/>
            <color indexed="81"/>
            <rFont val="ＭＳ Ｐゴシック"/>
            <family val="3"/>
            <charset val="128"/>
          </rPr>
          <t xml:space="preserve">
</t>
        </r>
      </text>
    </comment>
    <comment ref="AM15" authorId="0" shapeId="0" xr:uid="{FE62B4BB-BAAB-4FDE-B2FD-7B198727D213}">
      <text>
        <r>
          <rPr>
            <sz val="9"/>
            <color indexed="81"/>
            <rFont val="ＭＳ Ｐゴシック"/>
            <family val="3"/>
            <charset val="128"/>
          </rPr>
          <t>メッセージIDを記載します。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981B6EB6-FAED-49D9-9A74-10427F90C90C}">
      <text>
        <r>
          <rPr>
            <sz val="9"/>
            <color indexed="81"/>
            <rFont val="MS P ゴシック"/>
            <family val="3"/>
            <charset val="128"/>
          </rPr>
          <t>新規
値引き
定期値引き</t>
        </r>
      </text>
    </comment>
    <comment ref="AR57" authorId="0" shapeId="0" xr:uid="{6F0DAA68-15AD-4A1C-849B-511E6C1B2A1F}">
      <text>
        <r>
          <rPr>
            <sz val="9"/>
            <color indexed="81"/>
            <rFont val="MS P ゴシック"/>
            <family val="3"/>
            <charset val="128"/>
          </rPr>
          <t>1-コスト/申請価格</t>
        </r>
      </text>
    </comment>
    <comment ref="AV57" authorId="0" shapeId="0" xr:uid="{0E29794C-0A0E-4D21-83B3-FC81F1A9F1FD}">
      <text>
        <r>
          <rPr>
            <sz val="9"/>
            <color indexed="81"/>
            <rFont val="MS P ゴシック"/>
            <family val="3"/>
            <charset val="128"/>
          </rPr>
          <t>(申請価格-従来価格)/従来価格</t>
        </r>
      </text>
    </comment>
    <comment ref="BD57" authorId="1" shapeId="0" xr:uid="{FBDE0BD4-2CA9-4838-A0B4-DE3E7B909D56}">
      <text>
        <r>
          <rPr>
            <sz val="9"/>
            <color indexed="81"/>
            <rFont val="MS P ゴシック"/>
            <family val="3"/>
            <charset val="128"/>
          </rPr>
          <t>1-申請価格/代理店売値</t>
        </r>
      </text>
    </comment>
    <comment ref="AF61" authorId="0" shapeId="0" xr:uid="{F8345E2B-CE16-4FE6-A455-0177CE895C06}">
      <text>
        <r>
          <rPr>
            <sz val="9"/>
            <color indexed="81"/>
            <rFont val="MS P ゴシック"/>
            <family val="3"/>
            <charset val="128"/>
          </rPr>
          <t>月間数量x申請価格</t>
        </r>
      </text>
    </comment>
    <comment ref="AN61" authorId="0" shapeId="0" xr:uid="{F7AD58DA-EBBB-4B07-855C-E4152557AED9}">
      <text>
        <r>
          <rPr>
            <sz val="9"/>
            <color indexed="81"/>
            <rFont val="MS P ゴシック"/>
            <family val="3"/>
            <charset val="128"/>
          </rPr>
          <t>売上-(月間数量xコスト)</t>
        </r>
      </text>
    </comment>
    <comment ref="AR61" authorId="0" shapeId="0" xr:uid="{64D9F5F1-1F9F-42CF-B6E2-8D62A12C7277}">
      <text>
        <r>
          <rPr>
            <sz val="9"/>
            <color indexed="81"/>
            <rFont val="MS P ゴシック"/>
            <family val="3"/>
            <charset val="128"/>
          </rPr>
          <t>貢献額/売上</t>
        </r>
      </text>
    </comment>
    <comment ref="AV61" authorId="0" shapeId="0" xr:uid="{AF811EB1-BCFF-4015-A298-4E73A1933D71}">
      <text>
        <r>
          <rPr>
            <sz val="9"/>
            <color indexed="81"/>
            <rFont val="MS P ゴシック"/>
            <family val="3"/>
            <charset val="128"/>
          </rPr>
          <t>値引額/(売上-値引額)</t>
        </r>
      </text>
    </comment>
    <comment ref="AZ61" authorId="0" shapeId="0" xr:uid="{A952BB9F-4763-4924-90D7-9EFC1F9907CD}">
      <text>
        <r>
          <rPr>
            <sz val="9"/>
            <color indexed="81"/>
            <rFont val="MS P ゴシック"/>
            <family val="3"/>
            <charset val="128"/>
          </rPr>
          <t>月間数量*(申請価格-従来価格)</t>
        </r>
      </text>
    </comment>
    <comment ref="BD61" authorId="0" shapeId="0" xr:uid="{E4C3CF31-8EF2-4843-9207-52745433258D}">
      <text>
        <r>
          <rPr>
            <sz val="9"/>
            <color indexed="81"/>
            <rFont val="MS P ゴシック"/>
            <family val="3"/>
            <charset val="128"/>
          </rPr>
          <t>月間数量x従来価格</t>
        </r>
      </text>
    </comment>
    <comment ref="AF64" authorId="0" shapeId="0" xr:uid="{A30503E4-8054-4F2D-A811-2A7F0B6CC134}">
      <text>
        <r>
          <rPr>
            <sz val="9"/>
            <color indexed="81"/>
            <rFont val="MS P ゴシック"/>
            <family val="3"/>
            <charset val="128"/>
          </rPr>
          <t>月間数量x申請価格</t>
        </r>
      </text>
    </comment>
    <comment ref="AN64" authorId="0" shapeId="0" xr:uid="{1B1823D8-01B2-4575-9602-1DFD11D880BC}">
      <text>
        <r>
          <rPr>
            <sz val="9"/>
            <color indexed="81"/>
            <rFont val="MS P ゴシック"/>
            <family val="3"/>
            <charset val="128"/>
          </rPr>
          <t>売上-(月間数量xコスト)</t>
        </r>
      </text>
    </comment>
    <comment ref="AR64" authorId="0" shapeId="0" xr:uid="{64EC24C2-3977-4246-907F-75B8F7BDBD52}">
      <text>
        <r>
          <rPr>
            <sz val="9"/>
            <color indexed="81"/>
            <rFont val="MS P ゴシック"/>
            <family val="3"/>
            <charset val="128"/>
          </rPr>
          <t>貢献額/売上</t>
        </r>
      </text>
    </comment>
    <comment ref="AV64" authorId="0" shapeId="0" xr:uid="{2DAE61A2-85F4-47D9-8CD3-436C7FF25D32}">
      <text>
        <r>
          <rPr>
            <sz val="9"/>
            <color indexed="81"/>
            <rFont val="MS P ゴシック"/>
            <family val="3"/>
            <charset val="128"/>
          </rPr>
          <t>値引額/(売上-値引額)</t>
        </r>
      </text>
    </comment>
    <comment ref="AZ64" authorId="0" shapeId="0" xr:uid="{1A67A92A-9EDF-4B81-9382-1AC65A988845}">
      <text>
        <r>
          <rPr>
            <sz val="9"/>
            <color indexed="81"/>
            <rFont val="MS P ゴシック"/>
            <family val="3"/>
            <charset val="128"/>
          </rPr>
          <t>月間数量*(申請価格-従来価格)</t>
        </r>
      </text>
    </comment>
    <comment ref="BD64" authorId="0" shapeId="0" xr:uid="{48A77E68-AF77-4DF1-AFEF-ABEF2569983F}">
      <text>
        <r>
          <rPr>
            <sz val="9"/>
            <color indexed="81"/>
            <rFont val="MS P ゴシック"/>
            <family val="3"/>
            <charset val="128"/>
          </rPr>
          <t>月間数量x従来価格</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798F932A-EBB5-4E0C-9590-2232F086E5B0}">
      <text>
        <r>
          <rPr>
            <sz val="9"/>
            <color indexed="81"/>
            <rFont val="MS P ゴシック"/>
            <family val="3"/>
            <charset val="128"/>
          </rPr>
          <t>新規
値引き
定期値引き</t>
        </r>
      </text>
    </comment>
    <comment ref="AR56" authorId="0" shapeId="0" xr:uid="{180A4CBC-DEB0-4BF9-929D-897531D7CC43}">
      <text>
        <r>
          <rPr>
            <sz val="9"/>
            <color indexed="81"/>
            <rFont val="MS P ゴシック"/>
            <family val="3"/>
            <charset val="128"/>
          </rPr>
          <t>申請価格/総原価 -1</t>
        </r>
      </text>
    </comment>
    <comment ref="AV56" authorId="0" shapeId="0" xr:uid="{7BC05733-7AAD-4013-8914-608E0EC0912E}">
      <text>
        <r>
          <rPr>
            <sz val="9"/>
            <color indexed="81"/>
            <rFont val="MS P ゴシック"/>
            <family val="3"/>
            <charset val="128"/>
          </rPr>
          <t>(申請価格-従来価格)/従来価格</t>
        </r>
      </text>
    </comment>
    <comment ref="BD56" authorId="1" shapeId="0" xr:uid="{7C110BAA-A2C8-4B6B-9637-8A748DF7D71D}">
      <text>
        <r>
          <rPr>
            <sz val="9"/>
            <color indexed="81"/>
            <rFont val="MS P ゴシック"/>
            <family val="3"/>
            <charset val="128"/>
          </rPr>
          <t>1-申請価格/代理店売値</t>
        </r>
      </text>
    </comment>
    <comment ref="AF60" authorId="0" shapeId="0" xr:uid="{CB749365-E1C2-4E9B-AA02-A7456F3C9FDC}">
      <text>
        <r>
          <rPr>
            <sz val="9"/>
            <color indexed="81"/>
            <rFont val="MS P ゴシック"/>
            <family val="3"/>
            <charset val="128"/>
          </rPr>
          <t>月間数量x申請価格</t>
        </r>
      </text>
    </comment>
    <comment ref="AN60" authorId="0" shapeId="0" xr:uid="{B556DCF4-0816-40FF-848B-174B50C68B64}">
      <text>
        <r>
          <rPr>
            <sz val="9"/>
            <color indexed="81"/>
            <rFont val="MS P ゴシック"/>
            <family val="3"/>
            <charset val="128"/>
          </rPr>
          <t>売上-(月間数量x総原価)</t>
        </r>
      </text>
    </comment>
    <comment ref="AR60" authorId="0" shapeId="0" xr:uid="{0F33DFA1-B260-4B9D-8B12-28D4D0EA10DE}">
      <text>
        <r>
          <rPr>
            <sz val="9"/>
            <color indexed="81"/>
            <rFont val="MS P ゴシック"/>
            <family val="3"/>
            <charset val="128"/>
          </rPr>
          <t>総原価利益額/(売上-総原価利益額)</t>
        </r>
      </text>
    </comment>
    <comment ref="AV60" authorId="0" shapeId="0" xr:uid="{BF317FA0-0908-4F79-A602-3CA4CFF07133}">
      <text>
        <r>
          <rPr>
            <sz val="9"/>
            <color indexed="81"/>
            <rFont val="MS P ゴシック"/>
            <family val="3"/>
            <charset val="128"/>
          </rPr>
          <t>値引額/(売上-値引額)</t>
        </r>
      </text>
    </comment>
    <comment ref="AZ60" authorId="0" shapeId="0" xr:uid="{4A635085-E489-4BC4-9199-9302E60A6CEA}">
      <text>
        <r>
          <rPr>
            <sz val="9"/>
            <color indexed="81"/>
            <rFont val="MS P ゴシック"/>
            <family val="3"/>
            <charset val="128"/>
          </rPr>
          <t>月間数量*(申請価格-従来価格)</t>
        </r>
      </text>
    </comment>
    <comment ref="BD60" authorId="0" shapeId="0" xr:uid="{6F1D44E1-048F-403F-8C8F-92BE2DED1EFF}">
      <text>
        <r>
          <rPr>
            <sz val="9"/>
            <color indexed="81"/>
            <rFont val="MS P ゴシック"/>
            <family val="3"/>
            <charset val="128"/>
          </rPr>
          <t>月間数量x従来価格</t>
        </r>
      </text>
    </comment>
    <comment ref="AF63" authorId="0" shapeId="0" xr:uid="{8407D761-7158-42D4-8DD3-2667CE960A18}">
      <text>
        <r>
          <rPr>
            <sz val="9"/>
            <color indexed="81"/>
            <rFont val="MS P ゴシック"/>
            <family val="3"/>
            <charset val="128"/>
          </rPr>
          <t>月間数量x申請価格</t>
        </r>
      </text>
    </comment>
    <comment ref="AN63" authorId="0" shapeId="0" xr:uid="{AB912CE9-FA4F-4E11-8A39-67905E8BC2A4}">
      <text>
        <r>
          <rPr>
            <sz val="9"/>
            <color indexed="81"/>
            <rFont val="MS P ゴシック"/>
            <family val="3"/>
            <charset val="128"/>
          </rPr>
          <t>売上-(月間数量x総原価)</t>
        </r>
      </text>
    </comment>
    <comment ref="AR63" authorId="0" shapeId="0" xr:uid="{5067FC13-6634-4C19-BF35-2AC16DB66B32}">
      <text>
        <r>
          <rPr>
            <sz val="9"/>
            <color indexed="81"/>
            <rFont val="MS P ゴシック"/>
            <family val="3"/>
            <charset val="128"/>
          </rPr>
          <t>総原価利益額/(売上-総原価利益額)</t>
        </r>
      </text>
    </comment>
    <comment ref="AV63" authorId="0" shapeId="0" xr:uid="{34066EC0-902B-4C0A-98F8-04540C955623}">
      <text>
        <r>
          <rPr>
            <sz val="9"/>
            <color indexed="81"/>
            <rFont val="MS P ゴシック"/>
            <family val="3"/>
            <charset val="128"/>
          </rPr>
          <t>値引額/(売上-値引額)</t>
        </r>
      </text>
    </comment>
    <comment ref="AZ63" authorId="0" shapeId="0" xr:uid="{069D1B63-3B11-4E93-8C28-692B58AAF3D6}">
      <text>
        <r>
          <rPr>
            <sz val="9"/>
            <color indexed="81"/>
            <rFont val="MS P ゴシック"/>
            <family val="3"/>
            <charset val="128"/>
          </rPr>
          <t>月間数量*(申請価格-従来価格)</t>
        </r>
      </text>
    </comment>
    <comment ref="BD63" authorId="0" shapeId="0" xr:uid="{178A0E1A-B46C-450E-A1AD-A81A25454E71}">
      <text>
        <r>
          <rPr>
            <sz val="9"/>
            <color indexed="81"/>
            <rFont val="MS P ゴシック"/>
            <family val="3"/>
            <charset val="128"/>
          </rPr>
          <t>月間数量x従来価格</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273EC183-5BC7-4257-BBE6-C7E77E46A788}">
      <text>
        <r>
          <rPr>
            <sz val="9"/>
            <color indexed="81"/>
            <rFont val="MS P ゴシック"/>
            <family val="3"/>
            <charset val="128"/>
          </rPr>
          <t>新規
値引き
定期値引き</t>
        </r>
      </text>
    </comment>
    <comment ref="Y50" authorId="0" shapeId="0" xr:uid="{185C3EEB-5C23-469C-B3B5-5103009954C0}">
      <text>
        <r>
          <rPr>
            <sz val="9"/>
            <color indexed="81"/>
            <rFont val="MS P ゴシック"/>
            <family val="3"/>
            <charset val="128"/>
          </rPr>
          <t>JPY,USD,EUR</t>
        </r>
      </text>
    </comment>
    <comment ref="AA64" authorId="0" shapeId="0" xr:uid="{068DEC90-9BC3-459F-92B6-8D9A081FAF5A}">
      <text>
        <r>
          <rPr>
            <sz val="9"/>
            <color indexed="81"/>
            <rFont val="MS P ゴシック"/>
            <family val="3"/>
            <charset val="128"/>
          </rPr>
          <t>申請通貨での換算値</t>
        </r>
      </text>
    </comment>
    <comment ref="AR64" authorId="0" shapeId="0" xr:uid="{29E5ADA4-03B5-422E-875E-9B91A0ED15B0}">
      <text>
        <r>
          <rPr>
            <sz val="9"/>
            <color indexed="81"/>
            <rFont val="MS P ゴシック"/>
            <family val="3"/>
            <charset val="128"/>
          </rPr>
          <t>1-純原価/販社売価</t>
        </r>
      </text>
    </comment>
    <comment ref="AV64" authorId="0" shapeId="0" xr:uid="{CF91C253-A964-4544-AF9A-D89F2F1B085A}">
      <text>
        <r>
          <rPr>
            <sz val="9"/>
            <color indexed="81"/>
            <rFont val="MS P ゴシック"/>
            <family val="3"/>
            <charset val="128"/>
          </rPr>
          <t>(申請価格-従来価格)/従来価格</t>
        </r>
      </text>
    </comment>
    <comment ref="BD64" authorId="1" shapeId="0" xr:uid="{69E753B5-CA17-46A5-8BDF-0A678BCED516}">
      <text>
        <r>
          <rPr>
            <sz val="9"/>
            <color indexed="81"/>
            <rFont val="MS P ゴシック"/>
            <family val="3"/>
            <charset val="128"/>
          </rPr>
          <t xml:space="preserve">1-申請価格/代理店売価
</t>
        </r>
      </text>
    </comment>
    <comment ref="W68" authorId="0" shapeId="0" xr:uid="{FD790258-FA59-45E5-98B1-AC72459DF732}">
      <text>
        <r>
          <rPr>
            <sz val="9"/>
            <color indexed="81"/>
            <rFont val="MS P ゴシック"/>
            <family val="3"/>
            <charset val="128"/>
          </rPr>
          <t>月間数量x申請価格</t>
        </r>
      </text>
    </comment>
    <comment ref="AA68" authorId="0" shapeId="0" xr:uid="{9CDB41AF-6353-462B-B71A-01078DE712D3}">
      <text>
        <r>
          <rPr>
            <sz val="9"/>
            <color indexed="81"/>
            <rFont val="MS P ゴシック"/>
            <family val="3"/>
            <charset val="128"/>
          </rPr>
          <t>数量*純原価</t>
        </r>
      </text>
    </comment>
    <comment ref="AJ68" authorId="0" shapeId="0" xr:uid="{C54452BF-E9A6-4D19-A1D9-272ED4825A14}">
      <text>
        <r>
          <rPr>
            <sz val="9"/>
            <color indexed="81"/>
            <rFont val="MS P ゴシック"/>
            <family val="3"/>
            <charset val="128"/>
          </rPr>
          <t>売上-総原価合計</t>
        </r>
      </text>
    </comment>
    <comment ref="AN68" authorId="0" shapeId="0" xr:uid="{F8413561-B397-4210-8B2E-D6A9307B8F00}">
      <text>
        <r>
          <rPr>
            <sz val="9"/>
            <color indexed="81"/>
            <rFont val="MS P ゴシック"/>
            <family val="3"/>
            <charset val="128"/>
          </rPr>
          <t>連結粗利額/売上</t>
        </r>
      </text>
    </comment>
    <comment ref="AR68" authorId="0" shapeId="0" xr:uid="{B444D291-3A20-489F-ACC4-9FF9E209DEB5}">
      <text>
        <r>
          <rPr>
            <sz val="9"/>
            <color indexed="81"/>
            <rFont val="MS P ゴシック"/>
            <family val="3"/>
            <charset val="128"/>
          </rPr>
          <t>値引額/(売上-値引額)</t>
        </r>
      </text>
    </comment>
    <comment ref="AV68" authorId="0" shapeId="0" xr:uid="{2E6FFADE-EB07-48A1-8A75-6D5BA2570976}">
      <text>
        <r>
          <rPr>
            <sz val="9"/>
            <color indexed="81"/>
            <rFont val="MS P ゴシック"/>
            <family val="3"/>
            <charset val="128"/>
          </rPr>
          <t>月間数量*(申請価格-従来価格)</t>
        </r>
      </text>
    </comment>
    <comment ref="W72" authorId="0" shapeId="0" xr:uid="{16789354-AA5A-4BF9-9540-6E3513A935BA}">
      <text>
        <r>
          <rPr>
            <sz val="9"/>
            <color indexed="81"/>
            <rFont val="MS P ゴシック"/>
            <family val="3"/>
            <charset val="128"/>
          </rPr>
          <t>月間数量x申請価格</t>
        </r>
      </text>
    </comment>
    <comment ref="AA72" authorId="0" shapeId="0" xr:uid="{A82A4898-9271-4EF4-AECC-B1C748F34214}">
      <text>
        <r>
          <rPr>
            <sz val="9"/>
            <color indexed="81"/>
            <rFont val="MS P ゴシック"/>
            <family val="3"/>
            <charset val="128"/>
          </rPr>
          <t>数量*純原価</t>
        </r>
      </text>
    </comment>
    <comment ref="AJ72" authorId="0" shapeId="0" xr:uid="{DA516412-D3B3-44D7-81E4-ABBCC1162F99}">
      <text>
        <r>
          <rPr>
            <sz val="9"/>
            <color indexed="81"/>
            <rFont val="MS P ゴシック"/>
            <family val="3"/>
            <charset val="128"/>
          </rPr>
          <t>売上-総原価合計</t>
        </r>
      </text>
    </comment>
    <comment ref="AN72" authorId="0" shapeId="0" xr:uid="{1480013C-04F6-4E6B-9390-B626A3CA89F4}">
      <text>
        <r>
          <rPr>
            <sz val="9"/>
            <color indexed="81"/>
            <rFont val="MS P ゴシック"/>
            <family val="3"/>
            <charset val="128"/>
          </rPr>
          <t>連結粗利額/売上</t>
        </r>
      </text>
    </comment>
    <comment ref="AR72" authorId="0" shapeId="0" xr:uid="{500A8BB5-F2F7-47CB-AD2F-E9C61C9B440B}">
      <text>
        <r>
          <rPr>
            <sz val="9"/>
            <color indexed="81"/>
            <rFont val="MS P ゴシック"/>
            <family val="3"/>
            <charset val="128"/>
          </rPr>
          <t>値引額/(売上-値引額)</t>
        </r>
      </text>
    </comment>
    <comment ref="AV72" authorId="0" shapeId="0" xr:uid="{764C76D9-D557-438C-9C4E-75D508BFF82B}">
      <text>
        <r>
          <rPr>
            <sz val="9"/>
            <color indexed="81"/>
            <rFont val="MS P ゴシック"/>
            <family val="3"/>
            <charset val="128"/>
          </rPr>
          <t>月間数量*(申請価格-従来価格)</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7A8BD53D-BE0C-49F1-A85A-3DB676A1C6FE}">
      <text>
        <r>
          <rPr>
            <sz val="9"/>
            <color indexed="81"/>
            <rFont val="MS P ゴシック"/>
            <family val="3"/>
            <charset val="128"/>
          </rPr>
          <t>新規
値引き
定期値引き</t>
        </r>
      </text>
    </comment>
    <comment ref="Y56" authorId="0" shapeId="0" xr:uid="{A5BF93D4-9A12-42CC-B55A-870D730103B9}">
      <text>
        <r>
          <rPr>
            <sz val="9"/>
            <color indexed="81"/>
            <rFont val="MS P ゴシック"/>
            <family val="3"/>
            <charset val="128"/>
          </rPr>
          <t>JPY,USD,EUR</t>
        </r>
      </text>
    </comment>
    <comment ref="AH56" authorId="0" shapeId="0" xr:uid="{D7085670-18AB-4492-A5E4-F6FEEF514111}">
      <text>
        <r>
          <rPr>
            <sz val="9"/>
            <color indexed="81"/>
            <rFont val="MS P ゴシック"/>
            <family val="3"/>
            <charset val="128"/>
          </rPr>
          <t>JPY,USD,EUR</t>
        </r>
      </text>
    </comment>
    <comment ref="G64" authorId="0" shapeId="0" xr:uid="{09747633-F6FB-47D4-B3E3-D548D8993440}">
      <text>
        <r>
          <rPr>
            <sz val="9"/>
            <color indexed="81"/>
            <rFont val="MS P ゴシック"/>
            <family val="3"/>
            <charset val="128"/>
          </rPr>
          <t>有償
無償</t>
        </r>
      </text>
    </comment>
    <comment ref="G70" authorId="0" shapeId="0" xr:uid="{60A63F56-81EC-4794-AB05-CB8612FB2FA7}">
      <text>
        <r>
          <rPr>
            <sz val="9"/>
            <color indexed="81"/>
            <rFont val="MS P ゴシック"/>
            <family val="3"/>
            <charset val="128"/>
          </rPr>
          <t>有償
無償</t>
        </r>
      </text>
    </comment>
    <comment ref="AE79" authorId="0" shapeId="0" xr:uid="{783290D4-BFFA-4EE4-B077-1822CE119D00}">
      <text>
        <r>
          <rPr>
            <sz val="9"/>
            <color indexed="81"/>
            <rFont val="MS P ゴシック"/>
            <family val="3"/>
            <charset val="128"/>
          </rPr>
          <t>PPM直接コストの申請通貨換算値</t>
        </r>
      </text>
    </comment>
    <comment ref="AV79" authorId="0" shapeId="0" xr:uid="{E685A5C8-59A2-4E9B-A376-A31D07B20D98}">
      <text>
        <r>
          <rPr>
            <sz val="9"/>
            <color indexed="81"/>
            <rFont val="MS P ゴシック"/>
            <family val="3"/>
            <charset val="128"/>
          </rPr>
          <t>FOB価格/(1-物流コスト率)</t>
        </r>
      </text>
    </comment>
    <comment ref="AZ79" authorId="0" shapeId="0" xr:uid="{B9E63FDF-1907-4951-9193-01A63960177D}">
      <text>
        <r>
          <rPr>
            <sz val="9"/>
            <color indexed="81"/>
            <rFont val="MS P ゴシック"/>
            <family val="3"/>
            <charset val="128"/>
          </rPr>
          <t>FOB価格-(CIF価格*口銭率)</t>
        </r>
      </text>
    </comment>
    <comment ref="BD79" authorId="0" shapeId="0" xr:uid="{C72D1E4A-659F-4830-926E-F70596C819DC}">
      <text>
        <r>
          <rPr>
            <sz val="9"/>
            <color indexed="81"/>
            <rFont val="MS P ゴシック"/>
            <family val="3"/>
            <charset val="128"/>
          </rPr>
          <t>1-製造原価/為替レート/申請価格</t>
        </r>
      </text>
    </comment>
    <comment ref="BH79" authorId="0" shapeId="0" xr:uid="{C981884F-ABB5-4027-89AA-B701BAF6461D}">
      <text>
        <r>
          <rPr>
            <sz val="9"/>
            <color indexed="81"/>
            <rFont val="MS P ゴシック"/>
            <family val="3"/>
            <charset val="128"/>
          </rPr>
          <t>(FOB価格-従来FOB価格)/従来FOB価格</t>
        </r>
      </text>
    </comment>
    <comment ref="BP79" authorId="0" shapeId="0" xr:uid="{089B973E-AF9E-4066-B9C5-DB84A9D8DFF4}">
      <text>
        <r>
          <rPr>
            <sz val="9"/>
            <color indexed="81"/>
            <rFont val="MS P ゴシック"/>
            <family val="3"/>
            <charset val="128"/>
          </rPr>
          <t>1-FOB価格/(1-物流コスト率)/販社売価</t>
        </r>
      </text>
    </comment>
    <comment ref="BT79" authorId="0" shapeId="0" xr:uid="{E12C1DC8-155E-464D-A16F-26D5D5C17D10}">
      <text>
        <r>
          <rPr>
            <sz val="9"/>
            <color indexed="81"/>
            <rFont val="MS P ゴシック"/>
            <family val="3"/>
            <charset val="128"/>
          </rPr>
          <t>1-(製造原価/為替レート+FOB価格*物流コスト率+CIF価格*口銭率)/販社売価</t>
        </r>
      </text>
    </comment>
    <comment ref="CB79" authorId="0" shapeId="0" xr:uid="{3A3DE05C-8D8B-4D97-9294-9156F44A8B1F}">
      <text>
        <r>
          <rPr>
            <sz val="9"/>
            <color indexed="81"/>
            <rFont val="MS P ゴシック"/>
            <family val="3"/>
            <charset val="128"/>
          </rPr>
          <t>1-販社売価/代理店売価</t>
        </r>
      </text>
    </comment>
    <comment ref="AA83" authorId="0" shapeId="0" xr:uid="{7BA32FB1-9F62-40D8-876F-BE0214021F90}">
      <text>
        <r>
          <rPr>
            <sz val="9"/>
            <color indexed="81"/>
            <rFont val="MS P ゴシック"/>
            <family val="3"/>
            <charset val="128"/>
          </rPr>
          <t>数量xFOB価格</t>
        </r>
      </text>
    </comment>
    <comment ref="AE83" authorId="0" shapeId="0" xr:uid="{E363DA61-4DB2-453F-A39C-2A37B73AFD95}">
      <text>
        <r>
          <rPr>
            <sz val="9"/>
            <color indexed="81"/>
            <rFont val="MS P ゴシック"/>
            <family val="3"/>
            <charset val="128"/>
          </rPr>
          <t>数量*コスト</t>
        </r>
      </text>
    </comment>
    <comment ref="AJ83" authorId="0" shapeId="0" xr:uid="{A005250B-86A9-4AC0-A0B2-A02672E9768F}">
      <text>
        <r>
          <rPr>
            <sz val="9"/>
            <color indexed="81"/>
            <rFont val="MS P ゴシック"/>
            <family val="3"/>
            <charset val="128"/>
          </rPr>
          <t>売上-コスト合計</t>
        </r>
      </text>
    </comment>
    <comment ref="AN83" authorId="0" shapeId="0" xr:uid="{0DAA0ED9-D4A4-42C7-B123-9E20368ADEE3}">
      <text>
        <r>
          <rPr>
            <sz val="9"/>
            <color indexed="81"/>
            <rFont val="MS P ゴシック"/>
            <family val="3"/>
            <charset val="128"/>
          </rPr>
          <t>貢献額/売上</t>
        </r>
      </text>
    </comment>
    <comment ref="AR83" authorId="0" shapeId="0" xr:uid="{C1118227-8A70-4F71-B4FB-30CC601F3055}">
      <text>
        <r>
          <rPr>
            <sz val="9"/>
            <color indexed="81"/>
            <rFont val="MS P ゴシック"/>
            <family val="3"/>
            <charset val="128"/>
          </rPr>
          <t>値引き額(FOB)/(売上-値引額(FOB))</t>
        </r>
      </text>
    </comment>
    <comment ref="AV83" authorId="0" shapeId="0" xr:uid="{0DD8322E-6864-495B-BF85-282C83D031AE}">
      <text>
        <r>
          <rPr>
            <sz val="9"/>
            <color indexed="81"/>
            <rFont val="MS P ゴシック"/>
            <family val="3"/>
            <charset val="128"/>
          </rPr>
          <t>数量x(FOB価格-従来FOB価格)</t>
        </r>
      </text>
    </comment>
    <comment ref="AZ83" authorId="0" shapeId="0" xr:uid="{FE55E17E-48B1-406E-B64F-132A831932FB}">
      <text>
        <r>
          <rPr>
            <sz val="9"/>
            <color indexed="81"/>
            <rFont val="MS P ゴシック"/>
            <family val="3"/>
            <charset val="128"/>
          </rPr>
          <t>数量x従来価格</t>
        </r>
      </text>
    </comment>
    <comment ref="BD83" authorId="0" shapeId="0" xr:uid="{28E18CEB-1734-4F8F-AAF7-8E6830259DE4}">
      <text>
        <r>
          <rPr>
            <sz val="9"/>
            <color indexed="81"/>
            <rFont val="MS P ゴシック"/>
            <family val="3"/>
            <charset val="128"/>
          </rPr>
          <t>数量x販社売価</t>
        </r>
      </text>
    </comment>
    <comment ref="BH83" authorId="0" shapeId="0" xr:uid="{A01ED628-1DD1-4479-B9E7-BBDB62F0A5E6}">
      <text>
        <r>
          <rPr>
            <sz val="9"/>
            <color indexed="81"/>
            <rFont val="MS P ゴシック"/>
            <family val="3"/>
            <charset val="128"/>
          </rPr>
          <t>1-(直接コスト合計+数量*(FOB価格x物流コスト率+CIF価*口銭率))/売上(連結)</t>
        </r>
      </text>
    </comment>
    <comment ref="AA88" authorId="0" shapeId="0" xr:uid="{3DDDE427-588B-406F-8A19-B9B579792851}">
      <text>
        <r>
          <rPr>
            <sz val="9"/>
            <color indexed="81"/>
            <rFont val="MS P ゴシック"/>
            <family val="3"/>
            <charset val="128"/>
          </rPr>
          <t>数量xFOB価格</t>
        </r>
      </text>
    </comment>
    <comment ref="AE88" authorId="0" shapeId="0" xr:uid="{362E1E65-6856-4B12-8B2B-A173CB9AB68E}">
      <text>
        <r>
          <rPr>
            <sz val="9"/>
            <color indexed="81"/>
            <rFont val="MS P ゴシック"/>
            <family val="3"/>
            <charset val="128"/>
          </rPr>
          <t>数量*コスト</t>
        </r>
      </text>
    </comment>
    <comment ref="AJ88" authorId="0" shapeId="0" xr:uid="{9EAAAB28-8225-4A8F-BE41-96C837C83207}">
      <text>
        <r>
          <rPr>
            <sz val="9"/>
            <color indexed="81"/>
            <rFont val="MS P ゴシック"/>
            <family val="3"/>
            <charset val="128"/>
          </rPr>
          <t>売上-コスト合計</t>
        </r>
      </text>
    </comment>
    <comment ref="AN88" authorId="0" shapeId="0" xr:uid="{22462884-0E1E-4AB3-AA05-5FDACC146B77}">
      <text>
        <r>
          <rPr>
            <sz val="9"/>
            <color indexed="81"/>
            <rFont val="MS P ゴシック"/>
            <family val="3"/>
            <charset val="128"/>
          </rPr>
          <t>貢献額/売上</t>
        </r>
      </text>
    </comment>
    <comment ref="AR88" authorId="0" shapeId="0" xr:uid="{7092DA5B-8BF9-4E95-AFCD-5E32D3557945}">
      <text>
        <r>
          <rPr>
            <sz val="9"/>
            <color indexed="81"/>
            <rFont val="MS P ゴシック"/>
            <family val="3"/>
            <charset val="128"/>
          </rPr>
          <t>値引き額(FOB)/(売上-値引額(FOB))</t>
        </r>
      </text>
    </comment>
    <comment ref="AV88" authorId="0" shapeId="0" xr:uid="{69A9A745-BA11-4C92-9B0A-D58DA283FCFD}">
      <text>
        <r>
          <rPr>
            <sz val="9"/>
            <color indexed="81"/>
            <rFont val="MS P ゴシック"/>
            <family val="3"/>
            <charset val="128"/>
          </rPr>
          <t>数量x(FOB価格-従来FOB価格)</t>
        </r>
      </text>
    </comment>
    <comment ref="BD88" authorId="0" shapeId="0" xr:uid="{93AA3A95-7DD4-432C-A3EC-FCD959E31A89}">
      <text>
        <r>
          <rPr>
            <sz val="9"/>
            <color indexed="81"/>
            <rFont val="MS P ゴシック"/>
            <family val="3"/>
            <charset val="128"/>
          </rPr>
          <t>数量x販社売価</t>
        </r>
      </text>
    </comment>
    <comment ref="BH88" authorId="0" shapeId="0" xr:uid="{0A9FB5DE-024E-4846-8581-FC3CFCA1EFEC}">
      <text>
        <r>
          <rPr>
            <sz val="9"/>
            <color indexed="81"/>
            <rFont val="MS P ゴシック"/>
            <family val="3"/>
            <charset val="128"/>
          </rPr>
          <t>1-(直接コスト合計+数量*(FOB価格x物流コスト率+CIF価*口銭率))/売上(連結)</t>
        </r>
      </text>
    </comment>
    <comment ref="P106" authorId="0" shapeId="0" xr:uid="{74D25D7A-D279-42AF-BB26-66E6477342F9}">
      <text>
        <r>
          <rPr>
            <sz val="9"/>
            <color indexed="81"/>
            <rFont val="MS P ゴシック"/>
            <family val="3"/>
            <charset val="128"/>
          </rPr>
          <t>有
無</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榎本亮二</author>
    <author xml:space="preserve"> </author>
  </authors>
  <commentList>
    <comment ref="P19" authorId="0" shapeId="0" xr:uid="{6623BF2F-8CA1-4F96-AD8E-8787264430D2}">
      <text>
        <r>
          <rPr>
            <sz val="9"/>
            <color indexed="81"/>
            <rFont val="MS P ゴシック"/>
            <family val="3"/>
            <charset val="128"/>
          </rPr>
          <t>新規
値引き
定期値引き</t>
        </r>
      </text>
    </comment>
    <comment ref="Y51" authorId="0" shapeId="0" xr:uid="{2BDF4F72-BFFF-4F68-9DC7-9CA8FC1DC83C}">
      <text>
        <r>
          <rPr>
            <sz val="9"/>
            <color indexed="81"/>
            <rFont val="MS P ゴシック"/>
            <family val="3"/>
            <charset val="128"/>
          </rPr>
          <t>JPY,USD,EUR</t>
        </r>
      </text>
    </comment>
    <comment ref="AE63" authorId="0" shapeId="0" xr:uid="{A938626A-87FA-41AD-9607-E4E5F51B7B03}">
      <text>
        <r>
          <rPr>
            <sz val="9"/>
            <color indexed="81"/>
            <rFont val="MS P ゴシック"/>
            <family val="3"/>
            <charset val="128"/>
          </rPr>
          <t>製造原価/為替レート</t>
        </r>
      </text>
    </comment>
    <comment ref="AV63" authorId="0" shapeId="0" xr:uid="{ED49BA27-2E4A-4FA5-99E4-AD5C275240E0}">
      <text>
        <r>
          <rPr>
            <sz val="9"/>
            <color indexed="81"/>
            <rFont val="MS P ゴシック"/>
            <family val="3"/>
            <charset val="128"/>
          </rPr>
          <t>FOB価格/(1-物流コスト率)</t>
        </r>
      </text>
    </comment>
    <comment ref="AZ63" authorId="0" shapeId="0" xr:uid="{D65D3F7F-8FD1-4239-BD6C-5DA15D787712}">
      <text>
        <r>
          <rPr>
            <sz val="9"/>
            <color indexed="81"/>
            <rFont val="MS P ゴシック"/>
            <family val="3"/>
            <charset val="128"/>
          </rPr>
          <t>FOB価格-(CIF価格*口銭率)</t>
        </r>
      </text>
    </comment>
    <comment ref="BD63" authorId="0" shapeId="0" xr:uid="{8EA5B32F-3CC9-4707-AE2D-67F331D44ACA}">
      <text>
        <r>
          <rPr>
            <sz val="9"/>
            <color indexed="81"/>
            <rFont val="MS P ゴシック"/>
            <family val="3"/>
            <charset val="128"/>
          </rPr>
          <t>(FOB価格-CIF価格*口銭率-総原価/為替レート)/(総原価/為替レート)</t>
        </r>
      </text>
    </comment>
    <comment ref="BH63" authorId="1" shapeId="0" xr:uid="{058AD372-E79A-416D-8D68-6A16B16B6D1C}">
      <text>
        <r>
          <rPr>
            <sz val="9"/>
            <color indexed="81"/>
            <rFont val="MS P ゴシック"/>
            <family val="3"/>
            <charset val="128"/>
          </rPr>
          <t>(FOB価格-従来FOB価格)/従来FOB価格</t>
        </r>
      </text>
    </comment>
    <comment ref="BP63" authorId="1" shapeId="0" xr:uid="{F2B1A7CF-959F-414E-A78E-EC455CC96B37}">
      <text>
        <r>
          <rPr>
            <sz val="9"/>
            <color indexed="81"/>
            <rFont val="MS P ゴシック"/>
            <family val="3"/>
            <charset val="128"/>
          </rPr>
          <t>1-FOB価格/(1-物流コスト率)/販社売価</t>
        </r>
      </text>
    </comment>
    <comment ref="BT63" authorId="0" shapeId="0" xr:uid="{C08CABE3-F817-4F58-8AAF-D6C8EB6ABC4E}">
      <text>
        <r>
          <rPr>
            <sz val="9"/>
            <color indexed="81"/>
            <rFont val="MS P ゴシック"/>
            <family val="3"/>
            <charset val="128"/>
          </rPr>
          <t>1-(製造原価/為替レート+FOB価格*物流コスト率+CIF価格*口銭率)/販社売価</t>
        </r>
      </text>
    </comment>
    <comment ref="CB63" authorId="0" shapeId="0" xr:uid="{2E9EB4F6-4084-4F8B-BF81-2F811CF011D7}">
      <text>
        <r>
          <rPr>
            <sz val="9"/>
            <color indexed="81"/>
            <rFont val="MS P ゴシック"/>
            <family val="3"/>
            <charset val="128"/>
          </rPr>
          <t>1-販社売価/代理店売価</t>
        </r>
      </text>
    </comment>
    <comment ref="AA67" authorId="0" shapeId="0" xr:uid="{0008D8C9-F466-433C-8781-EB64D0900F1C}">
      <text>
        <r>
          <rPr>
            <sz val="9"/>
            <color indexed="81"/>
            <rFont val="MS P ゴシック"/>
            <family val="3"/>
            <charset val="128"/>
          </rPr>
          <t>数量xFOB価格</t>
        </r>
      </text>
    </comment>
    <comment ref="AE67" authorId="0" shapeId="0" xr:uid="{58183CC7-466B-4D5F-AD36-EEB8F2551732}">
      <text>
        <r>
          <rPr>
            <sz val="9"/>
            <color indexed="81"/>
            <rFont val="MS P ゴシック"/>
            <family val="3"/>
            <charset val="128"/>
          </rPr>
          <t>数量*総原価/為替レート</t>
        </r>
      </text>
    </comment>
    <comment ref="AJ67" authorId="0" shapeId="0" xr:uid="{705C7AF5-0972-4D88-893D-3A8280B4ECA3}">
      <text>
        <r>
          <rPr>
            <sz val="9"/>
            <color indexed="81"/>
            <rFont val="MS P ゴシック"/>
            <family val="3"/>
            <charset val="128"/>
          </rPr>
          <t>売上-コスト合計</t>
        </r>
      </text>
    </comment>
    <comment ref="AN67" authorId="0" shapeId="0" xr:uid="{E40FBDBE-7055-4E5E-B2AC-85065231E226}">
      <text>
        <r>
          <rPr>
            <sz val="9"/>
            <color indexed="81"/>
            <rFont val="MS P ゴシック"/>
            <family val="3"/>
            <charset val="128"/>
          </rPr>
          <t>総原価利益率/総原価合計</t>
        </r>
      </text>
    </comment>
    <comment ref="AR67" authorId="0" shapeId="0" xr:uid="{2C699ADD-B18E-450C-9936-91FA39EE31B4}">
      <text>
        <r>
          <rPr>
            <sz val="9"/>
            <color indexed="81"/>
            <rFont val="MS P ゴシック"/>
            <family val="3"/>
            <charset val="128"/>
          </rPr>
          <t>値引き額(FOB)/(売上-値引額(FOB))</t>
        </r>
      </text>
    </comment>
    <comment ref="AV67" authorId="0" shapeId="0" xr:uid="{7A6D7B8E-E81F-4D0B-8478-8A301A25D472}">
      <text>
        <r>
          <rPr>
            <sz val="9"/>
            <color indexed="81"/>
            <rFont val="MS P ゴシック"/>
            <family val="3"/>
            <charset val="128"/>
          </rPr>
          <t>数量x(FOB価格-従来FOB価格)</t>
        </r>
      </text>
    </comment>
    <comment ref="AZ67" authorId="1" shapeId="0" xr:uid="{7F6DA814-E095-43FC-B1E7-690AD8DC9B06}">
      <text>
        <r>
          <rPr>
            <sz val="9"/>
            <color indexed="81"/>
            <rFont val="MS P ゴシック"/>
            <family val="3"/>
            <charset val="128"/>
          </rPr>
          <t>数量*従来FOB価格</t>
        </r>
      </text>
    </comment>
    <comment ref="BD67" authorId="0" shapeId="0" xr:uid="{6F3AAC99-9C2A-44C7-95ED-5AE8DD2C9329}">
      <text>
        <r>
          <rPr>
            <sz val="9"/>
            <color indexed="81"/>
            <rFont val="MS P ゴシック"/>
            <family val="3"/>
            <charset val="128"/>
          </rPr>
          <t>数量x販社売価</t>
        </r>
      </text>
    </comment>
    <comment ref="BH67" authorId="0" shapeId="0" xr:uid="{B7F6938F-EF68-4F76-8B03-E74A6BB59B1F}">
      <text>
        <r>
          <rPr>
            <sz val="9"/>
            <color indexed="81"/>
            <rFont val="MS P ゴシック"/>
            <family val="3"/>
            <charset val="128"/>
          </rPr>
          <t>1-((製造原価/為替レート*数量)+(FOB価格*物流コスト率+FOB価格/(1-物流コスト率)*口銭率)*月間数量)/売上(連結)</t>
        </r>
      </text>
    </comment>
    <comment ref="AA72" authorId="0" shapeId="0" xr:uid="{1C5DD139-ED23-4833-A397-2CE31A302AA0}">
      <text>
        <r>
          <rPr>
            <sz val="9"/>
            <color indexed="81"/>
            <rFont val="MS P ゴシック"/>
            <family val="3"/>
            <charset val="128"/>
          </rPr>
          <t>数量xFOB価格</t>
        </r>
      </text>
    </comment>
    <comment ref="AE72" authorId="0" shapeId="0" xr:uid="{8FBD9153-D455-48A5-8160-9FD612285F39}">
      <text>
        <r>
          <rPr>
            <sz val="9"/>
            <color indexed="81"/>
            <rFont val="MS P ゴシック"/>
            <family val="3"/>
            <charset val="128"/>
          </rPr>
          <t>数量*総原価/為替レート</t>
        </r>
      </text>
    </comment>
    <comment ref="AJ72" authorId="0" shapeId="0" xr:uid="{A04A2564-914A-41DE-AEA1-C66CE93147CB}">
      <text>
        <r>
          <rPr>
            <sz val="9"/>
            <color indexed="81"/>
            <rFont val="MS P ゴシック"/>
            <family val="3"/>
            <charset val="128"/>
          </rPr>
          <t>売上-コスト合計</t>
        </r>
      </text>
    </comment>
    <comment ref="AN72" authorId="0" shapeId="0" xr:uid="{DDF17ECF-4EC5-43B3-83CA-C891D25175ED}">
      <text>
        <r>
          <rPr>
            <sz val="9"/>
            <color indexed="81"/>
            <rFont val="MS P ゴシック"/>
            <family val="3"/>
            <charset val="128"/>
          </rPr>
          <t>総原価利益率/総原価合計</t>
        </r>
      </text>
    </comment>
    <comment ref="AR72" authorId="0" shapeId="0" xr:uid="{1A674939-80ED-49BC-BB54-370D0A50DCB5}">
      <text>
        <r>
          <rPr>
            <sz val="9"/>
            <color indexed="81"/>
            <rFont val="MS P ゴシック"/>
            <family val="3"/>
            <charset val="128"/>
          </rPr>
          <t>値引き額(FOB)/(売上-値引額(FOB))</t>
        </r>
      </text>
    </comment>
    <comment ref="AV72" authorId="0" shapeId="0" xr:uid="{E818FAD8-D17D-41F1-AA98-2F46284036D5}">
      <text>
        <r>
          <rPr>
            <sz val="9"/>
            <color indexed="81"/>
            <rFont val="MS P ゴシック"/>
            <family val="3"/>
            <charset val="128"/>
          </rPr>
          <t>数量x(FOB価格-従来FOB価格)</t>
        </r>
      </text>
    </comment>
    <comment ref="AZ72" authorId="1" shapeId="0" xr:uid="{491E7B96-D91E-4F59-AC10-072C8670CFE6}">
      <text>
        <r>
          <rPr>
            <sz val="9"/>
            <color indexed="81"/>
            <rFont val="MS P ゴシック"/>
            <family val="3"/>
            <charset val="128"/>
          </rPr>
          <t>数量*従来FOB価格</t>
        </r>
      </text>
    </comment>
    <comment ref="BD72" authorId="0" shapeId="0" xr:uid="{F9E58F2A-1288-4EC7-9F60-C84689F01A58}">
      <text>
        <r>
          <rPr>
            <sz val="9"/>
            <color indexed="81"/>
            <rFont val="MS P ゴシック"/>
            <family val="3"/>
            <charset val="128"/>
          </rPr>
          <t>数量x販社売価</t>
        </r>
      </text>
    </comment>
    <comment ref="BH72" authorId="0" shapeId="0" xr:uid="{A362063F-BA67-4729-8CA6-750EBD90C6CC}">
      <text>
        <r>
          <rPr>
            <sz val="9"/>
            <color indexed="81"/>
            <rFont val="MS P ゴシック"/>
            <family val="3"/>
            <charset val="128"/>
          </rPr>
          <t>1-((製造原価/為替レート*数量)+(FOB価格*物流コスト率+FOB価格/(1-物流コスト率)*口銭率)*月間数量)/売上(連結)</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榎本亮二</author>
  </authors>
  <commentList>
    <comment ref="P19" authorId="0" shapeId="0" xr:uid="{B16F0910-2B25-48B0-AC84-D0F450AB68A7}">
      <text>
        <r>
          <rPr>
            <sz val="9"/>
            <color indexed="81"/>
            <rFont val="MS P ゴシック"/>
            <family val="3"/>
            <charset val="128"/>
          </rPr>
          <t>新規
値引き
定期値引き</t>
        </r>
      </text>
    </comment>
    <comment ref="Y51" authorId="0" shapeId="0" xr:uid="{91BDABE1-D4AF-4D5B-B352-20254FB23C28}">
      <text>
        <r>
          <rPr>
            <sz val="9"/>
            <color indexed="81"/>
            <rFont val="MS P ゴシック"/>
            <family val="3"/>
            <charset val="128"/>
          </rPr>
          <t>JPY,USD,EUR</t>
        </r>
      </text>
    </comment>
    <comment ref="AH51" authorId="0" shapeId="0" xr:uid="{62CDB66E-96A3-4E83-9D95-D4E2C06B9625}">
      <text>
        <r>
          <rPr>
            <sz val="9"/>
            <color indexed="81"/>
            <rFont val="MS P ゴシック"/>
            <family val="3"/>
            <charset val="128"/>
          </rPr>
          <t>JPY,USD,EUR</t>
        </r>
      </text>
    </comment>
    <comment ref="AV63" authorId="0" shapeId="0" xr:uid="{0DBD67A4-FF9E-46EB-B9C8-A2B692E652C6}">
      <text>
        <r>
          <rPr>
            <sz val="9"/>
            <color indexed="81"/>
            <rFont val="MS P ゴシック"/>
            <family val="3"/>
            <charset val="128"/>
          </rPr>
          <t>FOB価格/(1-物流コスト率)</t>
        </r>
      </text>
    </comment>
    <comment ref="AZ63" authorId="0" shapeId="0" xr:uid="{D26709B3-3714-4512-8EA6-BBCB3ABEB186}">
      <text>
        <r>
          <rPr>
            <sz val="9"/>
            <color indexed="81"/>
            <rFont val="MS P ゴシック"/>
            <family val="3"/>
            <charset val="128"/>
          </rPr>
          <t>FOB価格-(CIF価格*口銭率)</t>
        </r>
      </text>
    </comment>
    <comment ref="BD63" authorId="0" shapeId="0" xr:uid="{AA63994B-1D1B-48A9-954E-382465FEBBA7}">
      <text>
        <r>
          <rPr>
            <sz val="9"/>
            <color indexed="81"/>
            <rFont val="MS P ゴシック"/>
            <family val="3"/>
            <charset val="128"/>
          </rPr>
          <t>(FOB価格-従来FOB価格)/従来FOB価格</t>
        </r>
      </text>
    </comment>
    <comment ref="BL63" authorId="0" shapeId="0" xr:uid="{4847ED2C-045B-45EF-A3ED-4524C19E78DD}">
      <text>
        <r>
          <rPr>
            <sz val="9"/>
            <color indexed="81"/>
            <rFont val="MS P ゴシック"/>
            <family val="3"/>
            <charset val="128"/>
          </rPr>
          <t>1-FOB価格/(1-物流コスト率)/販社売価</t>
        </r>
      </text>
    </comment>
    <comment ref="BP63" authorId="0" shapeId="0" xr:uid="{0A221737-153F-4D5F-85C3-9D404C6E198A}">
      <text>
        <r>
          <rPr>
            <sz val="9"/>
            <color indexed="81"/>
            <rFont val="MS P ゴシック"/>
            <family val="3"/>
            <charset val="128"/>
          </rPr>
          <t>1-純原価/販社売価</t>
        </r>
      </text>
    </comment>
    <comment ref="BX63" authorId="0" shapeId="0" xr:uid="{73AFF1EF-3E0E-4720-98C8-71032E00FED5}">
      <text>
        <r>
          <rPr>
            <sz val="9"/>
            <color indexed="81"/>
            <rFont val="MS P ゴシック"/>
            <family val="3"/>
            <charset val="128"/>
          </rPr>
          <t>1-販社売価/代理店売価</t>
        </r>
      </text>
    </comment>
    <comment ref="AA66" authorId="0" shapeId="0" xr:uid="{430E6BB0-4127-4384-BC54-60CA61C14030}">
      <text>
        <r>
          <rPr>
            <sz val="9"/>
            <color indexed="81"/>
            <rFont val="MS P ゴシック"/>
            <family val="3"/>
            <charset val="128"/>
          </rPr>
          <t>数量x販社売価</t>
        </r>
      </text>
    </comment>
    <comment ref="AE66" authorId="0" shapeId="0" xr:uid="{2FF6B129-4FE2-4056-9395-D341715CE753}">
      <text>
        <r>
          <rPr>
            <sz val="9"/>
            <color indexed="81"/>
            <rFont val="MS P ゴシック"/>
            <family val="3"/>
            <charset val="128"/>
          </rPr>
          <t>数量*純原価</t>
        </r>
      </text>
    </comment>
    <comment ref="AJ66" authorId="0" shapeId="0" xr:uid="{124A21D9-B11E-440A-9251-38D6463B5ED4}">
      <text>
        <r>
          <rPr>
            <sz val="9"/>
            <color indexed="81"/>
            <rFont val="MS P ゴシック"/>
            <family val="3"/>
            <charset val="128"/>
          </rPr>
          <t>売上-純原価合計</t>
        </r>
      </text>
    </comment>
    <comment ref="AN66" authorId="0" shapeId="0" xr:uid="{39B1E842-0F08-4EE1-90A6-8A5B014B09D6}">
      <text>
        <r>
          <rPr>
            <sz val="9"/>
            <color indexed="81"/>
            <rFont val="MS P ゴシック"/>
            <family val="3"/>
            <charset val="128"/>
          </rPr>
          <t>連結粗利額/売上</t>
        </r>
      </text>
    </comment>
    <comment ref="AR66" authorId="0" shapeId="0" xr:uid="{74834474-258D-4DD9-8E4D-73D629C279A5}">
      <text>
        <r>
          <rPr>
            <sz val="9"/>
            <color indexed="81"/>
            <rFont val="MS P ゴシック"/>
            <family val="3"/>
            <charset val="128"/>
          </rPr>
          <t>値引き額/(売上-値引額)</t>
        </r>
      </text>
    </comment>
    <comment ref="AV66" authorId="0" shapeId="0" xr:uid="{9A6D075A-CB09-4104-B0B5-77393C6BC79C}">
      <text>
        <r>
          <rPr>
            <sz val="9"/>
            <color indexed="81"/>
            <rFont val="MS P ゴシック"/>
            <family val="3"/>
            <charset val="128"/>
          </rPr>
          <t>数量x(販社売価-従来FOB価格)</t>
        </r>
      </text>
    </comment>
    <comment ref="AA70" authorId="0" shapeId="0" xr:uid="{CC6D866E-EB37-46D4-8CC8-94D22DA66F2C}">
      <text>
        <r>
          <rPr>
            <sz val="9"/>
            <color indexed="81"/>
            <rFont val="MS P ゴシック"/>
            <family val="3"/>
            <charset val="128"/>
          </rPr>
          <t>数量x販社売価</t>
        </r>
      </text>
    </comment>
    <comment ref="AE70" authorId="0" shapeId="0" xr:uid="{E3B1403C-EDD2-4F49-B602-4CF89721539C}">
      <text>
        <r>
          <rPr>
            <sz val="9"/>
            <color indexed="81"/>
            <rFont val="MS P ゴシック"/>
            <family val="3"/>
            <charset val="128"/>
          </rPr>
          <t>数量*純原価</t>
        </r>
      </text>
    </comment>
    <comment ref="AJ70" authorId="0" shapeId="0" xr:uid="{B597D182-914B-4079-9012-10863EB9E722}">
      <text>
        <r>
          <rPr>
            <sz val="9"/>
            <color indexed="81"/>
            <rFont val="MS P ゴシック"/>
            <family val="3"/>
            <charset val="128"/>
          </rPr>
          <t>売上-純原価合計</t>
        </r>
      </text>
    </comment>
    <comment ref="AN70" authorId="0" shapeId="0" xr:uid="{8734A2E2-1436-4500-9F85-28ADB0147A2C}">
      <text>
        <r>
          <rPr>
            <sz val="9"/>
            <color indexed="81"/>
            <rFont val="MS P ゴシック"/>
            <family val="3"/>
            <charset val="128"/>
          </rPr>
          <t>連結粗利額/売上</t>
        </r>
      </text>
    </comment>
    <comment ref="AR70" authorId="0" shapeId="0" xr:uid="{DCE142C0-1C1D-4045-9C53-756E41C9714D}">
      <text>
        <r>
          <rPr>
            <sz val="9"/>
            <color indexed="81"/>
            <rFont val="MS P ゴシック"/>
            <family val="3"/>
            <charset val="128"/>
          </rPr>
          <t>値引き額/(売上-値引額)</t>
        </r>
      </text>
    </comment>
    <comment ref="AV70" authorId="0" shapeId="0" xr:uid="{D97FBD94-788C-4E96-8996-E4A87B5B2361}">
      <text>
        <r>
          <rPr>
            <sz val="9"/>
            <color indexed="81"/>
            <rFont val="MS P ゴシック"/>
            <family val="3"/>
            <charset val="128"/>
          </rPr>
          <t>数量x(販社売価-従来FOB価格)</t>
        </r>
      </text>
    </comment>
  </commentList>
</comments>
</file>

<file path=xl/sharedStrings.xml><?xml version="1.0" encoding="utf-8"?>
<sst xmlns="http://schemas.openxmlformats.org/spreadsheetml/2006/main" count="2184" uniqueCount="671">
  <si>
    <t>HRS殿</t>
    <rPh sb="3" eb="4">
      <t>ドノ</t>
    </rPh>
    <phoneticPr fontId="13"/>
  </si>
  <si>
    <t>作成</t>
    <rPh sb="0" eb="2">
      <t>サクセイ</t>
    </rPh>
    <phoneticPr fontId="13"/>
  </si>
  <si>
    <t>照査</t>
    <rPh sb="0" eb="2">
      <t>ショウサ</t>
    </rPh>
    <phoneticPr fontId="13"/>
  </si>
  <si>
    <t>承認</t>
    <rPh sb="0" eb="2">
      <t>ショウニン</t>
    </rPh>
    <phoneticPr fontId="13"/>
  </si>
  <si>
    <t>文書名：</t>
    <rPh sb="0" eb="2">
      <t>ブンショ</t>
    </rPh>
    <rPh sb="2" eb="3">
      <t>メイ</t>
    </rPh>
    <phoneticPr fontId="13"/>
  </si>
  <si>
    <t>顧客名</t>
    <rPh sb="0" eb="2">
      <t>コキャク</t>
    </rPh>
    <rPh sb="2" eb="3">
      <t>メイ</t>
    </rPh>
    <phoneticPr fontId="13"/>
  </si>
  <si>
    <t>ヒロセ電機株式会社</t>
    <rPh sb="3" eb="5">
      <t>デンキ</t>
    </rPh>
    <rPh sb="5" eb="7">
      <t>カブシキ</t>
    </rPh>
    <rPh sb="7" eb="9">
      <t>カイシャ</t>
    </rPh>
    <phoneticPr fontId="13"/>
  </si>
  <si>
    <t>システム</t>
    <phoneticPr fontId="13"/>
  </si>
  <si>
    <t>作成者</t>
    <rPh sb="0" eb="2">
      <t>サクセイ</t>
    </rPh>
    <rPh sb="2" eb="3">
      <t>シャ</t>
    </rPh>
    <phoneticPr fontId="13"/>
  </si>
  <si>
    <t>作成日</t>
    <rPh sb="0" eb="3">
      <t>サクセイビ</t>
    </rPh>
    <phoneticPr fontId="13"/>
  </si>
  <si>
    <t>書類番号</t>
    <rPh sb="0" eb="2">
      <t>ショルイ</t>
    </rPh>
    <rPh sb="2" eb="4">
      <t>バンゴウ</t>
    </rPh>
    <phoneticPr fontId="13"/>
  </si>
  <si>
    <t>プロジェクト</t>
    <phoneticPr fontId="13"/>
  </si>
  <si>
    <t>修正者</t>
    <rPh sb="0" eb="2">
      <t>シュウセイ</t>
    </rPh>
    <rPh sb="2" eb="3">
      <t>シャ</t>
    </rPh>
    <phoneticPr fontId="13"/>
  </si>
  <si>
    <t>修正日</t>
    <rPh sb="0" eb="2">
      <t>シュウセイ</t>
    </rPh>
    <rPh sb="2" eb="3">
      <t>ビ</t>
    </rPh>
    <phoneticPr fontId="13"/>
  </si>
  <si>
    <t>内容</t>
    <rPh sb="0" eb="2">
      <t>ナイヨウ</t>
    </rPh>
    <phoneticPr fontId="13"/>
  </si>
  <si>
    <t>Rev</t>
    <phoneticPr fontId="13"/>
  </si>
  <si>
    <t>intra-mart Accel Platform</t>
    <phoneticPr fontId="13"/>
  </si>
  <si>
    <t>変更内容</t>
    <rPh sb="0" eb="2">
      <t>ヘンコウ</t>
    </rPh>
    <rPh sb="2" eb="4">
      <t>ナイヨウ</t>
    </rPh>
    <phoneticPr fontId="12"/>
  </si>
  <si>
    <t>変更・追加箇所</t>
    <rPh sb="0" eb="2">
      <t>ヘンコウ</t>
    </rPh>
    <rPh sb="3" eb="5">
      <t>ツイカ</t>
    </rPh>
    <rPh sb="5" eb="7">
      <t>カショ</t>
    </rPh>
    <phoneticPr fontId="12"/>
  </si>
  <si>
    <t>提出日</t>
    <rPh sb="0" eb="2">
      <t>テイシュツ</t>
    </rPh>
    <rPh sb="2" eb="3">
      <t>ビ</t>
    </rPh>
    <phoneticPr fontId="12"/>
  </si>
  <si>
    <t>作成者</t>
    <rPh sb="0" eb="3">
      <t>サクセイシャ</t>
    </rPh>
    <phoneticPr fontId="12"/>
  </si>
  <si>
    <t>承認者</t>
    <rPh sb="0" eb="2">
      <t>ショウニン</t>
    </rPh>
    <rPh sb="2" eb="3">
      <t>シャ</t>
    </rPh>
    <phoneticPr fontId="12"/>
  </si>
  <si>
    <t>備考</t>
    <rPh sb="0" eb="2">
      <t>ビコウ</t>
    </rPh>
    <phoneticPr fontId="12"/>
  </si>
  <si>
    <t>新規作成</t>
    <rPh sb="0" eb="2">
      <t>シンキ</t>
    </rPh>
    <rPh sb="2" eb="4">
      <t>サクセイ</t>
    </rPh>
    <phoneticPr fontId="50"/>
  </si>
  <si>
    <t>Rev.</t>
    <phoneticPr fontId="12"/>
  </si>
  <si>
    <t>変更来歴</t>
    <phoneticPr fontId="50"/>
  </si>
  <si>
    <t>画面設計書</t>
    <rPh sb="0" eb="2">
      <t>ガメン</t>
    </rPh>
    <rPh sb="2" eb="5">
      <t>セッケイショ</t>
    </rPh>
    <phoneticPr fontId="13"/>
  </si>
  <si>
    <t>画面名</t>
    <rPh sb="0" eb="2">
      <t>ガメン</t>
    </rPh>
    <rPh sb="2" eb="3">
      <t>メイ</t>
    </rPh>
    <phoneticPr fontId="50"/>
  </si>
  <si>
    <t>アメージングアクティビティ(株)</t>
    <rPh sb="13" eb="16">
      <t>カブシキガイシャ</t>
    </rPh>
    <phoneticPr fontId="13"/>
  </si>
  <si>
    <t>　</t>
    <phoneticPr fontId="50"/>
  </si>
  <si>
    <t/>
  </si>
  <si>
    <t>IMWF-53</t>
    <phoneticPr fontId="50"/>
  </si>
  <si>
    <t>No</t>
    <phoneticPr fontId="56"/>
  </si>
  <si>
    <t>▼</t>
    <phoneticPr fontId="56"/>
  </si>
  <si>
    <t>品名</t>
    <rPh sb="0" eb="1">
      <t>ヒンメイ</t>
    </rPh>
    <phoneticPr fontId="56"/>
  </si>
  <si>
    <t>○</t>
    <phoneticPr fontId="56"/>
  </si>
  <si>
    <t>◎</t>
    <phoneticPr fontId="56"/>
  </si>
  <si>
    <t>▲</t>
    <phoneticPr fontId="56"/>
  </si>
  <si>
    <t>ファイル名</t>
    <rPh sb="4" eb="5">
      <t>メイ</t>
    </rPh>
    <phoneticPr fontId="56"/>
  </si>
  <si>
    <t>得意先コード</t>
    <rPh sb="0" eb="3">
      <t>トクイサキ</t>
    </rPh>
    <phoneticPr fontId="56"/>
  </si>
  <si>
    <t>サイズ</t>
    <phoneticPr fontId="56"/>
  </si>
  <si>
    <t>102 KB</t>
    <phoneticPr fontId="56"/>
  </si>
  <si>
    <t>得意先</t>
    <rPh sb="0" eb="3">
      <t>トクイサキ</t>
    </rPh>
    <phoneticPr fontId="60"/>
  </si>
  <si>
    <t>　</t>
    <phoneticPr fontId="56"/>
  </si>
  <si>
    <t>クリア</t>
    <phoneticPr fontId="56"/>
  </si>
  <si>
    <t>ファイル001.xlsx</t>
    <phoneticPr fontId="56"/>
  </si>
  <si>
    <t>CD-1234567</t>
    <phoneticPr fontId="56"/>
  </si>
  <si>
    <t>単価上申(円販売一般品)</t>
    <rPh sb="0" eb="2">
      <t>タンカ</t>
    </rPh>
    <rPh sb="2" eb="4">
      <t>ジョウシン</t>
    </rPh>
    <rPh sb="5" eb="8">
      <t>エンハンバイ</t>
    </rPh>
    <rPh sb="8" eb="10">
      <t>イッパン</t>
    </rPh>
    <rPh sb="10" eb="11">
      <t>シナ</t>
    </rPh>
    <phoneticPr fontId="56"/>
  </si>
  <si>
    <t>過去の申請から内容コピー</t>
    <rPh sb="0" eb="2">
      <t>カコ</t>
    </rPh>
    <rPh sb="3" eb="5">
      <t>シンセイ</t>
    </rPh>
    <rPh sb="7" eb="9">
      <t>ナイヨウ</t>
    </rPh>
    <phoneticPr fontId="56"/>
  </si>
  <si>
    <t>起票日</t>
    <rPh sb="0" eb="3">
      <t>キヒョウビ</t>
    </rPh>
    <phoneticPr fontId="56"/>
  </si>
  <si>
    <t>所属</t>
    <rPh sb="0" eb="2">
      <t>ショゾク</t>
    </rPh>
    <phoneticPr fontId="56"/>
  </si>
  <si>
    <t>社員番号</t>
    <rPh sb="0" eb="2">
      <t>シャイン</t>
    </rPh>
    <rPh sb="2" eb="4">
      <t>バンゴウ</t>
    </rPh>
    <phoneticPr fontId="56"/>
  </si>
  <si>
    <t>2022/09/29</t>
    <phoneticPr fontId="56"/>
  </si>
  <si>
    <t>：</t>
    <phoneticPr fontId="56"/>
  </si>
  <si>
    <t>ヒロセ電機株式会社/管理本部/ＩＴ統括部/情報システム企画課</t>
    <phoneticPr fontId="56"/>
  </si>
  <si>
    <t>hirose</t>
    <phoneticPr fontId="56"/>
  </si>
  <si>
    <t>氏名　：</t>
    <rPh sb="0" eb="2">
      <t>シメイ</t>
    </rPh>
    <phoneticPr fontId="56"/>
  </si>
  <si>
    <t>システム担当者</t>
    <rPh sb="4" eb="7">
      <t>タントウシャ</t>
    </rPh>
    <phoneticPr fontId="56"/>
  </si>
  <si>
    <r>
      <t>タイトル</t>
    </r>
    <r>
      <rPr>
        <sz val="10"/>
        <color rgb="FFFF0000"/>
        <rFont val="ＭＳ Ｐゴシック"/>
        <family val="3"/>
        <charset val="128"/>
        <scheme val="minor"/>
      </rPr>
      <t>*</t>
    </r>
    <phoneticPr fontId="56"/>
  </si>
  <si>
    <r>
      <t>得意先名</t>
    </r>
    <r>
      <rPr>
        <sz val="10"/>
        <color rgb="FFFF0000"/>
        <rFont val="ＭＳ Ｐゴシック"/>
        <family val="3"/>
        <charset val="128"/>
        <scheme val="minor"/>
      </rPr>
      <t>*</t>
    </r>
    <rPh sb="0" eb="3">
      <t>トクイサキ</t>
    </rPh>
    <rPh sb="3" eb="4">
      <t>メイ</t>
    </rPh>
    <phoneticPr fontId="56"/>
  </si>
  <si>
    <t>客先担当者名</t>
    <rPh sb="0" eb="2">
      <t>キャクサキ</t>
    </rPh>
    <rPh sb="2" eb="6">
      <t>タントウシャメイ</t>
    </rPh>
    <phoneticPr fontId="56"/>
  </si>
  <si>
    <r>
      <t>案件種類</t>
    </r>
    <r>
      <rPr>
        <sz val="10"/>
        <color rgb="FFFF0000"/>
        <rFont val="ＭＳ Ｐゴシック"/>
        <family val="3"/>
        <charset val="128"/>
        <scheme val="minor"/>
      </rPr>
      <t>*</t>
    </r>
    <rPh sb="0" eb="2">
      <t>アンケン</t>
    </rPh>
    <rPh sb="2" eb="4">
      <t>シュルイ</t>
    </rPh>
    <phoneticPr fontId="56"/>
  </si>
  <si>
    <r>
      <t>希望承認期限</t>
    </r>
    <r>
      <rPr>
        <sz val="10"/>
        <color rgb="FFFF0000"/>
        <rFont val="ＭＳ Ｐゴシック"/>
        <family val="3"/>
        <charset val="128"/>
        <scheme val="minor"/>
      </rPr>
      <t>*</t>
    </r>
    <rPh sb="0" eb="2">
      <t>キボウ</t>
    </rPh>
    <rPh sb="2" eb="4">
      <t>ショウニン</t>
    </rPh>
    <rPh sb="4" eb="6">
      <t>キゲン</t>
    </rPh>
    <phoneticPr fontId="56"/>
  </si>
  <si>
    <t>申請価格入力</t>
    <rPh sb="0" eb="2">
      <t>シンセイ</t>
    </rPh>
    <rPh sb="2" eb="4">
      <t>カカク</t>
    </rPh>
    <rPh sb="4" eb="6">
      <t>ニュウリョク</t>
    </rPh>
    <phoneticPr fontId="56"/>
  </si>
  <si>
    <t>CL</t>
    <phoneticPr fontId="60"/>
  </si>
  <si>
    <t>得意先要求価格</t>
    <rPh sb="0" eb="3">
      <t>トクイサキ</t>
    </rPh>
    <rPh sb="3" eb="5">
      <t>ヨウキュウ</t>
    </rPh>
    <rPh sb="5" eb="7">
      <t>カカク</t>
    </rPh>
    <phoneticPr fontId="60"/>
  </si>
  <si>
    <t>申請価格</t>
    <rPh sb="0" eb="2">
      <t>シンセイ</t>
    </rPh>
    <rPh sb="2" eb="4">
      <t>カカク</t>
    </rPh>
    <phoneticPr fontId="60"/>
  </si>
  <si>
    <t>原計タイプ</t>
    <rPh sb="0" eb="2">
      <t>ゲンケイ</t>
    </rPh>
    <phoneticPr fontId="60"/>
  </si>
  <si>
    <t>従来価格</t>
    <rPh sb="0" eb="2">
      <t>ジュウライ</t>
    </rPh>
    <rPh sb="2" eb="4">
      <t>カカク</t>
    </rPh>
    <phoneticPr fontId="60"/>
  </si>
  <si>
    <t>備考</t>
    <rPh sb="0" eb="2">
      <t>ビコウ</t>
    </rPh>
    <phoneticPr fontId="60"/>
  </si>
  <si>
    <t>2022/9/29</t>
    <phoneticPr fontId="56"/>
  </si>
  <si>
    <r>
      <rPr>
        <b/>
        <sz val="10"/>
        <color theme="6" tint="0.39997558519241921"/>
        <rFont val="ＭＳ Ｐゴシック"/>
        <family val="3"/>
        <charset val="128"/>
        <scheme val="minor"/>
      </rPr>
      <t>＋</t>
    </r>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6"/>
  </si>
  <si>
    <t>通貨：JPY</t>
    <rPh sb="0" eb="2">
      <t>ツウカ</t>
    </rPh>
    <phoneticPr fontId="56"/>
  </si>
  <si>
    <r>
      <t>品名</t>
    </r>
    <r>
      <rPr>
        <sz val="10"/>
        <color rgb="FFFF0000"/>
        <rFont val="ＭＳ Ｐゴシック"/>
        <family val="3"/>
        <charset val="128"/>
        <scheme val="minor"/>
      </rPr>
      <t>*</t>
    </r>
    <rPh sb="0" eb="1">
      <t>ヒンメイ</t>
    </rPh>
    <phoneticPr fontId="56"/>
  </si>
  <si>
    <r>
      <t>形</t>
    </r>
    <r>
      <rPr>
        <sz val="10"/>
        <color rgb="FFFF0000"/>
        <rFont val="ＭＳ Ｐゴシック"/>
        <family val="3"/>
        <charset val="128"/>
        <scheme val="minor"/>
      </rPr>
      <t>*</t>
    </r>
    <rPh sb="0" eb="1">
      <t>カタ</t>
    </rPh>
    <phoneticPr fontId="60"/>
  </si>
  <si>
    <r>
      <t>月間数量</t>
    </r>
    <r>
      <rPr>
        <sz val="10"/>
        <color rgb="FFFF0000"/>
        <rFont val="ＭＳ Ｐゴシック"/>
        <family val="3"/>
        <charset val="128"/>
        <scheme val="minor"/>
      </rPr>
      <t>*</t>
    </r>
    <rPh sb="0" eb="2">
      <t>ゲッカン</t>
    </rPh>
    <rPh sb="2" eb="4">
      <t>スウリョウ</t>
    </rPh>
    <phoneticPr fontId="60"/>
  </si>
  <si>
    <r>
      <t>申請価格</t>
    </r>
    <r>
      <rPr>
        <sz val="9"/>
        <color rgb="FFFF0000"/>
        <rFont val="ＭＳ Ｐゴシック"/>
        <family val="3"/>
        <charset val="128"/>
        <scheme val="minor"/>
      </rPr>
      <t>*</t>
    </r>
    <rPh sb="0" eb="2">
      <t>シンセイ</t>
    </rPh>
    <rPh sb="2" eb="4">
      <t>カカク</t>
    </rPh>
    <phoneticPr fontId="60"/>
  </si>
  <si>
    <r>
      <t>PPM直接コスト</t>
    </r>
    <r>
      <rPr>
        <sz val="9"/>
        <color rgb="FFFF0000"/>
        <rFont val="ＭＳ Ｐゴシック"/>
        <family val="3"/>
        <charset val="128"/>
        <scheme val="minor"/>
      </rPr>
      <t>*</t>
    </r>
    <rPh sb="2" eb="4">
      <t>チョクセツ</t>
    </rPh>
    <phoneticPr fontId="56"/>
  </si>
  <si>
    <t>承認者確認用</t>
    <rPh sb="0" eb="3">
      <t>ショウニンシャ</t>
    </rPh>
    <rPh sb="3" eb="6">
      <t>カクニンヨウ</t>
    </rPh>
    <phoneticPr fontId="56"/>
  </si>
  <si>
    <t>数量pcs/月</t>
    <rPh sb="0" eb="2">
      <t>スウリョウ</t>
    </rPh>
    <rPh sb="6" eb="7">
      <t>ツキ</t>
    </rPh>
    <phoneticPr fontId="60"/>
  </si>
  <si>
    <t>コスト</t>
    <phoneticPr fontId="60"/>
  </si>
  <si>
    <t>貢献率</t>
    <rPh sb="0" eb="2">
      <t>コウケン</t>
    </rPh>
    <rPh sb="2" eb="3">
      <t>リツ</t>
    </rPh>
    <phoneticPr fontId="56"/>
  </si>
  <si>
    <t>値引き率</t>
    <rPh sb="0" eb="2">
      <t>ネビ</t>
    </rPh>
    <rPh sb="3" eb="4">
      <t>リツ</t>
    </rPh>
    <phoneticPr fontId="60"/>
  </si>
  <si>
    <t>代理店売価</t>
    <rPh sb="0" eb="3">
      <t>ダイリテン</t>
    </rPh>
    <rPh sb="3" eb="5">
      <t>バイカ</t>
    </rPh>
    <phoneticPr fontId="60"/>
  </si>
  <si>
    <t>代理店粗利率</t>
    <rPh sb="0" eb="3">
      <t>ダイリテン</t>
    </rPh>
    <rPh sb="3" eb="6">
      <t>アラリリツ</t>
    </rPh>
    <phoneticPr fontId="60"/>
  </si>
  <si>
    <t>ピン@</t>
    <phoneticPr fontId="60"/>
  </si>
  <si>
    <t>競合名</t>
    <rPh sb="0" eb="3">
      <t>キョウゴウメイ</t>
    </rPh>
    <phoneticPr fontId="60"/>
  </si>
  <si>
    <t>得意先要求</t>
    <rPh sb="0" eb="3">
      <t>トクイサキ</t>
    </rPh>
    <rPh sb="3" eb="5">
      <t>ヨウキュウ</t>
    </rPh>
    <phoneticPr fontId="60"/>
  </si>
  <si>
    <t>価格</t>
    <rPh sb="0" eb="1">
      <t>カカク</t>
    </rPh>
    <phoneticPr fontId="56"/>
  </si>
  <si>
    <r>
      <t>従来価格</t>
    </r>
    <r>
      <rPr>
        <sz val="9"/>
        <color rgb="FFFF0000"/>
        <rFont val="ＭＳ Ｐゴシック"/>
        <family val="3"/>
        <charset val="128"/>
        <scheme val="minor"/>
      </rPr>
      <t>*</t>
    </r>
    <rPh sb="0" eb="2">
      <t>ジュウライ</t>
    </rPh>
    <rPh sb="2" eb="4">
      <t>カカク</t>
    </rPh>
    <phoneticPr fontId="60"/>
  </si>
  <si>
    <t>1130511471</t>
    <phoneticPr fontId="56"/>
  </si>
  <si>
    <t>RP17-13RA-12SD(71)</t>
    <phoneticPr fontId="56"/>
  </si>
  <si>
    <t>R</t>
    <phoneticPr fontId="56"/>
  </si>
  <si>
    <t>PPM原計</t>
    <rPh sb="2" eb="4">
      <t>ゲンケイ</t>
    </rPh>
    <phoneticPr fontId="56"/>
  </si>
  <si>
    <t>1135042200</t>
    <phoneticPr fontId="56"/>
  </si>
  <si>
    <t>RP34-8R-3PDL</t>
    <phoneticPr fontId="56"/>
  </si>
  <si>
    <t>SMK</t>
    <phoneticPr fontId="56"/>
  </si>
  <si>
    <t>中国</t>
    <rPh sb="0" eb="1">
      <t>チュウゴク</t>
    </rPh>
    <phoneticPr fontId="56"/>
  </si>
  <si>
    <t>売上</t>
    <rPh sb="0" eb="2">
      <t>ウリアゲ</t>
    </rPh>
    <phoneticPr fontId="60"/>
  </si>
  <si>
    <t>貢献額</t>
    <rPh sb="0" eb="2">
      <t>コウケン</t>
    </rPh>
    <rPh sb="2" eb="3">
      <t>ガク</t>
    </rPh>
    <phoneticPr fontId="60"/>
  </si>
  <si>
    <t>値引き額</t>
    <rPh sb="0" eb="2">
      <t>ネビ</t>
    </rPh>
    <rPh sb="3" eb="4">
      <t>ガク</t>
    </rPh>
    <phoneticPr fontId="60"/>
  </si>
  <si>
    <t>値引き前売上</t>
    <rPh sb="0" eb="2">
      <t>ネビ</t>
    </rPh>
    <rPh sb="3" eb="4">
      <t>マエ</t>
    </rPh>
    <rPh sb="4" eb="6">
      <t>ウリアゲ</t>
    </rPh>
    <phoneticPr fontId="60"/>
  </si>
  <si>
    <t>売上</t>
    <rPh sb="0" eb="2">
      <t>ウリアゲ</t>
    </rPh>
    <phoneticPr fontId="56"/>
  </si>
  <si>
    <t>申請内容</t>
    <rPh sb="0" eb="2">
      <t>シンセイ</t>
    </rPh>
    <rPh sb="2" eb="4">
      <t>ナイヨウ</t>
    </rPh>
    <phoneticPr fontId="56"/>
  </si>
  <si>
    <t>起票区分</t>
    <rPh sb="0" eb="2">
      <t>キヒョウ</t>
    </rPh>
    <rPh sb="2" eb="4">
      <t>クブン</t>
    </rPh>
    <phoneticPr fontId="56"/>
  </si>
  <si>
    <r>
      <t>総原価</t>
    </r>
    <r>
      <rPr>
        <sz val="9"/>
        <color rgb="FFFF0000"/>
        <rFont val="ＭＳ Ｐゴシック"/>
        <family val="3"/>
        <charset val="128"/>
        <scheme val="minor"/>
      </rPr>
      <t>*</t>
    </r>
    <r>
      <rPr>
        <sz val="9"/>
        <rFont val="ＭＳ Ｐゴシック"/>
        <family val="3"/>
        <charset val="128"/>
        <scheme val="minor"/>
      </rPr>
      <t xml:space="preserve"> </t>
    </r>
    <rPh sb="0" eb="1">
      <t>ソウ</t>
    </rPh>
    <rPh sb="1" eb="3">
      <t>ゲンカ</t>
    </rPh>
    <phoneticPr fontId="60"/>
  </si>
  <si>
    <t>口銭率</t>
    <rPh sb="0" eb="2">
      <t>コウセン</t>
    </rPh>
    <rPh sb="2" eb="3">
      <t>リツ</t>
    </rPh>
    <phoneticPr fontId="56"/>
  </si>
  <si>
    <t>☑ 口銭申請有り</t>
    <rPh sb="2" eb="4">
      <t>コウセン</t>
    </rPh>
    <rPh sb="4" eb="6">
      <t>シンセイ</t>
    </rPh>
    <rPh sb="6" eb="7">
      <t>アリ</t>
    </rPh>
    <phoneticPr fontId="56"/>
  </si>
  <si>
    <t>プロジェクト情報</t>
    <rPh sb="6" eb="8">
      <t>ジョウホウ</t>
    </rPh>
    <phoneticPr fontId="56"/>
  </si>
  <si>
    <t>工事金額</t>
    <rPh sb="0" eb="4">
      <t>コウジキンガク</t>
    </rPh>
    <phoneticPr fontId="56"/>
  </si>
  <si>
    <t>万円/月</t>
    <rPh sb="0" eb="2">
      <t>マンエン</t>
    </rPh>
    <rPh sb="3" eb="4">
      <t>ツキ</t>
    </rPh>
    <phoneticPr fontId="56"/>
  </si>
  <si>
    <t>MFC PJ番号</t>
    <rPh sb="6" eb="8">
      <t>バンゴウ</t>
    </rPh>
    <phoneticPr fontId="56"/>
  </si>
  <si>
    <t>ヵ月</t>
    <rPh sb="1" eb="2">
      <t>ゲツ</t>
    </rPh>
    <phoneticPr fontId="56"/>
  </si>
  <si>
    <t>総工事金額</t>
    <rPh sb="0" eb="5">
      <t>ソウコウジキンガク</t>
    </rPh>
    <phoneticPr fontId="56"/>
  </si>
  <si>
    <t>万円</t>
    <rPh sb="0" eb="2">
      <t>マンエン</t>
    </rPh>
    <phoneticPr fontId="56"/>
  </si>
  <si>
    <t>MFC OPPORTUNITY番号</t>
    <rPh sb="15" eb="17">
      <t>バンゴウ</t>
    </rPh>
    <phoneticPr fontId="56"/>
  </si>
  <si>
    <t>機種A</t>
    <rPh sb="0" eb="2">
      <t>キシュ</t>
    </rPh>
    <phoneticPr fontId="56"/>
  </si>
  <si>
    <r>
      <rPr>
        <sz val="10"/>
        <rFont val="ＭＳ Ｐゴシック"/>
        <family val="3"/>
        <charset val="128"/>
        <scheme val="minor"/>
      </rPr>
      <t>大分類</t>
    </r>
    <r>
      <rPr>
        <sz val="10"/>
        <color rgb="FFFF0000"/>
        <rFont val="ＭＳ Ｐゴシック"/>
        <family val="3"/>
        <charset val="128"/>
        <scheme val="minor"/>
      </rPr>
      <t>*</t>
    </r>
    <rPh sb="0" eb="3">
      <t>ダイブンルイ</t>
    </rPh>
    <phoneticPr fontId="56"/>
  </si>
  <si>
    <t>競合名</t>
    <rPh sb="0" eb="3">
      <t>キョウゴウメイ</t>
    </rPh>
    <phoneticPr fontId="56"/>
  </si>
  <si>
    <r>
      <t>継続期間</t>
    </r>
    <r>
      <rPr>
        <sz val="10"/>
        <color rgb="FFFF0000"/>
        <rFont val="ＭＳ Ｐゴシック"/>
        <family val="3"/>
        <charset val="128"/>
        <scheme val="minor"/>
      </rPr>
      <t>*</t>
    </r>
    <rPh sb="0" eb="2">
      <t>ケイゾク</t>
    </rPh>
    <rPh sb="2" eb="4">
      <t>キカン</t>
    </rPh>
    <phoneticPr fontId="56"/>
  </si>
  <si>
    <r>
      <t>中分類</t>
    </r>
    <r>
      <rPr>
        <sz val="10"/>
        <color rgb="FFFF0000"/>
        <rFont val="ＭＳ Ｐゴシック"/>
        <family val="3"/>
        <charset val="128"/>
        <scheme val="minor"/>
      </rPr>
      <t>*</t>
    </r>
    <rPh sb="0" eb="3">
      <t>チュウブンルイ</t>
    </rPh>
    <phoneticPr fontId="56"/>
  </si>
  <si>
    <r>
      <t>機種</t>
    </r>
    <r>
      <rPr>
        <sz val="10"/>
        <color rgb="FFFF0000"/>
        <rFont val="ＭＳ Ｐゴシック"/>
        <family val="3"/>
        <charset val="128"/>
        <scheme val="minor"/>
      </rPr>
      <t>*</t>
    </r>
    <rPh sb="0" eb="2">
      <t>キシュ</t>
    </rPh>
    <phoneticPr fontId="56"/>
  </si>
  <si>
    <t>大分類A</t>
    <rPh sb="0" eb="3">
      <t>ダイブンルイ</t>
    </rPh>
    <phoneticPr fontId="56"/>
  </si>
  <si>
    <t>中分類B</t>
    <rPh sb="0" eb="3">
      <t>チュウブンルイ</t>
    </rPh>
    <phoneticPr fontId="56"/>
  </si>
  <si>
    <r>
      <t>申請理由</t>
    </r>
    <r>
      <rPr>
        <sz val="10"/>
        <color rgb="FFFF0000"/>
        <rFont val="ＭＳ Ｐゴシック"/>
        <family val="3"/>
        <charset val="128"/>
        <scheme val="minor"/>
      </rPr>
      <t>*</t>
    </r>
    <rPh sb="0" eb="2">
      <t>シンセイ</t>
    </rPh>
    <rPh sb="2" eb="4">
      <t>リユウ</t>
    </rPh>
    <phoneticPr fontId="56"/>
  </si>
  <si>
    <r>
      <t>量産時期</t>
    </r>
    <r>
      <rPr>
        <sz val="10"/>
        <color rgb="FFFF0000"/>
        <rFont val="ＭＳ Ｐゴシック"/>
        <family val="3"/>
        <charset val="128"/>
        <scheme val="minor"/>
      </rPr>
      <t>*</t>
    </r>
    <rPh sb="0" eb="2">
      <t>リョウサン</t>
    </rPh>
    <rPh sb="2" eb="4">
      <t>ジキ</t>
    </rPh>
    <phoneticPr fontId="56"/>
  </si>
  <si>
    <t>値引補填工事</t>
    <rPh sb="0" eb="2">
      <t>ネビ</t>
    </rPh>
    <rPh sb="2" eb="4">
      <t>ホテン</t>
    </rPh>
    <rPh sb="4" eb="6">
      <t>コウジ</t>
    </rPh>
    <phoneticPr fontId="56"/>
  </si>
  <si>
    <t>備考欄</t>
    <rPh sb="0" eb="3">
      <t>ビコウラン</t>
    </rPh>
    <phoneticPr fontId="56"/>
  </si>
  <si>
    <t>◎ 技術原計 ○ PPM原計 ○ コリア原計</t>
    <rPh sb="2" eb="4">
      <t>ギジュツ</t>
    </rPh>
    <rPh sb="4" eb="6">
      <t>ゲンケイ</t>
    </rPh>
    <rPh sb="12" eb="14">
      <t>ゲンケイ</t>
    </rPh>
    <rPh sb="20" eb="22">
      <t>ゲンケイ</t>
    </rPh>
    <phoneticPr fontId="56"/>
  </si>
  <si>
    <t>/月</t>
    <rPh sb="1" eb="2">
      <t>ゲツ</t>
    </rPh>
    <phoneticPr fontId="56"/>
  </si>
  <si>
    <t>平均生産予定数量</t>
    <rPh sb="0" eb="2">
      <t>ヘイキン</t>
    </rPh>
    <rPh sb="2" eb="4">
      <t>セイサン</t>
    </rPh>
    <rPh sb="4" eb="6">
      <t>ヨテイ</t>
    </rPh>
    <rPh sb="6" eb="8">
      <t>スウリョウ</t>
    </rPh>
    <phoneticPr fontId="56"/>
  </si>
  <si>
    <t>添付書類</t>
    <rPh sb="0" eb="2">
      <t>テンプ</t>
    </rPh>
    <rPh sb="2" eb="4">
      <t>ショルイ</t>
    </rPh>
    <phoneticPr fontId="56"/>
  </si>
  <si>
    <t>一般品</t>
    <rPh sb="0" eb="3">
      <t>イッパンヒン</t>
    </rPh>
    <phoneticPr fontId="56"/>
  </si>
  <si>
    <t>円販売</t>
    <rPh sb="0" eb="3">
      <t>エンハンバイ</t>
    </rPh>
    <phoneticPr fontId="56"/>
  </si>
  <si>
    <t>外貨販売</t>
    <rPh sb="0" eb="2">
      <t>ガイカ</t>
    </rPh>
    <rPh sb="2" eb="4">
      <t>ハンバイ</t>
    </rPh>
    <phoneticPr fontId="56"/>
  </si>
  <si>
    <t>1250103874</t>
    <phoneticPr fontId="56"/>
  </si>
  <si>
    <t>1250109471</t>
    <phoneticPr fontId="56"/>
  </si>
  <si>
    <t>HR25-9TP-16P(74)</t>
    <phoneticPr fontId="56"/>
  </si>
  <si>
    <t>HR25-9TR-16S(71)</t>
    <phoneticPr fontId="56"/>
  </si>
  <si>
    <t>○ 技術原計 ◎ PPM原計 ○ コリア原計</t>
    <rPh sb="2" eb="4">
      <t>ギジュツ</t>
    </rPh>
    <rPh sb="4" eb="6">
      <t>ゲンケイ</t>
    </rPh>
    <rPh sb="12" eb="14">
      <t>ゲンケイ</t>
    </rPh>
    <rPh sb="20" eb="22">
      <t>ゲンケイ</t>
    </rPh>
    <phoneticPr fontId="56"/>
  </si>
  <si>
    <t>サンウー</t>
    <phoneticPr fontId="56"/>
  </si>
  <si>
    <t>総原価利益率</t>
    <rPh sb="0" eb="3">
      <t>ソウゲンカ</t>
    </rPh>
    <rPh sb="3" eb="6">
      <t>リエキリツ</t>
    </rPh>
    <phoneticPr fontId="56"/>
  </si>
  <si>
    <t>総原価利益額</t>
    <rPh sb="0" eb="3">
      <t>ソウゲンカ</t>
    </rPh>
    <rPh sb="3" eb="5">
      <t>リエキ</t>
    </rPh>
    <rPh sb="5" eb="6">
      <t>ガク</t>
    </rPh>
    <phoneticPr fontId="60"/>
  </si>
  <si>
    <t>総原価利益率</t>
    <rPh sb="0" eb="3">
      <t>ソウゲンカ</t>
    </rPh>
    <rPh sb="3" eb="5">
      <t>リエキ</t>
    </rPh>
    <rPh sb="5" eb="6">
      <t>リツ</t>
    </rPh>
    <phoneticPr fontId="56"/>
  </si>
  <si>
    <t>技術原計</t>
    <rPh sb="0" eb="2">
      <t>ギジュツ</t>
    </rPh>
    <rPh sb="2" eb="4">
      <t>ゲンケイ</t>
    </rPh>
    <phoneticPr fontId="56"/>
  </si>
  <si>
    <t>総原価合計</t>
    <rPh sb="0" eb="3">
      <t>ソウゲンカ</t>
    </rPh>
    <rPh sb="3" eb="5">
      <t>ゴウケイ</t>
    </rPh>
    <phoneticPr fontId="60"/>
  </si>
  <si>
    <t>○ 技術原計 ○ PPM原計 ◎ コリア原計</t>
    <rPh sb="2" eb="4">
      <t>ギジュツ</t>
    </rPh>
    <rPh sb="4" eb="6">
      <t>ゲンケイ</t>
    </rPh>
    <rPh sb="12" eb="14">
      <t>ゲンケイ</t>
    </rPh>
    <rPh sb="20" eb="22">
      <t>ゲンケイ</t>
    </rPh>
    <phoneticPr fontId="56"/>
  </si>
  <si>
    <t>コリア術原計</t>
    <rPh sb="2" eb="3">
      <t>ジュツ</t>
    </rPh>
    <rPh sb="3" eb="5">
      <t>ゲンケイ</t>
    </rPh>
    <phoneticPr fontId="56"/>
  </si>
  <si>
    <t>USD</t>
    <phoneticPr fontId="56"/>
  </si>
  <si>
    <t>コリア原計</t>
    <rPh sb="2" eb="4">
      <t>ゲンケイ</t>
    </rPh>
    <phoneticPr fontId="56"/>
  </si>
  <si>
    <t>純原価</t>
    <rPh sb="0" eb="1">
      <t>ジュン</t>
    </rPh>
    <rPh sb="1" eb="3">
      <t>ゲンカ</t>
    </rPh>
    <phoneticPr fontId="60"/>
  </si>
  <si>
    <t>申請通貨</t>
    <rPh sb="0" eb="2">
      <t>シンセイ</t>
    </rPh>
    <rPh sb="2" eb="4">
      <t>ツウカ</t>
    </rPh>
    <phoneticPr fontId="60"/>
  </si>
  <si>
    <r>
      <t>従来FOB価格</t>
    </r>
    <r>
      <rPr>
        <sz val="9"/>
        <color rgb="FFFF0000"/>
        <rFont val="ＭＳ Ｐゴシック"/>
        <family val="3"/>
        <charset val="128"/>
        <scheme val="minor"/>
      </rPr>
      <t>*</t>
    </r>
    <rPh sb="0" eb="2">
      <t>ジュウライ</t>
    </rPh>
    <rPh sb="5" eb="7">
      <t>カカク</t>
    </rPh>
    <phoneticPr fontId="60"/>
  </si>
  <si>
    <t>物流コスト率%</t>
    <rPh sb="0" eb="2">
      <t>ブツリュウ</t>
    </rPh>
    <rPh sb="5" eb="6">
      <t>リツ</t>
    </rPh>
    <phoneticPr fontId="60"/>
  </si>
  <si>
    <t>販社売価</t>
    <rPh sb="0" eb="2">
      <t>ハンシャ</t>
    </rPh>
    <rPh sb="2" eb="4">
      <t>バイカ</t>
    </rPh>
    <phoneticPr fontId="56"/>
  </si>
  <si>
    <t>(外貨)</t>
    <rPh sb="0" eb="2">
      <t>ガイカ</t>
    </rPh>
    <phoneticPr fontId="56"/>
  </si>
  <si>
    <t>ピン@FOB</t>
    <phoneticPr fontId="60"/>
  </si>
  <si>
    <t>価格基準</t>
    <rPh sb="0" eb="1">
      <t>カカク</t>
    </rPh>
    <rPh sb="2" eb="4">
      <t>キジュン</t>
    </rPh>
    <phoneticPr fontId="56"/>
  </si>
  <si>
    <t>4800215830</t>
    <phoneticPr fontId="56"/>
  </si>
  <si>
    <t>TF38-20S-0.5SV(830)</t>
    <phoneticPr fontId="56"/>
  </si>
  <si>
    <t>KFH</t>
    <phoneticPr fontId="56"/>
  </si>
  <si>
    <t>総連結利益率</t>
    <rPh sb="0" eb="3">
      <t>ソウレンケツ</t>
    </rPh>
    <rPh sb="3" eb="6">
      <t>リエキリツ</t>
    </rPh>
    <phoneticPr fontId="56"/>
  </si>
  <si>
    <t>FOB価格</t>
    <rPh sb="3" eb="5">
      <t>カカク</t>
    </rPh>
    <phoneticPr fontId="60"/>
  </si>
  <si>
    <t>連結粗利額</t>
    <rPh sb="0" eb="1">
      <t>レンケツ</t>
    </rPh>
    <rPh sb="1" eb="3">
      <t>アラリ</t>
    </rPh>
    <rPh sb="3" eb="4">
      <t>ガク</t>
    </rPh>
    <phoneticPr fontId="56"/>
  </si>
  <si>
    <t>連結粗利率</t>
    <rPh sb="0" eb="1">
      <t>レンケツ</t>
    </rPh>
    <rPh sb="1" eb="3">
      <t>アラリ</t>
    </rPh>
    <rPh sb="3" eb="4">
      <t>リツ</t>
    </rPh>
    <phoneticPr fontId="56"/>
  </si>
  <si>
    <t>Step １： 起票区分を選択してください</t>
    <rPh sb="8" eb="10">
      <t>キヒョウ</t>
    </rPh>
    <rPh sb="10" eb="12">
      <t>クブン</t>
    </rPh>
    <rPh sb="13" eb="15">
      <t>センタク</t>
    </rPh>
    <phoneticPr fontId="56"/>
  </si>
  <si>
    <t>販売単価上申書</t>
    <rPh sb="0" eb="2">
      <t>ハンバイ</t>
    </rPh>
    <rPh sb="2" eb="4">
      <t>タンカ</t>
    </rPh>
    <rPh sb="4" eb="7">
      <t>ジョウシンショ</t>
    </rPh>
    <phoneticPr fontId="56"/>
  </si>
  <si>
    <t>Step ２： 一般品またはカスタムのいずれかを選択してください</t>
    <rPh sb="8" eb="11">
      <t>イッパンヒン</t>
    </rPh>
    <rPh sb="24" eb="26">
      <t>センタク</t>
    </rPh>
    <phoneticPr fontId="56"/>
  </si>
  <si>
    <t>カスタム</t>
    <phoneticPr fontId="56"/>
  </si>
  <si>
    <t>Step ３： 円販売または外貨販売のいずれかを選択してください</t>
    <rPh sb="8" eb="11">
      <t>エンハンバイ</t>
    </rPh>
    <rPh sb="14" eb="16">
      <t>ガイカ</t>
    </rPh>
    <rPh sb="16" eb="18">
      <t>ハンバイ</t>
    </rPh>
    <rPh sb="24" eb="26">
      <t>センタク</t>
    </rPh>
    <phoneticPr fontId="56"/>
  </si>
  <si>
    <t>◎ 単価上申書</t>
    <rPh sb="2" eb="4">
      <t>タンカ</t>
    </rPh>
    <rPh sb="4" eb="6">
      <t>ジョウシン</t>
    </rPh>
    <rPh sb="6" eb="7">
      <t>ショ</t>
    </rPh>
    <phoneticPr fontId="56"/>
  </si>
  <si>
    <t>値引きしなければならない理由を記載してください</t>
    <rPh sb="0" eb="2">
      <t>ネビ</t>
    </rPh>
    <rPh sb="12" eb="14">
      <t>リユウ</t>
    </rPh>
    <rPh sb="15" eb="17">
      <t>キサイ</t>
    </rPh>
    <phoneticPr fontId="56"/>
  </si>
  <si>
    <t>カスタム品申請情報</t>
    <rPh sb="4" eb="5">
      <t>ヒン</t>
    </rPh>
    <rPh sb="5" eb="7">
      <t>シンセイ</t>
    </rPh>
    <rPh sb="7" eb="9">
      <t>ジョウホウ</t>
    </rPh>
    <phoneticPr fontId="56"/>
  </si>
  <si>
    <r>
      <t>償却期間</t>
    </r>
    <r>
      <rPr>
        <sz val="10"/>
        <color rgb="FFFF0000"/>
        <rFont val="ＭＳ Ｐゴシック"/>
        <family val="3"/>
        <charset val="128"/>
        <scheme val="minor"/>
      </rPr>
      <t>*</t>
    </r>
    <rPh sb="0" eb="2">
      <t>ショウキャク</t>
    </rPh>
    <rPh sb="2" eb="4">
      <t>キカン</t>
    </rPh>
    <phoneticPr fontId="56"/>
  </si>
  <si>
    <t>金型</t>
    <rPh sb="0" eb="2">
      <t>カナガタ</t>
    </rPh>
    <phoneticPr fontId="56"/>
  </si>
  <si>
    <t>有償or無償</t>
    <rPh sb="0" eb="2">
      <t>ユウショウ</t>
    </rPh>
    <rPh sb="4" eb="6">
      <t>ムショウ</t>
    </rPh>
    <phoneticPr fontId="60"/>
  </si>
  <si>
    <t>個品名称</t>
    <rPh sb="0" eb="1">
      <t>コヒン</t>
    </rPh>
    <rPh sb="1" eb="3">
      <t>メイショウ</t>
    </rPh>
    <phoneticPr fontId="56"/>
  </si>
  <si>
    <t>個品実費価格</t>
    <rPh sb="0" eb="2">
      <t>コヒン</t>
    </rPh>
    <rPh sb="2" eb="4">
      <t>ジッピ</t>
    </rPh>
    <rPh sb="4" eb="6">
      <t>カカク</t>
    </rPh>
    <phoneticPr fontId="60"/>
  </si>
  <si>
    <t>個品販売価格</t>
    <rPh sb="0" eb="2">
      <t>コヒン</t>
    </rPh>
    <rPh sb="2" eb="4">
      <t>ハンバイ</t>
    </rPh>
    <rPh sb="4" eb="6">
      <t>カカク</t>
    </rPh>
    <phoneticPr fontId="60"/>
  </si>
  <si>
    <t>倍率</t>
    <rPh sb="0" eb="2">
      <t>バイリツ</t>
    </rPh>
    <phoneticPr fontId="60"/>
  </si>
  <si>
    <t>有償</t>
    <rPh sb="0" eb="1">
      <t>ユウショウ</t>
    </rPh>
    <phoneticPr fontId="56"/>
  </si>
  <si>
    <t>治工具</t>
    <rPh sb="0" eb="3">
      <t>チコウグ</t>
    </rPh>
    <phoneticPr fontId="56"/>
  </si>
  <si>
    <r>
      <t>有償or無償</t>
    </r>
    <r>
      <rPr>
        <sz val="10"/>
        <color rgb="FFFF0000"/>
        <rFont val="ＭＳ Ｐゴシック"/>
        <family val="3"/>
        <charset val="128"/>
        <scheme val="minor"/>
      </rPr>
      <t>*</t>
    </r>
    <rPh sb="0" eb="2">
      <t>ユウショウ</t>
    </rPh>
    <rPh sb="4" eb="6">
      <t>ムショウ</t>
    </rPh>
    <phoneticPr fontId="60"/>
  </si>
  <si>
    <r>
      <t>個品名称</t>
    </r>
    <r>
      <rPr>
        <sz val="10"/>
        <color rgb="FFFF0000"/>
        <rFont val="ＭＳ Ｐゴシック"/>
        <family val="3"/>
        <charset val="128"/>
        <scheme val="minor"/>
      </rPr>
      <t>*</t>
    </r>
    <rPh sb="0" eb="1">
      <t>コヒン</t>
    </rPh>
    <rPh sb="1" eb="3">
      <t>メイショウ</t>
    </rPh>
    <phoneticPr fontId="56"/>
  </si>
  <si>
    <r>
      <t>個品実費価格</t>
    </r>
    <r>
      <rPr>
        <sz val="10"/>
        <color rgb="FFFF0000"/>
        <rFont val="ＭＳ Ｐゴシック"/>
        <family val="3"/>
        <charset val="128"/>
        <scheme val="minor"/>
      </rPr>
      <t>*</t>
    </r>
    <rPh sb="0" eb="2">
      <t>コヒン</t>
    </rPh>
    <rPh sb="2" eb="4">
      <t>ジッピ</t>
    </rPh>
    <rPh sb="4" eb="6">
      <t>カカク</t>
    </rPh>
    <phoneticPr fontId="60"/>
  </si>
  <si>
    <r>
      <t>個品販売価格</t>
    </r>
    <r>
      <rPr>
        <sz val="10"/>
        <color rgb="FFFF0000"/>
        <rFont val="ＭＳ Ｐゴシック"/>
        <family val="3"/>
        <charset val="128"/>
        <scheme val="minor"/>
      </rPr>
      <t>*</t>
    </r>
    <rPh sb="0" eb="2">
      <t>コヒン</t>
    </rPh>
    <rPh sb="2" eb="4">
      <t>ハンバイ</t>
    </rPh>
    <rPh sb="4" eb="6">
      <t>カカク</t>
    </rPh>
    <phoneticPr fontId="60"/>
  </si>
  <si>
    <t>治工具名称</t>
    <phoneticPr fontId="56"/>
  </si>
  <si>
    <t>治工具実費価格</t>
    <rPh sb="3" eb="5">
      <t>ジッピ</t>
    </rPh>
    <rPh sb="5" eb="7">
      <t>カカク</t>
    </rPh>
    <phoneticPr fontId="60"/>
  </si>
  <si>
    <t>治工具販売価格</t>
    <rPh sb="3" eb="5">
      <t>ハンバイ</t>
    </rPh>
    <rPh sb="5" eb="7">
      <t>カカク</t>
    </rPh>
    <phoneticPr fontId="60"/>
  </si>
  <si>
    <r>
      <t>治工具名称</t>
    </r>
    <r>
      <rPr>
        <sz val="10"/>
        <color rgb="FFFF0000"/>
        <rFont val="ＭＳ Ｐゴシック"/>
        <family val="3"/>
        <charset val="128"/>
        <scheme val="minor"/>
      </rPr>
      <t>*</t>
    </r>
    <phoneticPr fontId="56"/>
  </si>
  <si>
    <r>
      <t>治工具実費価格</t>
    </r>
    <r>
      <rPr>
        <sz val="10"/>
        <color rgb="FFFF0000"/>
        <rFont val="ＭＳ Ｐゴシック"/>
        <family val="3"/>
        <charset val="128"/>
        <scheme val="minor"/>
      </rPr>
      <t>*</t>
    </r>
    <rPh sb="3" eb="5">
      <t>ジッピ</t>
    </rPh>
    <rPh sb="5" eb="7">
      <t>カカク</t>
    </rPh>
    <phoneticPr fontId="60"/>
  </si>
  <si>
    <r>
      <t>治工具販売価格</t>
    </r>
    <r>
      <rPr>
        <sz val="10"/>
        <color rgb="FFFF0000"/>
        <rFont val="ＭＳ Ｐゴシック"/>
        <family val="3"/>
        <charset val="128"/>
        <scheme val="minor"/>
      </rPr>
      <t>*</t>
    </r>
    <rPh sb="3" eb="5">
      <t>ハンバイ</t>
    </rPh>
    <rPh sb="5" eb="7">
      <t>カカク</t>
    </rPh>
    <phoneticPr fontId="60"/>
  </si>
  <si>
    <t>個品A</t>
    <rPh sb="0" eb="1">
      <t>コヒン</t>
    </rPh>
    <phoneticPr fontId="56"/>
  </si>
  <si>
    <t>償却数量</t>
    <rPh sb="0" eb="2">
      <t>ショウキャク</t>
    </rPh>
    <rPh sb="2" eb="4">
      <t>スウリョウ</t>
    </rPh>
    <phoneticPr fontId="56"/>
  </si>
  <si>
    <t>一個当たりの償却金額</t>
    <rPh sb="0" eb="3">
      <t>イッコア</t>
    </rPh>
    <rPh sb="6" eb="8">
      <t>ショウキャク</t>
    </rPh>
    <rPh sb="8" eb="10">
      <t>キンガク</t>
    </rPh>
    <phoneticPr fontId="56"/>
  </si>
  <si>
    <t>未償却リスク</t>
    <rPh sb="0" eb="1">
      <t>ミ</t>
    </rPh>
    <rPh sb="1" eb="3">
      <t>ショウキャク</t>
    </rPh>
    <phoneticPr fontId="56"/>
  </si>
  <si>
    <t>※ 得意先一括負担の場合は記載不要</t>
    <rPh sb="2" eb="5">
      <t>トクイサキ</t>
    </rPh>
    <rPh sb="5" eb="7">
      <t>イッカツ</t>
    </rPh>
    <rPh sb="7" eb="9">
      <t>フタン</t>
    </rPh>
    <rPh sb="10" eb="12">
      <t>バアイ</t>
    </rPh>
    <rPh sb="13" eb="15">
      <t>キサイ</t>
    </rPh>
    <rPh sb="15" eb="17">
      <t>フヨウ</t>
    </rPh>
    <phoneticPr fontId="56"/>
  </si>
  <si>
    <t>物流コスト率</t>
    <rPh sb="0" eb="2">
      <t>ブツリュウ</t>
    </rPh>
    <rPh sb="5" eb="6">
      <t>リツ</t>
    </rPh>
    <phoneticPr fontId="60"/>
  </si>
  <si>
    <t>(%)</t>
    <phoneticPr fontId="56"/>
  </si>
  <si>
    <t>販社売価</t>
    <rPh sb="0" eb="2">
      <t>ハンシャ</t>
    </rPh>
    <rPh sb="2" eb="4">
      <t>バイカ</t>
    </rPh>
    <phoneticPr fontId="60"/>
  </si>
  <si>
    <t>要求価格</t>
    <rPh sb="0" eb="1">
      <t>ヨウキュウ</t>
    </rPh>
    <rPh sb="1" eb="3">
      <t>カカク</t>
    </rPh>
    <phoneticPr fontId="56"/>
  </si>
  <si>
    <t>価格基準</t>
    <rPh sb="0" eb="1">
      <t>カカク</t>
    </rPh>
    <rPh sb="1" eb="3">
      <t>キジュン</t>
    </rPh>
    <phoneticPr fontId="56"/>
  </si>
  <si>
    <t>5802922450</t>
    <phoneticPr fontId="56"/>
  </si>
  <si>
    <t>5801232050</t>
    <phoneticPr fontId="56"/>
  </si>
  <si>
    <t>FH35C-21S-0.3SHW(50)</t>
    <phoneticPr fontId="56"/>
  </si>
  <si>
    <t>FH34SRJ-30S-0.5SH(50)</t>
    <phoneticPr fontId="56"/>
  </si>
  <si>
    <t>FH</t>
    <phoneticPr fontId="56"/>
  </si>
  <si>
    <t>JPY</t>
    <phoneticPr fontId="56"/>
  </si>
  <si>
    <t>JAE</t>
    <phoneticPr fontId="56"/>
  </si>
  <si>
    <t>TE</t>
    <phoneticPr fontId="56"/>
  </si>
  <si>
    <t>従来FOB価格</t>
    <rPh sb="0" eb="2">
      <t>ジュウライ</t>
    </rPh>
    <rPh sb="5" eb="7">
      <t>カカク</t>
    </rPh>
    <phoneticPr fontId="60"/>
  </si>
  <si>
    <t>CIF価格</t>
    <rPh sb="3" eb="5">
      <t>カカク</t>
    </rPh>
    <phoneticPr fontId="60"/>
  </si>
  <si>
    <t>国内収益性</t>
    <rPh sb="0" eb="2">
      <t>コクナイ</t>
    </rPh>
    <rPh sb="2" eb="5">
      <t>シュウエキセイ</t>
    </rPh>
    <phoneticPr fontId="56"/>
  </si>
  <si>
    <t>FOB値引き率</t>
    <rPh sb="3" eb="5">
      <t>ネビ</t>
    </rPh>
    <rPh sb="6" eb="7">
      <t>リツ</t>
    </rPh>
    <phoneticPr fontId="60"/>
  </si>
  <si>
    <t>販社粗利率</t>
    <rPh sb="0" eb="2">
      <t>ハンシャ</t>
    </rPh>
    <rPh sb="2" eb="5">
      <t>アラリリツ</t>
    </rPh>
    <phoneticPr fontId="60"/>
  </si>
  <si>
    <t>連結収益性</t>
    <rPh sb="0" eb="2">
      <t>レンケツ</t>
    </rPh>
    <rPh sb="2" eb="5">
      <t>シュウエキセイ</t>
    </rPh>
    <phoneticPr fontId="60"/>
  </si>
  <si>
    <t>売上(国内)</t>
    <rPh sb="0" eb="2">
      <t>ウリアゲ</t>
    </rPh>
    <rPh sb="3" eb="5">
      <t>コクナイ</t>
    </rPh>
    <phoneticPr fontId="56"/>
  </si>
  <si>
    <t>直接コスト合計</t>
    <rPh sb="0" eb="2">
      <t>チョクセツ</t>
    </rPh>
    <rPh sb="5" eb="7">
      <t>ゴウケイ</t>
    </rPh>
    <phoneticPr fontId="60"/>
  </si>
  <si>
    <t>貢献額</t>
    <rPh sb="0" eb="3">
      <t>コウケンガク</t>
    </rPh>
    <phoneticPr fontId="60"/>
  </si>
  <si>
    <t>国内収益性</t>
    <rPh sb="0" eb="2">
      <t>コクナイ</t>
    </rPh>
    <rPh sb="2" eb="5">
      <t>シュウエキセイ</t>
    </rPh>
    <phoneticPr fontId="60"/>
  </si>
  <si>
    <t>値引き率(FOB)</t>
    <rPh sb="0" eb="2">
      <t>ネビ</t>
    </rPh>
    <rPh sb="3" eb="4">
      <t>リツ</t>
    </rPh>
    <phoneticPr fontId="56"/>
  </si>
  <si>
    <t>値引き額(FOB)</t>
    <rPh sb="0" eb="2">
      <t>ネビ</t>
    </rPh>
    <rPh sb="3" eb="4">
      <t>ガク</t>
    </rPh>
    <phoneticPr fontId="56"/>
  </si>
  <si>
    <t>売上(連結)</t>
    <rPh sb="0" eb="1">
      <t>ウリアゲ</t>
    </rPh>
    <rPh sb="2" eb="4">
      <t>レンケツ</t>
    </rPh>
    <phoneticPr fontId="56"/>
  </si>
  <si>
    <t>連結収益性</t>
    <rPh sb="0" eb="1">
      <t>レンケツ</t>
    </rPh>
    <rPh sb="1" eb="4">
      <t>シュウエキセイ</t>
    </rPh>
    <phoneticPr fontId="56"/>
  </si>
  <si>
    <t>総原価</t>
    <rPh sb="0" eb="3">
      <t>ソウゲンカ</t>
    </rPh>
    <phoneticPr fontId="60"/>
  </si>
  <si>
    <t>8311308000</t>
    <phoneticPr fontId="56"/>
  </si>
  <si>
    <t>8311309000</t>
    <phoneticPr fontId="56"/>
  </si>
  <si>
    <t>BF4MC-(375161-01)</t>
    <phoneticPr fontId="56"/>
  </si>
  <si>
    <t>BF4MC-(375168-01)</t>
    <phoneticPr fontId="56"/>
  </si>
  <si>
    <t>OPT</t>
    <phoneticPr fontId="56"/>
  </si>
  <si>
    <t>総原価利益率</t>
    <rPh sb="0" eb="3">
      <t>ソウゲンカ</t>
    </rPh>
    <rPh sb="3" eb="6">
      <t>リエキリツ</t>
    </rPh>
    <phoneticPr fontId="60"/>
  </si>
  <si>
    <t>(国内)</t>
    <phoneticPr fontId="56"/>
  </si>
  <si>
    <t>(粗利)</t>
    <rPh sb="0" eb="2">
      <t>アラリ</t>
    </rPh>
    <phoneticPr fontId="56"/>
  </si>
  <si>
    <t>(国内)</t>
    <rPh sb="1" eb="3">
      <t>コクナイ</t>
    </rPh>
    <phoneticPr fontId="56"/>
  </si>
  <si>
    <t>純原価合計</t>
    <rPh sb="0" eb="1">
      <t>ジュン</t>
    </rPh>
    <rPh sb="1" eb="3">
      <t>ゲンカ</t>
    </rPh>
    <rPh sb="3" eb="5">
      <t>ゴウケイ</t>
    </rPh>
    <phoneticPr fontId="60"/>
  </si>
  <si>
    <t>連結粗利額</t>
    <rPh sb="0" eb="2">
      <t>レンケツ</t>
    </rPh>
    <rPh sb="2" eb="5">
      <t>アラリガク</t>
    </rPh>
    <phoneticPr fontId="60"/>
  </si>
  <si>
    <t>連結粗利率</t>
    <rPh sb="0" eb="2">
      <t>レンケツ</t>
    </rPh>
    <rPh sb="2" eb="5">
      <t>アラリリツ</t>
    </rPh>
    <phoneticPr fontId="60"/>
  </si>
  <si>
    <t>値引き率</t>
    <rPh sb="0" eb="2">
      <t>ネビ</t>
    </rPh>
    <rPh sb="3" eb="4">
      <t>リツ</t>
    </rPh>
    <phoneticPr fontId="56"/>
  </si>
  <si>
    <t>値引き額</t>
    <rPh sb="0" eb="2">
      <t>ネビ</t>
    </rPh>
    <rPh sb="3" eb="4">
      <t>ガク</t>
    </rPh>
    <phoneticPr fontId="56"/>
  </si>
  <si>
    <t>売上(連結)</t>
    <rPh sb="0" eb="2">
      <t>ウリアゲ</t>
    </rPh>
    <rPh sb="3" eb="5">
      <t>レンケツ</t>
    </rPh>
    <phoneticPr fontId="56"/>
  </si>
  <si>
    <r>
      <t>承認者</t>
    </r>
    <r>
      <rPr>
        <sz val="10"/>
        <color rgb="FFFF0000"/>
        <rFont val="ＭＳ Ｐゴシック"/>
        <family val="3"/>
        <charset val="128"/>
        <scheme val="minor"/>
      </rPr>
      <t>*</t>
    </r>
    <rPh sb="0" eb="3">
      <t>ショウニンシャ</t>
    </rPh>
    <phoneticPr fontId="56"/>
  </si>
  <si>
    <t>10347008</t>
    <phoneticPr fontId="56"/>
  </si>
  <si>
    <t>関　博一</t>
    <phoneticPr fontId="56"/>
  </si>
  <si>
    <r>
      <rPr>
        <b/>
        <sz val="10"/>
        <color rgb="FF00B050"/>
        <rFont val="ＭＳ Ｐゴシック"/>
        <family val="3"/>
        <charset val="128"/>
        <scheme val="minor"/>
      </rPr>
      <t>＋</t>
    </r>
    <r>
      <rPr>
        <sz val="10"/>
        <color theme="1"/>
        <rFont val="ＭＳ Ｐゴシック"/>
        <family val="3"/>
        <charset val="128"/>
        <scheme val="minor"/>
      </rPr>
      <t xml:space="preserve"> 承認者の追加</t>
    </r>
    <phoneticPr fontId="56"/>
  </si>
  <si>
    <r>
      <rPr>
        <b/>
        <sz val="10"/>
        <color rgb="FF00B050"/>
        <rFont val="ＭＳ Ｐゴシック"/>
        <family val="3"/>
        <charset val="128"/>
        <scheme val="minor"/>
      </rPr>
      <t xml:space="preserve">＋ </t>
    </r>
    <r>
      <rPr>
        <sz val="10"/>
        <color theme="0"/>
        <rFont val="ＭＳ Ｐゴシック"/>
        <family val="3"/>
        <charset val="128"/>
        <scheme val="minor"/>
      </rPr>
      <t>追加</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挿入</t>
    </r>
    <r>
      <rPr>
        <sz val="10"/>
        <color theme="1"/>
        <rFont val="ＭＳ Ｐゴシック"/>
        <family val="3"/>
        <charset val="128"/>
        <scheme val="minor"/>
      </rPr>
      <t xml:space="preserve"> </t>
    </r>
    <r>
      <rPr>
        <b/>
        <sz val="10"/>
        <color rgb="FFFF000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削除</t>
    </r>
    <r>
      <rPr>
        <sz val="10"/>
        <color theme="1"/>
        <rFont val="ＭＳ Ｐゴシック"/>
        <family val="3"/>
        <charset val="128"/>
        <scheme val="minor"/>
      </rPr>
      <t xml:space="preserve">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 xml:space="preserve">上へ </t>
    </r>
    <r>
      <rPr>
        <b/>
        <sz val="10"/>
        <color rgb="FF00B0F0"/>
        <rFont val="ＭＳ Ｐゴシック"/>
        <family val="3"/>
        <charset val="128"/>
        <scheme val="minor"/>
      </rPr>
      <t>↓</t>
    </r>
    <r>
      <rPr>
        <sz val="10"/>
        <color theme="1"/>
        <rFont val="ＭＳ Ｐゴシック"/>
        <family val="3"/>
        <charset val="128"/>
        <scheme val="minor"/>
      </rPr>
      <t xml:space="preserve"> </t>
    </r>
    <r>
      <rPr>
        <sz val="10"/>
        <color theme="0"/>
        <rFont val="ＭＳ Ｐゴシック"/>
        <family val="3"/>
        <charset val="128"/>
        <scheme val="minor"/>
      </rPr>
      <t>下へ</t>
    </r>
    <rPh sb="7" eb="9">
      <t>ソウニュウ</t>
    </rPh>
    <phoneticPr fontId="56"/>
  </si>
  <si>
    <t>10637000</t>
    <phoneticPr fontId="56"/>
  </si>
  <si>
    <t>古川　福待</t>
    <phoneticPr fontId="56"/>
  </si>
  <si>
    <t>承認者設定</t>
    <rPh sb="0" eb="3">
      <t>ショウニンシャ</t>
    </rPh>
    <rPh sb="3" eb="5">
      <t>セッテイ</t>
    </rPh>
    <phoneticPr fontId="56"/>
  </si>
  <si>
    <t>承認ルートは必要に応じて、「承認者の追加」をクリックして入力欄を増やしてください。 設定した承認ルートは、設定した承認者の上から順に回送されます。 最終承認者は、一番下に設定してください。</t>
    <phoneticPr fontId="56"/>
  </si>
  <si>
    <t>確認者設定</t>
    <rPh sb="0" eb="3">
      <t>カクニンシャ</t>
    </rPh>
    <rPh sb="3" eb="5">
      <t>セッテイ</t>
    </rPh>
    <phoneticPr fontId="56"/>
  </si>
  <si>
    <t>確認者一覧</t>
    <rPh sb="0" eb="3">
      <t>カクニンシャ</t>
    </rPh>
    <rPh sb="3" eb="5">
      <t>イチラン</t>
    </rPh>
    <phoneticPr fontId="56"/>
  </si>
  <si>
    <t>部門</t>
    <rPh sb="0" eb="2">
      <t>ブモン</t>
    </rPh>
    <phoneticPr fontId="56"/>
  </si>
  <si>
    <t>確認者名</t>
    <rPh sb="0" eb="4">
      <t>カクニンシャメイ</t>
    </rPh>
    <phoneticPr fontId="56"/>
  </si>
  <si>
    <t>ヒロセ電機株式会社/管理本部/ＩＴ統括部</t>
    <phoneticPr fontId="56"/>
  </si>
  <si>
    <t>部長</t>
    <rPh sb="0" eb="2">
      <t>ブチョウ</t>
    </rPh>
    <phoneticPr fontId="56"/>
  </si>
  <si>
    <t>志村 亜里沙</t>
    <rPh sb="0" eb="1">
      <t>シムラ</t>
    </rPh>
    <rPh sb="2" eb="5">
      <t>アリサ</t>
    </rPh>
    <phoneticPr fontId="56"/>
  </si>
  <si>
    <t>出水 瞳</t>
    <rPh sb="0" eb="1">
      <t>デミズ</t>
    </rPh>
    <rPh sb="2" eb="3">
      <t>ヒトミ</t>
    </rPh>
    <phoneticPr fontId="56"/>
  </si>
  <si>
    <t>松澤 朱海</t>
    <rPh sb="0" eb="1">
      <t>マツザワ</t>
    </rPh>
    <rPh sb="2" eb="3">
      <t>シュ</t>
    </rPh>
    <rPh sb="3" eb="4">
      <t>ウミ</t>
    </rPh>
    <phoneticPr fontId="56"/>
  </si>
  <si>
    <t>ｒ1.0</t>
    <phoneticPr fontId="50"/>
  </si>
  <si>
    <t>コスト合計</t>
    <rPh sb="3" eb="5">
      <t>ゴウケイ</t>
    </rPh>
    <phoneticPr fontId="60"/>
  </si>
  <si>
    <t>形</t>
    <rPh sb="0" eb="1">
      <t>カタ</t>
    </rPh>
    <phoneticPr fontId="60"/>
  </si>
  <si>
    <t>無償</t>
    <rPh sb="0" eb="1">
      <t>ムショウ</t>
    </rPh>
    <phoneticPr fontId="56"/>
  </si>
  <si>
    <t>通貨</t>
    <rPh sb="0" eb="2">
      <t>ツウカ</t>
    </rPh>
    <phoneticPr fontId="60"/>
  </si>
  <si>
    <t>EUR</t>
    <phoneticPr fontId="56"/>
  </si>
  <si>
    <t>精算通貨</t>
    <rPh sb="0" eb="2">
      <t>セイサン</t>
    </rPh>
    <rPh sb="2" eb="4">
      <t>ツウカ</t>
    </rPh>
    <phoneticPr fontId="56"/>
  </si>
  <si>
    <t>SFDC工事番号</t>
    <rPh sb="4" eb="6">
      <t>コウジ</t>
    </rPh>
    <rPh sb="6" eb="8">
      <t>バンゴウ</t>
    </rPh>
    <phoneticPr fontId="56"/>
  </si>
  <si>
    <t>円/月</t>
    <rPh sb="0" eb="1">
      <t>エン</t>
    </rPh>
    <rPh sb="2" eb="3">
      <t>ツキ</t>
    </rPh>
    <phoneticPr fontId="56"/>
  </si>
  <si>
    <t>海外販社</t>
    <rPh sb="0" eb="2">
      <t>カイガイ</t>
    </rPh>
    <rPh sb="2" eb="4">
      <t>ハンシャ</t>
    </rPh>
    <phoneticPr fontId="56"/>
  </si>
  <si>
    <t>レップ社名</t>
    <rPh sb="3" eb="4">
      <t>シャ</t>
    </rPh>
    <rPh sb="4" eb="5">
      <t>メイ</t>
    </rPh>
    <phoneticPr fontId="56"/>
  </si>
  <si>
    <t>量産時期</t>
    <rPh sb="0" eb="2">
      <t>リョウサン</t>
    </rPh>
    <rPh sb="2" eb="4">
      <t>ジキ</t>
    </rPh>
    <phoneticPr fontId="56"/>
  </si>
  <si>
    <r>
      <t>用途</t>
    </r>
    <r>
      <rPr>
        <sz val="9"/>
        <color theme="1"/>
        <rFont val="ＭＳ Ｐゴシック"/>
        <family val="3"/>
        <charset val="128"/>
        <scheme val="minor"/>
      </rPr>
      <t>(アプリケーション)</t>
    </r>
    <rPh sb="0" eb="2">
      <t>ヨウト</t>
    </rPh>
    <phoneticPr fontId="56"/>
  </si>
  <si>
    <t>生産セット台数</t>
    <rPh sb="0" eb="2">
      <t>セイサン</t>
    </rPh>
    <rPh sb="5" eb="7">
      <t>ダイスウ</t>
    </rPh>
    <phoneticPr fontId="56"/>
  </si>
  <si>
    <t>プロジェクトピーク金額</t>
    <rPh sb="9" eb="11">
      <t>キンガク</t>
    </rPh>
    <phoneticPr fontId="56"/>
  </si>
  <si>
    <t>大分類</t>
    <rPh sb="0" eb="3">
      <t>ダイブンルイ</t>
    </rPh>
    <phoneticPr fontId="56"/>
  </si>
  <si>
    <t>中分類</t>
    <rPh sb="0" eb="3">
      <t>チュウブンルイ</t>
    </rPh>
    <phoneticPr fontId="56"/>
  </si>
  <si>
    <t>技術原計</t>
    <rPh sb="0" eb="1">
      <t>ギジュツ</t>
    </rPh>
    <rPh sb="1" eb="3">
      <t>ゲンケイ</t>
    </rPh>
    <phoneticPr fontId="56"/>
  </si>
  <si>
    <t>レート</t>
    <phoneticPr fontId="56"/>
  </si>
  <si>
    <t>○経営計画レート　○ 顧客契約レート　◎ その他のレート 　</t>
    <rPh sb="1" eb="3">
      <t>ケイエイ</t>
    </rPh>
    <rPh sb="3" eb="5">
      <t>ケイカク</t>
    </rPh>
    <rPh sb="13" eb="15">
      <t>ケイヤク</t>
    </rPh>
    <rPh sb="23" eb="24">
      <t>ホカ</t>
    </rPh>
    <phoneticPr fontId="56"/>
  </si>
  <si>
    <r>
      <t>製造原価</t>
    </r>
    <r>
      <rPr>
        <sz val="9"/>
        <color rgb="FFFF0000"/>
        <rFont val="ＭＳ Ｐゴシック"/>
        <family val="3"/>
        <charset val="128"/>
        <scheme val="minor"/>
      </rPr>
      <t>*</t>
    </r>
    <rPh sb="0" eb="2">
      <t>セイゾウ</t>
    </rPh>
    <rPh sb="2" eb="4">
      <t>ゲンカ</t>
    </rPh>
    <phoneticPr fontId="60"/>
  </si>
  <si>
    <t>総合計</t>
    <rPh sb="0" eb="3">
      <t>ソウゴウケイ</t>
    </rPh>
    <phoneticPr fontId="56"/>
  </si>
  <si>
    <t>形</t>
    <rPh sb="0" eb="1">
      <t>カタ</t>
    </rPh>
    <phoneticPr fontId="56"/>
  </si>
  <si>
    <t>形小計</t>
    <rPh sb="0" eb="1">
      <t>カタ</t>
    </rPh>
    <rPh sb="1" eb="3">
      <t>ショウケイ</t>
    </rPh>
    <phoneticPr fontId="56"/>
  </si>
  <si>
    <r>
      <t>レートタイプ</t>
    </r>
    <r>
      <rPr>
        <sz val="10"/>
        <color rgb="FFFF0000"/>
        <rFont val="ＭＳ Ｐゴシック"/>
        <family val="3"/>
        <charset val="128"/>
        <scheme val="minor"/>
      </rPr>
      <t>*</t>
    </r>
    <phoneticPr fontId="56"/>
  </si>
  <si>
    <t>有</t>
    <rPh sb="0" eb="1">
      <t>ア</t>
    </rPh>
    <phoneticPr fontId="56"/>
  </si>
  <si>
    <r>
      <t>コメント</t>
    </r>
    <r>
      <rPr>
        <sz val="10"/>
        <color rgb="FFFF0000"/>
        <rFont val="ＭＳ Ｐゴシック"/>
        <family val="3"/>
        <charset val="128"/>
        <scheme val="minor"/>
      </rPr>
      <t>*</t>
    </r>
    <phoneticPr fontId="56"/>
  </si>
  <si>
    <t>1行目の[貢献率]の桁数が異常です。入力内容を確認して下さい。</t>
    <rPh sb="1" eb="3">
      <t>ギョウメ</t>
    </rPh>
    <rPh sb="5" eb="8">
      <t>コウケンリツ</t>
    </rPh>
    <rPh sb="10" eb="12">
      <t>ケタスウ</t>
    </rPh>
    <rPh sb="13" eb="15">
      <t>イジョウ</t>
    </rPh>
    <rPh sb="18" eb="20">
      <t>ニュウリョク</t>
    </rPh>
    <rPh sb="20" eb="22">
      <t>ナイヨウ</t>
    </rPh>
    <rPh sb="23" eb="25">
      <t>カクニン</t>
    </rPh>
    <rPh sb="27" eb="28">
      <t>クダ</t>
    </rPh>
    <phoneticPr fontId="56"/>
  </si>
  <si>
    <t>SA-PR123456</t>
    <phoneticPr fontId="56"/>
  </si>
  <si>
    <t>案件番号：</t>
    <phoneticPr fontId="56"/>
  </si>
  <si>
    <r>
      <t>原計タイプ</t>
    </r>
    <r>
      <rPr>
        <sz val="10"/>
        <color rgb="FFFF0000"/>
        <rFont val="ＭＳ Ｐゴシック"/>
        <family val="3"/>
        <charset val="128"/>
        <scheme val="minor"/>
      </rPr>
      <t>*</t>
    </r>
    <rPh sb="0" eb="2">
      <t>ゲンケイ</t>
    </rPh>
    <phoneticPr fontId="56"/>
  </si>
  <si>
    <t>コメント</t>
    <phoneticPr fontId="56"/>
  </si>
  <si>
    <t>コメント入力</t>
    <rPh sb="3" eb="5">
      <t>ニュウリョク</t>
    </rPh>
    <phoneticPr fontId="56"/>
  </si>
  <si>
    <t>単価上申(外貨販売カスタム品)</t>
    <rPh sb="0" eb="2">
      <t>タンカ</t>
    </rPh>
    <rPh sb="2" eb="4">
      <t>ジョウシン</t>
    </rPh>
    <rPh sb="5" eb="7">
      <t>ガイカ</t>
    </rPh>
    <rPh sb="7" eb="9">
      <t>ハンバイ</t>
    </rPh>
    <rPh sb="13" eb="14">
      <t>シナ</t>
    </rPh>
    <phoneticPr fontId="56"/>
  </si>
  <si>
    <r>
      <t>原計通貨</t>
    </r>
    <r>
      <rPr>
        <sz val="9"/>
        <color rgb="FFFF0000"/>
        <rFont val="ＭＳ Ｐゴシック"/>
        <family val="3"/>
        <charset val="128"/>
        <scheme val="minor"/>
      </rPr>
      <t>*</t>
    </r>
    <rPh sb="0" eb="2">
      <t>ゲンケイ</t>
    </rPh>
    <rPh sb="2" eb="4">
      <t>ツウカ</t>
    </rPh>
    <phoneticPr fontId="60"/>
  </si>
  <si>
    <r>
      <t>申請通貨</t>
    </r>
    <r>
      <rPr>
        <sz val="9"/>
        <color rgb="FFFF0000"/>
        <rFont val="ＭＳ Ｐゴシック"/>
        <family val="3"/>
        <charset val="128"/>
        <scheme val="minor"/>
      </rPr>
      <t>*</t>
    </r>
    <rPh sb="0" eb="2">
      <t>シンセイ</t>
    </rPh>
    <rPh sb="2" eb="4">
      <t>ツウカ</t>
    </rPh>
    <phoneticPr fontId="60"/>
  </si>
  <si>
    <t>表示通貨</t>
    <rPh sb="0" eb="1">
      <t>ヒョウジ</t>
    </rPh>
    <rPh sb="1" eb="3">
      <t>ツウカ</t>
    </rPh>
    <phoneticPr fontId="56"/>
  </si>
  <si>
    <t>表示通貨</t>
    <rPh sb="0" eb="2">
      <t>ヒョウジ</t>
    </rPh>
    <rPh sb="2" eb="4">
      <t>ツウカ</t>
    </rPh>
    <phoneticPr fontId="56"/>
  </si>
  <si>
    <t>表示通貨</t>
    <rPh sb="0" eb="4">
      <t>ヒョウジツウカ</t>
    </rPh>
    <phoneticPr fontId="56"/>
  </si>
  <si>
    <t>r.1.1</t>
    <phoneticPr fontId="56"/>
  </si>
  <si>
    <t>古竹</t>
    <rPh sb="0" eb="2">
      <t>フルタケ</t>
    </rPh>
    <phoneticPr fontId="50"/>
  </si>
  <si>
    <t>エンドユーザー</t>
    <phoneticPr fontId="56"/>
  </si>
  <si>
    <t>化学物質データ</t>
    <rPh sb="0" eb="2">
      <t>カガクブッシツ</t>
    </rPh>
    <phoneticPr fontId="56"/>
  </si>
  <si>
    <t>機能仕様</t>
    <rPh sb="0" eb="4">
      <t>キノウシヨウ</t>
    </rPh>
    <phoneticPr fontId="56"/>
  </si>
  <si>
    <t>-</t>
    <phoneticPr fontId="60"/>
  </si>
  <si>
    <t>画面項目(Screen Items)</t>
    <rPh sb="0" eb="4">
      <t>ガメンコウモク</t>
    </rPh>
    <phoneticPr fontId="12"/>
  </si>
  <si>
    <t>必須記入</t>
    <rPh sb="0" eb="2">
      <t>ヒッス</t>
    </rPh>
    <rPh sb="2" eb="4">
      <t>キニュウ</t>
    </rPh>
    <phoneticPr fontId="12"/>
  </si>
  <si>
    <t>OOTB以外</t>
    <rPh sb="4" eb="6">
      <t>イガイ</t>
    </rPh>
    <phoneticPr fontId="12"/>
  </si>
  <si>
    <t>項番
(No)</t>
    <phoneticPr fontId="12"/>
  </si>
  <si>
    <t>項目名(Item Name)</t>
    <phoneticPr fontId="12"/>
  </si>
  <si>
    <t>論理項目種別
(Logical Item Type)</t>
    <phoneticPr fontId="12"/>
  </si>
  <si>
    <t>固定/可変
(Fixed/Variable)</t>
    <rPh sb="0" eb="5">
      <t>コテイカヘン</t>
    </rPh>
    <phoneticPr fontId="12"/>
  </si>
  <si>
    <t>I/O</t>
  </si>
  <si>
    <t>OOTB</t>
    <phoneticPr fontId="12"/>
  </si>
  <si>
    <t>入力桁数
(Input Digits)</t>
    <rPh sb="0" eb="2">
      <t>ニュウリョク</t>
    </rPh>
    <rPh sb="2" eb="4">
      <t>ケタスウ</t>
    </rPh>
    <phoneticPr fontId="12"/>
  </si>
  <si>
    <t>表示ラベルキー
（Display Label Key)</t>
    <rPh sb="0" eb="2">
      <t>ヒョウジ</t>
    </rPh>
    <phoneticPr fontId="12"/>
  </si>
  <si>
    <t>初期値
(Default Value)</t>
    <rPh sb="0" eb="3">
      <t>ショキチ</t>
    </rPh>
    <phoneticPr fontId="12"/>
  </si>
  <si>
    <t>備考
(Comment)</t>
    <rPh sb="0" eb="2">
      <t>ビコウ</t>
    </rPh>
    <phoneticPr fontId="12"/>
  </si>
  <si>
    <t>修正後</t>
    <rPh sb="0" eb="2">
      <t>シュウセイ</t>
    </rPh>
    <rPh sb="2" eb="3">
      <t>ゴ</t>
    </rPh>
    <phoneticPr fontId="12"/>
  </si>
  <si>
    <t>テスト観点</t>
    <rPh sb="3" eb="5">
      <t>カンテン</t>
    </rPh>
    <phoneticPr fontId="12"/>
  </si>
  <si>
    <t>エリア
（Area）</t>
    <phoneticPr fontId="12"/>
  </si>
  <si>
    <t>項目名
(Item Name)</t>
    <phoneticPr fontId="12"/>
  </si>
  <si>
    <t>確認日</t>
    <rPh sb="0" eb="2">
      <t>カクニン</t>
    </rPh>
    <rPh sb="2" eb="3">
      <t>ビ</t>
    </rPh>
    <phoneticPr fontId="12"/>
  </si>
  <si>
    <t>確認者</t>
    <rPh sb="0" eb="2">
      <t>カクニン</t>
    </rPh>
    <rPh sb="2" eb="3">
      <t>シャ</t>
    </rPh>
    <phoneticPr fontId="12"/>
  </si>
  <si>
    <t>判定</t>
    <rPh sb="0" eb="2">
      <t>ハンテイ</t>
    </rPh>
    <phoneticPr fontId="12"/>
  </si>
  <si>
    <t>1</t>
  </si>
  <si>
    <t>パンくずリストエリア</t>
  </si>
  <si>
    <t>1.1</t>
  </si>
  <si>
    <t>パンくずリスト</t>
  </si>
  <si>
    <t>Anchor Text</t>
  </si>
  <si>
    <t>Fixed</t>
  </si>
  <si>
    <t>O</t>
  </si>
  <si>
    <t>○</t>
  </si>
  <si>
    <t>Variable</t>
  </si>
  <si>
    <t>I</t>
  </si>
  <si>
    <t>×</t>
  </si>
  <si>
    <t>-</t>
  </si>
  <si>
    <t>エンドユーザー</t>
    <phoneticPr fontId="60"/>
  </si>
  <si>
    <t>Image Button</t>
  </si>
  <si>
    <t>Text Output</t>
  </si>
  <si>
    <t>提出先企業名</t>
    <phoneticPr fontId="60"/>
  </si>
  <si>
    <t>処理項目(Process Items)</t>
    <rPh sb="0" eb="4">
      <t>ショリコウモク</t>
    </rPh>
    <phoneticPr fontId="12"/>
  </si>
  <si>
    <t>項番
(No)</t>
    <rPh sb="0" eb="2">
      <t>コウバン</t>
    </rPh>
    <phoneticPr fontId="12"/>
  </si>
  <si>
    <t>処理名
(Process Name)</t>
    <rPh sb="0" eb="3">
      <t>ショリメイ</t>
    </rPh>
    <phoneticPr fontId="12"/>
  </si>
  <si>
    <t>イベント発生元（論理項目名）
(Event Source(Logical Item Name))</t>
    <phoneticPr fontId="12"/>
  </si>
  <si>
    <t>イベント
(Event)</t>
    <phoneticPr fontId="12"/>
  </si>
  <si>
    <t>サーバ
／クライアント</t>
    <phoneticPr fontId="12"/>
  </si>
  <si>
    <t>遷移先画面ID
(Transition Destination Screen ID)</t>
    <rPh sb="0" eb="7">
      <t>センイサキガメン</t>
    </rPh>
    <phoneticPr fontId="12"/>
  </si>
  <si>
    <t>概要
(Comment)</t>
    <rPh sb="0" eb="2">
      <t>ガイヨウ</t>
    </rPh>
    <phoneticPr fontId="12"/>
  </si>
  <si>
    <t>サーバ</t>
  </si>
  <si>
    <t>Click</t>
    <phoneticPr fontId="60"/>
  </si>
  <si>
    <t>利用可能な論理項目種別</t>
    <rPh sb="0" eb="11">
      <t>リヨウカノウロンリコウモクシュベツ</t>
    </rPh>
    <phoneticPr fontId="12"/>
  </si>
  <si>
    <t>固定/可変</t>
    <rPh sb="0" eb="2">
      <t>コテイ</t>
    </rPh>
    <rPh sb="3" eb="5">
      <t>カヘン</t>
    </rPh>
    <phoneticPr fontId="12"/>
  </si>
  <si>
    <t>Label</t>
    <phoneticPr fontId="12"/>
  </si>
  <si>
    <t>Fixed</t>
    <phoneticPr fontId="12"/>
  </si>
  <si>
    <t>○</t>
    <phoneticPr fontId="12"/>
  </si>
  <si>
    <t>全て利用</t>
    <rPh sb="0" eb="1">
      <t>スベ</t>
    </rPh>
    <rPh sb="2" eb="4">
      <t>リヨウ</t>
    </rPh>
    <phoneticPr fontId="12"/>
  </si>
  <si>
    <t>Manual Operation Button</t>
    <phoneticPr fontId="12"/>
  </si>
  <si>
    <t>Variable</t>
    <phoneticPr fontId="12"/>
  </si>
  <si>
    <t>△</t>
    <phoneticPr fontId="12"/>
  </si>
  <si>
    <t>一部利用</t>
    <rPh sb="0" eb="2">
      <t>イチブ</t>
    </rPh>
    <rPh sb="2" eb="4">
      <t>リヨウ</t>
    </rPh>
    <phoneticPr fontId="12"/>
  </si>
  <si>
    <t>Image Button</t>
    <phoneticPr fontId="12"/>
  </si>
  <si>
    <t>×</t>
    <phoneticPr fontId="12"/>
  </si>
  <si>
    <t>なし（新規作成）</t>
    <rPh sb="3" eb="5">
      <t>シンキ</t>
    </rPh>
    <rPh sb="5" eb="7">
      <t>サクセイ</t>
    </rPh>
    <phoneticPr fontId="12"/>
  </si>
  <si>
    <t>Anchor Text</t>
    <phoneticPr fontId="12"/>
  </si>
  <si>
    <t>Textbox</t>
    <phoneticPr fontId="12"/>
  </si>
  <si>
    <t>Text Box (with spin button)</t>
    <phoneticPr fontId="12"/>
  </si>
  <si>
    <t>Password</t>
    <phoneticPr fontId="12"/>
  </si>
  <si>
    <t>Text Area</t>
    <phoneticPr fontId="12"/>
  </si>
  <si>
    <t>File field</t>
    <phoneticPr fontId="12"/>
  </si>
  <si>
    <t>Radio Button</t>
    <phoneticPr fontId="12"/>
  </si>
  <si>
    <t>Dropdown List</t>
    <phoneticPr fontId="12"/>
  </si>
  <si>
    <t>Checkbox</t>
    <phoneticPr fontId="12"/>
  </si>
  <si>
    <t>Calendar</t>
    <phoneticPr fontId="12"/>
  </si>
  <si>
    <t>Time Input</t>
    <phoneticPr fontId="12"/>
  </si>
  <si>
    <t>Loop Table</t>
    <phoneticPr fontId="12"/>
  </si>
  <si>
    <t>Image</t>
    <phoneticPr fontId="12"/>
  </si>
  <si>
    <t>Hidden Field</t>
    <phoneticPr fontId="12"/>
  </si>
  <si>
    <t>Included Screen</t>
    <phoneticPr fontId="12"/>
  </si>
  <si>
    <t>Text Output</t>
    <phoneticPr fontId="12"/>
  </si>
  <si>
    <t>Other</t>
    <phoneticPr fontId="12"/>
  </si>
  <si>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</si>
  <si>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</si>
  <si>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</si>
  <si>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</si>
  <si>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</si>
  <si>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</si>
  <si>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</si>
  <si>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</si>
  <si>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</si>
  <si>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</si>
  <si>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</si>
  <si>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</si>
  <si>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</si>
  <si>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</si>
  <si>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</si>
  <si>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0. 本機能を利用可能なユーザについて</t>
    <rPh sb="3" eb="4">
      <t>ホン</t>
    </rPh>
    <rPh sb="4" eb="6">
      <t>キノウ</t>
    </rPh>
    <rPh sb="7" eb="9">
      <t>リヨウ</t>
    </rPh>
    <rPh sb="9" eb="11">
      <t>カノウ</t>
    </rPh>
    <phoneticPr fontId="5"/>
  </si>
  <si>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5"/>
  </si>
  <si>
    <t>1. パンくずリストエリア</t>
  </si>
  <si>
    <t>1.1　パンくずリスト</t>
  </si>
  <si>
    <t>以下のようにパンくずリストを表示する。</t>
    <rPh sb="0" eb="2">
      <t>イカ</t>
    </rPh>
    <rPh sb="14" eb="16">
      <t>ヒョウジ</t>
    </rPh>
    <phoneticPr fontId="6"/>
  </si>
  <si>
    <t>『製品トップ &gt; 化学物質データ申請』</t>
    <rPh sb="1" eb="3">
      <t>セイヒン</t>
    </rPh>
    <rPh sb="9" eb="11">
      <t>カガク</t>
    </rPh>
    <rPh sb="11" eb="13">
      <t>ブッシツ</t>
    </rPh>
    <rPh sb="16" eb="18">
      <t>シンセイ</t>
    </rPh>
    <phoneticPr fontId="6"/>
  </si>
  <si>
    <t>2. 申請入力エリア</t>
    <rPh sb="3" eb="5">
      <t>シンセイ</t>
    </rPh>
    <rPh sb="5" eb="7">
      <t>ニュウリョク</t>
    </rPh>
    <phoneticPr fontId="5"/>
  </si>
  <si>
    <t>2.1 提出先企業名</t>
  </si>
  <si>
    <t>必須項目。</t>
    <rPh sb="0" eb="2">
      <t>ヒッス</t>
    </rPh>
    <rPh sb="2" eb="4">
      <t>コウモク</t>
    </rPh>
    <phoneticPr fontId="5"/>
  </si>
  <si>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5"/>
  </si>
  <si>
    <t>任意項目。</t>
    <rPh sb="0" eb="2">
      <t>ニンイ</t>
    </rPh>
    <rPh sb="2" eb="4">
      <t>コウモク</t>
    </rPh>
    <phoneticPr fontId="5"/>
  </si>
  <si>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5"/>
  </si>
  <si>
    <t>最大文字数は100とする。</t>
    <rPh sb="0" eb="2">
      <t>サイダイ</t>
    </rPh>
    <rPh sb="2" eb="5">
      <t>モジスウ</t>
    </rPh>
    <phoneticPr fontId="5"/>
  </si>
  <si>
    <t>使用できる文字は、以下でない文字とする。</t>
    <rPh sb="14" eb="16">
      <t>モジ</t>
    </rPh>
    <phoneticPr fontId="5"/>
  </si>
  <si>
    <t>最大100件の製品名/CL-Noを登録可能。</t>
    <rPh sb="7" eb="10">
      <t>セイヒンメイ</t>
    </rPh>
    <phoneticPr fontId="5"/>
  </si>
  <si>
    <t>1行あたり1つの製品名/CL-No.を記載するものとする。</t>
    <rPh sb="8" eb="11">
      <t>セイヒンメイ</t>
    </rPh>
    <phoneticPr fontId="5"/>
  </si>
  <si>
    <t>空行は、データ行としてカウントしない。</t>
  </si>
  <si>
    <t>製品名/CL-Noのチェック条件でバリデーションを行う。</t>
    <rPh sb="0" eb="3">
      <t>セイヒンメイ</t>
    </rPh>
    <rPh sb="14" eb="16">
      <t>ジョウケン</t>
    </rPh>
    <rPh sb="25" eb="26">
      <t>オコナ</t>
    </rPh>
    <phoneticPr fontId="5"/>
  </si>
  <si>
    <t>入力形式をプレースホルダーにて明記。</t>
    <rPh sb="0" eb="2">
      <t>ニュウリョク</t>
    </rPh>
    <rPh sb="2" eb="4">
      <t>ケイシキ</t>
    </rPh>
    <rPh sb="15" eb="17">
      <t>メイキ</t>
    </rPh>
    <phoneticPr fontId="5"/>
  </si>
  <si>
    <t>取得したい証明書についてチェックを付与する。</t>
    <rPh sb="0" eb="2">
      <t>シュトク</t>
    </rPh>
    <rPh sb="5" eb="8">
      <t>ショウメイショ</t>
    </rPh>
    <rPh sb="17" eb="19">
      <t>フヨ</t>
    </rPh>
    <phoneticPr fontId="5"/>
  </si>
  <si>
    <t>1つ以上チェックがついていないと申請できない。</t>
    <rPh sb="2" eb="4">
      <t>イジョウ</t>
    </rPh>
    <rPh sb="16" eb="18">
      <t>シンセイ</t>
    </rPh>
    <phoneticPr fontId="5"/>
  </si>
  <si>
    <t>事前に用意されているスタティック情報を表示する。</t>
    <rPh sb="0" eb="2">
      <t>ジゼン</t>
    </rPh>
    <rPh sb="3" eb="5">
      <t>ヨウイ</t>
    </rPh>
    <rPh sb="16" eb="18">
      <t>ジョウホウ</t>
    </rPh>
    <rPh sb="19" eb="21">
      <t>ヒョウジ</t>
    </rPh>
    <phoneticPr fontId="5"/>
  </si>
  <si>
    <t>※ html用のパーツはSmartEditで運用することを</t>
    <rPh sb="6" eb="7">
      <t>ヨウ</t>
    </rPh>
    <rPh sb="22" eb="24">
      <t>ウンヨウ</t>
    </rPh>
    <phoneticPr fontId="5"/>
  </si>
  <si>
    <t>想定</t>
    <rPh sb="0" eb="2">
      <t>ソウテイ</t>
    </rPh>
    <phoneticPr fontId="5"/>
  </si>
  <si>
    <t>押下すると、化学物質データ画面に戻る</t>
    <rPh sb="0" eb="2">
      <t>オウカ</t>
    </rPh>
    <rPh sb="6" eb="8">
      <t>カガク</t>
    </rPh>
    <rPh sb="8" eb="10">
      <t>ブッシツ</t>
    </rPh>
    <rPh sb="13" eb="15">
      <t>ガメン</t>
    </rPh>
    <rPh sb="16" eb="17">
      <t>モド</t>
    </rPh>
    <phoneticPr fontId="5"/>
  </si>
  <si>
    <t>押下すると、化学物質データ画面に戻る</t>
    <rPh sb="0" eb="2">
      <t>オウカ</t>
    </rPh>
    <rPh sb="6" eb="8">
      <t>カガク</t>
    </rPh>
    <rPh sb="8" eb="10">
      <t>ブッシツ</t>
    </rPh>
    <rPh sb="13" eb="15">
      <t>ガメン</t>
    </rPh>
    <rPh sb="16" eb="17">
      <t>モド</t>
    </rPh>
    <phoneticPr fontId="60"/>
  </si>
  <si>
    <t>押下された場合、入力された内容のバリデーションを行う。</t>
    <rPh sb="0" eb="2">
      <t>オウカ</t>
    </rPh>
    <rPh sb="5" eb="7">
      <t>バアイ</t>
    </rPh>
    <rPh sb="8" eb="10">
      <t>ニュウリョク</t>
    </rPh>
    <rPh sb="13" eb="15">
      <t>ナイヨウ</t>
    </rPh>
    <rPh sb="24" eb="25">
      <t>オコナ</t>
    </rPh>
    <phoneticPr fontId="5"/>
  </si>
  <si>
    <t>[エラーがあった場合]</t>
    <rPh sb="8" eb="10">
      <t>バアイ</t>
    </rPh>
    <phoneticPr fontId="5"/>
  </si>
  <si>
    <t>エラーメッセージを表示する。画面遷移はしない。</t>
    <rPh sb="9" eb="11">
      <t>ヒョウジ</t>
    </rPh>
    <rPh sb="14" eb="16">
      <t>ガメン</t>
    </rPh>
    <rPh sb="16" eb="18">
      <t>センイ</t>
    </rPh>
    <phoneticPr fontId="5"/>
  </si>
  <si>
    <t>[エラーがなかった場合]</t>
    <rPh sb="9" eb="11">
      <t>バアイ</t>
    </rPh>
    <phoneticPr fontId="5"/>
  </si>
  <si>
    <t>化学物質データ確認画面に遷移する。</t>
    <rPh sb="0" eb="2">
      <t>カガク</t>
    </rPh>
    <rPh sb="2" eb="4">
      <t>ブッシツ</t>
    </rPh>
    <rPh sb="7" eb="9">
      <t>カクニン</t>
    </rPh>
    <rPh sb="9" eb="11">
      <t>ガメン</t>
    </rPh>
    <rPh sb="12" eb="14">
      <t>センイ</t>
    </rPh>
    <phoneticPr fontId="5"/>
  </si>
  <si>
    <t>・</t>
  </si>
  <si>
    <t>全角英字（ａ～ｚ）　※小文字</t>
  </si>
  <si>
    <t>全角英字（Ａ～Ｚ）　※大文字</t>
  </si>
  <si>
    <t>全角数字（０～９）</t>
  </si>
  <si>
    <t>全角および半角のスペース</t>
  </si>
  <si>
    <t>（入力チェック参照）</t>
  </si>
  <si>
    <t>2.2 エンドユーザー</t>
    <phoneticPr fontId="56"/>
  </si>
  <si>
    <t>2.3 製品名/CL-No.(ヒロセ製品番号)</t>
    <rPh sb="4" eb="7">
      <t>セイヒンメイ</t>
    </rPh>
    <rPh sb="18" eb="20">
      <t>セイヒン</t>
    </rPh>
    <rPh sb="20" eb="22">
      <t>バンゴウ</t>
    </rPh>
    <phoneticPr fontId="5"/>
  </si>
  <si>
    <t>2.4 化学物質データ選択</t>
    <rPh sb="4" eb="6">
      <t>カガク</t>
    </rPh>
    <rPh sb="6" eb="8">
      <t>ブッシツ</t>
    </rPh>
    <rPh sb="11" eb="13">
      <t>センタク</t>
    </rPh>
    <phoneticPr fontId="5"/>
  </si>
  <si>
    <t>2.5 データバージョン情報</t>
    <rPh sb="12" eb="14">
      <t>ジョウホウ</t>
    </rPh>
    <phoneticPr fontId="5"/>
  </si>
  <si>
    <t>2.6 戻るボタン</t>
    <rPh sb="4" eb="5">
      <t>モド</t>
    </rPh>
    <phoneticPr fontId="5"/>
  </si>
  <si>
    <t>2.7 次へボタン</t>
    <rPh sb="4" eb="5">
      <t>ツギ</t>
    </rPh>
    <phoneticPr fontId="5"/>
  </si>
  <si>
    <t>2</t>
  </si>
  <si>
    <t>申請入力エリア</t>
    <rPh sb="0" eb="2">
      <t>シンセイ</t>
    </rPh>
    <rPh sb="2" eb="4">
      <t>ニュウリョク</t>
    </rPh>
    <phoneticPr fontId="60"/>
  </si>
  <si>
    <t>Textbox</t>
  </si>
  <si>
    <t>2.2</t>
    <phoneticPr fontId="60"/>
  </si>
  <si>
    <t>■使用できる文字
半角カナ英数字、全角文字
半角記号：!"#$%&amp;'()-^\@[;:],./\=~|`{+*}&lt;&gt;?_ﾟﾞ</t>
    <phoneticPr fontId="60"/>
  </si>
  <si>
    <t>製品名/CL-No.</t>
    <rPh sb="0" eb="3">
      <t>セイヒンメイ</t>
    </rPh>
    <phoneticPr fontId="60"/>
  </si>
  <si>
    <t>Text Area</t>
  </si>
  <si>
    <t>化学物質データ選択</t>
    <rPh sb="0" eb="2">
      <t>カガク</t>
    </rPh>
    <rPh sb="2" eb="4">
      <t>ブッシツ</t>
    </rPh>
    <rPh sb="7" eb="9">
      <t>センタク</t>
    </rPh>
    <phoneticPr fontId="60"/>
  </si>
  <si>
    <t>Checkbox</t>
  </si>
  <si>
    <t>AppEnumList(ChemicalSubstanceData)の要素毎に、チェックボックスを表示する。</t>
    <rPh sb="35" eb="37">
      <t>ヨウソ</t>
    </rPh>
    <rPh sb="37" eb="38">
      <t>ゴト</t>
    </rPh>
    <rPh sb="49" eb="51">
      <t>ヒョウジ</t>
    </rPh>
    <phoneticPr fontId="60"/>
  </si>
  <si>
    <t>データバージョン情報</t>
    <phoneticPr fontId="60"/>
  </si>
  <si>
    <t xml:space="preserve">事前に用意されているスタティック情報を表示する。 
※ html用のパーツはSmartEditで運用する </t>
    <phoneticPr fontId="60"/>
  </si>
  <si>
    <t>戻る</t>
    <rPh sb="0" eb="1">
      <t>モド</t>
    </rPh>
    <phoneticPr fontId="60"/>
  </si>
  <si>
    <t>次へ</t>
    <rPh sb="0" eb="1">
      <t>ツギ</t>
    </rPh>
    <phoneticPr fontId="60"/>
  </si>
  <si>
    <t xml:space="preserve">押下すると、化学物質データ確認画面に遷移する。  </t>
    <phoneticPr fontId="60"/>
  </si>
  <si>
    <t>戻る</t>
    <phoneticPr fontId="60"/>
  </si>
  <si>
    <t>戻るボタン</t>
    <phoneticPr fontId="60"/>
  </si>
  <si>
    <t>SEFE200</t>
    <phoneticPr fontId="60"/>
  </si>
  <si>
    <t>化学物質データ画面に戻る</t>
    <phoneticPr fontId="60"/>
  </si>
  <si>
    <t>次へ</t>
    <phoneticPr fontId="60"/>
  </si>
  <si>
    <t>次へボタン</t>
    <phoneticPr fontId="60"/>
  </si>
  <si>
    <t>SEFE220</t>
    <phoneticPr fontId="60"/>
  </si>
  <si>
    <t>・入力チェック、業務チェックを行う（入力チェックシートを参照）
・チェックエラーが発生した場合は当画面にエラーメッセージを表示し、
　エラーがない場合は、「化学物質データ確認画面」に遷移する</t>
    <rPh sb="1" eb="3">
      <t>ニュウリョク</t>
    </rPh>
    <rPh sb="8" eb="10">
      <t>ギョウム</t>
    </rPh>
    <rPh sb="18" eb="20">
      <t>ニュウリョク</t>
    </rPh>
    <rPh sb="28" eb="30">
      <t>サンショウ</t>
    </rPh>
    <phoneticPr fontId="60"/>
  </si>
  <si>
    <t>2.3</t>
    <phoneticPr fontId="56"/>
  </si>
  <si>
    <t>2.4</t>
    <phoneticPr fontId="56"/>
  </si>
  <si>
    <t>2.5</t>
    <phoneticPr fontId="56"/>
  </si>
  <si>
    <t>2.6</t>
    <phoneticPr fontId="56"/>
  </si>
  <si>
    <t>2.7</t>
    <phoneticPr fontId="56"/>
  </si>
  <si>
    <t>最大100件の製品名/CL-Noを登録可能。
1行あたり1つの製品名/CL-No.を記載するものとする。
空行は、データ行としてカウントしない。</t>
    <rPh sb="0" eb="2">
      <t>サイダイ</t>
    </rPh>
    <rPh sb="5" eb="6">
      <t>ケン</t>
    </rPh>
    <rPh sb="7" eb="10">
      <t>セイヒンメイ</t>
    </rPh>
    <rPh sb="17" eb="19">
      <t>トウロク</t>
    </rPh>
    <rPh sb="19" eb="21">
      <t>カノウ</t>
    </rPh>
    <rPh sb="24" eb="25">
      <t>ギョウ</t>
    </rPh>
    <rPh sb="31" eb="34">
      <t>セイヒンメイ</t>
    </rPh>
    <rPh sb="42" eb="44">
      <t>キサイ</t>
    </rPh>
    <rPh sb="53" eb="55">
      <t>クウギョウ</t>
    </rPh>
    <rPh sb="60" eb="61">
      <t>ギョウ</t>
    </rPh>
    <phoneticPr fontId="60"/>
  </si>
  <si>
    <t>画面状態 (Screen State)</t>
    <rPh sb="0" eb="4">
      <t>ガメンジョウタイ</t>
    </rPh>
    <phoneticPr fontId="12"/>
  </si>
  <si>
    <t>論理項目名
(Logical Item Name)</t>
    <rPh sb="0" eb="5">
      <t>ロンリコウモクメイ</t>
    </rPh>
    <phoneticPr fontId="12"/>
  </si>
  <si>
    <t>状態 (State)</t>
    <rPh sb="0" eb="2">
      <t>ジョウタイ</t>
    </rPh>
    <phoneticPr fontId="12"/>
  </si>
  <si>
    <t>初期表示</t>
    <rPh sb="0" eb="2">
      <t>ショキ</t>
    </rPh>
    <rPh sb="2" eb="4">
      <t>ヒョウジ</t>
    </rPh>
    <phoneticPr fontId="60"/>
  </si>
  <si>
    <t>Legend Name</t>
    <phoneticPr fontId="12"/>
  </si>
  <si>
    <t>Legend Value</t>
    <phoneticPr fontId="12"/>
  </si>
  <si>
    <t>Display(Active)</t>
    <phoneticPr fontId="12"/>
  </si>
  <si>
    <t>Display(In-Active)</t>
    <phoneticPr fontId="12"/>
  </si>
  <si>
    <t>●</t>
    <phoneticPr fontId="12"/>
  </si>
  <si>
    <t>Hidden</t>
    <phoneticPr fontId="12"/>
  </si>
  <si>
    <t>形式チェック</t>
    <rPh sb="0" eb="2">
      <t>ケイシキ</t>
    </rPh>
    <phoneticPr fontId="12"/>
  </si>
  <si>
    <t>論理項目名
(Logical Item Name)</t>
    <phoneticPr fontId="12"/>
  </si>
  <si>
    <t>チェックルール
(Check Rule)</t>
    <phoneticPr fontId="12"/>
  </si>
  <si>
    <t>パラメータ条件
(Parameter Condition)</t>
    <phoneticPr fontId="12"/>
  </si>
  <si>
    <t>メッセージキー
(Message Key)</t>
    <phoneticPr fontId="12"/>
  </si>
  <si>
    <t>メッセージ
置換文字列
(Place Holder)</t>
    <phoneticPr fontId="12"/>
  </si>
  <si>
    <t>チェックタイミング (Check Timing)</t>
    <phoneticPr fontId="12"/>
  </si>
  <si>
    <t>クライアントチェック</t>
    <phoneticPr fontId="60"/>
  </si>
  <si>
    <t>次へ押下時</t>
    <rPh sb="0" eb="1">
      <t>ツギ</t>
    </rPh>
    <rPh sb="2" eb="4">
      <t>オウカ</t>
    </rPh>
    <rPh sb="4" eb="5">
      <t>ジ</t>
    </rPh>
    <phoneticPr fontId="60"/>
  </si>
  <si>
    <t>必須チェック（@NotBlank）</t>
  </si>
  <si>
    <t>errors.required</t>
  </si>
  <si>
    <t>○</t>
    <phoneticPr fontId="60"/>
  </si>
  <si>
    <t>半角数字チェック</t>
  </si>
  <si>
    <t>文字種チェック</t>
    <rPh sb="0" eb="2">
      <t>モジ</t>
    </rPh>
    <rPh sb="2" eb="3">
      <t>シュ</t>
    </rPh>
    <phoneticPr fontId="60"/>
  </si>
  <si>
    <t>errors.numericString</t>
  </si>
  <si>
    <t>文字数チェック</t>
  </si>
  <si>
    <t>最大文字数</t>
    <rPh sb="0" eb="2">
      <t>サイダイ</t>
    </rPh>
    <rPh sb="2" eb="5">
      <t>モジスウ</t>
    </rPh>
    <phoneticPr fontId="60"/>
  </si>
  <si>
    <t>errors.maxlength</t>
  </si>
  <si>
    <t>半角英数ハイフンチェック</t>
    <phoneticPr fontId="60"/>
  </si>
  <si>
    <t>errors.hankakuString</t>
  </si>
  <si>
    <t>全角英数以外・
スペース以外チェック</t>
    <rPh sb="0" eb="2">
      <t>ゼンカク</t>
    </rPh>
    <rPh sb="2" eb="4">
      <t>エイスウ</t>
    </rPh>
    <rPh sb="4" eb="6">
      <t>イガイ</t>
    </rPh>
    <rPh sb="12" eb="14">
      <t>イガイ</t>
    </rPh>
    <phoneticPr fontId="60"/>
  </si>
  <si>
    <t>message.E.F.000024</t>
    <phoneticPr fontId="60"/>
  </si>
  <si>
    <t>■使用できる文字
以下でない文字
・全角英字（ａ～ｚ）
　※小文字
・全角英字（Ａ～Ｚ）
　※大文字
・全角数字（０～９）
・全角および半角のスペース</t>
    <rPh sb="1" eb="3">
      <t>シヨウ</t>
    </rPh>
    <rPh sb="6" eb="8">
      <t>モジ</t>
    </rPh>
    <rPh sb="9" eb="11">
      <t>イカ</t>
    </rPh>
    <rPh sb="14" eb="16">
      <t>モジ</t>
    </rPh>
    <phoneticPr fontId="60"/>
  </si>
  <si>
    <t>区分値チェック（AppEnum）</t>
    <phoneticPr fontId="60"/>
  </si>
  <si>
    <t>1件以上選択チェック</t>
    <rPh sb="1" eb="4">
      <t>ケンイジョウ</t>
    </rPh>
    <rPh sb="4" eb="6">
      <t>センタク</t>
    </rPh>
    <phoneticPr fontId="60"/>
  </si>
  <si>
    <t>ChemicalSubstanceData
1つ以上チェックボックスにチェックが付与されているかどうかをチェックする</t>
    <rPh sb="25" eb="27">
      <t>イジョウ</t>
    </rPh>
    <rPh sb="41" eb="43">
      <t>フヨ</t>
    </rPh>
    <phoneticPr fontId="60"/>
  </si>
  <si>
    <t>業務チェック</t>
    <rPh sb="0" eb="2">
      <t>ギョウム</t>
    </rPh>
    <phoneticPr fontId="12"/>
  </si>
  <si>
    <t xml:space="preserve">論理項目名
(Logical Item Name)
</t>
    <phoneticPr fontId="12"/>
  </si>
  <si>
    <t>チェック内容
(Check Details)</t>
    <rPh sb="0" eb="6">
      <t>ナイヨウ</t>
    </rPh>
    <phoneticPr fontId="12"/>
  </si>
  <si>
    <t>次へボタン押下時</t>
    <rPh sb="0" eb="1">
      <t>ツギ</t>
    </rPh>
    <rPh sb="5" eb="7">
      <t>オウカ</t>
    </rPh>
    <rPh sb="7" eb="8">
      <t>ジ</t>
    </rPh>
    <phoneticPr fontId="60"/>
  </si>
  <si>
    <t>製品名/CL-Noの件数チェック</t>
    <rPh sb="0" eb="3">
      <t>セイヒンメイ</t>
    </rPh>
    <rPh sb="10" eb="12">
      <t>ケンスウ</t>
    </rPh>
    <phoneticPr fontId="60"/>
  </si>
  <si>
    <t>空行を除き、製品名/CL-Noデータ行が101以上ある場合はエラー</t>
    <rPh sb="0" eb="2">
      <t>クウギョウ</t>
    </rPh>
    <rPh sb="3" eb="4">
      <t>ノゾ</t>
    </rPh>
    <rPh sb="6" eb="9">
      <t>セイヒンメイ</t>
    </rPh>
    <rPh sb="18" eb="19">
      <t>ギョウ</t>
    </rPh>
    <rPh sb="23" eb="25">
      <t>イジョウ</t>
    </rPh>
    <rPh sb="27" eb="29">
      <t>バアイ</t>
    </rPh>
    <phoneticPr fontId="60"/>
  </si>
  <si>
    <t>message.E.F.000023</t>
    <phoneticPr fontId="60"/>
  </si>
  <si>
    <t>製品名/CL-Noの冶具チェック</t>
    <rPh sb="0" eb="3">
      <t>セイヒンメイ</t>
    </rPh>
    <rPh sb="10" eb="12">
      <t>ジグ</t>
    </rPh>
    <phoneticPr fontId="60"/>
  </si>
  <si>
    <t>製品名/CL-NoのデータをHrsProductテーブルに照会（※1、2）し、冶具の場合(productType属性の値がHrsProductType.tool場合)はエラー
※1　CLコードの条件について
　　　　入力値の形式がHRS-No（数字11桁）の場合、
　　　　CLコードの形式（CL9999-9999-9-99）に変換して照会
※2　製品名の条件について、
　　　　以下の全角記号が含まれる場合、半角に変換して照会
　　　　－　→　-
　　　　（　→　(
　　　　）　→　)
　　　　＋　→　+
　　　　＊　→　*
　　　　／　→　/</t>
    <rPh sb="0" eb="3">
      <t>セイヒンメイ</t>
    </rPh>
    <rPh sb="29" eb="31">
      <t>ショウカイ</t>
    </rPh>
    <rPh sb="39" eb="41">
      <t>ジグ</t>
    </rPh>
    <rPh sb="42" eb="44">
      <t>バアイ</t>
    </rPh>
    <rPh sb="56" eb="58">
      <t>ゾクセイ</t>
    </rPh>
    <rPh sb="59" eb="60">
      <t>アタイ</t>
    </rPh>
    <rPh sb="80" eb="82">
      <t>バアイ</t>
    </rPh>
    <rPh sb="98" eb="100">
      <t>ジョウケン</t>
    </rPh>
    <rPh sb="169" eb="171">
      <t>ショウカイ</t>
    </rPh>
    <rPh sb="175" eb="178">
      <t>セイヒンメイ</t>
    </rPh>
    <rPh sb="179" eb="181">
      <t>ジョウケン</t>
    </rPh>
    <rPh sb="191" eb="193">
      <t>イカ</t>
    </rPh>
    <rPh sb="194" eb="196">
      <t>ゼンカク</t>
    </rPh>
    <rPh sb="196" eb="198">
      <t>キゴウ</t>
    </rPh>
    <rPh sb="213" eb="215">
      <t>ショウカイ</t>
    </rPh>
    <phoneticPr fontId="60"/>
  </si>
  <si>
    <t>message.E.F.000025</t>
    <phoneticPr fontId="60"/>
  </si>
  <si>
    <t>利用可能なルール</t>
    <rPh sb="0" eb="8">
      <t>リヨウカノウ</t>
    </rPh>
    <phoneticPr fontId="12"/>
  </si>
  <si>
    <t>パラメータ1</t>
  </si>
  <si>
    <t>パラメータ2</t>
  </si>
  <si>
    <t>パラメータ3</t>
  </si>
  <si>
    <t>パラメータ4</t>
  </si>
  <si>
    <t>デフォルトメッセージID</t>
  </si>
  <si>
    <t>デフォルトメッセージ</t>
  </si>
  <si>
    <t>{0}は入力必須項目です。</t>
    <phoneticPr fontId="12"/>
  </si>
  <si>
    <t>必須チェック（@NotEmpty）</t>
  </si>
  <si>
    <t>errors.zenkakuString</t>
  </si>
  <si>
    <t>{0}には全角文字を入力してください。</t>
    <phoneticPr fontId="12"/>
  </si>
  <si>
    <t>必須チェック（@NotNull）</t>
  </si>
  <si>
    <t>{0}には半角文字を入力してください。</t>
    <phoneticPr fontId="12"/>
  </si>
  <si>
    <t>errors.alphaNumericString</t>
    <phoneticPr fontId="12"/>
  </si>
  <si>
    <t>{0}には半角英数字で入力してください。</t>
    <phoneticPr fontId="12"/>
  </si>
  <si>
    <t>半角英数字チェック</t>
  </si>
  <si>
    <t>errors.capAlphaNumericString</t>
  </si>
  <si>
    <t>{0}には英大文字または数字を入力してください。</t>
    <phoneticPr fontId="12"/>
  </si>
  <si>
    <t>半角文字チェック</t>
  </si>
  <si>
    <t>{0}には数字を入力してください。</t>
    <phoneticPr fontId="12"/>
  </si>
  <si>
    <t>errors.zenkakuKanaString</t>
  </si>
  <si>
    <t>{0}には全角カナ文字を入力してください。</t>
    <phoneticPr fontId="12"/>
  </si>
  <si>
    <t>日付チェック</t>
  </si>
  <si>
    <t>errors.hankakuKanaString</t>
  </si>
  <si>
    <t>{0}には半角カナ文字を入力してください。</t>
    <phoneticPr fontId="12"/>
  </si>
  <si>
    <t>数値桁数チェック</t>
  </si>
  <si>
    <t>Number of Bytes =</t>
    <phoneticPr fontId="12"/>
  </si>
  <si>
    <t>Encoding =</t>
    <phoneticPr fontId="12"/>
  </si>
  <si>
    <t>errors.byteLength</t>
  </si>
  <si>
    <t>{0}には{1}文字で入力してください。</t>
  </si>
  <si>
    <t>最大値チェック</t>
  </si>
  <si>
    <t>Min Value =</t>
    <phoneticPr fontId="12"/>
  </si>
  <si>
    <t>Max Value =</t>
    <phoneticPr fontId="12"/>
  </si>
  <si>
    <t>errors.range</t>
  </si>
  <si>
    <t>{0}には{1}から{2}までの範囲で入力してください。</t>
    <phoneticPr fontId="12"/>
  </si>
  <si>
    <t>最小値チェック</t>
  </si>
  <si>
    <t>errors.byteRange</t>
  </si>
  <si>
    <t>メールアドレス形式チェック</t>
  </si>
  <si>
    <t>Max Length =</t>
    <phoneticPr fontId="12"/>
  </si>
  <si>
    <t>errors.stringLength</t>
  </si>
  <si>
    <t>区分値チェック（Enum）</t>
  </si>
  <si>
    <t>Date Format =</t>
    <phoneticPr fontId="12"/>
  </si>
  <si>
    <t>errors.date</t>
    <phoneticPr fontId="12"/>
  </si>
  <si>
    <t>{0}には正しい日付を入力してください。</t>
    <phoneticPr fontId="12"/>
  </si>
  <si>
    <t>区分値チェック（AppEnum）</t>
  </si>
  <si>
    <t>Start Date =</t>
    <phoneticPr fontId="12"/>
  </si>
  <si>
    <t>End Date =</t>
    <phoneticPr fontId="12"/>
  </si>
  <si>
    <t>errors.dateRange</t>
  </si>
  <si>
    <t>{0}には半角英数および半角ハイフンを入力してください。</t>
    <rPh sb="5" eb="7">
      <t>ハンカク</t>
    </rPh>
    <rPh sb="12" eb="14">
      <t>ハンカク</t>
    </rPh>
    <phoneticPr fontId="12"/>
  </si>
  <si>
    <t>Numer of Integer Part Digits =</t>
    <phoneticPr fontId="12"/>
  </si>
  <si>
    <t>Numer of Decimal Part Digits =</t>
    <phoneticPr fontId="12"/>
  </si>
  <si>
    <t>Number of Integer Digists Check =</t>
    <phoneticPr fontId="12"/>
  </si>
  <si>
    <t>Number of Decimal Digits Check =</t>
    <phoneticPr fontId="12"/>
  </si>
  <si>
    <t>errors.number</t>
    <phoneticPr fontId="60"/>
  </si>
  <si>
    <t>{0}には整数部{1}桁、小数部{2}桁までの範囲で入力してください。</t>
    <phoneticPr fontId="12"/>
  </si>
  <si>
    <t>Min Number of Characters =</t>
    <phoneticPr fontId="12"/>
  </si>
  <si>
    <t>errors.minlength</t>
  </si>
  <si>
    <t>{0}には{1}文字以上で入力してください。</t>
  </si>
  <si>
    <t>Max Number of Characters =</t>
    <phoneticPr fontId="12"/>
  </si>
  <si>
    <t>{0}には{1}文字以下で入力してください。</t>
  </si>
  <si>
    <t>errors.email</t>
  </si>
  <si>
    <t>{0}にはｅメールアドレスの形式で入力してください。</t>
  </si>
  <si>
    <t>errors.creditcard</t>
  </si>
  <si>
    <t>{0}には正しいクレジットカード番号を入力してください。</t>
  </si>
  <si>
    <t>全スキーム許可=</t>
    <rPh sb="0" eb="8">
      <t>ゼンキョカ</t>
    </rPh>
    <phoneticPr fontId="12"/>
  </si>
  <si>
    <t>"//"許可=</t>
    <rPh sb="0" eb="7">
      <t>キョカ</t>
    </rPh>
    <phoneticPr fontId="12"/>
  </si>
  <si>
    <t>"#"許可=</t>
    <rPh sb="0" eb="6">
      <t>キョカ</t>
    </rPh>
    <phoneticPr fontId="12"/>
  </si>
  <si>
    <t>許可スキーム=</t>
    <rPh sb="0" eb="7">
      <t>キョカ</t>
    </rPh>
    <phoneticPr fontId="12"/>
  </si>
  <si>
    <t>errors.url</t>
  </si>
  <si>
    <t>{0}には適切なURL形式で入力してください。</t>
  </si>
  <si>
    <t>Prohibited Characters =</t>
    <phoneticPr fontId="12"/>
  </si>
  <si>
    <t>errors.prohibited</t>
  </si>
  <si>
    <t>{0}に入力禁止文字"{1}"が含まれています。</t>
    <phoneticPr fontId="12"/>
  </si>
  <si>
    <t>Regular Expression =</t>
    <phoneticPr fontId="12"/>
  </si>
  <si>
    <t>errors.invalid</t>
  </si>
  <si>
    <t>{0}の入力形式が間違っています。</t>
    <phoneticPr fontId="12"/>
  </si>
  <si>
    <t>errors.displayName</t>
    <phoneticPr fontId="12"/>
  </si>
  <si>
    <t>{0}の入力に誤りがあります。</t>
    <rPh sb="7" eb="8">
      <t>アヤマ</t>
    </rPh>
    <phoneticPr fontId="12"/>
  </si>
  <si>
    <t>申請入力エリア</t>
  </si>
  <si>
    <t>2.3</t>
  </si>
  <si>
    <t>2.5</t>
  </si>
  <si>
    <t>2.7</t>
  </si>
  <si>
    <t>提出先企業名</t>
  </si>
  <si>
    <t>エンドユーザー</t>
  </si>
  <si>
    <t>製品名/CL-No.</t>
  </si>
  <si>
    <t>化学物質データ選択</t>
  </si>
  <si>
    <t>データバージョン情報</t>
  </si>
  <si>
    <t>戻る</t>
  </si>
  <si>
    <t>次へ</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</si>
  <si>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</si>
  <si>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Submission_company</t>
    <phoneticPr fontId="56"/>
  </si>
  <si>
    <t>End User</t>
    <phoneticPr fontId="56"/>
  </si>
  <si>
    <t>Required for distributors and trading companies</t>
    <phoneticPr fontId="56"/>
  </si>
  <si>
    <t>Product Name/CL-No.</t>
    <phoneticPr fontId="56"/>
  </si>
  <si>
    <t>Up to 100 Items can be enterd.</t>
    <phoneticPr fontId="56"/>
  </si>
  <si>
    <t>Please enter the product name accurately, including any symbols or other identifiers.</t>
    <phoneticPr fontId="56"/>
  </si>
  <si>
    <t>Select Chemical substances data</t>
    <phoneticPr fontId="56"/>
  </si>
  <si>
    <t>RoHS Certficate of conformity</t>
    <phoneticPr fontId="56"/>
  </si>
  <si>
    <t>Halogen-Free Certificate</t>
    <phoneticPr fontId="56"/>
  </si>
  <si>
    <t>Composition List</t>
    <phoneticPr fontId="56"/>
  </si>
  <si>
    <t>High precision analysis data(JCP)</t>
    <phoneticPr fontId="56"/>
  </si>
  <si>
    <t>SVHC Investigation report</t>
    <phoneticPr fontId="56"/>
  </si>
  <si>
    <t xml:space="preserve"> RoHS：　2011/65/EU（6物質）</t>
    <rPh sb="19" eb="21">
      <t>ブッシツ</t>
    </rPh>
    <phoneticPr fontId="56"/>
  </si>
  <si>
    <t xml:space="preserve"> SVHC：ECHAのwebサイト上の候補リストにある209個の物質</t>
    <rPh sb="17" eb="18">
      <t>ジョウ</t>
    </rPh>
    <rPh sb="19" eb="21">
      <t>コウホ</t>
    </rPh>
    <rPh sb="30" eb="31">
      <t>コ</t>
    </rPh>
    <rPh sb="32" eb="34">
      <t>ブッシツ</t>
    </rPh>
    <phoneticPr fontId="56"/>
  </si>
  <si>
    <t xml:space="preserve"> chemSHERPA：Ver 1.05</t>
    <phoneticPr fontId="56"/>
  </si>
  <si>
    <t>【データのバージョン情報】</t>
    <rPh sb="10" eb="12">
      <t>ジョウホウ</t>
    </rPh>
    <phoneticPr fontId="56"/>
  </si>
  <si>
    <t>2.6　日英表記切替ボタン</t>
    <rPh sb="4" eb="8">
      <t>ニチエイヒョウキ</t>
    </rPh>
    <rPh sb="8" eb="10">
      <t>キリカエ</t>
    </rPh>
    <phoneticPr fontId="12"/>
  </si>
  <si>
    <t>r1.1</t>
    <phoneticPr fontId="12"/>
  </si>
  <si>
    <t>古竹</t>
    <rPh sb="0" eb="2">
      <t>フルタケ</t>
    </rPh>
    <phoneticPr fontId="12"/>
  </si>
  <si>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2"/>
  </si>
  <si>
    <t>化学物質データ申請画面</t>
    <rPh sb="0" eb="2">
      <t>カガク</t>
    </rPh>
    <rPh sb="2" eb="4">
      <t>ブッシツ</t>
    </rPh>
    <rPh sb="7" eb="9">
      <t>シンセイ</t>
    </rPh>
    <rPh sb="9" eb="11">
      <t>ガメン</t>
    </rPh>
    <phoneticPr fontId="50"/>
  </si>
  <si>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</si>
  <si>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</si>
  <si>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</si>
  <si>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</si>
  <si>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</si>
  <si>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</si>
  <si>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</si>
  <si>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</si>
  <si>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</si>
  <si>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</si>
  <si>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</si>
  <si>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</si>
  <si>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</si>
  <si>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1"/>
  </si>
  <si>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1"/>
  </si>
  <si>
    <t>以下のようにパンくずリストを表示する。</t>
    <rPh sb="0" eb="2">
      <t>イカ</t>
    </rPh>
    <rPh sb="14" eb="16">
      <t>ヒョウジ</t>
    </rPh>
    <phoneticPr fontId="1"/>
  </si>
  <si>
    <t>『製品トップ &gt; 化学物質データ申請』</t>
    <rPh sb="1" eb="3">
      <t>セイヒン</t>
    </rPh>
    <rPh sb="9" eb="11">
      <t>カガク</t>
    </rPh>
    <rPh sb="11" eb="13">
      <t>ブッシツ</t>
    </rPh>
    <rPh sb="16" eb="18">
      <t>シンセイ</t>
    </rPh>
    <phoneticPr fontId="1"/>
  </si>
  <si>
    <t>2. 申請入力エリア</t>
    <rPh sb="3" eb="5">
      <t>シンセイ</t>
    </rPh>
    <rPh sb="5" eb="7">
      <t>ニュウリョク</t>
    </rPh>
    <phoneticPr fontId="1"/>
  </si>
  <si>
    <t>必須項目。</t>
    <rPh sb="0" eb="2">
      <t>ヒッス</t>
    </rPh>
    <rPh sb="2" eb="4">
      <t>コウモク</t>
    </rPh>
    <phoneticPr fontId="1"/>
  </si>
  <si>
    <r>
      <t>最大</t>
    </r>
    <r>
      <rPr>
        <sz val="11"/>
        <color rgb="FFFF0000"/>
        <rFont val="Meiryo UI"/>
        <family val="3"/>
        <charset val="128"/>
      </rPr>
      <t>255桁</t>
    </r>
    <r>
      <rPr>
        <sz val="11"/>
        <rFont val="Meiryo UI"/>
        <family val="3"/>
        <charset val="128"/>
      </rPr>
      <t>まで入力可能。</t>
    </r>
    <rPh sb="0" eb="2">
      <t>サイダイ</t>
    </rPh>
    <rPh sb="5" eb="6">
      <t>ケタ</t>
    </rPh>
    <rPh sb="8" eb="10">
      <t>ニュウリョク</t>
    </rPh>
    <rPh sb="10" eb="12">
      <t>カノウ</t>
    </rPh>
    <phoneticPr fontId="1"/>
  </si>
  <si>
    <t>任意項目。</t>
    <rPh sb="0" eb="2">
      <t>ニンイ</t>
    </rPh>
    <rPh sb="2" eb="4">
      <t>コウモク</t>
    </rPh>
    <phoneticPr fontId="1"/>
  </si>
  <si>
    <t>文字制限はほぼなし（詳細は、画面項目シート参照）</t>
    <rPh sb="0" eb="2">
      <t>モジ</t>
    </rPh>
    <rPh sb="2" eb="4">
      <t>セイゲン</t>
    </rPh>
    <rPh sb="10" eb="12">
      <t>ショウサイ</t>
    </rPh>
    <rPh sb="14" eb="16">
      <t>ガメン</t>
    </rPh>
    <rPh sb="16" eb="18">
      <t>コウモク</t>
    </rPh>
    <rPh sb="21" eb="23">
      <t>サンショウ</t>
    </rPh>
    <phoneticPr fontId="1"/>
  </si>
  <si>
    <t>最大文字数は100とする。</t>
    <rPh sb="0" eb="2">
      <t>サイダイ</t>
    </rPh>
    <rPh sb="2" eb="5">
      <t>モジスウ</t>
    </rPh>
    <phoneticPr fontId="1"/>
  </si>
  <si>
    <t>2.3 製品名/CL-No.(ヒロセ製品番号)</t>
    <rPh sb="4" eb="7">
      <t>セイヒンメイ</t>
    </rPh>
    <rPh sb="18" eb="20">
      <t>セイヒン</t>
    </rPh>
    <rPh sb="20" eb="22">
      <t>バンゴウ</t>
    </rPh>
    <phoneticPr fontId="1"/>
  </si>
  <si>
    <t>使用できる文字は、以下でない文字とする。</t>
    <rPh sb="14" eb="16">
      <t>モジ</t>
    </rPh>
    <phoneticPr fontId="1"/>
  </si>
  <si>
    <t>最大100件の製品名/CL-Noを登録可能。</t>
    <rPh sb="7" eb="10">
      <t>セイヒンメイ</t>
    </rPh>
    <phoneticPr fontId="1"/>
  </si>
  <si>
    <t>1行あたり1つの製品名/CL-No.を記載するものとする。</t>
    <rPh sb="8" eb="11">
      <t>セイヒンメイ</t>
    </rPh>
    <phoneticPr fontId="1"/>
  </si>
  <si>
    <t>製品名/CL-Noのチェック条件でバリデーションを行う。</t>
    <rPh sb="0" eb="3">
      <t>セイヒンメイ</t>
    </rPh>
    <rPh sb="14" eb="16">
      <t>ジョウケン</t>
    </rPh>
    <rPh sb="25" eb="26">
      <t>オコナ</t>
    </rPh>
    <phoneticPr fontId="1"/>
  </si>
  <si>
    <t>入力形式をプレースホルダーにて明記。</t>
    <rPh sb="0" eb="2">
      <t>ニュウリョク</t>
    </rPh>
    <rPh sb="2" eb="4">
      <t>ケイシキ</t>
    </rPh>
    <rPh sb="15" eb="17">
      <t>メイキ</t>
    </rPh>
    <phoneticPr fontId="1"/>
  </si>
  <si>
    <t>2.4 化学物質データ選択</t>
    <rPh sb="4" eb="6">
      <t>カガク</t>
    </rPh>
    <rPh sb="6" eb="8">
      <t>ブッシツ</t>
    </rPh>
    <rPh sb="11" eb="13">
      <t>センタク</t>
    </rPh>
    <phoneticPr fontId="1"/>
  </si>
  <si>
    <t>取得したい証明書についてチェックを付与する。</t>
    <rPh sb="0" eb="2">
      <t>シュトク</t>
    </rPh>
    <rPh sb="5" eb="8">
      <t>ショウメイショ</t>
    </rPh>
    <rPh sb="17" eb="19">
      <t>フヨ</t>
    </rPh>
    <phoneticPr fontId="1"/>
  </si>
  <si>
    <t>1つ以上チェックがついていないと申請できない。</t>
    <rPh sb="2" eb="4">
      <t>イジョウ</t>
    </rPh>
    <rPh sb="16" eb="18">
      <t>シンセイ</t>
    </rPh>
    <phoneticPr fontId="1"/>
  </si>
  <si>
    <t>2.5 データバージョン情報</t>
    <rPh sb="12" eb="14">
      <t>ジョウホウ</t>
    </rPh>
    <phoneticPr fontId="1"/>
  </si>
  <si>
    <t>事前に用意されているスタティック情報を表示する。</t>
    <rPh sb="0" eb="2">
      <t>ジゼン</t>
    </rPh>
    <rPh sb="3" eb="5">
      <t>ヨウイ</t>
    </rPh>
    <rPh sb="16" eb="18">
      <t>ジョウホウ</t>
    </rPh>
    <rPh sb="19" eb="21">
      <t>ヒョウジ</t>
    </rPh>
    <phoneticPr fontId="1"/>
  </si>
  <si>
    <t>押下すると、化学物質データ画面に戻る</t>
    <rPh sb="0" eb="2">
      <t>オウカ</t>
    </rPh>
    <rPh sb="6" eb="8">
      <t>カガク</t>
    </rPh>
    <rPh sb="8" eb="10">
      <t>ブッシツ</t>
    </rPh>
    <rPh sb="13" eb="15">
      <t>ガメン</t>
    </rPh>
    <rPh sb="16" eb="17">
      <t>モド</t>
    </rPh>
    <phoneticPr fontId="1"/>
  </si>
  <si>
    <t>押下された場合、入力された内容のバリデーションを行う。</t>
    <rPh sb="0" eb="2">
      <t>オウカ</t>
    </rPh>
    <rPh sb="5" eb="7">
      <t>バアイ</t>
    </rPh>
    <rPh sb="8" eb="10">
      <t>ニュウリョク</t>
    </rPh>
    <rPh sb="13" eb="15">
      <t>ナイヨウ</t>
    </rPh>
    <rPh sb="24" eb="25">
      <t>オコナ</t>
    </rPh>
    <phoneticPr fontId="1"/>
  </si>
  <si>
    <t>[エラーがあった場合]</t>
    <rPh sb="8" eb="10">
      <t>バアイ</t>
    </rPh>
    <phoneticPr fontId="1"/>
  </si>
  <si>
    <t>エラーメッセージを表示する。画面遷移はしない。</t>
    <rPh sb="9" eb="11">
      <t>ヒョウジ</t>
    </rPh>
    <rPh sb="14" eb="16">
      <t>ガメン</t>
    </rPh>
    <rPh sb="16" eb="18">
      <t>センイ</t>
    </rPh>
    <phoneticPr fontId="1"/>
  </si>
  <si>
    <t>[エラーがなかった場合]</t>
    <rPh sb="9" eb="11">
      <t>バアイ</t>
    </rPh>
    <phoneticPr fontId="1"/>
  </si>
  <si>
    <t>化学物質データ確認画面に遷移する。</t>
    <rPh sb="0" eb="2">
      <t>カガク</t>
    </rPh>
    <rPh sb="2" eb="4">
      <t>ブッシツ</t>
    </rPh>
    <rPh sb="7" eb="9">
      <t>カクニン</t>
    </rPh>
    <rPh sb="9" eb="11">
      <t>ガメン</t>
    </rPh>
    <rPh sb="12" eb="14">
      <t>センイ</t>
    </rPh>
    <phoneticPr fontId="1"/>
  </si>
  <si>
    <t>2.7 戻るボタン</t>
    <rPh sb="4" eb="5">
      <t>モド</t>
    </rPh>
    <phoneticPr fontId="1"/>
  </si>
  <si>
    <t>2.8 次へボタン</t>
    <rPh sb="4" eb="5">
      <t>ツギ</t>
    </rPh>
    <phoneticPr fontId="1"/>
  </si>
  <si>
    <t>化学物質データ / Chemical substance data</t>
    <rPh sb="0" eb="2">
      <t>カガクブッシツ</t>
    </rPh>
    <phoneticPr fontId="56"/>
  </si>
  <si>
    <t>r1.2</t>
    <phoneticPr fontId="12"/>
  </si>
  <si>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2"/>
  </si>
  <si>
    <t>データ申請画面（日英切替）シートを削除</t>
    <rPh sb="3" eb="5">
      <t>シンセイ</t>
    </rPh>
    <rPh sb="5" eb="7">
      <t>ガメン</t>
    </rPh>
    <rPh sb="8" eb="10">
      <t>ニチエイ</t>
    </rPh>
    <rPh sb="10" eb="12">
      <t>キリカエ</t>
    </rPh>
    <rPh sb="17" eb="19">
      <t>サクジョ</t>
    </rPh>
    <phoneticPr fontId="12"/>
  </si>
  <si>
    <t>「化学物質データ申請画面(日英併記)」</t>
    <phoneticPr fontId="12"/>
  </si>
  <si>
    <t>化学物質データ申請</t>
    <rPh sb="0" eb="4">
      <t>カガクブッシツ</t>
    </rPh>
    <rPh sb="7" eb="9">
      <t>シンセイ</t>
    </rPh>
    <phoneticPr fontId="5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</si>
</sst>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0;\-#,##0;&quot;-&quot;"/>
    <numFmt numFmtId="177" formatCode="0.00_)"/>
    <numFmt numFmtId="178" formatCode="#,##0.00;[Red]\(#,##0.00\)"/>
    <numFmt numFmtId="179" formatCode="#,##0.00_);[Red]\(#,##0.00\)"/>
    <numFmt numFmtId="180" formatCode="0.0_);[Red]\(0.0\)"/>
    <numFmt numFmtId="181" formatCode="#,##0.00_ "/>
    <numFmt numFmtId="182" formatCode="#,##0_ "/>
    <numFmt numFmtId="183" formatCode="#,##0_);[Red]\(#,##0\)"/>
    <numFmt numFmtId="184" formatCode="0.0%"/>
    <numFmt numFmtId="185" formatCode="#,##0_ ;[Red]\-#,##0\ "/>
    <numFmt numFmtId="186" formatCode="#,##0.0000_);[Red]\(#,##0.0000\)"/>
    <numFmt numFmtId="187" formatCode="0.0000_);[Red]\(0.0000\)"/>
    <numFmt numFmtId="188" formatCode="#,##0.0000_ "/>
    <numFmt numFmtId="189" formatCode="0.00_);[Red]\(0.00\)"/>
    <numFmt numFmtId="190" formatCode="0.0000_ "/>
    <numFmt numFmtId="191" formatCode="0_);[Red]\(0\)"/>
  </numFmts>
  <fonts count="128">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rgb="FFFF0000"/>
      <name val="ＭＳ Ｐゴシック"/>
      <family val="3"/>
      <charset val="128"/>
    </font>
    <font>
      <sz val="10"/>
      <color theme="1"/>
      <name val="ＭＳ Ｐゴシック"/>
      <family val="3"/>
      <charset val="128"/>
      <scheme val="minor"/>
    </font>
    <font>
      <sz val="10"/>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0"/>
      <name val="ＭＳ Ｐゴシック"/>
      <family val="2"/>
      <charset val="128"/>
      <scheme val="minor"/>
    </font>
    <font>
      <sz val="10"/>
      <color theme="1"/>
      <name val="ＭＳ Ｐゴシック"/>
      <family val="2"/>
      <charset val="128"/>
      <scheme val="minor"/>
    </font>
    <font>
      <sz val="11"/>
      <color theme="1"/>
      <name val="ＭＳ Ｐゴシック"/>
      <family val="2"/>
      <scheme val="minor"/>
    </font>
    <font>
      <sz val="6"/>
      <name val="ＭＳ Ｐゴシック"/>
      <family val="2"/>
      <charset val="128"/>
      <scheme val="minor"/>
    </font>
    <font>
      <sz val="9"/>
      <name val="ＭＳ Ｐゴシック"/>
      <family val="3"/>
      <charset val="128"/>
      <scheme val="minor"/>
    </font>
    <font>
      <sz val="11"/>
      <color theme="1"/>
      <name val="ＭＳ Ｐゴシック"/>
      <family val="3"/>
      <charset val="128"/>
      <scheme val="minor"/>
    </font>
    <font>
      <u/>
      <sz val="9"/>
      <color theme="3" tint="0.39997558519241921"/>
      <name val="ＭＳ Ｐゴシック"/>
      <family val="3"/>
      <charset val="128"/>
      <scheme val="minor"/>
    </font>
    <font>
      <sz val="10"/>
      <color rgb="FFFF0000"/>
      <name val="ＭＳ Ｐゴシック"/>
      <family val="3"/>
      <charset val="128"/>
      <scheme val="minor"/>
    </font>
    <font>
      <sz val="10"/>
      <name val="ＭＳ Ｐゴシック"/>
      <family val="2"/>
      <charset val="128"/>
      <scheme val="minor"/>
    </font>
    <font>
      <sz val="11"/>
      <color theme="0" tint="-0.14999847407452621"/>
      <name val="ＭＳ Ｐゴシック"/>
      <family val="2"/>
      <charset val="128"/>
      <scheme val="minor"/>
    </font>
    <font>
      <sz val="11"/>
      <color rgb="FFFFFF00"/>
      <name val="ＭＳ Ｐゴシック"/>
      <family val="2"/>
      <charset val="128"/>
      <scheme val="minor"/>
    </font>
    <font>
      <b/>
      <sz val="14"/>
      <color theme="0"/>
      <name val="ＭＳ Ｐゴシック"/>
      <family val="3"/>
      <charset val="128"/>
      <scheme val="minor"/>
    </font>
    <font>
      <sz val="10"/>
      <color theme="0" tint="-0.34998626667073579"/>
      <name val="ＭＳ Ｐゴシック"/>
      <family val="3"/>
      <charset val="128"/>
      <scheme val="minor"/>
    </font>
    <font>
      <u/>
      <sz val="10"/>
      <name val="ＭＳ Ｐゴシック"/>
      <family val="3"/>
      <charset val="128"/>
      <scheme val="minor"/>
    </font>
    <font>
      <b/>
      <sz val="10"/>
      <color rgb="FF00B050"/>
      <name val="ＭＳ Ｐゴシック"/>
      <family val="3"/>
      <charset val="128"/>
      <scheme val="minor"/>
    </font>
    <font>
      <b/>
      <sz val="10"/>
      <color rgb="FFFF0000"/>
      <name val="ＭＳ Ｐゴシック"/>
      <family val="3"/>
      <charset val="128"/>
      <scheme val="minor"/>
    </font>
    <font>
      <sz val="10"/>
      <color theme="0" tint="-0.499984740745262"/>
      <name val="ＭＳ Ｐゴシック"/>
      <family val="3"/>
      <charset val="128"/>
      <scheme val="minor"/>
    </font>
    <font>
      <sz val="9"/>
      <color theme="1"/>
      <name val="ＭＳ Ｐゴシック"/>
      <family val="3"/>
      <charset val="128"/>
      <scheme val="minor"/>
    </font>
    <font>
      <b/>
      <sz val="10"/>
      <name val="ＭＳ Ｐゴシック"/>
      <family val="3"/>
      <charset val="128"/>
      <scheme val="minor"/>
    </font>
    <font>
      <b/>
      <sz val="10"/>
      <color theme="1"/>
      <name val="ＭＳ Ｐゴシック"/>
      <family val="3"/>
      <charset val="128"/>
      <scheme val="minor"/>
    </font>
    <font>
      <u/>
      <sz val="10"/>
      <color rgb="FF0070C0"/>
      <name val="ＭＳ Ｐゴシック"/>
      <family val="3"/>
      <charset val="128"/>
      <scheme val="minor"/>
    </font>
    <font>
      <sz val="11"/>
      <color rgb="FFFF0000"/>
      <name val="ＭＳ Ｐゴシック"/>
      <family val="3"/>
      <charset val="128"/>
      <scheme val="minor"/>
    </font>
    <font>
      <sz val="10"/>
      <color theme="0"/>
      <name val="ＭＳ Ｐゴシック"/>
      <family val="3"/>
      <charset val="128"/>
      <scheme val="minor"/>
    </font>
    <font>
      <sz val="10"/>
      <color rgb="FF0000FF"/>
      <name val="ＭＳ Ｐゴシック"/>
      <family val="3"/>
      <charset val="128"/>
      <scheme val="minor"/>
    </font>
    <font>
      <strike/>
      <sz val="10"/>
      <color rgb="FFFF0000"/>
      <name val="ＭＳ Ｐゴシック"/>
      <family val="3"/>
      <charset val="128"/>
      <scheme val="minor"/>
    </font>
    <font>
      <b/>
      <sz val="12"/>
      <name val="Arial Black"/>
      <family val="2"/>
    </font>
    <font>
      <sz val="9"/>
      <color indexed="81"/>
      <name val="MS P ゴシック"/>
      <family val="3"/>
      <charset val="128"/>
    </font>
    <font>
      <b/>
      <sz val="10"/>
      <color rgb="FF00B0F0"/>
      <name val="ＭＳ Ｐゴシック"/>
      <family val="3"/>
      <charset val="128"/>
      <scheme val="minor"/>
    </font>
    <font>
      <sz val="10"/>
      <color theme="6" tint="0.39997558519241921"/>
      <name val="ＭＳ Ｐゴシック"/>
      <family val="3"/>
      <charset val="128"/>
      <scheme val="minor"/>
    </font>
    <font>
      <b/>
      <sz val="10"/>
      <color theme="6" tint="0.39997558519241921"/>
      <name val="ＭＳ Ｐゴシック"/>
      <family val="3"/>
      <charset val="128"/>
      <scheme val="minor"/>
    </font>
    <font>
      <sz val="9"/>
      <color rgb="FFFF0000"/>
      <name val="ＭＳ Ｐゴシック"/>
      <family val="3"/>
      <charset val="128"/>
      <scheme val="minor"/>
    </font>
    <font>
      <u/>
      <sz val="10"/>
      <color theme="1"/>
      <name val="ＭＳ Ｐゴシック"/>
      <family val="3"/>
      <charset val="128"/>
      <scheme val="minor"/>
    </font>
    <font>
      <b/>
      <sz val="10"/>
      <color rgb="FF0000FF"/>
      <name val="ＭＳ Ｐゴシック"/>
      <family val="3"/>
      <charset val="128"/>
      <scheme val="minor"/>
    </font>
    <font>
      <sz val="10"/>
      <color rgb="FF00B050"/>
      <name val="ＭＳ Ｐゴシック"/>
      <family val="3"/>
      <charset val="128"/>
      <scheme val="minor"/>
    </font>
    <font>
      <sz val="9"/>
      <color rgb="FF0000FF"/>
      <name val="ＭＳ Ｐゴシック"/>
      <family val="3"/>
      <charset val="128"/>
      <scheme val="minor"/>
    </font>
    <font>
      <sz val="11"/>
      <color rgb="FF0000FF"/>
      <name val="ＭＳ Ｐゴシック"/>
      <family val="3"/>
      <charset val="128"/>
      <scheme val="minor"/>
    </font>
    <font>
      <b/>
      <sz val="9"/>
      <color rgb="FF0000FF"/>
      <name val="ＭＳ Ｐゴシック"/>
      <family val="3"/>
      <charset val="128"/>
      <scheme val="minor"/>
    </font>
    <font>
      <strike/>
      <u/>
      <sz val="10"/>
      <color theme="1"/>
      <name val="ＭＳ Ｐゴシック"/>
      <family val="3"/>
      <charset val="128"/>
      <scheme val="minor"/>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10"/>
      <color rgb="FFFF0000"/>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z val="10"/>
      <color indexed="8"/>
      <name val="ＭＳ Ｐゴシック"/>
      <family val="3"/>
      <charset val="128"/>
    </font>
    <font>
      <b/>
      <sz val="10"/>
      <color indexed="8"/>
      <name val="ＭＳ Ｐゴシック"/>
      <family val="3"/>
      <charset val="128"/>
    </font>
    <font>
      <strike/>
      <sz val="11"/>
      <color rgb="FFFF0000"/>
      <name val="Meiryo UI"/>
      <family val="3"/>
      <charset val="128"/>
    </font>
    <font>
      <strike/>
      <sz val="10"/>
      <name val="Meiryo UI"/>
      <family val="3"/>
      <charset val="128"/>
    </font>
    <font>
      <i/>
      <sz val="10"/>
      <name val="Meiryo UI"/>
      <family val="3"/>
      <charset val="128"/>
    </font>
    <font>
      <b/>
      <sz val="9"/>
      <color indexed="81"/>
      <name val="ＭＳ Ｐゴシック"/>
      <family val="3"/>
      <charset val="128"/>
    </font>
    <font>
      <sz val="8"/>
      <color rgb="FFFF0000"/>
      <name val="Meiryo UI"/>
      <family val="3"/>
      <charset val="128"/>
    </font>
  </fonts>
  <fills count="3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3"/>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theme="1" tint="0.24994659260841701"/>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0" tint="-0.14996795556505021"/>
        <bgColor indexed="64"/>
      </patternFill>
    </fill>
    <fill>
      <patternFill patternType="solid">
        <fgColor rgb="FF00B0F0"/>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indexed="55"/>
        <bgColor indexed="64"/>
      </patternFill>
    </fill>
    <fill>
      <patternFill patternType="solid">
        <fgColor rgb="FFE4EBF4"/>
        <bgColor indexed="64"/>
      </patternFill>
    </fill>
  </fills>
  <borders count="7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style="thin">
        <color indexed="64"/>
      </right>
      <top style="thin">
        <color indexed="64"/>
      </top>
      <bottom/>
      <diagonal/>
    </border>
    <border>
      <left/>
      <right style="thin">
        <color theme="0" tint="-0.499984740745262"/>
      </right>
      <top style="thin">
        <color indexed="64"/>
      </top>
      <bottom/>
      <diagonal/>
    </border>
    <border>
      <left style="thin">
        <color theme="0" tint="-0.499984740745262"/>
      </left>
      <right style="thin">
        <color indexed="64"/>
      </right>
      <top/>
      <bottom style="thin">
        <color indexed="64"/>
      </bottom>
      <diagonal/>
    </border>
    <border>
      <left/>
      <right style="thin">
        <color theme="0" tint="-0.499984740745262"/>
      </right>
      <top/>
      <bottom style="thin">
        <color indexed="64"/>
      </bottom>
      <diagonal/>
    </border>
    <border>
      <left style="thin">
        <color theme="0" tint="-0.499984740745262"/>
      </left>
      <right style="thin">
        <color indexed="64"/>
      </right>
      <top style="thin">
        <color indexed="64"/>
      </top>
      <bottom style="thin">
        <color indexed="64"/>
      </bottom>
      <diagonal/>
    </border>
    <border>
      <left/>
      <right style="thin">
        <color theme="0" tint="-0.499984740745262"/>
      </right>
      <top style="thin">
        <color indexed="64"/>
      </top>
      <bottom style="thin">
        <color indexed="64"/>
      </bottom>
      <diagonal/>
    </border>
    <border>
      <left style="thin">
        <color theme="0" tint="-0.499984740745262"/>
      </left>
      <right/>
      <top style="thin">
        <color indexed="64"/>
      </top>
      <bottom style="thin">
        <color indexed="64"/>
      </bottom>
      <diagonal/>
    </border>
    <border>
      <left/>
      <right style="thin">
        <color indexed="64"/>
      </right>
      <top style="thin">
        <color theme="0" tint="-0.499984740745262"/>
      </top>
      <bottom/>
      <diagonal/>
    </border>
    <border>
      <left/>
      <right style="thin">
        <color indexed="64"/>
      </right>
      <top/>
      <bottom style="thin">
        <color theme="0" tint="-0.499984740745262"/>
      </bottom>
      <diagonal/>
    </border>
    <border>
      <left style="thin">
        <color indexed="64"/>
      </left>
      <right style="thin">
        <color theme="0" tint="-0.499984740745262"/>
      </right>
      <top/>
      <bottom/>
      <diagonal/>
    </border>
    <border>
      <left style="thin">
        <color theme="0" tint="-0.499984740745262"/>
      </left>
      <right style="thin">
        <color indexed="64"/>
      </right>
      <top style="thin">
        <color theme="0" tint="-0.499984740745262"/>
      </top>
      <bottom/>
      <diagonal/>
    </border>
    <border>
      <left style="thin">
        <color indexed="64"/>
      </left>
      <right/>
      <top style="thin">
        <color theme="0" tint="-0.499984740745262"/>
      </top>
      <bottom/>
      <diagonal/>
    </border>
    <border>
      <left style="thin">
        <color indexed="64"/>
      </left>
      <right/>
      <top style="thin">
        <color indexed="64"/>
      </top>
      <bottom style="thin">
        <color theme="0" tint="-0.499984740745262"/>
      </bottom>
      <diagonal/>
    </border>
    <border>
      <left/>
      <right/>
      <top style="thin">
        <color indexed="64"/>
      </top>
      <bottom style="thin">
        <color theme="0" tint="-0.499984740745262"/>
      </bottom>
      <diagonal/>
    </border>
    <border>
      <left/>
      <right style="thin">
        <color indexed="64"/>
      </right>
      <top style="thin">
        <color indexed="64"/>
      </top>
      <bottom style="thin">
        <color theme="0" tint="-0.499984740745262"/>
      </bottom>
      <diagonal/>
    </border>
    <border>
      <left style="thin">
        <color theme="0" tint="-0.499984740745262"/>
      </left>
      <right style="thin">
        <color indexed="64"/>
      </right>
      <top/>
      <bottom/>
      <diagonal/>
    </border>
    <border>
      <left style="thin">
        <color theme="0" tint="-0.499984740745262"/>
      </left>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0"/>
      </left>
      <right/>
      <top style="thin">
        <color indexed="0"/>
      </top>
      <bottom/>
      <diagonal/>
    </border>
    <border>
      <left/>
      <right/>
      <top style="thin">
        <color indexed="0"/>
      </top>
      <bottom/>
      <diagonal/>
    </border>
    <border>
      <left/>
      <right style="thin">
        <color indexed="0"/>
      </right>
      <top style="thin">
        <color indexed="0"/>
      </top>
      <bottom/>
      <diagonal/>
    </border>
    <border>
      <left/>
      <right style="thin">
        <color indexed="64"/>
      </right>
      <top style="thin">
        <color indexed="0"/>
      </top>
      <bottom style="thin">
        <color indexed="0"/>
      </bottom>
      <diagonal/>
    </border>
  </borders>
  <cellStyleXfs count="187">
    <xf numFmtId="0" fontId="0" fillId="0" borderId="0">
      <alignment vertical="center"/>
    </xf>
    <xf numFmtId="0" fontId="23" fillId="0" borderId="0"/>
    <xf numFmtId="0" fontId="23" fillId="0" borderId="0"/>
    <xf numFmtId="176" fontId="24" fillId="0" borderId="0" applyFill="0" applyBorder="0" applyAlignment="0"/>
    <xf numFmtId="0" fontId="25" fillId="3" borderId="0">
      <alignment horizontal="left"/>
    </xf>
    <xf numFmtId="0" fontId="26" fillId="3" borderId="0">
      <alignment horizontal="right"/>
    </xf>
    <xf numFmtId="0" fontId="27" fillId="4" borderId="0">
      <alignment horizontal="center"/>
    </xf>
    <xf numFmtId="0" fontId="26" fillId="3" borderId="0">
      <alignment horizontal="right"/>
    </xf>
    <xf numFmtId="0" fontId="27" fillId="4" borderId="0">
      <alignment horizontal="left"/>
    </xf>
    <xf numFmtId="0" fontId="28" fillId="0" borderId="0">
      <alignment horizontal="left"/>
    </xf>
    <xf numFmtId="38" fontId="29" fillId="5" borderId="0" applyNumberFormat="0" applyBorder="0" applyAlignment="0" applyProtection="0"/>
    <xf numFmtId="0" fontId="30" fillId="0" borderId="1" applyNumberFormat="0" applyAlignment="0" applyProtection="0">
      <alignment horizontal="left" vertical="center"/>
    </xf>
    <xf numFmtId="0" fontId="30" fillId="0" borderId="2">
      <alignment horizontal="left" vertical="center"/>
    </xf>
    <xf numFmtId="10" fontId="29" fillId="6" borderId="3" applyNumberFormat="0" applyBorder="0" applyAlignment="0" applyProtection="0"/>
    <xf numFmtId="0" fontId="25" fillId="3" borderId="0">
      <alignment horizontal="left"/>
    </xf>
    <xf numFmtId="0" fontId="31" fillId="4" borderId="0">
      <alignment horizontal="left"/>
    </xf>
    <xf numFmtId="177" fontId="32" fillId="0" borderId="0"/>
    <xf numFmtId="0" fontId="33" fillId="0" borderId="0"/>
    <xf numFmtId="178" fontId="34" fillId="4" borderId="0">
      <alignment horizontal="right"/>
    </xf>
    <xf numFmtId="0" fontId="35" fillId="7" borderId="0">
      <alignment horizontal="center"/>
    </xf>
    <xf numFmtId="0" fontId="36" fillId="8" borderId="0"/>
    <xf numFmtId="0" fontId="37" fillId="4" borderId="0" applyBorder="0">
      <alignment horizontal="centerContinuous"/>
    </xf>
    <xf numFmtId="0" fontId="38" fillId="8" borderId="0" applyBorder="0">
      <alignment horizontal="centerContinuous"/>
    </xf>
    <xf numFmtId="10" fontId="33" fillId="0" borderId="0" applyFont="0" applyFill="0" applyBorder="0" applyAlignment="0" applyProtection="0"/>
    <xf numFmtId="4" fontId="28" fillId="0" borderId="0">
      <alignment horizontal="right"/>
    </xf>
    <xf numFmtId="0" fontId="31" fillId="9" borderId="0">
      <alignment horizontal="center"/>
    </xf>
    <xf numFmtId="49" fontId="39" fillId="4" borderId="0">
      <alignment horizontal="center"/>
    </xf>
    <xf numFmtId="4" fontId="40" fillId="0" borderId="0">
      <alignment horizontal="right"/>
    </xf>
    <xf numFmtId="0" fontId="26" fillId="3" borderId="0">
      <alignment horizontal="center"/>
    </xf>
    <xf numFmtId="0" fontId="26" fillId="3" borderId="0">
      <alignment horizontal="centerContinuous"/>
    </xf>
    <xf numFmtId="0" fontId="41" fillId="4" borderId="0">
      <alignment horizontal="left"/>
    </xf>
    <xf numFmtId="49" fontId="41" fillId="4" borderId="0">
      <alignment horizontal="center"/>
    </xf>
    <xf numFmtId="0" fontId="25" fillId="3" borderId="0">
      <alignment horizontal="left"/>
    </xf>
    <xf numFmtId="49" fontId="41" fillId="4" borderId="0">
      <alignment horizontal="left"/>
    </xf>
    <xf numFmtId="0" fontId="25" fillId="3" borderId="0">
      <alignment horizontal="centerContinuous"/>
    </xf>
    <xf numFmtId="0" fontId="25" fillId="3" borderId="0">
      <alignment horizontal="right"/>
    </xf>
    <xf numFmtId="49" fontId="31" fillId="4" borderId="0">
      <alignment horizontal="left"/>
    </xf>
    <xf numFmtId="0" fontId="26" fillId="3" borderId="0">
      <alignment horizontal="right"/>
    </xf>
    <xf numFmtId="0" fontId="41" fillId="2" borderId="0">
      <alignment horizontal="center"/>
    </xf>
    <xf numFmtId="0" fontId="42" fillId="2" borderId="0">
      <alignment horizontal="center"/>
    </xf>
    <xf numFmtId="0" fontId="43" fillId="0" borderId="0">
      <alignment horizontal="left"/>
    </xf>
    <xf numFmtId="0" fontId="44" fillId="0" borderId="0"/>
    <xf numFmtId="0" fontId="45" fillId="0" borderId="0">
      <alignment horizontal="center"/>
    </xf>
    <xf numFmtId="0" fontId="46" fillId="4" borderId="0">
      <alignment horizontal="center"/>
    </xf>
    <xf numFmtId="0" fontId="47" fillId="0" borderId="0"/>
    <xf numFmtId="0" fontId="14" fillId="0" borderId="0">
      <alignment vertical="center"/>
    </xf>
    <xf numFmtId="0" fontId="14" fillId="0" borderId="0"/>
    <xf numFmtId="0" fontId="14" fillId="0" borderId="0"/>
    <xf numFmtId="0" fontId="14" fillId="0" borderId="0"/>
    <xf numFmtId="0" fontId="14" fillId="0" borderId="0"/>
    <xf numFmtId="0" fontId="14" fillId="0" borderId="0">
      <alignment vertical="center"/>
    </xf>
    <xf numFmtId="0" fontId="48" fillId="0" borderId="0"/>
    <xf numFmtId="0" fontId="11" fillId="0" borderId="0">
      <alignment vertical="center"/>
    </xf>
    <xf numFmtId="0" fontId="10"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9" fillId="0" borderId="0"/>
    <xf numFmtId="0" fontId="5" fillId="0" borderId="0">
      <alignment vertical="center"/>
    </xf>
    <xf numFmtId="0" fontId="62" fillId="0" borderId="0">
      <alignment vertical="center"/>
    </xf>
    <xf numFmtId="0" fontId="14"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3" fillId="0" borderId="0">
      <alignment vertical="center"/>
    </xf>
    <xf numFmtId="0" fontId="2" fillId="0" borderId="0">
      <alignment vertical="center"/>
    </xf>
  </cellStyleXfs>
  <cellXfs count="1094">
    <xf numFmtId="0" fontId="0" fillId="0" borderId="0" xfId="0">
      <alignment vertical="center"/>
    </xf>
    <xf numFmtId="0" fontId="14" fillId="0" borderId="0" xfId="48"/>
    <xf numFmtId="0" fontId="15" fillId="0" borderId="0" xfId="48" applyFont="1"/>
    <xf numFmtId="0" fontId="16" fillId="0" borderId="3" xfId="48" applyFont="1" applyBorder="1" applyAlignment="1">
      <alignment horizontal="center"/>
    </xf>
    <xf numFmtId="14" fontId="16" fillId="0" borderId="4" xfId="48" applyNumberFormat="1" applyFont="1" applyBorder="1" applyAlignment="1">
      <alignment horizontal="center"/>
    </xf>
    <xf numFmtId="0" fontId="16" fillId="0" borderId="4" xfId="48" applyFont="1" applyBorder="1" applyAlignment="1">
      <alignment horizontal="center"/>
    </xf>
    <xf numFmtId="0" fontId="16" fillId="0" borderId="5" xfId="48" applyFont="1" applyBorder="1" applyAlignment="1">
      <alignment horizontal="center"/>
    </xf>
    <xf numFmtId="0" fontId="17" fillId="0" borderId="0" xfId="48" applyFont="1"/>
    <xf numFmtId="0" fontId="20" fillId="0" borderId="0" xfId="48" applyFont="1" applyAlignment="1">
      <alignment vertical="center"/>
    </xf>
    <xf numFmtId="0" fontId="16" fillId="14" borderId="0" xfId="48" applyFont="1" applyFill="1" applyAlignment="1">
      <alignment horizontal="center"/>
    </xf>
    <xf numFmtId="14" fontId="16" fillId="14" borderId="0" xfId="48" applyNumberFormat="1" applyFont="1" applyFill="1" applyAlignment="1">
      <alignment horizontal="center"/>
    </xf>
    <xf numFmtId="0" fontId="18" fillId="11" borderId="0" xfId="48" applyFont="1" applyFill="1" applyAlignment="1">
      <alignment vertical="center"/>
    </xf>
    <xf numFmtId="0" fontId="19" fillId="12" borderId="0" xfId="48" applyFont="1" applyFill="1" applyAlignment="1">
      <alignment vertical="center"/>
    </xf>
    <xf numFmtId="0" fontId="20" fillId="0" borderId="0" xfId="48" applyFont="1" applyAlignment="1">
      <alignment horizontal="left" vertical="center"/>
    </xf>
    <xf numFmtId="0" fontId="19" fillId="12" borderId="0" xfId="48" applyFont="1" applyFill="1" applyAlignment="1">
      <alignment horizontal="center" vertical="center"/>
    </xf>
    <xf numFmtId="0" fontId="20" fillId="0" borderId="0" xfId="48" applyFont="1" applyAlignment="1">
      <alignment horizontal="center" vertical="center"/>
    </xf>
    <xf numFmtId="14" fontId="20" fillId="0" borderId="0" xfId="48" applyNumberFormat="1" applyFont="1" applyAlignment="1">
      <alignment horizontal="center" vertical="center"/>
    </xf>
    <xf numFmtId="0" fontId="19" fillId="11" borderId="0" xfId="48" applyFont="1" applyFill="1" applyAlignment="1">
      <alignment vertical="center"/>
    </xf>
    <xf numFmtId="0" fontId="21" fillId="0" borderId="0" xfId="48" applyFont="1" applyAlignment="1">
      <alignment vertical="center"/>
    </xf>
    <xf numFmtId="49" fontId="20" fillId="0" borderId="0" xfId="48" applyNumberFormat="1" applyFont="1" applyAlignment="1">
      <alignment horizontal="center" vertical="center"/>
    </xf>
    <xf numFmtId="0" fontId="22" fillId="0" borderId="0" xfId="48" applyFont="1" applyAlignment="1">
      <alignment vertical="center"/>
    </xf>
    <xf numFmtId="49" fontId="20" fillId="14" borderId="13" xfId="0" applyNumberFormat="1" applyFont="1" applyFill="1" applyBorder="1" applyAlignment="1">
      <alignment vertical="top"/>
    </xf>
    <xf numFmtId="0" fontId="20" fillId="10" borderId="6" xfId="49" applyFont="1" applyFill="1" applyBorder="1" applyAlignment="1">
      <alignment horizontal="right" vertical="center"/>
    </xf>
    <xf numFmtId="0" fontId="52" fillId="14" borderId="6" xfId="49" applyFont="1" applyFill="1" applyBorder="1" applyAlignment="1">
      <alignment horizontal="right" vertical="center"/>
    </xf>
    <xf numFmtId="0" fontId="54" fillId="14" borderId="0" xfId="0" applyFont="1" applyFill="1">
      <alignment vertical="center"/>
    </xf>
    <xf numFmtId="0" fontId="0" fillId="14" borderId="0" xfId="0" applyFill="1" applyAlignment="1">
      <alignment vertical="center" wrapText="1"/>
    </xf>
    <xf numFmtId="0" fontId="53" fillId="14" borderId="8" xfId="0" applyFont="1" applyFill="1" applyBorder="1">
      <alignment vertical="center"/>
    </xf>
    <xf numFmtId="49" fontId="20" fillId="10" borderId="15" xfId="0" applyNumberFormat="1" applyFont="1" applyFill="1" applyBorder="1" applyAlignment="1">
      <alignment horizontal="center" vertical="center"/>
    </xf>
    <xf numFmtId="0" fontId="53" fillId="14" borderId="0" xfId="0" applyFont="1" applyFill="1">
      <alignment vertical="center"/>
    </xf>
    <xf numFmtId="49" fontId="20" fillId="10" borderId="6" xfId="0" applyNumberFormat="1" applyFont="1" applyFill="1" applyBorder="1" applyAlignment="1">
      <alignment horizontal="left" vertical="center"/>
    </xf>
    <xf numFmtId="0" fontId="58" fillId="14" borderId="0" xfId="161" applyFont="1" applyFill="1">
      <alignment vertical="center"/>
    </xf>
    <xf numFmtId="0" fontId="53" fillId="14" borderId="0" xfId="161" applyFont="1" applyFill="1">
      <alignment vertical="center"/>
    </xf>
    <xf numFmtId="0" fontId="53" fillId="14" borderId="6" xfId="161" applyFont="1" applyFill="1" applyBorder="1">
      <alignment vertical="center"/>
    </xf>
    <xf numFmtId="0" fontId="53" fillId="14" borderId="11" xfId="161" applyFont="1" applyFill="1" applyBorder="1">
      <alignment vertical="center"/>
    </xf>
    <xf numFmtId="0" fontId="20" fillId="10" borderId="9" xfId="46" applyFont="1" applyFill="1" applyBorder="1" applyAlignment="1">
      <alignment horizontal="centerContinuous"/>
    </xf>
    <xf numFmtId="0" fontId="0" fillId="14" borderId="0" xfId="0" applyFill="1">
      <alignment vertical="center"/>
    </xf>
    <xf numFmtId="0" fontId="57" fillId="18" borderId="2" xfId="161" applyFont="1" applyFill="1" applyBorder="1">
      <alignment vertical="center"/>
    </xf>
    <xf numFmtId="0" fontId="53" fillId="14" borderId="2" xfId="0" applyFont="1" applyFill="1" applyBorder="1">
      <alignment vertical="center"/>
    </xf>
    <xf numFmtId="0" fontId="0" fillId="14" borderId="8" xfId="0" applyFill="1" applyBorder="1">
      <alignment vertical="center"/>
    </xf>
    <xf numFmtId="0" fontId="53" fillId="14" borderId="12" xfId="0" applyFont="1" applyFill="1" applyBorder="1">
      <alignment vertical="center"/>
    </xf>
    <xf numFmtId="0" fontId="20" fillId="10" borderId="22" xfId="46" applyFont="1" applyFill="1" applyBorder="1" applyAlignment="1">
      <alignment horizontal="centerContinuous"/>
    </xf>
    <xf numFmtId="0" fontId="53" fillId="14" borderId="0" xfId="161" applyFont="1" applyFill="1" applyAlignment="1">
      <alignment horizontal="left" vertical="center"/>
    </xf>
    <xf numFmtId="0" fontId="20" fillId="10" borderId="20" xfId="46" applyFont="1" applyFill="1" applyBorder="1" applyAlignment="1">
      <alignment horizontal="centerContinuous"/>
    </xf>
    <xf numFmtId="0" fontId="54" fillId="14" borderId="0" xfId="161" applyFont="1" applyFill="1">
      <alignment vertical="center"/>
    </xf>
    <xf numFmtId="0" fontId="53" fillId="14" borderId="0" xfId="161" applyFont="1" applyFill="1" applyAlignment="1">
      <alignment horizontal="center" vertical="center"/>
    </xf>
    <xf numFmtId="0" fontId="58" fillId="14" borderId="6" xfId="161" quotePrefix="1" applyFont="1" applyFill="1" applyBorder="1">
      <alignment vertical="center"/>
    </xf>
    <xf numFmtId="0" fontId="58" fillId="14" borderId="11" xfId="161" applyFont="1" applyFill="1" applyBorder="1">
      <alignment vertical="center"/>
    </xf>
    <xf numFmtId="0" fontId="68" fillId="18" borderId="10" xfId="161" applyFont="1" applyFill="1" applyBorder="1">
      <alignment vertical="center"/>
    </xf>
    <xf numFmtId="0" fontId="66" fillId="18" borderId="2" xfId="161" applyFont="1" applyFill="1" applyBorder="1">
      <alignment vertical="center"/>
    </xf>
    <xf numFmtId="0" fontId="67" fillId="18" borderId="2" xfId="161" applyFont="1" applyFill="1" applyBorder="1">
      <alignment vertical="center"/>
    </xf>
    <xf numFmtId="0" fontId="57" fillId="18" borderId="2" xfId="161" applyFont="1" applyFill="1" applyBorder="1" applyAlignment="1">
      <alignment horizontal="centerContinuous" vertical="center"/>
    </xf>
    <xf numFmtId="0" fontId="57" fillId="18" borderId="17" xfId="161" applyFont="1" applyFill="1" applyBorder="1" applyAlignment="1">
      <alignment horizontal="centerContinuous" vertical="center"/>
    </xf>
    <xf numFmtId="0" fontId="53" fillId="14" borderId="8" xfId="161" applyFont="1" applyFill="1" applyBorder="1">
      <alignment vertical="center"/>
    </xf>
    <xf numFmtId="0" fontId="53" fillId="14" borderId="12" xfId="161" applyFont="1" applyFill="1" applyBorder="1">
      <alignment vertical="center"/>
    </xf>
    <xf numFmtId="0" fontId="53" fillId="19" borderId="10" xfId="161" quotePrefix="1" applyFont="1" applyFill="1" applyBorder="1">
      <alignment vertical="center"/>
    </xf>
    <xf numFmtId="0" fontId="53" fillId="19" borderId="2" xfId="161" applyFont="1" applyFill="1" applyBorder="1">
      <alignment vertical="center"/>
    </xf>
    <xf numFmtId="0" fontId="53" fillId="19" borderId="2" xfId="161" applyFont="1" applyFill="1" applyBorder="1" applyAlignment="1">
      <alignment horizontal="center" vertical="center"/>
    </xf>
    <xf numFmtId="0" fontId="53" fillId="19" borderId="2" xfId="0" applyFont="1" applyFill="1" applyBorder="1">
      <alignment vertical="center"/>
    </xf>
    <xf numFmtId="0" fontId="53" fillId="0" borderId="10" xfId="161" quotePrefix="1" applyFont="1" applyBorder="1">
      <alignment vertical="center"/>
    </xf>
    <xf numFmtId="0" fontId="53" fillId="0" borderId="2" xfId="161" applyFont="1" applyBorder="1">
      <alignment vertical="center"/>
    </xf>
    <xf numFmtId="0" fontId="53" fillId="0" borderId="2" xfId="161" applyFont="1" applyBorder="1" applyAlignment="1">
      <alignment horizontal="center" vertical="center"/>
    </xf>
    <xf numFmtId="0" fontId="53" fillId="0" borderId="2" xfId="0" applyFont="1" applyBorder="1">
      <alignment vertical="center"/>
    </xf>
    <xf numFmtId="0" fontId="53" fillId="0" borderId="0" xfId="161" quotePrefix="1" applyFont="1">
      <alignment vertical="center"/>
    </xf>
    <xf numFmtId="0" fontId="53" fillId="0" borderId="0" xfId="161" applyFont="1">
      <alignment vertical="center"/>
    </xf>
    <xf numFmtId="0" fontId="53" fillId="0" borderId="0" xfId="161" applyFont="1" applyAlignment="1">
      <alignment horizontal="center" vertical="center"/>
    </xf>
    <xf numFmtId="0" fontId="53" fillId="0" borderId="0" xfId="0" applyFont="1">
      <alignment vertical="center"/>
    </xf>
    <xf numFmtId="0" fontId="53" fillId="19" borderId="17" xfId="0" applyFont="1" applyFill="1" applyBorder="1">
      <alignment vertical="center"/>
    </xf>
    <xf numFmtId="0" fontId="53" fillId="0" borderId="8" xfId="0" applyFont="1" applyBorder="1">
      <alignment vertical="center"/>
    </xf>
    <xf numFmtId="0" fontId="53" fillId="0" borderId="0" xfId="161" applyFont="1" applyAlignment="1">
      <alignment horizontal="centerContinuous" vertical="center"/>
    </xf>
    <xf numFmtId="0" fontId="53" fillId="0" borderId="0" xfId="161" applyFont="1" applyAlignment="1">
      <alignment horizontal="left" vertical="center"/>
    </xf>
    <xf numFmtId="0" fontId="53" fillId="0" borderId="17" xfId="0" applyFont="1" applyBorder="1">
      <alignment vertical="center"/>
    </xf>
    <xf numFmtId="0" fontId="54" fillId="0" borderId="0" xfId="161" applyFont="1" applyAlignment="1">
      <alignment horizontal="centerContinuous" vertical="center"/>
    </xf>
    <xf numFmtId="0" fontId="53" fillId="14" borderId="28" xfId="0" applyFont="1" applyFill="1" applyBorder="1">
      <alignment vertical="center"/>
    </xf>
    <xf numFmtId="0" fontId="53" fillId="14" borderId="31" xfId="0" applyFont="1" applyFill="1" applyBorder="1">
      <alignment vertical="center"/>
    </xf>
    <xf numFmtId="0" fontId="53" fillId="0" borderId="12" xfId="0" applyFont="1" applyBorder="1">
      <alignment vertical="center"/>
    </xf>
    <xf numFmtId="0" fontId="54" fillId="0" borderId="0" xfId="161" applyFont="1">
      <alignment vertical="center"/>
    </xf>
    <xf numFmtId="0" fontId="53" fillId="14" borderId="0" xfId="0" applyFont="1" applyFill="1" applyAlignment="1">
      <alignment horizontal="center" vertical="center"/>
    </xf>
    <xf numFmtId="0" fontId="20" fillId="10" borderId="19" xfId="46" applyFont="1" applyFill="1" applyBorder="1" applyAlignment="1">
      <alignment horizontal="centerContinuous"/>
    </xf>
    <xf numFmtId="0" fontId="20" fillId="10" borderId="16" xfId="46" applyFont="1" applyFill="1" applyBorder="1" applyAlignment="1">
      <alignment horizontal="centerContinuous"/>
    </xf>
    <xf numFmtId="0" fontId="20" fillId="10" borderId="21" xfId="46" applyFont="1" applyFill="1" applyBorder="1" applyAlignment="1">
      <alignment horizontal="centerContinuous"/>
    </xf>
    <xf numFmtId="0" fontId="57" fillId="14" borderId="11" xfId="161" quotePrefix="1" applyFont="1" applyFill="1" applyBorder="1" applyAlignment="1">
      <alignment horizontal="centerContinuous" vertical="center"/>
    </xf>
    <xf numFmtId="0" fontId="53" fillId="14" borderId="0" xfId="0" applyFont="1" applyFill="1" applyAlignment="1">
      <alignment vertical="center" wrapText="1"/>
    </xf>
    <xf numFmtId="0" fontId="54" fillId="14" borderId="0" xfId="161" applyFont="1" applyFill="1" applyAlignment="1">
      <alignment horizontal="center" vertical="center"/>
    </xf>
    <xf numFmtId="0" fontId="54" fillId="0" borderId="0" xfId="161" applyFont="1" applyAlignment="1">
      <alignment horizontal="left" vertical="center"/>
    </xf>
    <xf numFmtId="0" fontId="54" fillId="0" borderId="0" xfId="0" applyFont="1">
      <alignment vertical="center"/>
    </xf>
    <xf numFmtId="0" fontId="54" fillId="0" borderId="0" xfId="161" applyFont="1" applyAlignment="1">
      <alignment horizontal="center" vertical="center"/>
    </xf>
    <xf numFmtId="0" fontId="54" fillId="14" borderId="8" xfId="0" applyFont="1" applyFill="1" applyBorder="1">
      <alignment vertical="center"/>
    </xf>
    <xf numFmtId="0" fontId="54" fillId="0" borderId="8" xfId="161" applyFont="1" applyBorder="1">
      <alignment vertical="center"/>
    </xf>
    <xf numFmtId="0" fontId="54" fillId="0" borderId="8" xfId="0" applyFont="1" applyBorder="1">
      <alignment vertical="center"/>
    </xf>
    <xf numFmtId="0" fontId="54" fillId="0" borderId="8" xfId="161" applyFont="1" applyBorder="1" applyAlignment="1">
      <alignment horizontal="center" vertical="center"/>
    </xf>
    <xf numFmtId="0" fontId="54" fillId="0" borderId="0" xfId="0" applyFont="1" applyAlignment="1">
      <alignment horizontal="center" vertical="center"/>
    </xf>
    <xf numFmtId="0" fontId="53" fillId="0" borderId="0" xfId="161" quotePrefix="1" applyFont="1" applyAlignment="1">
      <alignment horizontal="centerContinuous" vertical="center"/>
    </xf>
    <xf numFmtId="0" fontId="58" fillId="14" borderId="2" xfId="161" applyFont="1" applyFill="1" applyBorder="1">
      <alignment vertical="center"/>
    </xf>
    <xf numFmtId="0" fontId="58" fillId="14" borderId="8" xfId="161" applyFont="1" applyFill="1" applyBorder="1">
      <alignment vertical="center"/>
    </xf>
    <xf numFmtId="0" fontId="53" fillId="0" borderId="6" xfId="0" applyFont="1" applyBorder="1">
      <alignment vertical="center"/>
    </xf>
    <xf numFmtId="0" fontId="53" fillId="14" borderId="2" xfId="161" applyFont="1" applyFill="1" applyBorder="1">
      <alignment vertical="center"/>
    </xf>
    <xf numFmtId="0" fontId="53" fillId="14" borderId="2" xfId="161" applyFont="1" applyFill="1" applyBorder="1" applyAlignment="1">
      <alignment horizontal="center" vertical="center"/>
    </xf>
    <xf numFmtId="0" fontId="53" fillId="14" borderId="17" xfId="0" applyFont="1" applyFill="1" applyBorder="1">
      <alignment vertical="center"/>
    </xf>
    <xf numFmtId="0" fontId="53" fillId="14" borderId="10" xfId="0" applyFont="1" applyFill="1" applyBorder="1">
      <alignment vertical="center"/>
    </xf>
    <xf numFmtId="0" fontId="54" fillId="14" borderId="3" xfId="161" applyFont="1" applyFill="1" applyBorder="1" applyAlignment="1">
      <alignment horizontal="center" vertical="center"/>
    </xf>
    <xf numFmtId="0" fontId="53" fillId="0" borderId="8" xfId="161" applyFont="1" applyBorder="1">
      <alignment vertical="center"/>
    </xf>
    <xf numFmtId="0" fontId="53" fillId="0" borderId="8" xfId="161" applyFont="1" applyBorder="1" applyAlignment="1">
      <alignment horizontal="center" vertical="center"/>
    </xf>
    <xf numFmtId="0" fontId="53" fillId="0" borderId="12" xfId="161" quotePrefix="1" applyFont="1" applyBorder="1">
      <alignment vertical="center"/>
    </xf>
    <xf numFmtId="0" fontId="53" fillId="0" borderId="12" xfId="161" applyFont="1" applyBorder="1">
      <alignment vertical="center"/>
    </xf>
    <xf numFmtId="0" fontId="53" fillId="0" borderId="12" xfId="161" applyFont="1" applyBorder="1" applyAlignment="1">
      <alignment horizontal="center" vertical="center"/>
    </xf>
    <xf numFmtId="0" fontId="53" fillId="0" borderId="8" xfId="161" quotePrefix="1" applyFont="1" applyBorder="1">
      <alignment vertical="center"/>
    </xf>
    <xf numFmtId="0" fontId="61" fillId="19" borderId="2" xfId="0" applyFont="1" applyFill="1" applyBorder="1" applyAlignment="1">
      <alignment horizontal="centerContinuous" vertical="center"/>
    </xf>
    <xf numFmtId="0" fontId="0" fillId="19" borderId="17" xfId="0" applyFill="1" applyBorder="1" applyAlignment="1">
      <alignment horizontal="centerContinuous" vertical="center"/>
    </xf>
    <xf numFmtId="0" fontId="0" fillId="14" borderId="2" xfId="0" applyFill="1" applyBorder="1" applyAlignment="1">
      <alignment horizontal="centerContinuous" vertical="center"/>
    </xf>
    <xf numFmtId="0" fontId="0" fillId="14" borderId="17" xfId="0" applyFill="1" applyBorder="1" applyAlignment="1">
      <alignment horizontal="centerContinuous" vertical="center"/>
    </xf>
    <xf numFmtId="0" fontId="0" fillId="14" borderId="2" xfId="0" applyFill="1" applyBorder="1">
      <alignment vertical="center"/>
    </xf>
    <xf numFmtId="0" fontId="73" fillId="0" borderId="0" xfId="161" applyFont="1">
      <alignment vertical="center"/>
    </xf>
    <xf numFmtId="0" fontId="73" fillId="0" borderId="0" xfId="0" applyFont="1">
      <alignment vertical="center"/>
    </xf>
    <xf numFmtId="0" fontId="73" fillId="14" borderId="0" xfId="0" applyFont="1" applyFill="1">
      <alignment vertical="center"/>
    </xf>
    <xf numFmtId="0" fontId="54" fillId="14" borderId="12" xfId="161" applyFont="1" applyFill="1" applyBorder="1">
      <alignment vertical="center"/>
    </xf>
    <xf numFmtId="0" fontId="20" fillId="10" borderId="18" xfId="46" applyFont="1" applyFill="1" applyBorder="1" applyAlignment="1">
      <alignment horizontal="centerContinuous"/>
    </xf>
    <xf numFmtId="0" fontId="53" fillId="14" borderId="0" xfId="0" applyFont="1" applyFill="1" applyAlignment="1">
      <alignment horizontal="left" vertical="center"/>
    </xf>
    <xf numFmtId="0" fontId="61" fillId="0" borderId="12" xfId="161" quotePrefix="1" applyFont="1" applyBorder="1" applyAlignment="1">
      <alignment horizontal="centerContinuous" vertical="center"/>
    </xf>
    <xf numFmtId="0" fontId="0" fillId="14" borderId="12" xfId="0" applyFill="1" applyBorder="1">
      <alignment vertical="center"/>
    </xf>
    <xf numFmtId="0" fontId="61" fillId="0" borderId="10" xfId="161" quotePrefix="1" applyFont="1" applyBorder="1">
      <alignment vertical="center"/>
    </xf>
    <xf numFmtId="0" fontId="61" fillId="0" borderId="2" xfId="161" quotePrefix="1" applyFont="1" applyBorder="1">
      <alignment vertical="center"/>
    </xf>
    <xf numFmtId="0" fontId="53" fillId="0" borderId="0" xfId="161" quotePrefix="1" applyFont="1" applyAlignment="1">
      <alignment horizontal="left" vertical="center"/>
    </xf>
    <xf numFmtId="0" fontId="53" fillId="0" borderId="25" xfId="161" applyFont="1" applyBorder="1" applyAlignment="1">
      <alignment horizontal="center" vertical="center"/>
    </xf>
    <xf numFmtId="0" fontId="53" fillId="0" borderId="2" xfId="161" quotePrefix="1" applyFont="1" applyBorder="1">
      <alignment vertical="center"/>
    </xf>
    <xf numFmtId="14" fontId="53" fillId="0" borderId="10" xfId="161" quotePrefix="1" applyNumberFormat="1" applyFont="1" applyBorder="1">
      <alignment vertical="center"/>
    </xf>
    <xf numFmtId="0" fontId="53" fillId="0" borderId="0" xfId="0" applyFont="1" applyAlignment="1">
      <alignment vertical="center" wrapText="1"/>
    </xf>
    <xf numFmtId="0" fontId="53" fillId="0" borderId="0" xfId="0" applyFont="1" applyAlignment="1">
      <alignment horizontal="center" vertical="center"/>
    </xf>
    <xf numFmtId="0" fontId="54" fillId="0" borderId="0" xfId="161" quotePrefix="1" applyFont="1">
      <alignment vertical="center"/>
    </xf>
    <xf numFmtId="0" fontId="54" fillId="0" borderId="2" xfId="161" applyFont="1" applyBorder="1">
      <alignment vertical="center"/>
    </xf>
    <xf numFmtId="0" fontId="58" fillId="14" borderId="6" xfId="180" quotePrefix="1" applyFont="1" applyFill="1" applyBorder="1">
      <alignment vertical="center"/>
    </xf>
    <xf numFmtId="0" fontId="53" fillId="14" borderId="0" xfId="180" applyFont="1" applyFill="1">
      <alignment vertical="center"/>
    </xf>
    <xf numFmtId="0" fontId="54" fillId="19" borderId="2" xfId="180" applyFont="1" applyFill="1" applyBorder="1" applyAlignment="1">
      <alignment horizontal="centerContinuous" vertical="center"/>
    </xf>
    <xf numFmtId="0" fontId="61" fillId="19" borderId="2" xfId="180" applyFont="1" applyFill="1" applyBorder="1" applyAlignment="1">
      <alignment horizontal="centerContinuous" vertical="center"/>
    </xf>
    <xf numFmtId="0" fontId="54" fillId="19" borderId="10" xfId="180" applyFont="1" applyFill="1" applyBorder="1" applyAlignment="1">
      <alignment horizontal="centerContinuous" vertical="center"/>
    </xf>
    <xf numFmtId="0" fontId="53" fillId="19" borderId="2" xfId="180" applyFont="1" applyFill="1" applyBorder="1" applyAlignment="1">
      <alignment horizontal="centerContinuous" vertical="center"/>
    </xf>
    <xf numFmtId="0" fontId="53" fillId="0" borderId="0" xfId="180" applyFont="1">
      <alignment vertical="center"/>
    </xf>
    <xf numFmtId="0" fontId="65" fillId="14" borderId="0" xfId="180" applyFont="1" applyFill="1">
      <alignment vertical="center"/>
    </xf>
    <xf numFmtId="0" fontId="77" fillId="14" borderId="2" xfId="180" quotePrefix="1" applyFont="1" applyFill="1" applyBorder="1">
      <alignment vertical="center"/>
    </xf>
    <xf numFmtId="0" fontId="53" fillId="14" borderId="10" xfId="180" applyFont="1" applyFill="1" applyBorder="1" applyAlignment="1">
      <alignment horizontal="centerContinuous" vertical="center"/>
    </xf>
    <xf numFmtId="0" fontId="53" fillId="14" borderId="2" xfId="180" applyFont="1" applyFill="1" applyBorder="1" applyAlignment="1">
      <alignment horizontal="centerContinuous" vertical="center"/>
    </xf>
    <xf numFmtId="0" fontId="74" fillId="14" borderId="10" xfId="180" applyFont="1" applyFill="1" applyBorder="1" applyAlignment="1">
      <alignment horizontal="center" vertical="center"/>
    </xf>
    <xf numFmtId="0" fontId="53" fillId="14" borderId="2" xfId="180" applyFont="1" applyFill="1" applyBorder="1" applyAlignment="1">
      <alignment horizontal="left" vertical="center"/>
    </xf>
    <xf numFmtId="0" fontId="0" fillId="14" borderId="17" xfId="0" applyFill="1" applyBorder="1">
      <alignment vertical="center"/>
    </xf>
    <xf numFmtId="0" fontId="58" fillId="14" borderId="11" xfId="180" applyFont="1" applyFill="1" applyBorder="1">
      <alignment vertical="center"/>
    </xf>
    <xf numFmtId="0" fontId="0" fillId="19" borderId="2" xfId="0" applyFill="1" applyBorder="1" applyAlignment="1">
      <alignment horizontal="centerContinuous" vertical="center"/>
    </xf>
    <xf numFmtId="0" fontId="74" fillId="14" borderId="2" xfId="180" applyFont="1" applyFill="1" applyBorder="1" applyAlignment="1">
      <alignment horizontal="centerContinuous" vertical="center"/>
    </xf>
    <xf numFmtId="0" fontId="53" fillId="14" borderId="0" xfId="180" applyFont="1" applyFill="1" applyAlignment="1">
      <alignment horizontal="center" vertical="center"/>
    </xf>
    <xf numFmtId="0" fontId="53" fillId="14" borderId="0" xfId="180" quotePrefix="1" applyFont="1" applyFill="1">
      <alignment vertical="center"/>
    </xf>
    <xf numFmtId="14" fontId="61" fillId="0" borderId="10" xfId="161" quotePrefix="1" applyNumberFormat="1" applyFont="1" applyBorder="1" applyAlignment="1">
      <alignment horizontal="centerContinuous" vertical="center"/>
    </xf>
    <xf numFmtId="14" fontId="61" fillId="0" borderId="2" xfId="161" quotePrefix="1" applyNumberFormat="1" applyFont="1" applyBorder="1" applyAlignment="1">
      <alignment horizontal="centerContinuous" vertical="center"/>
    </xf>
    <xf numFmtId="0" fontId="61" fillId="0" borderId="2" xfId="161" quotePrefix="1" applyFont="1" applyBorder="1" applyAlignment="1">
      <alignment horizontal="centerContinuous" vertical="center"/>
    </xf>
    <xf numFmtId="0" fontId="61" fillId="0" borderId="17" xfId="161" quotePrefix="1" applyFont="1" applyBorder="1" applyAlignment="1">
      <alignment horizontal="centerContinuous" vertical="center"/>
    </xf>
    <xf numFmtId="0" fontId="61" fillId="0" borderId="17" xfId="161" applyFont="1" applyBorder="1" applyAlignment="1">
      <alignment horizontal="centerContinuous" vertical="center"/>
    </xf>
    <xf numFmtId="0" fontId="0" fillId="14" borderId="11" xfId="0" applyFill="1" applyBorder="1">
      <alignment vertical="center"/>
    </xf>
    <xf numFmtId="0" fontId="0" fillId="14" borderId="14" xfId="0" applyFill="1" applyBorder="1">
      <alignment vertical="center"/>
    </xf>
    <xf numFmtId="0" fontId="20" fillId="10" borderId="7" xfId="49" applyFont="1" applyFill="1" applyBorder="1" applyAlignment="1">
      <alignment horizontal="right" vertical="center"/>
    </xf>
    <xf numFmtId="0" fontId="0" fillId="14" borderId="2" xfId="0" applyFill="1" applyBorder="1" applyAlignment="1">
      <alignment vertical="center" wrapText="1"/>
    </xf>
    <xf numFmtId="0" fontId="58" fillId="14" borderId="14" xfId="161" applyFont="1" applyFill="1" applyBorder="1">
      <alignment vertical="center"/>
    </xf>
    <xf numFmtId="0" fontId="79" fillId="0" borderId="0" xfId="0" applyFont="1">
      <alignment vertical="center"/>
    </xf>
    <xf numFmtId="0" fontId="20" fillId="10" borderId="26" xfId="46" applyFont="1" applyFill="1" applyBorder="1" applyAlignment="1">
      <alignment horizontal="centerContinuous"/>
    </xf>
    <xf numFmtId="0" fontId="53" fillId="0" borderId="23" xfId="161" applyFont="1" applyBorder="1" applyAlignment="1">
      <alignment horizontal="center" vertical="center"/>
    </xf>
    <xf numFmtId="0" fontId="63" fillId="0" borderId="2" xfId="161" applyFont="1" applyBorder="1" applyAlignment="1">
      <alignment horizontal="centerContinuous" vertical="center"/>
    </xf>
    <xf numFmtId="0" fontId="63" fillId="0" borderId="17" xfId="161" applyFont="1" applyBorder="1" applyAlignment="1">
      <alignment horizontal="centerContinuous" vertical="center"/>
    </xf>
    <xf numFmtId="0" fontId="69" fillId="0" borderId="15" xfId="161" applyFont="1" applyBorder="1" applyAlignment="1">
      <alignment horizontal="left" vertical="center"/>
    </xf>
    <xf numFmtId="0" fontId="69" fillId="0" borderId="12" xfId="161" applyFont="1" applyBorder="1" applyAlignment="1">
      <alignment horizontal="left" vertical="center"/>
    </xf>
    <xf numFmtId="0" fontId="69" fillId="0" borderId="12" xfId="0" applyFont="1" applyBorder="1">
      <alignment vertical="center"/>
    </xf>
    <xf numFmtId="0" fontId="69" fillId="0" borderId="12" xfId="161" applyFont="1" applyBorder="1" applyAlignment="1">
      <alignment horizontal="center" vertical="center"/>
    </xf>
    <xf numFmtId="0" fontId="69" fillId="0" borderId="12" xfId="161" applyFont="1" applyBorder="1">
      <alignment vertical="center"/>
    </xf>
    <xf numFmtId="0" fontId="69" fillId="0" borderId="12" xfId="0" applyFont="1" applyBorder="1" applyAlignment="1">
      <alignment horizontal="center" vertical="center"/>
    </xf>
    <xf numFmtId="0" fontId="69" fillId="0" borderId="7" xfId="161" applyFont="1" applyBorder="1" applyAlignment="1">
      <alignment horizontal="left" vertical="center"/>
    </xf>
    <xf numFmtId="0" fontId="69" fillId="0" borderId="8" xfId="161" applyFont="1" applyBorder="1" applyAlignment="1">
      <alignment horizontal="left" vertical="center"/>
    </xf>
    <xf numFmtId="0" fontId="69" fillId="0" borderId="8" xfId="0" applyFont="1" applyBorder="1">
      <alignment vertical="center"/>
    </xf>
    <xf numFmtId="0" fontId="69" fillId="0" borderId="8" xfId="161" applyFont="1" applyBorder="1" applyAlignment="1">
      <alignment horizontal="center" vertical="center"/>
    </xf>
    <xf numFmtId="0" fontId="69" fillId="0" borderId="8" xfId="161" applyFont="1" applyBorder="1">
      <alignment vertical="center"/>
    </xf>
    <xf numFmtId="0" fontId="69" fillId="0" borderId="8" xfId="0" applyFont="1" applyBorder="1" applyAlignment="1">
      <alignment horizontal="center" vertical="center"/>
    </xf>
    <xf numFmtId="0" fontId="20" fillId="10" borderId="0" xfId="46" applyFont="1" applyFill="1" applyAlignment="1">
      <alignment horizontal="centerContinuous"/>
    </xf>
    <xf numFmtId="0" fontId="58" fillId="19" borderId="10" xfId="180" applyFont="1" applyFill="1" applyBorder="1">
      <alignment vertical="center"/>
    </xf>
    <xf numFmtId="0" fontId="58" fillId="19" borderId="2" xfId="180" applyFont="1" applyFill="1" applyBorder="1">
      <alignment vertical="center"/>
    </xf>
    <xf numFmtId="0" fontId="53" fillId="19" borderId="2" xfId="180" applyFont="1" applyFill="1" applyBorder="1">
      <alignment vertical="center"/>
    </xf>
    <xf numFmtId="0" fontId="53" fillId="19" borderId="2" xfId="180" applyFont="1" applyFill="1" applyBorder="1" applyAlignment="1">
      <alignment horizontal="center" vertical="center"/>
    </xf>
    <xf numFmtId="0" fontId="0" fillId="19" borderId="2" xfId="0" applyFill="1" applyBorder="1">
      <alignment vertical="center"/>
    </xf>
    <xf numFmtId="0" fontId="53" fillId="19" borderId="2" xfId="180" quotePrefix="1" applyFont="1" applyFill="1" applyBorder="1">
      <alignment vertical="center"/>
    </xf>
    <xf numFmtId="0" fontId="65" fillId="19" borderId="2" xfId="161" applyFont="1" applyFill="1" applyBorder="1">
      <alignment vertical="center"/>
    </xf>
    <xf numFmtId="0" fontId="53" fillId="19" borderId="2" xfId="0" applyFont="1" applyFill="1" applyBorder="1" applyAlignment="1">
      <alignment vertical="center" wrapText="1"/>
    </xf>
    <xf numFmtId="0" fontId="53" fillId="19" borderId="2" xfId="161" quotePrefix="1" applyFont="1" applyFill="1" applyBorder="1">
      <alignment vertical="center"/>
    </xf>
    <xf numFmtId="0" fontId="58" fillId="19" borderId="17" xfId="180" applyFont="1" applyFill="1" applyBorder="1">
      <alignment vertical="center"/>
    </xf>
    <xf numFmtId="0" fontId="20" fillId="0" borderId="2" xfId="0" applyFont="1" applyBorder="1" applyAlignment="1">
      <alignment horizontal="center" vertical="top"/>
    </xf>
    <xf numFmtId="0" fontId="20" fillId="22" borderId="2" xfId="0" applyFont="1" applyFill="1" applyBorder="1" applyAlignment="1">
      <alignment horizontal="center" vertical="top"/>
    </xf>
    <xf numFmtId="0" fontId="20" fillId="23" borderId="2" xfId="0" applyFont="1" applyFill="1" applyBorder="1" applyAlignment="1">
      <alignment horizontal="center" vertical="top"/>
    </xf>
    <xf numFmtId="0" fontId="53" fillId="0" borderId="15" xfId="0" applyFont="1" applyBorder="1">
      <alignment vertical="center"/>
    </xf>
    <xf numFmtId="0" fontId="81" fillId="0" borderId="0" xfId="161" applyFont="1">
      <alignment vertical="center"/>
    </xf>
    <xf numFmtId="0" fontId="81" fillId="0" borderId="0" xfId="0" applyFont="1">
      <alignment vertical="center"/>
    </xf>
    <xf numFmtId="0" fontId="81" fillId="0" borderId="0" xfId="161" applyFont="1" applyAlignment="1">
      <alignment horizontal="center" vertical="center"/>
    </xf>
    <xf numFmtId="0" fontId="69" fillId="0" borderId="0" xfId="161" applyFont="1" applyAlignment="1">
      <alignment horizontal="left" vertical="center"/>
    </xf>
    <xf numFmtId="0" fontId="69" fillId="0" borderId="0" xfId="0" applyFont="1">
      <alignment vertical="center"/>
    </xf>
    <xf numFmtId="0" fontId="69" fillId="0" borderId="0" xfId="161" applyFont="1" applyAlignment="1">
      <alignment horizontal="center" vertical="center"/>
    </xf>
    <xf numFmtId="0" fontId="69" fillId="0" borderId="0" xfId="161" applyFont="1">
      <alignment vertical="center"/>
    </xf>
    <xf numFmtId="0" fontId="69" fillId="0" borderId="0" xfId="0" applyFont="1" applyAlignment="1">
      <alignment horizontal="center" vertical="center"/>
    </xf>
    <xf numFmtId="0" fontId="53" fillId="0" borderId="0" xfId="0" applyFont="1" applyAlignment="1">
      <alignment horizontal="left" vertical="center"/>
    </xf>
    <xf numFmtId="0" fontId="70" fillId="0" borderId="0" xfId="161" applyFont="1" applyAlignment="1">
      <alignment horizontal="left" vertical="center"/>
    </xf>
    <xf numFmtId="0" fontId="70" fillId="0" borderId="0" xfId="0" applyFont="1">
      <alignment vertical="center"/>
    </xf>
    <xf numFmtId="0" fontId="53" fillId="14" borderId="6" xfId="161" quotePrefix="1" applyFont="1" applyFill="1" applyBorder="1">
      <alignment vertical="center"/>
    </xf>
    <xf numFmtId="0" fontId="79" fillId="14" borderId="6" xfId="161" quotePrefix="1" applyFont="1" applyFill="1" applyBorder="1">
      <alignment vertical="center"/>
    </xf>
    <xf numFmtId="0" fontId="79" fillId="14" borderId="0" xfId="161" applyFont="1" applyFill="1">
      <alignment vertical="center"/>
    </xf>
    <xf numFmtId="0" fontId="76" fillId="14" borderId="0" xfId="0" applyFont="1" applyFill="1">
      <alignment vertical="center"/>
    </xf>
    <xf numFmtId="0" fontId="54" fillId="24" borderId="15" xfId="161" applyFont="1" applyFill="1" applyBorder="1" applyAlignment="1">
      <alignment horizontal="centerContinuous" vertical="center"/>
    </xf>
    <xf numFmtId="0" fontId="54" fillId="24" borderId="12" xfId="161" applyFont="1" applyFill="1" applyBorder="1" applyAlignment="1">
      <alignment horizontal="centerContinuous" vertical="center"/>
    </xf>
    <xf numFmtId="0" fontId="54" fillId="24" borderId="13" xfId="161" applyFont="1" applyFill="1" applyBorder="1" applyAlignment="1">
      <alignment horizontal="centerContinuous" vertical="center"/>
    </xf>
    <xf numFmtId="0" fontId="54" fillId="24" borderId="15" xfId="161" quotePrefix="1" applyFont="1" applyFill="1" applyBorder="1" applyAlignment="1">
      <alignment horizontal="centerContinuous" vertical="center"/>
    </xf>
    <xf numFmtId="0" fontId="54" fillId="24" borderId="12" xfId="161" quotePrefix="1" applyFont="1" applyFill="1" applyBorder="1" applyAlignment="1">
      <alignment horizontal="centerContinuous" vertical="center"/>
    </xf>
    <xf numFmtId="0" fontId="61" fillId="24" borderId="15" xfId="161" applyFont="1" applyFill="1" applyBorder="1" applyAlignment="1">
      <alignment horizontal="centerContinuous" vertical="center"/>
    </xf>
    <xf numFmtId="0" fontId="61" fillId="24" borderId="12" xfId="161" applyFont="1" applyFill="1" applyBorder="1" applyAlignment="1">
      <alignment horizontal="centerContinuous" vertical="center"/>
    </xf>
    <xf numFmtId="0" fontId="61" fillId="24" borderId="13" xfId="161" applyFont="1" applyFill="1" applyBorder="1" applyAlignment="1">
      <alignment horizontal="centerContinuous" vertical="center"/>
    </xf>
    <xf numFmtId="0" fontId="54" fillId="24" borderId="7" xfId="161" quotePrefix="1" applyFont="1" applyFill="1" applyBorder="1" applyAlignment="1">
      <alignment horizontal="centerContinuous" vertical="center"/>
    </xf>
    <xf numFmtId="0" fontId="54" fillId="24" borderId="8" xfId="161" applyFont="1" applyFill="1" applyBorder="1" applyAlignment="1">
      <alignment horizontal="centerContinuous" vertical="center"/>
    </xf>
    <xf numFmtId="0" fontId="54" fillId="24" borderId="14" xfId="161" applyFont="1" applyFill="1" applyBorder="1" applyAlignment="1">
      <alignment horizontal="centerContinuous" vertical="center"/>
    </xf>
    <xf numFmtId="0" fontId="54" fillId="24" borderId="8" xfId="161" quotePrefix="1" applyFont="1" applyFill="1" applyBorder="1" applyAlignment="1">
      <alignment horizontal="centerContinuous" vertical="center"/>
    </xf>
    <xf numFmtId="0" fontId="61" fillId="24" borderId="7" xfId="161" quotePrefix="1" applyFont="1" applyFill="1" applyBorder="1" applyAlignment="1">
      <alignment horizontal="centerContinuous" vertical="center"/>
    </xf>
    <xf numFmtId="0" fontId="61" fillId="24" borderId="8" xfId="161" quotePrefix="1" applyFont="1" applyFill="1" applyBorder="1" applyAlignment="1">
      <alignment horizontal="centerContinuous" vertical="center"/>
    </xf>
    <xf numFmtId="0" fontId="61" fillId="24" borderId="8" xfId="161" applyFont="1" applyFill="1" applyBorder="1" applyAlignment="1">
      <alignment horizontal="centerContinuous" vertical="center"/>
    </xf>
    <xf numFmtId="0" fontId="61" fillId="24" borderId="14" xfId="161" applyFont="1" applyFill="1" applyBorder="1" applyAlignment="1">
      <alignment horizontal="centerContinuous" vertical="center"/>
    </xf>
    <xf numFmtId="0" fontId="61" fillId="0" borderId="10" xfId="161" quotePrefix="1" applyFont="1" applyBorder="1" applyAlignment="1">
      <alignment horizontal="left" vertical="center"/>
    </xf>
    <xf numFmtId="0" fontId="61" fillId="0" borderId="2" xfId="161" quotePrefix="1" applyFont="1" applyBorder="1" applyAlignment="1">
      <alignment horizontal="left" vertical="center"/>
    </xf>
    <xf numFmtId="0" fontId="53" fillId="25" borderId="2" xfId="161" quotePrefix="1" applyFont="1" applyFill="1" applyBorder="1">
      <alignment vertical="center"/>
    </xf>
    <xf numFmtId="0" fontId="53" fillId="25" borderId="2" xfId="161" applyFont="1" applyFill="1" applyBorder="1">
      <alignment vertical="center"/>
    </xf>
    <xf numFmtId="0" fontId="54" fillId="25" borderId="2" xfId="0" applyFont="1" applyFill="1" applyBorder="1">
      <alignment vertical="center"/>
    </xf>
    <xf numFmtId="0" fontId="53" fillId="25" borderId="2" xfId="0" quotePrefix="1" applyFont="1" applyFill="1" applyBorder="1">
      <alignment vertical="center"/>
    </xf>
    <xf numFmtId="0" fontId="53" fillId="25" borderId="2" xfId="0" applyFont="1" applyFill="1" applyBorder="1">
      <alignment vertical="center"/>
    </xf>
    <xf numFmtId="0" fontId="53" fillId="25" borderId="2" xfId="0" applyFont="1" applyFill="1" applyBorder="1" applyAlignment="1">
      <alignment horizontal="center" vertical="center"/>
    </xf>
    <xf numFmtId="0" fontId="53" fillId="25" borderId="2" xfId="0" applyFont="1" applyFill="1" applyBorder="1" applyAlignment="1">
      <alignment horizontal="left" vertical="center"/>
    </xf>
    <xf numFmtId="0" fontId="53" fillId="25" borderId="2" xfId="0" applyFont="1" applyFill="1" applyBorder="1" applyAlignment="1">
      <alignment vertical="center" wrapText="1"/>
    </xf>
    <xf numFmtId="0" fontId="0" fillId="25" borderId="2" xfId="0" applyFill="1" applyBorder="1">
      <alignment vertical="center"/>
    </xf>
    <xf numFmtId="0" fontId="79" fillId="25" borderId="2" xfId="0" applyFont="1" applyFill="1" applyBorder="1">
      <alignment vertical="center"/>
    </xf>
    <xf numFmtId="0" fontId="80" fillId="14" borderId="0" xfId="0" applyFont="1" applyFill="1">
      <alignment vertical="center"/>
    </xf>
    <xf numFmtId="0" fontId="54" fillId="21" borderId="15" xfId="161" applyFont="1" applyFill="1" applyBorder="1" applyAlignment="1">
      <alignment horizontal="centerContinuous" vertical="center"/>
    </xf>
    <xf numFmtId="0" fontId="54" fillId="21" borderId="12" xfId="161" applyFont="1" applyFill="1" applyBorder="1" applyAlignment="1">
      <alignment horizontal="centerContinuous" vertical="center"/>
    </xf>
    <xf numFmtId="0" fontId="54" fillId="21" borderId="13" xfId="161" applyFont="1" applyFill="1" applyBorder="1" applyAlignment="1">
      <alignment horizontal="centerContinuous" vertical="center"/>
    </xf>
    <xf numFmtId="0" fontId="54" fillId="21" borderId="15" xfId="161" quotePrefix="1" applyFont="1" applyFill="1" applyBorder="1" applyAlignment="1">
      <alignment horizontal="centerContinuous" vertical="center"/>
    </xf>
    <xf numFmtId="0" fontId="54" fillId="21" borderId="12" xfId="161" quotePrefix="1" applyFont="1" applyFill="1" applyBorder="1" applyAlignment="1">
      <alignment horizontal="centerContinuous" vertical="center"/>
    </xf>
    <xf numFmtId="0" fontId="61" fillId="21" borderId="15" xfId="161" applyFont="1" applyFill="1" applyBorder="1" applyAlignment="1">
      <alignment horizontal="centerContinuous" vertical="center"/>
    </xf>
    <xf numFmtId="0" fontId="61" fillId="21" borderId="12" xfId="161" applyFont="1" applyFill="1" applyBorder="1" applyAlignment="1">
      <alignment horizontal="centerContinuous" vertical="center"/>
    </xf>
    <xf numFmtId="0" fontId="61" fillId="21" borderId="13" xfId="161" applyFont="1" applyFill="1" applyBorder="1" applyAlignment="1">
      <alignment horizontal="centerContinuous" vertical="center"/>
    </xf>
    <xf numFmtId="0" fontId="61" fillId="0" borderId="10" xfId="161" quotePrefix="1" applyFont="1" applyBorder="1" applyAlignment="1">
      <alignment horizontal="centerContinuous" vertical="center"/>
    </xf>
    <xf numFmtId="0" fontId="54" fillId="26" borderId="15" xfId="161" applyFont="1" applyFill="1" applyBorder="1" applyAlignment="1">
      <alignment horizontal="centerContinuous" vertical="center"/>
    </xf>
    <xf numFmtId="0" fontId="54" fillId="26" borderId="12" xfId="161" applyFont="1" applyFill="1" applyBorder="1" applyAlignment="1">
      <alignment horizontal="centerContinuous" vertical="center"/>
    </xf>
    <xf numFmtId="0" fontId="54" fillId="26" borderId="13" xfId="161" applyFont="1" applyFill="1" applyBorder="1" applyAlignment="1">
      <alignment horizontal="centerContinuous" vertical="center"/>
    </xf>
    <xf numFmtId="0" fontId="54" fillId="26" borderId="15" xfId="161" quotePrefix="1" applyFont="1" applyFill="1" applyBorder="1" applyAlignment="1">
      <alignment horizontal="centerContinuous" vertical="center"/>
    </xf>
    <xf numFmtId="0" fontId="54" fillId="26" borderId="12" xfId="161" quotePrefix="1" applyFont="1" applyFill="1" applyBorder="1" applyAlignment="1">
      <alignment horizontal="centerContinuous" vertical="center"/>
    </xf>
    <xf numFmtId="0" fontId="61" fillId="26" borderId="15" xfId="161" applyFont="1" applyFill="1" applyBorder="1" applyAlignment="1">
      <alignment horizontal="centerContinuous" vertical="center"/>
    </xf>
    <xf numFmtId="0" fontId="61" fillId="26" borderId="12" xfId="161" applyFont="1" applyFill="1" applyBorder="1" applyAlignment="1">
      <alignment horizontal="centerContinuous" vertical="center"/>
    </xf>
    <xf numFmtId="0" fontId="61" fillId="26" borderId="13" xfId="161" applyFont="1" applyFill="1" applyBorder="1" applyAlignment="1">
      <alignment horizontal="centerContinuous" vertical="center"/>
    </xf>
    <xf numFmtId="0" fontId="61" fillId="26" borderId="12" xfId="161" quotePrefix="1" applyFont="1" applyFill="1" applyBorder="1" applyAlignment="1">
      <alignment horizontal="centerContinuous" vertical="center"/>
    </xf>
    <xf numFmtId="183" fontId="61" fillId="0" borderId="2" xfId="161" quotePrefix="1" applyNumberFormat="1" applyFont="1" applyBorder="1" applyAlignment="1">
      <alignment horizontal="right" vertical="center"/>
    </xf>
    <xf numFmtId="0" fontId="61" fillId="26" borderId="15" xfId="161" quotePrefix="1" applyFont="1" applyFill="1" applyBorder="1" applyAlignment="1">
      <alignment horizontal="centerContinuous" vertical="center"/>
    </xf>
    <xf numFmtId="0" fontId="88" fillId="0" borderId="0" xfId="0" applyFont="1">
      <alignment vertical="center"/>
    </xf>
    <xf numFmtId="0" fontId="73" fillId="14" borderId="8" xfId="0" applyFont="1" applyFill="1" applyBorder="1">
      <alignment vertical="center"/>
    </xf>
    <xf numFmtId="0" fontId="53" fillId="14" borderId="6" xfId="180" applyFont="1" applyFill="1" applyBorder="1">
      <alignment vertical="center"/>
    </xf>
    <xf numFmtId="0" fontId="53" fillId="14" borderId="2" xfId="180" quotePrefix="1" applyFont="1" applyFill="1" applyBorder="1">
      <alignment vertical="center"/>
    </xf>
    <xf numFmtId="0" fontId="53" fillId="14" borderId="2" xfId="180" applyFont="1" applyFill="1" applyBorder="1">
      <alignment vertical="center"/>
    </xf>
    <xf numFmtId="0" fontId="53" fillId="14" borderId="2" xfId="180" applyFont="1" applyFill="1" applyBorder="1" applyAlignment="1">
      <alignment horizontal="center" vertical="center"/>
    </xf>
    <xf numFmtId="0" fontId="54" fillId="14" borderId="3" xfId="180" applyFont="1" applyFill="1" applyBorder="1" applyAlignment="1">
      <alignment horizontal="center" vertical="center"/>
    </xf>
    <xf numFmtId="0" fontId="53" fillId="14" borderId="3" xfId="180" applyFont="1" applyFill="1" applyBorder="1" applyAlignment="1">
      <alignment horizontal="center" vertical="center"/>
    </xf>
    <xf numFmtId="0" fontId="64" fillId="14" borderId="3" xfId="180" applyFont="1" applyFill="1" applyBorder="1" applyAlignment="1">
      <alignment horizontal="center" vertical="center"/>
    </xf>
    <xf numFmtId="0" fontId="53" fillId="0" borderId="28" xfId="0" applyFont="1" applyBorder="1">
      <alignment vertical="center"/>
    </xf>
    <xf numFmtId="0" fontId="53" fillId="14" borderId="28" xfId="161" applyFont="1" applyFill="1" applyBorder="1">
      <alignment vertical="center"/>
    </xf>
    <xf numFmtId="0" fontId="53" fillId="14" borderId="29" xfId="161" applyFont="1" applyFill="1" applyBorder="1">
      <alignment vertical="center"/>
    </xf>
    <xf numFmtId="0" fontId="54" fillId="14" borderId="33" xfId="161" applyFont="1" applyFill="1" applyBorder="1">
      <alignment vertical="center"/>
    </xf>
    <xf numFmtId="0" fontId="53" fillId="14" borderId="34" xfId="161" applyFont="1" applyFill="1" applyBorder="1">
      <alignment vertical="center"/>
    </xf>
    <xf numFmtId="0" fontId="54" fillId="14" borderId="30" xfId="161" applyFont="1" applyFill="1" applyBorder="1">
      <alignment vertical="center"/>
    </xf>
    <xf numFmtId="0" fontId="53" fillId="14" borderId="31" xfId="161" applyFont="1" applyFill="1" applyBorder="1">
      <alignment vertical="center"/>
    </xf>
    <xf numFmtId="0" fontId="53" fillId="0" borderId="31" xfId="0" applyFont="1" applyBorder="1">
      <alignment vertical="center"/>
    </xf>
    <xf numFmtId="0" fontId="0" fillId="14" borderId="31" xfId="0" applyFill="1" applyBorder="1">
      <alignment vertical="center"/>
    </xf>
    <xf numFmtId="0" fontId="54" fillId="0" borderId="31" xfId="161" applyFont="1" applyBorder="1">
      <alignment vertical="center"/>
    </xf>
    <xf numFmtId="0" fontId="53" fillId="0" borderId="31" xfId="161" applyFont="1" applyBorder="1">
      <alignment vertical="center"/>
    </xf>
    <xf numFmtId="0" fontId="53" fillId="0" borderId="31" xfId="0" applyFont="1" applyBorder="1" applyAlignment="1">
      <alignment vertical="center" wrapText="1"/>
    </xf>
    <xf numFmtId="0" fontId="53" fillId="0" borderId="31" xfId="161" quotePrefix="1" applyFont="1" applyBorder="1">
      <alignment vertical="center"/>
    </xf>
    <xf numFmtId="0" fontId="53" fillId="0" borderId="31" xfId="161" applyFont="1" applyBorder="1" applyAlignment="1">
      <alignment horizontal="center" vertical="center"/>
    </xf>
    <xf numFmtId="0" fontId="53" fillId="14" borderId="32" xfId="161" applyFont="1" applyFill="1" applyBorder="1">
      <alignment vertical="center"/>
    </xf>
    <xf numFmtId="0" fontId="53" fillId="0" borderId="28" xfId="161" quotePrefix="1" applyFont="1" applyBorder="1">
      <alignment vertical="center"/>
    </xf>
    <xf numFmtId="0" fontId="53" fillId="0" borderId="28" xfId="161" applyFont="1" applyBorder="1">
      <alignment vertical="center"/>
    </xf>
    <xf numFmtId="0" fontId="53" fillId="0" borderId="28" xfId="161" applyFont="1" applyBorder="1" applyAlignment="1">
      <alignment horizontal="center" vertical="center"/>
    </xf>
    <xf numFmtId="0" fontId="0" fillId="14" borderId="28" xfId="0" applyFill="1" applyBorder="1">
      <alignment vertical="center"/>
    </xf>
    <xf numFmtId="0" fontId="53" fillId="14" borderId="33" xfId="0" applyFont="1" applyFill="1" applyBorder="1">
      <alignment vertical="center"/>
    </xf>
    <xf numFmtId="0" fontId="53" fillId="0" borderId="34" xfId="161" applyFont="1" applyBorder="1">
      <alignment vertical="center"/>
    </xf>
    <xf numFmtId="0" fontId="64" fillId="0" borderId="33" xfId="180" applyFont="1" applyBorder="1" applyAlignment="1">
      <alignment vertical="top"/>
    </xf>
    <xf numFmtId="0" fontId="53" fillId="0" borderId="0" xfId="180" applyFont="1" applyAlignment="1">
      <alignment vertical="top"/>
    </xf>
    <xf numFmtId="0" fontId="53" fillId="14" borderId="34" xfId="180" applyFont="1" applyFill="1" applyBorder="1">
      <alignment vertical="center"/>
    </xf>
    <xf numFmtId="0" fontId="53" fillId="14" borderId="33" xfId="161" applyFont="1" applyFill="1" applyBorder="1" applyAlignment="1">
      <alignment horizontal="left" vertical="center"/>
    </xf>
    <xf numFmtId="0" fontId="53" fillId="14" borderId="30" xfId="161" applyFont="1" applyFill="1" applyBorder="1" applyAlignment="1">
      <alignment horizontal="left" vertical="center"/>
    </xf>
    <xf numFmtId="0" fontId="53" fillId="14" borderId="31" xfId="161" applyFont="1" applyFill="1" applyBorder="1" applyAlignment="1">
      <alignment horizontal="left" vertical="center"/>
    </xf>
    <xf numFmtId="0" fontId="69" fillId="0" borderId="31" xfId="161" applyFont="1" applyBorder="1" applyAlignment="1">
      <alignment horizontal="left" vertical="center"/>
    </xf>
    <xf numFmtId="0" fontId="69" fillId="0" borderId="31" xfId="0" applyFont="1" applyBorder="1">
      <alignment vertical="center"/>
    </xf>
    <xf numFmtId="0" fontId="69" fillId="0" borderId="31" xfId="161" applyFont="1" applyBorder="1" applyAlignment="1">
      <alignment horizontal="center" vertical="center"/>
    </xf>
    <xf numFmtId="0" fontId="69" fillId="0" borderId="31" xfId="161" applyFont="1" applyBorder="1">
      <alignment vertical="center"/>
    </xf>
    <xf numFmtId="0" fontId="69" fillId="0" borderId="31" xfId="0" applyFont="1" applyBorder="1" applyAlignment="1">
      <alignment horizontal="center" vertical="center"/>
    </xf>
    <xf numFmtId="0" fontId="53" fillId="0" borderId="32" xfId="161" applyFont="1" applyBorder="1">
      <alignment vertical="center"/>
    </xf>
    <xf numFmtId="0" fontId="76" fillId="14" borderId="27" xfId="0" applyFont="1" applyFill="1" applyBorder="1">
      <alignment vertical="center"/>
    </xf>
    <xf numFmtId="0" fontId="53" fillId="0" borderId="28" xfId="161" quotePrefix="1" applyFont="1" applyBorder="1" applyAlignment="1">
      <alignment horizontal="left" vertical="center"/>
    </xf>
    <xf numFmtId="0" fontId="53" fillId="0" borderId="28" xfId="161" applyFont="1" applyBorder="1" applyAlignment="1">
      <alignment horizontal="left" vertical="center"/>
    </xf>
    <xf numFmtId="0" fontId="54" fillId="0" borderId="15" xfId="161" applyFont="1" applyBorder="1">
      <alignment vertical="center"/>
    </xf>
    <xf numFmtId="0" fontId="80" fillId="14" borderId="28" xfId="0" applyFont="1" applyFill="1" applyBorder="1">
      <alignment vertical="center"/>
    </xf>
    <xf numFmtId="0" fontId="58" fillId="14" borderId="28" xfId="161" applyFont="1" applyFill="1" applyBorder="1">
      <alignment vertical="center"/>
    </xf>
    <xf numFmtId="0" fontId="20" fillId="10" borderId="28" xfId="46" applyFont="1" applyFill="1" applyBorder="1" applyAlignment="1">
      <alignment horizontal="centerContinuous"/>
    </xf>
    <xf numFmtId="0" fontId="20" fillId="10" borderId="29" xfId="46" applyFont="1" applyFill="1" applyBorder="1" applyAlignment="1">
      <alignment horizontal="centerContinuous"/>
    </xf>
    <xf numFmtId="0" fontId="61" fillId="19" borderId="35" xfId="161" applyFont="1" applyFill="1" applyBorder="1" applyAlignment="1">
      <alignment horizontal="center" vertical="center"/>
    </xf>
    <xf numFmtId="0" fontId="61" fillId="24" borderId="36" xfId="161" applyFont="1" applyFill="1" applyBorder="1" applyAlignment="1">
      <alignment horizontal="centerContinuous" vertical="center"/>
    </xf>
    <xf numFmtId="0" fontId="54" fillId="19" borderId="37" xfId="161" applyFont="1" applyFill="1" applyBorder="1" applyAlignment="1">
      <alignment horizontal="centerContinuous" vertical="center"/>
    </xf>
    <xf numFmtId="0" fontId="61" fillId="24" borderId="38" xfId="161" quotePrefix="1" applyFont="1" applyFill="1" applyBorder="1" applyAlignment="1">
      <alignment horizontal="centerContinuous" vertical="center"/>
    </xf>
    <xf numFmtId="0" fontId="53" fillId="19" borderId="39" xfId="161" quotePrefix="1" applyFont="1" applyFill="1" applyBorder="1" applyAlignment="1">
      <alignment horizontal="center" vertical="center"/>
    </xf>
    <xf numFmtId="14" fontId="61" fillId="0" borderId="40" xfId="161" quotePrefix="1" applyNumberFormat="1" applyFont="1" applyBorder="1" applyAlignment="1">
      <alignment horizontal="centerContinuous" vertical="center"/>
    </xf>
    <xf numFmtId="0" fontId="64" fillId="0" borderId="33" xfId="0" applyFont="1" applyBorder="1">
      <alignment vertical="center"/>
    </xf>
    <xf numFmtId="0" fontId="0" fillId="14" borderId="34" xfId="0" applyFill="1" applyBorder="1">
      <alignment vertical="center"/>
    </xf>
    <xf numFmtId="0" fontId="53" fillId="0" borderId="33" xfId="0" applyFont="1" applyBorder="1">
      <alignment vertical="center"/>
    </xf>
    <xf numFmtId="0" fontId="85" fillId="25" borderId="41" xfId="161" quotePrefix="1" applyFont="1" applyFill="1" applyBorder="1" applyAlignment="1">
      <alignment horizontal="left" vertical="center"/>
    </xf>
    <xf numFmtId="0" fontId="0" fillId="25" borderId="40" xfId="0" applyFill="1" applyBorder="1">
      <alignment vertical="center"/>
    </xf>
    <xf numFmtId="0" fontId="76" fillId="14" borderId="30" xfId="0" applyFont="1" applyFill="1" applyBorder="1">
      <alignment vertical="center"/>
    </xf>
    <xf numFmtId="0" fontId="53" fillId="0" borderId="31" xfId="161" quotePrefix="1" applyFont="1" applyBorder="1" applyAlignment="1">
      <alignment horizontal="left" vertical="center"/>
    </xf>
    <xf numFmtId="0" fontId="53" fillId="0" borderId="31" xfId="161" applyFont="1" applyBorder="1" applyAlignment="1">
      <alignment horizontal="left" vertical="center"/>
    </xf>
    <xf numFmtId="0" fontId="80" fillId="14" borderId="31" xfId="0" applyFont="1" applyFill="1" applyBorder="1">
      <alignment vertical="center"/>
    </xf>
    <xf numFmtId="0" fontId="58" fillId="14" borderId="31" xfId="161" applyFont="1" applyFill="1" applyBorder="1">
      <alignment vertical="center"/>
    </xf>
    <xf numFmtId="0" fontId="20" fillId="10" borderId="31" xfId="46" applyFont="1" applyFill="1" applyBorder="1" applyAlignment="1">
      <alignment horizontal="centerContinuous"/>
    </xf>
    <xf numFmtId="0" fontId="20" fillId="10" borderId="32" xfId="46" applyFont="1" applyFill="1" applyBorder="1" applyAlignment="1">
      <alignment horizontal="centerContinuous"/>
    </xf>
    <xf numFmtId="0" fontId="54" fillId="0" borderId="8" xfId="161" quotePrefix="1" applyFont="1" applyBorder="1">
      <alignment vertical="center"/>
    </xf>
    <xf numFmtId="0" fontId="58" fillId="14" borderId="12" xfId="161" applyFont="1" applyFill="1" applyBorder="1">
      <alignment vertical="center"/>
    </xf>
    <xf numFmtId="0" fontId="20" fillId="10" borderId="12" xfId="46" applyFont="1" applyFill="1" applyBorder="1" applyAlignment="1">
      <alignment horizontal="centerContinuous"/>
    </xf>
    <xf numFmtId="0" fontId="20" fillId="10" borderId="36" xfId="46" applyFont="1" applyFill="1" applyBorder="1" applyAlignment="1">
      <alignment horizontal="centerContinuous"/>
    </xf>
    <xf numFmtId="0" fontId="20" fillId="10" borderId="34" xfId="46" applyFont="1" applyFill="1" applyBorder="1" applyAlignment="1">
      <alignment horizontal="centerContinuous"/>
    </xf>
    <xf numFmtId="0" fontId="20" fillId="10" borderId="8" xfId="46" applyFont="1" applyFill="1" applyBorder="1" applyAlignment="1">
      <alignment horizontal="centerContinuous"/>
    </xf>
    <xf numFmtId="0" fontId="20" fillId="10" borderId="38" xfId="46" applyFont="1" applyFill="1" applyBorder="1" applyAlignment="1">
      <alignment horizontal="centerContinuous"/>
    </xf>
    <xf numFmtId="0" fontId="20" fillId="10" borderId="2" xfId="46" applyFont="1" applyFill="1" applyBorder="1" applyAlignment="1">
      <alignment horizontal="centerContinuous"/>
    </xf>
    <xf numFmtId="0" fontId="61" fillId="26" borderId="10" xfId="161" applyFont="1" applyFill="1" applyBorder="1" applyAlignment="1">
      <alignment horizontal="centerContinuous" vertical="center"/>
    </xf>
    <xf numFmtId="0" fontId="53" fillId="0" borderId="0" xfId="161" quotePrefix="1" applyFont="1" applyAlignment="1">
      <alignment horizontal="center" vertical="center"/>
    </xf>
    <xf numFmtId="0" fontId="74" fillId="0" borderId="0" xfId="0" applyFont="1">
      <alignment vertical="center"/>
    </xf>
    <xf numFmtId="179" fontId="61" fillId="0" borderId="0" xfId="161" quotePrefix="1" applyNumberFormat="1" applyFont="1" applyAlignment="1">
      <alignment horizontal="right" vertical="center"/>
    </xf>
    <xf numFmtId="0" fontId="61" fillId="0" borderId="0" xfId="161" quotePrefix="1" applyFont="1" applyAlignment="1">
      <alignment horizontal="right" vertical="center"/>
    </xf>
    <xf numFmtId="0" fontId="20" fillId="10" borderId="16" xfId="46" applyFont="1" applyFill="1" applyBorder="1" applyAlignment="1">
      <alignment horizontal="center"/>
    </xf>
    <xf numFmtId="0" fontId="20" fillId="10" borderId="9" xfId="46" applyFont="1" applyFill="1" applyBorder="1" applyAlignment="1">
      <alignment horizontal="center"/>
    </xf>
    <xf numFmtId="0" fontId="76" fillId="14" borderId="33" xfId="0" applyFont="1" applyFill="1" applyBorder="1">
      <alignment vertical="center"/>
    </xf>
    <xf numFmtId="0" fontId="20" fillId="10" borderId="40" xfId="46" applyFont="1" applyFill="1" applyBorder="1" applyAlignment="1">
      <alignment horizontal="centerContinuous"/>
    </xf>
    <xf numFmtId="0" fontId="54" fillId="0" borderId="33" xfId="161" applyFont="1" applyBorder="1">
      <alignment vertical="center"/>
    </xf>
    <xf numFmtId="0" fontId="76" fillId="0" borderId="33" xfId="0" applyFont="1" applyBorder="1">
      <alignment vertical="center"/>
    </xf>
    <xf numFmtId="0" fontId="61" fillId="0" borderId="33" xfId="161" applyFont="1" applyBorder="1" applyAlignment="1">
      <alignment horizontal="center" vertical="center"/>
    </xf>
    <xf numFmtId="0" fontId="53" fillId="0" borderId="33" xfId="161" quotePrefix="1" applyFont="1" applyBorder="1" applyAlignment="1">
      <alignment horizontal="center" vertical="center"/>
    </xf>
    <xf numFmtId="0" fontId="20" fillId="10" borderId="42" xfId="46" applyFont="1" applyFill="1" applyBorder="1" applyAlignment="1">
      <alignment horizontal="centerContinuous"/>
    </xf>
    <xf numFmtId="0" fontId="20" fillId="10" borderId="43" xfId="46" applyFont="1" applyFill="1" applyBorder="1" applyAlignment="1">
      <alignment horizontal="centerContinuous"/>
    </xf>
    <xf numFmtId="0" fontId="20" fillId="10" borderId="11" xfId="46" applyFont="1" applyFill="1" applyBorder="1" applyAlignment="1">
      <alignment horizontal="centerContinuous"/>
    </xf>
    <xf numFmtId="0" fontId="75" fillId="14" borderId="0" xfId="180" applyFont="1" applyFill="1">
      <alignment vertical="center"/>
    </xf>
    <xf numFmtId="0" fontId="53" fillId="0" borderId="34" xfId="0" applyFont="1" applyBorder="1">
      <alignment vertical="center"/>
    </xf>
    <xf numFmtId="0" fontId="65" fillId="19" borderId="41" xfId="180" applyFont="1" applyFill="1" applyBorder="1" applyAlignment="1">
      <alignment horizontal="centerContinuous" vertical="center"/>
    </xf>
    <xf numFmtId="0" fontId="77" fillId="14" borderId="41" xfId="180" quotePrefix="1" applyFont="1" applyFill="1" applyBorder="1">
      <alignment vertical="center"/>
    </xf>
    <xf numFmtId="14" fontId="53" fillId="14" borderId="2" xfId="180" applyNumberFormat="1" applyFont="1" applyFill="1" applyBorder="1" applyAlignment="1">
      <alignment horizontal="centerContinuous" vertical="center"/>
    </xf>
    <xf numFmtId="0" fontId="53" fillId="14" borderId="44" xfId="0" applyFont="1" applyFill="1" applyBorder="1">
      <alignment vertical="center"/>
    </xf>
    <xf numFmtId="0" fontId="0" fillId="14" borderId="33" xfId="0" applyFill="1" applyBorder="1">
      <alignment vertical="center"/>
    </xf>
    <xf numFmtId="0" fontId="53" fillId="14" borderId="44" xfId="161" applyFont="1" applyFill="1" applyBorder="1">
      <alignment vertical="center"/>
    </xf>
    <xf numFmtId="185" fontId="61" fillId="0" borderId="0" xfId="161" quotePrefix="1" applyNumberFormat="1" applyFont="1" applyAlignment="1">
      <alignment horizontal="right" vertical="center"/>
    </xf>
    <xf numFmtId="0" fontId="20" fillId="10" borderId="21" xfId="46" applyFont="1" applyFill="1" applyBorder="1" applyAlignment="1">
      <alignment horizontal="center"/>
    </xf>
    <xf numFmtId="0" fontId="20" fillId="10" borderId="22" xfId="46" applyFont="1" applyFill="1" applyBorder="1" applyAlignment="1">
      <alignment horizontal="center"/>
    </xf>
    <xf numFmtId="0" fontId="61" fillId="21" borderId="10" xfId="161" applyFont="1" applyFill="1" applyBorder="1" applyAlignment="1">
      <alignment horizontal="centerContinuous" vertical="center"/>
    </xf>
    <xf numFmtId="0" fontId="61" fillId="26" borderId="10" xfId="161" quotePrefix="1" applyFont="1" applyFill="1" applyBorder="1" applyAlignment="1">
      <alignment horizontal="centerContinuous" vertical="center"/>
    </xf>
    <xf numFmtId="0" fontId="78" fillId="14" borderId="0" xfId="161" applyFont="1" applyFill="1">
      <alignment vertical="center"/>
    </xf>
    <xf numFmtId="14" fontId="53" fillId="0" borderId="0" xfId="161" quotePrefix="1" applyNumberFormat="1" applyFont="1">
      <alignment vertical="center"/>
    </xf>
    <xf numFmtId="0" fontId="64" fillId="0" borderId="0" xfId="180" applyFont="1" applyAlignment="1">
      <alignment vertical="top"/>
    </xf>
    <xf numFmtId="0" fontId="54" fillId="14" borderId="0" xfId="180" applyFont="1" applyFill="1" applyAlignment="1">
      <alignment horizontal="center" vertical="center"/>
    </xf>
    <xf numFmtId="0" fontId="64" fillId="14" borderId="0" xfId="180" applyFont="1" applyFill="1" applyAlignment="1">
      <alignment horizontal="center" vertical="center"/>
    </xf>
    <xf numFmtId="0" fontId="69" fillId="0" borderId="28" xfId="161" applyFont="1" applyBorder="1" applyAlignment="1">
      <alignment horizontal="left" vertical="center"/>
    </xf>
    <xf numFmtId="0" fontId="69" fillId="0" borderId="28" xfId="0" applyFont="1" applyBorder="1">
      <alignment vertical="center"/>
    </xf>
    <xf numFmtId="0" fontId="69" fillId="0" borderId="28" xfId="161" applyFont="1" applyBorder="1" applyAlignment="1">
      <alignment horizontal="center" vertical="center"/>
    </xf>
    <xf numFmtId="0" fontId="69" fillId="0" borderId="28" xfId="161" applyFont="1" applyBorder="1">
      <alignment vertical="center"/>
    </xf>
    <xf numFmtId="0" fontId="69" fillId="0" borderId="28" xfId="0" applyFont="1" applyBorder="1" applyAlignment="1">
      <alignment horizontal="center" vertical="center"/>
    </xf>
    <xf numFmtId="0" fontId="76" fillId="27" borderId="27" xfId="0" applyFont="1" applyFill="1" applyBorder="1">
      <alignment vertical="center"/>
    </xf>
    <xf numFmtId="0" fontId="53" fillId="27" borderId="28" xfId="0" applyFont="1" applyFill="1" applyBorder="1">
      <alignment vertical="center"/>
    </xf>
    <xf numFmtId="0" fontId="53" fillId="27" borderId="28" xfId="161" quotePrefix="1" applyFont="1" applyFill="1" applyBorder="1" applyAlignment="1">
      <alignment horizontal="left" vertical="center"/>
    </xf>
    <xf numFmtId="0" fontId="53" fillId="27" borderId="28" xfId="161" quotePrefix="1" applyFont="1" applyFill="1" applyBorder="1">
      <alignment vertical="center"/>
    </xf>
    <xf numFmtId="0" fontId="53" fillId="27" borderId="28" xfId="161" applyFont="1" applyFill="1" applyBorder="1">
      <alignment vertical="center"/>
    </xf>
    <xf numFmtId="0" fontId="53" fillId="27" borderId="28" xfId="161" applyFont="1" applyFill="1" applyBorder="1" applyAlignment="1">
      <alignment horizontal="left" vertical="center"/>
    </xf>
    <xf numFmtId="0" fontId="0" fillId="27" borderId="28" xfId="0" applyFill="1" applyBorder="1">
      <alignment vertical="center"/>
    </xf>
    <xf numFmtId="0" fontId="53" fillId="27" borderId="28" xfId="161" applyFont="1" applyFill="1" applyBorder="1" applyAlignment="1">
      <alignment horizontal="center" vertical="center"/>
    </xf>
    <xf numFmtId="0" fontId="54" fillId="27" borderId="33" xfId="161" applyFont="1" applyFill="1" applyBorder="1">
      <alignment vertical="center"/>
    </xf>
    <xf numFmtId="0" fontId="53" fillId="27" borderId="0" xfId="0" applyFont="1" applyFill="1">
      <alignment vertical="center"/>
    </xf>
    <xf numFmtId="0" fontId="53" fillId="27" borderId="6" xfId="0" applyFont="1" applyFill="1" applyBorder="1">
      <alignment vertical="center"/>
    </xf>
    <xf numFmtId="0" fontId="0" fillId="27" borderId="0" xfId="0" applyFill="1">
      <alignment vertical="center"/>
    </xf>
    <xf numFmtId="0" fontId="53" fillId="27" borderId="0" xfId="161" applyFont="1" applyFill="1" applyAlignment="1">
      <alignment horizontal="center" vertical="center"/>
    </xf>
    <xf numFmtId="0" fontId="53" fillId="27" borderId="0" xfId="161" applyFont="1" applyFill="1">
      <alignment vertical="center"/>
    </xf>
    <xf numFmtId="0" fontId="53" fillId="27" borderId="0" xfId="161" quotePrefix="1" applyFont="1" applyFill="1">
      <alignment vertical="center"/>
    </xf>
    <xf numFmtId="0" fontId="53" fillId="27" borderId="30" xfId="161" applyFont="1" applyFill="1" applyBorder="1" applyAlignment="1">
      <alignment horizontal="left" vertical="center"/>
    </xf>
    <xf numFmtId="0" fontId="53" fillId="27" borderId="31" xfId="161" applyFont="1" applyFill="1" applyBorder="1" applyAlignment="1">
      <alignment horizontal="left" vertical="center"/>
    </xf>
    <xf numFmtId="0" fontId="69" fillId="27" borderId="31" xfId="161" applyFont="1" applyFill="1" applyBorder="1" applyAlignment="1">
      <alignment horizontal="left" vertical="center"/>
    </xf>
    <xf numFmtId="0" fontId="69" fillId="27" borderId="31" xfId="0" applyFont="1" applyFill="1" applyBorder="1">
      <alignment vertical="center"/>
    </xf>
    <xf numFmtId="0" fontId="69" fillId="27" borderId="31" xfId="161" applyFont="1" applyFill="1" applyBorder="1" applyAlignment="1">
      <alignment horizontal="center" vertical="center"/>
    </xf>
    <xf numFmtId="0" fontId="69" fillId="27" borderId="31" xfId="161" applyFont="1" applyFill="1" applyBorder="1">
      <alignment vertical="center"/>
    </xf>
    <xf numFmtId="0" fontId="69" fillId="27" borderId="31" xfId="0" applyFont="1" applyFill="1" applyBorder="1" applyAlignment="1">
      <alignment horizontal="center" vertical="center"/>
    </xf>
    <xf numFmtId="0" fontId="53" fillId="27" borderId="31" xfId="161" applyFont="1" applyFill="1" applyBorder="1" applyAlignment="1">
      <alignment horizontal="center" vertical="center"/>
    </xf>
    <xf numFmtId="0" fontId="53" fillId="14" borderId="10" xfId="161" quotePrefix="1" applyFont="1" applyFill="1" applyBorder="1">
      <alignment vertical="center"/>
    </xf>
    <xf numFmtId="0" fontId="89" fillId="14" borderId="33" xfId="161" applyFont="1" applyFill="1" applyBorder="1">
      <alignment vertical="center"/>
    </xf>
    <xf numFmtId="0" fontId="85" fillId="0" borderId="33" xfId="161" quotePrefix="1" applyFont="1" applyBorder="1" applyAlignment="1">
      <alignment horizontal="left" vertical="center"/>
    </xf>
    <xf numFmtId="0" fontId="53" fillId="0" borderId="8" xfId="0" applyFont="1" applyBorder="1" applyAlignment="1">
      <alignment horizontal="left" vertical="center"/>
    </xf>
    <xf numFmtId="0" fontId="0" fillId="0" borderId="12" xfId="0" applyBorder="1">
      <alignment vertical="center"/>
    </xf>
    <xf numFmtId="0" fontId="0" fillId="0" borderId="34" xfId="0" applyBorder="1">
      <alignment vertical="center"/>
    </xf>
    <xf numFmtId="0" fontId="54" fillId="0" borderId="12" xfId="0" applyFont="1" applyBorder="1">
      <alignment vertical="center"/>
    </xf>
    <xf numFmtId="0" fontId="53" fillId="0" borderId="12" xfId="0" quotePrefix="1" applyFont="1" applyBorder="1">
      <alignment vertical="center"/>
    </xf>
    <xf numFmtId="0" fontId="53" fillId="0" borderId="12" xfId="0" applyFont="1" applyBorder="1" applyAlignment="1">
      <alignment horizontal="center" vertical="center"/>
    </xf>
    <xf numFmtId="0" fontId="53" fillId="0" borderId="12" xfId="0" applyFont="1" applyBorder="1" applyAlignment="1">
      <alignment horizontal="left" vertical="center"/>
    </xf>
    <xf numFmtId="0" fontId="61" fillId="19" borderId="45" xfId="161" applyFont="1" applyFill="1" applyBorder="1" applyAlignment="1">
      <alignment horizontal="center" vertical="center"/>
    </xf>
    <xf numFmtId="0" fontId="54" fillId="28" borderId="46" xfId="161" applyFont="1" applyFill="1" applyBorder="1" applyAlignment="1">
      <alignment horizontal="centerContinuous" vertical="center"/>
    </xf>
    <xf numFmtId="0" fontId="54" fillId="28" borderId="28" xfId="161" applyFont="1" applyFill="1" applyBorder="1" applyAlignment="1">
      <alignment horizontal="centerContinuous" vertical="center"/>
    </xf>
    <xf numFmtId="0" fontId="54" fillId="28" borderId="42" xfId="161" applyFont="1" applyFill="1" applyBorder="1" applyAlignment="1">
      <alignment horizontal="centerContinuous" vertical="center"/>
    </xf>
    <xf numFmtId="0" fontId="54" fillId="28" borderId="46" xfId="161" quotePrefix="1" applyFont="1" applyFill="1" applyBorder="1" applyAlignment="1">
      <alignment horizontal="centerContinuous" vertical="center"/>
    </xf>
    <xf numFmtId="0" fontId="54" fillId="28" borderId="28" xfId="161" quotePrefix="1" applyFont="1" applyFill="1" applyBorder="1" applyAlignment="1">
      <alignment horizontal="centerContinuous" vertical="center"/>
    </xf>
    <xf numFmtId="0" fontId="61" fillId="28" borderId="46" xfId="161" applyFont="1" applyFill="1" applyBorder="1" applyAlignment="1">
      <alignment horizontal="centerContinuous" vertical="center"/>
    </xf>
    <xf numFmtId="0" fontId="61" fillId="28" borderId="28" xfId="161" applyFont="1" applyFill="1" applyBorder="1" applyAlignment="1">
      <alignment horizontal="centerContinuous" vertical="center"/>
    </xf>
    <xf numFmtId="0" fontId="61" fillId="28" borderId="42" xfId="161" applyFont="1" applyFill="1" applyBorder="1" applyAlignment="1">
      <alignment horizontal="centerContinuous" vertical="center"/>
    </xf>
    <xf numFmtId="0" fontId="54" fillId="20" borderId="46" xfId="161" applyFont="1" applyFill="1" applyBorder="1" applyAlignment="1">
      <alignment horizontal="centerContinuous" vertical="center"/>
    </xf>
    <xf numFmtId="0" fontId="54" fillId="20" borderId="28" xfId="161" applyFont="1" applyFill="1" applyBorder="1" applyAlignment="1">
      <alignment horizontal="centerContinuous" vertical="center"/>
    </xf>
    <xf numFmtId="0" fontId="54" fillId="20" borderId="42" xfId="161" applyFont="1" applyFill="1" applyBorder="1" applyAlignment="1">
      <alignment horizontal="centerContinuous" vertical="center"/>
    </xf>
    <xf numFmtId="0" fontId="54" fillId="20" borderId="46" xfId="161" quotePrefix="1" applyFont="1" applyFill="1" applyBorder="1" applyAlignment="1">
      <alignment horizontal="centerContinuous" vertical="center"/>
    </xf>
    <xf numFmtId="0" fontId="54" fillId="20" borderId="28" xfId="161" quotePrefix="1" applyFont="1" applyFill="1" applyBorder="1" applyAlignment="1">
      <alignment horizontal="centerContinuous" vertical="center"/>
    </xf>
    <xf numFmtId="0" fontId="61" fillId="20" borderId="46" xfId="161" applyFont="1" applyFill="1" applyBorder="1" applyAlignment="1">
      <alignment horizontal="centerContinuous" vertical="center"/>
    </xf>
    <xf numFmtId="0" fontId="61" fillId="20" borderId="28" xfId="161" applyFont="1" applyFill="1" applyBorder="1" applyAlignment="1">
      <alignment horizontal="centerContinuous" vertical="center"/>
    </xf>
    <xf numFmtId="0" fontId="61" fillId="20" borderId="42" xfId="161" applyFont="1" applyFill="1" applyBorder="1" applyAlignment="1">
      <alignment horizontal="centerContinuous" vertical="center"/>
    </xf>
    <xf numFmtId="0" fontId="53" fillId="19" borderId="35" xfId="161" quotePrefix="1" applyFont="1" applyFill="1" applyBorder="1" applyAlignment="1">
      <alignment horizontal="center" vertical="center"/>
    </xf>
    <xf numFmtId="0" fontId="61" fillId="0" borderId="15" xfId="161" quotePrefix="1" applyFont="1" applyBorder="1" applyAlignment="1">
      <alignment horizontal="centerContinuous" vertical="center"/>
    </xf>
    <xf numFmtId="0" fontId="63" fillId="0" borderId="12" xfId="161" applyFont="1" applyBorder="1" applyAlignment="1">
      <alignment horizontal="centerContinuous" vertical="center"/>
    </xf>
    <xf numFmtId="0" fontId="63" fillId="0" borderId="13" xfId="161" applyFont="1" applyBorder="1" applyAlignment="1">
      <alignment horizontal="centerContinuous" vertical="center"/>
    </xf>
    <xf numFmtId="14" fontId="61" fillId="0" borderId="28" xfId="161" quotePrefix="1" applyNumberFormat="1" applyFont="1" applyBorder="1" applyAlignment="1">
      <alignment horizontal="centerContinuous" vertical="center"/>
    </xf>
    <xf numFmtId="0" fontId="61" fillId="0" borderId="28" xfId="161" quotePrefix="1" applyFont="1" applyBorder="1" applyAlignment="1">
      <alignment horizontal="centerContinuous" vertical="center"/>
    </xf>
    <xf numFmtId="0" fontId="63" fillId="0" borderId="28" xfId="161" applyFont="1" applyBorder="1" applyAlignment="1">
      <alignment horizontal="centerContinuous" vertical="center"/>
    </xf>
    <xf numFmtId="0" fontId="54" fillId="0" borderId="28" xfId="161" applyFont="1" applyBorder="1" applyAlignment="1">
      <alignment horizontal="center" vertical="center"/>
    </xf>
    <xf numFmtId="14" fontId="61" fillId="0" borderId="47" xfId="161" quotePrefix="1" applyNumberFormat="1" applyFont="1" applyBorder="1" applyAlignment="1">
      <alignment horizontal="centerContinuous" vertical="center"/>
    </xf>
    <xf numFmtId="14" fontId="61" fillId="0" borderId="48" xfId="161" quotePrefix="1" applyNumberFormat="1" applyFont="1" applyBorder="1" applyAlignment="1">
      <alignment horizontal="centerContinuous" vertical="center"/>
    </xf>
    <xf numFmtId="0" fontId="54" fillId="14" borderId="49" xfId="161" applyFont="1" applyFill="1" applyBorder="1" applyAlignment="1">
      <alignment horizontal="centerContinuous" vertical="center"/>
    </xf>
    <xf numFmtId="0" fontId="53" fillId="0" borderId="27" xfId="161" quotePrefix="1" applyFont="1" applyBorder="1" applyAlignment="1">
      <alignment horizontal="center" vertical="center"/>
    </xf>
    <xf numFmtId="0" fontId="61" fillId="19" borderId="23" xfId="161" applyFont="1" applyFill="1" applyBorder="1" applyAlignment="1">
      <alignment horizontal="center" vertical="center"/>
    </xf>
    <xf numFmtId="0" fontId="54" fillId="28" borderId="15" xfId="161" applyFont="1" applyFill="1" applyBorder="1" applyAlignment="1">
      <alignment horizontal="centerContinuous" vertical="center"/>
    </xf>
    <xf numFmtId="0" fontId="54" fillId="28" borderId="12" xfId="161" applyFont="1" applyFill="1" applyBorder="1" applyAlignment="1">
      <alignment horizontal="centerContinuous" vertical="center"/>
    </xf>
    <xf numFmtId="0" fontId="54" fillId="28" borderId="13" xfId="161" applyFont="1" applyFill="1" applyBorder="1" applyAlignment="1">
      <alignment horizontal="centerContinuous" vertical="center"/>
    </xf>
    <xf numFmtId="0" fontId="54" fillId="28" borderId="15" xfId="161" quotePrefix="1" applyFont="1" applyFill="1" applyBorder="1" applyAlignment="1">
      <alignment horizontal="centerContinuous" vertical="center"/>
    </xf>
    <xf numFmtId="0" fontId="54" fillId="28" borderId="12" xfId="161" quotePrefix="1" applyFont="1" applyFill="1" applyBorder="1" applyAlignment="1">
      <alignment horizontal="centerContinuous" vertical="center"/>
    </xf>
    <xf numFmtId="0" fontId="61" fillId="28" borderId="15" xfId="161" applyFont="1" applyFill="1" applyBorder="1" applyAlignment="1">
      <alignment horizontal="centerContinuous" vertical="center"/>
    </xf>
    <xf numFmtId="0" fontId="61" fillId="28" borderId="12" xfId="161" applyFont="1" applyFill="1" applyBorder="1" applyAlignment="1">
      <alignment horizontal="centerContinuous" vertical="center"/>
    </xf>
    <xf numFmtId="0" fontId="61" fillId="28" borderId="13" xfId="161" applyFont="1" applyFill="1" applyBorder="1" applyAlignment="1">
      <alignment horizontal="centerContinuous" vertical="center"/>
    </xf>
    <xf numFmtId="0" fontId="0" fillId="14" borderId="13" xfId="0" applyFill="1" applyBorder="1">
      <alignment vertical="center"/>
    </xf>
    <xf numFmtId="0" fontId="53" fillId="19" borderId="3" xfId="161" quotePrefix="1" applyFont="1" applyFill="1" applyBorder="1" applyAlignment="1">
      <alignment horizontal="center" vertical="center"/>
    </xf>
    <xf numFmtId="0" fontId="53" fillId="0" borderId="11" xfId="0" applyFont="1" applyBorder="1">
      <alignment vertical="center"/>
    </xf>
    <xf numFmtId="0" fontId="85" fillId="25" borderId="10" xfId="161" quotePrefix="1" applyFont="1" applyFill="1" applyBorder="1" applyAlignment="1">
      <alignment horizontal="left" vertical="center"/>
    </xf>
    <xf numFmtId="0" fontId="0" fillId="25" borderId="17" xfId="0" applyFill="1" applyBorder="1">
      <alignment vertical="center"/>
    </xf>
    <xf numFmtId="0" fontId="54" fillId="20" borderId="12" xfId="161" applyFont="1" applyFill="1" applyBorder="1" applyAlignment="1">
      <alignment horizontal="centerContinuous" vertical="center"/>
    </xf>
    <xf numFmtId="0" fontId="54" fillId="20" borderId="13" xfId="161" applyFont="1" applyFill="1" applyBorder="1" applyAlignment="1">
      <alignment horizontal="centerContinuous" vertical="center"/>
    </xf>
    <xf numFmtId="0" fontId="54" fillId="20" borderId="15" xfId="161" quotePrefix="1" applyFont="1" applyFill="1" applyBorder="1" applyAlignment="1">
      <alignment horizontal="centerContinuous" vertical="center"/>
    </xf>
    <xf numFmtId="0" fontId="54" fillId="20" borderId="12" xfId="161" quotePrefix="1" applyFont="1" applyFill="1" applyBorder="1" applyAlignment="1">
      <alignment horizontal="centerContinuous" vertical="center"/>
    </xf>
    <xf numFmtId="0" fontId="54" fillId="20" borderId="15" xfId="161" applyFont="1" applyFill="1" applyBorder="1" applyAlignment="1">
      <alignment horizontal="centerContinuous" vertical="center"/>
    </xf>
    <xf numFmtId="0" fontId="61" fillId="20" borderId="15" xfId="161" applyFont="1" applyFill="1" applyBorder="1" applyAlignment="1">
      <alignment horizontal="centerContinuous" vertical="center"/>
    </xf>
    <xf numFmtId="0" fontId="61" fillId="20" borderId="12" xfId="161" applyFont="1" applyFill="1" applyBorder="1" applyAlignment="1">
      <alignment horizontal="centerContinuous" vertical="center"/>
    </xf>
    <xf numFmtId="0" fontId="61" fillId="20" borderId="13" xfId="161" applyFont="1" applyFill="1" applyBorder="1" applyAlignment="1">
      <alignment horizontal="centerContinuous" vertical="center"/>
    </xf>
    <xf numFmtId="0" fontId="53" fillId="0" borderId="7" xfId="0" applyFont="1" applyBorder="1">
      <alignment vertical="center"/>
    </xf>
    <xf numFmtId="0" fontId="53" fillId="0" borderId="8" xfId="0" applyFont="1" applyBorder="1" applyAlignment="1">
      <alignment vertical="center" wrapText="1"/>
    </xf>
    <xf numFmtId="0" fontId="73" fillId="0" borderId="8" xfId="0" applyFont="1" applyBorder="1">
      <alignment vertical="center"/>
    </xf>
    <xf numFmtId="9" fontId="53" fillId="0" borderId="2" xfId="161" applyNumberFormat="1" applyFont="1" applyBorder="1">
      <alignment vertical="center"/>
    </xf>
    <xf numFmtId="0" fontId="61" fillId="26" borderId="7" xfId="161" quotePrefix="1" applyFont="1" applyFill="1" applyBorder="1" applyAlignment="1">
      <alignment horizontal="centerContinuous" vertical="center"/>
    </xf>
    <xf numFmtId="0" fontId="61" fillId="26" borderId="8" xfId="161" applyFont="1" applyFill="1" applyBorder="1" applyAlignment="1">
      <alignment horizontal="centerContinuous" vertical="center"/>
    </xf>
    <xf numFmtId="0" fontId="61" fillId="26" borderId="14" xfId="161" applyFont="1" applyFill="1" applyBorder="1" applyAlignment="1">
      <alignment horizontal="centerContinuous" vertical="center"/>
    </xf>
    <xf numFmtId="0" fontId="61" fillId="26" borderId="8" xfId="161" quotePrefix="1" applyFont="1" applyFill="1" applyBorder="1" applyAlignment="1">
      <alignment horizontal="centerContinuous" vertical="center"/>
    </xf>
    <xf numFmtId="0" fontId="61" fillId="19" borderId="37" xfId="161" applyFont="1" applyFill="1" applyBorder="1" applyAlignment="1">
      <alignment horizontal="center" vertical="center"/>
    </xf>
    <xf numFmtId="0" fontId="54" fillId="26" borderId="7" xfId="161" applyFont="1" applyFill="1" applyBorder="1" applyAlignment="1">
      <alignment horizontal="centerContinuous" vertical="center"/>
    </xf>
    <xf numFmtId="0" fontId="54" fillId="26" borderId="8" xfId="161" applyFont="1" applyFill="1" applyBorder="1" applyAlignment="1">
      <alignment horizontal="centerContinuous" vertical="center"/>
    </xf>
    <xf numFmtId="0" fontId="54" fillId="26" borderId="14" xfId="161" applyFont="1" applyFill="1" applyBorder="1" applyAlignment="1">
      <alignment horizontal="centerContinuous" vertical="center"/>
    </xf>
    <xf numFmtId="0" fontId="54" fillId="26" borderId="7" xfId="161" quotePrefix="1" applyFont="1" applyFill="1" applyBorder="1" applyAlignment="1">
      <alignment horizontal="centerContinuous" vertical="center"/>
    </xf>
    <xf numFmtId="0" fontId="54" fillId="26" borderId="8" xfId="161" quotePrefix="1" applyFont="1" applyFill="1" applyBorder="1" applyAlignment="1">
      <alignment horizontal="centerContinuous" vertical="center"/>
    </xf>
    <xf numFmtId="0" fontId="61" fillId="26" borderId="7" xfId="161" applyFont="1" applyFill="1" applyBorder="1" applyAlignment="1">
      <alignment horizontal="centerContinuous" vertical="center"/>
    </xf>
    <xf numFmtId="0" fontId="53" fillId="14" borderId="10" xfId="0" quotePrefix="1" applyFont="1" applyFill="1" applyBorder="1">
      <alignment vertical="center"/>
    </xf>
    <xf numFmtId="0" fontId="53" fillId="29" borderId="10" xfId="0" quotePrefix="1" applyFont="1" applyFill="1" applyBorder="1">
      <alignment vertical="center"/>
    </xf>
    <xf numFmtId="0" fontId="53" fillId="29" borderId="2" xfId="180" quotePrefix="1" applyFont="1" applyFill="1" applyBorder="1">
      <alignment vertical="center"/>
    </xf>
    <xf numFmtId="0" fontId="53" fillId="29" borderId="2" xfId="180" applyFont="1" applyFill="1" applyBorder="1">
      <alignment vertical="center"/>
    </xf>
    <xf numFmtId="0" fontId="53" fillId="29" borderId="2" xfId="180" applyFont="1" applyFill="1" applyBorder="1" applyAlignment="1">
      <alignment horizontal="center" vertical="center"/>
    </xf>
    <xf numFmtId="0" fontId="0" fillId="29" borderId="2" xfId="0" applyFill="1" applyBorder="1">
      <alignment vertical="center"/>
    </xf>
    <xf numFmtId="0" fontId="53" fillId="29" borderId="17" xfId="180" applyFont="1" applyFill="1" applyBorder="1" applyAlignment="1">
      <alignment horizontal="center" vertical="center"/>
    </xf>
    <xf numFmtId="0" fontId="90" fillId="25" borderId="41" xfId="161" quotePrefix="1" applyFont="1" applyFill="1" applyBorder="1" applyAlignment="1">
      <alignment horizontal="left" vertical="center"/>
    </xf>
    <xf numFmtId="0" fontId="76" fillId="14" borderId="28" xfId="0" applyFont="1" applyFill="1" applyBorder="1">
      <alignment vertical="center"/>
    </xf>
    <xf numFmtId="185" fontId="61" fillId="0" borderId="0" xfId="161" quotePrefix="1" applyNumberFormat="1" applyFont="1">
      <alignment vertical="center"/>
    </xf>
    <xf numFmtId="0" fontId="91" fillId="0" borderId="0" xfId="0" applyFont="1">
      <alignment vertical="center"/>
    </xf>
    <xf numFmtId="0" fontId="53" fillId="29" borderId="2" xfId="0" applyFont="1" applyFill="1" applyBorder="1">
      <alignment vertical="center"/>
    </xf>
    <xf numFmtId="0" fontId="65" fillId="29" borderId="2" xfId="180" applyFont="1" applyFill="1" applyBorder="1">
      <alignment vertical="center"/>
    </xf>
    <xf numFmtId="0" fontId="53" fillId="29" borderId="2" xfId="0" applyFont="1" applyFill="1" applyBorder="1" applyAlignment="1">
      <alignment vertical="center" wrapText="1"/>
    </xf>
    <xf numFmtId="0" fontId="53" fillId="29" borderId="17" xfId="0" applyFont="1" applyFill="1" applyBorder="1">
      <alignment vertical="center"/>
    </xf>
    <xf numFmtId="0" fontId="53" fillId="0" borderId="24" xfId="180" applyFont="1" applyBorder="1">
      <alignment vertical="center"/>
    </xf>
    <xf numFmtId="0" fontId="53" fillId="29" borderId="2" xfId="180" applyFont="1" applyFill="1" applyBorder="1" applyAlignment="1">
      <alignment horizontal="left" vertical="center"/>
    </xf>
    <xf numFmtId="0" fontId="54" fillId="14" borderId="41" xfId="180" quotePrefix="1" applyFont="1" applyFill="1" applyBorder="1">
      <alignment vertical="center"/>
    </xf>
    <xf numFmtId="0" fontId="53" fillId="14" borderId="10" xfId="180" quotePrefix="1" applyFont="1" applyFill="1" applyBorder="1" applyAlignment="1">
      <alignment horizontal="left" vertical="center"/>
    </xf>
    <xf numFmtId="0" fontId="53" fillId="0" borderId="33" xfId="161" applyFont="1" applyBorder="1">
      <alignment vertical="center"/>
    </xf>
    <xf numFmtId="0" fontId="92" fillId="0" borderId="0" xfId="0" applyFont="1">
      <alignment vertical="center"/>
    </xf>
    <xf numFmtId="0" fontId="79" fillId="14" borderId="44" xfId="161" quotePrefix="1" applyFont="1" applyFill="1" applyBorder="1">
      <alignment vertical="center"/>
    </xf>
    <xf numFmtId="0" fontId="53" fillId="14" borderId="50" xfId="161" applyFont="1" applyFill="1" applyBorder="1">
      <alignment vertical="center"/>
    </xf>
    <xf numFmtId="0" fontId="53" fillId="14" borderId="11" xfId="0" applyFont="1" applyFill="1" applyBorder="1">
      <alignment vertical="center"/>
    </xf>
    <xf numFmtId="0" fontId="64" fillId="0" borderId="28" xfId="0" applyFont="1" applyBorder="1">
      <alignment vertical="center"/>
    </xf>
    <xf numFmtId="0" fontId="53" fillId="14" borderId="8" xfId="180" quotePrefix="1" applyFont="1" applyFill="1" applyBorder="1">
      <alignment vertical="center"/>
    </xf>
    <xf numFmtId="0" fontId="53" fillId="14" borderId="8" xfId="180" applyFont="1" applyFill="1" applyBorder="1">
      <alignment vertical="center"/>
    </xf>
    <xf numFmtId="0" fontId="53" fillId="14" borderId="8" xfId="180" applyFont="1" applyFill="1" applyBorder="1" applyAlignment="1">
      <alignment horizontal="center" vertical="center"/>
    </xf>
    <xf numFmtId="0" fontId="53" fillId="14" borderId="25" xfId="180" applyFont="1" applyFill="1" applyBorder="1" applyAlignment="1">
      <alignment horizontal="center" vertical="center"/>
    </xf>
    <xf numFmtId="0" fontId="54" fillId="0" borderId="33" xfId="180" applyFont="1" applyBorder="1" applyAlignment="1">
      <alignment vertical="top"/>
    </xf>
    <xf numFmtId="0" fontId="54" fillId="14" borderId="17" xfId="180" applyFont="1" applyFill="1" applyBorder="1" applyAlignment="1">
      <alignment horizontal="center" vertical="center"/>
    </xf>
    <xf numFmtId="0" fontId="64" fillId="14" borderId="8" xfId="180" applyFont="1" applyFill="1" applyBorder="1" applyAlignment="1">
      <alignment horizontal="center" vertical="center"/>
    </xf>
    <xf numFmtId="0" fontId="93" fillId="24" borderId="8" xfId="161" quotePrefix="1" applyFont="1" applyFill="1" applyBorder="1" applyAlignment="1">
      <alignment horizontal="centerContinuous" vertical="center"/>
    </xf>
    <xf numFmtId="0" fontId="53" fillId="14" borderId="51" xfId="0" applyFont="1" applyFill="1" applyBorder="1">
      <alignment vertical="center"/>
    </xf>
    <xf numFmtId="0" fontId="54" fillId="30" borderId="15" xfId="161" applyFont="1" applyFill="1" applyBorder="1" applyAlignment="1">
      <alignment horizontal="centerContinuous" vertical="center"/>
    </xf>
    <xf numFmtId="0" fontId="54" fillId="30" borderId="12" xfId="161" applyFont="1" applyFill="1" applyBorder="1" applyAlignment="1">
      <alignment horizontal="centerContinuous" vertical="center"/>
    </xf>
    <xf numFmtId="0" fontId="54" fillId="30" borderId="15" xfId="161" quotePrefix="1" applyFont="1" applyFill="1" applyBorder="1" applyAlignment="1">
      <alignment horizontal="centerContinuous" vertical="center"/>
    </xf>
    <xf numFmtId="0" fontId="54" fillId="30" borderId="13" xfId="161" applyFont="1" applyFill="1" applyBorder="1" applyAlignment="1">
      <alignment horizontal="centerContinuous" vertical="center"/>
    </xf>
    <xf numFmtId="0" fontId="54" fillId="30" borderId="12" xfId="161" quotePrefix="1" applyFont="1" applyFill="1" applyBorder="1" applyAlignment="1">
      <alignment horizontal="centerContinuous" vertical="center"/>
    </xf>
    <xf numFmtId="0" fontId="61" fillId="30" borderId="15" xfId="161" applyFont="1" applyFill="1" applyBorder="1" applyAlignment="1">
      <alignment horizontal="centerContinuous" vertical="center"/>
    </xf>
    <xf numFmtId="0" fontId="61" fillId="30" borderId="12" xfId="161" applyFont="1" applyFill="1" applyBorder="1" applyAlignment="1">
      <alignment horizontal="centerContinuous" vertical="center"/>
    </xf>
    <xf numFmtId="0" fontId="61" fillId="30" borderId="13" xfId="161" applyFont="1" applyFill="1" applyBorder="1" applyAlignment="1">
      <alignment horizontal="centerContinuous" vertical="center"/>
    </xf>
    <xf numFmtId="0" fontId="61" fillId="30" borderId="10" xfId="161" applyFont="1" applyFill="1" applyBorder="1" applyAlignment="1">
      <alignment horizontal="centerContinuous" vertical="center"/>
    </xf>
    <xf numFmtId="0" fontId="61" fillId="30" borderId="15" xfId="161" quotePrefix="1" applyFont="1" applyFill="1" applyBorder="1" applyAlignment="1">
      <alignment horizontal="centerContinuous" vertical="center"/>
    </xf>
    <xf numFmtId="0" fontId="94" fillId="0" borderId="0" xfId="0" applyFont="1">
      <alignment vertical="center"/>
    </xf>
    <xf numFmtId="0" fontId="61" fillId="30" borderId="12" xfId="161" quotePrefix="1" applyFont="1" applyFill="1" applyBorder="1" applyAlignment="1">
      <alignment horizontal="centerContinuous" vertical="center"/>
    </xf>
    <xf numFmtId="0" fontId="61" fillId="30" borderId="10" xfId="161" quotePrefix="1" applyFont="1" applyFill="1" applyBorder="1" applyAlignment="1">
      <alignment horizontal="centerContinuous" vertical="center"/>
    </xf>
    <xf numFmtId="0" fontId="53" fillId="14" borderId="6" xfId="0" applyFont="1" applyFill="1" applyBorder="1">
      <alignment vertical="center"/>
    </xf>
    <xf numFmtId="0" fontId="64" fillId="0" borderId="10" xfId="161" quotePrefix="1" applyFont="1" applyBorder="1">
      <alignment vertical="center"/>
    </xf>
    <xf numFmtId="0" fontId="54" fillId="30" borderId="7" xfId="161" applyFont="1" applyFill="1" applyBorder="1" applyAlignment="1">
      <alignment horizontal="centerContinuous" vertical="center"/>
    </xf>
    <xf numFmtId="0" fontId="54" fillId="30" borderId="8" xfId="161" applyFont="1" applyFill="1" applyBorder="1" applyAlignment="1">
      <alignment horizontal="centerContinuous" vertical="center"/>
    </xf>
    <xf numFmtId="0" fontId="54" fillId="30" borderId="14" xfId="161" applyFont="1" applyFill="1" applyBorder="1" applyAlignment="1">
      <alignment horizontal="centerContinuous" vertical="center"/>
    </xf>
    <xf numFmtId="0" fontId="54" fillId="30" borderId="7" xfId="161" quotePrefix="1" applyFont="1" applyFill="1" applyBorder="1" applyAlignment="1">
      <alignment horizontal="centerContinuous" vertical="center"/>
    </xf>
    <xf numFmtId="0" fontId="54" fillId="30" borderId="8" xfId="161" quotePrefix="1" applyFont="1" applyFill="1" applyBorder="1" applyAlignment="1">
      <alignment horizontal="centerContinuous" vertical="center"/>
    </xf>
    <xf numFmtId="0" fontId="61" fillId="30" borderId="7" xfId="161" applyFont="1" applyFill="1" applyBorder="1" applyAlignment="1">
      <alignment horizontal="centerContinuous" vertical="center"/>
    </xf>
    <xf numFmtId="0" fontId="61" fillId="30" borderId="8" xfId="161" applyFont="1" applyFill="1" applyBorder="1" applyAlignment="1">
      <alignment horizontal="centerContinuous" vertical="center"/>
    </xf>
    <xf numFmtId="0" fontId="61" fillId="30" borderId="14" xfId="161" applyFont="1" applyFill="1" applyBorder="1" applyAlignment="1">
      <alignment horizontal="centerContinuous" vertical="center"/>
    </xf>
    <xf numFmtId="0" fontId="61" fillId="30" borderId="7" xfId="161" quotePrefix="1" applyFont="1" applyFill="1" applyBorder="1" applyAlignment="1">
      <alignment horizontal="centerContinuous" vertical="center"/>
    </xf>
    <xf numFmtId="0" fontId="61" fillId="30" borderId="8" xfId="161" quotePrefix="1" applyFont="1" applyFill="1" applyBorder="1" applyAlignment="1">
      <alignment horizontal="centerContinuous" vertical="center"/>
    </xf>
    <xf numFmtId="0" fontId="64" fillId="14" borderId="33" xfId="161" applyFont="1" applyFill="1" applyBorder="1">
      <alignment vertical="center"/>
    </xf>
    <xf numFmtId="0" fontId="61" fillId="24" borderId="15" xfId="161" quotePrefix="1" applyFont="1" applyFill="1" applyBorder="1" applyAlignment="1">
      <alignment horizontal="centerContinuous" vertical="center"/>
    </xf>
    <xf numFmtId="0" fontId="53" fillId="0" borderId="10" xfId="0" quotePrefix="1" applyFont="1" applyBorder="1">
      <alignment vertical="center"/>
    </xf>
    <xf numFmtId="0" fontId="53" fillId="0" borderId="2" xfId="180" quotePrefix="1" applyFont="1" applyBorder="1">
      <alignment vertical="center"/>
    </xf>
    <xf numFmtId="0" fontId="53" fillId="0" borderId="2" xfId="180" applyFont="1" applyBorder="1">
      <alignment vertical="center"/>
    </xf>
    <xf numFmtId="0" fontId="53" fillId="0" borderId="2" xfId="180" applyFont="1" applyBorder="1" applyAlignment="1">
      <alignment horizontal="center" vertical="center"/>
    </xf>
    <xf numFmtId="0" fontId="0" fillId="0" borderId="2" xfId="0" applyBorder="1">
      <alignment vertical="center"/>
    </xf>
    <xf numFmtId="0" fontId="65" fillId="0" borderId="2" xfId="180" applyFont="1" applyBorder="1">
      <alignment vertical="center"/>
    </xf>
    <xf numFmtId="0" fontId="53" fillId="0" borderId="2" xfId="0" applyFont="1" applyBorder="1" applyAlignment="1">
      <alignment vertical="center" wrapText="1"/>
    </xf>
    <xf numFmtId="0" fontId="96" fillId="10" borderId="16" xfId="46" applyFont="1" applyFill="1" applyBorder="1" applyAlignment="1">
      <alignment horizontal="centerContinuous"/>
    </xf>
    <xf numFmtId="0" fontId="96" fillId="10" borderId="9" xfId="46" applyFont="1" applyFill="1" applyBorder="1" applyAlignment="1">
      <alignment horizontal="centerContinuous"/>
    </xf>
    <xf numFmtId="0" fontId="97" fillId="14" borderId="0" xfId="0" applyFont="1" applyFill="1">
      <alignment vertical="center"/>
    </xf>
    <xf numFmtId="0" fontId="98" fillId="14" borderId="0" xfId="0" applyFont="1" applyFill="1">
      <alignment vertical="center"/>
    </xf>
    <xf numFmtId="0" fontId="96" fillId="10" borderId="6" xfId="49" applyFont="1" applyFill="1" applyBorder="1" applyAlignment="1">
      <alignment horizontal="right" vertical="center"/>
    </xf>
    <xf numFmtId="0" fontId="97" fillId="14" borderId="6" xfId="161" quotePrefix="1" applyFont="1" applyFill="1" applyBorder="1">
      <alignment vertical="center"/>
    </xf>
    <xf numFmtId="0" fontId="97" fillId="14" borderId="0" xfId="161" applyFont="1" applyFill="1">
      <alignment vertical="center"/>
    </xf>
    <xf numFmtId="0" fontId="97" fillId="14" borderId="11" xfId="161" applyFont="1" applyFill="1" applyBorder="1">
      <alignment vertical="center"/>
    </xf>
    <xf numFmtId="0" fontId="99" fillId="14" borderId="0" xfId="161" applyFont="1" applyFill="1">
      <alignment vertical="center"/>
    </xf>
    <xf numFmtId="0" fontId="97" fillId="0" borderId="0" xfId="161" applyFont="1">
      <alignment vertical="center"/>
    </xf>
    <xf numFmtId="0" fontId="97" fillId="0" borderId="0" xfId="161" quotePrefix="1" applyFont="1">
      <alignment vertical="center"/>
    </xf>
    <xf numFmtId="0" fontId="97" fillId="0" borderId="0" xfId="161" applyFont="1" applyAlignment="1">
      <alignment horizontal="center" vertical="center"/>
    </xf>
    <xf numFmtId="0" fontId="97" fillId="0" borderId="0" xfId="0" applyFont="1">
      <alignment vertical="center"/>
    </xf>
    <xf numFmtId="0" fontId="95" fillId="14" borderId="6" xfId="161" quotePrefix="1" applyFont="1" applyFill="1" applyBorder="1">
      <alignment vertical="center"/>
    </xf>
    <xf numFmtId="0" fontId="100" fillId="14" borderId="0" xfId="0" applyFont="1" applyFill="1">
      <alignment vertical="center"/>
    </xf>
    <xf numFmtId="0" fontId="97" fillId="0" borderId="0" xfId="161" quotePrefix="1" applyFont="1" applyAlignment="1">
      <alignment horizontal="left" vertical="center"/>
    </xf>
    <xf numFmtId="0" fontId="97" fillId="0" borderId="0" xfId="161" applyFont="1" applyAlignment="1">
      <alignment horizontal="left" vertical="center"/>
    </xf>
    <xf numFmtId="0" fontId="96" fillId="10" borderId="16" xfId="46" applyFont="1" applyFill="1" applyBorder="1" applyAlignment="1">
      <alignment horizontal="center"/>
    </xf>
    <xf numFmtId="0" fontId="96" fillId="10" borderId="9" xfId="46" applyFont="1" applyFill="1" applyBorder="1" applyAlignment="1">
      <alignment horizontal="center"/>
    </xf>
    <xf numFmtId="0" fontId="97" fillId="14" borderId="0" xfId="0" applyFont="1" applyFill="1" applyAlignment="1">
      <alignment vertical="center" wrapText="1"/>
    </xf>
    <xf numFmtId="0" fontId="96" fillId="10" borderId="7" xfId="49" applyFont="1" applyFill="1" applyBorder="1" applyAlignment="1">
      <alignment horizontal="right" vertical="center"/>
    </xf>
    <xf numFmtId="0" fontId="98" fillId="14" borderId="0" xfId="0" applyFont="1" applyFill="1" applyAlignment="1">
      <alignment vertical="center" wrapText="1"/>
    </xf>
    <xf numFmtId="0" fontId="103" fillId="0" borderId="52" xfId="161" quotePrefix="1" applyFont="1" applyBorder="1">
      <alignment vertical="center"/>
    </xf>
    <xf numFmtId="0" fontId="96" fillId="0" borderId="52" xfId="161" applyFont="1" applyBorder="1">
      <alignment vertical="center"/>
    </xf>
    <xf numFmtId="0" fontId="97" fillId="0" borderId="52" xfId="161" applyFont="1" applyBorder="1">
      <alignment vertical="center"/>
    </xf>
    <xf numFmtId="0" fontId="97" fillId="0" borderId="52" xfId="161" quotePrefix="1" applyFont="1" applyBorder="1">
      <alignment vertical="center"/>
    </xf>
    <xf numFmtId="0" fontId="97" fillId="0" borderId="52" xfId="161" applyFont="1" applyBorder="1" applyAlignment="1">
      <alignment horizontal="center" vertical="center"/>
    </xf>
    <xf numFmtId="0" fontId="97" fillId="0" borderId="52" xfId="0" applyFont="1" applyBorder="1">
      <alignment vertical="center"/>
    </xf>
    <xf numFmtId="0" fontId="97" fillId="0" borderId="52" xfId="0" applyFont="1" applyBorder="1" applyAlignment="1">
      <alignment vertical="center" wrapText="1"/>
    </xf>
    <xf numFmtId="0" fontId="96" fillId="0" borderId="0" xfId="161" applyFont="1">
      <alignment vertical="center"/>
    </xf>
    <xf numFmtId="0" fontId="96" fillId="0" borderId="6" xfId="161" quotePrefix="1" applyFont="1" applyBorder="1">
      <alignment vertical="center"/>
    </xf>
    <xf numFmtId="0" fontId="102" fillId="0" borderId="0" xfId="0" applyFont="1">
      <alignment vertical="center"/>
    </xf>
    <xf numFmtId="0" fontId="96" fillId="0" borderId="0" xfId="161" quotePrefix="1" applyFont="1">
      <alignment vertical="center"/>
    </xf>
    <xf numFmtId="0" fontId="96" fillId="0" borderId="0" xfId="0" applyFont="1">
      <alignment vertical="center"/>
    </xf>
    <xf numFmtId="0" fontId="96" fillId="0" borderId="11" xfId="161" applyFont="1" applyBorder="1">
      <alignment vertical="center"/>
    </xf>
    <xf numFmtId="0" fontId="102" fillId="0" borderId="0" xfId="161" applyFont="1">
      <alignment vertical="center"/>
    </xf>
    <xf numFmtId="0" fontId="96" fillId="0" borderId="0" xfId="161" applyFont="1" applyAlignment="1">
      <alignment horizontal="center" vertical="center"/>
    </xf>
    <xf numFmtId="0" fontId="104" fillId="0" borderId="0" xfId="0" applyFont="1">
      <alignment vertical="center"/>
    </xf>
    <xf numFmtId="0" fontId="96" fillId="0" borderId="0" xfId="161" quotePrefix="1" applyFont="1" applyAlignment="1">
      <alignment horizontal="center" vertical="center"/>
    </xf>
    <xf numFmtId="0" fontId="101" fillId="0" borderId="0" xfId="0" applyFont="1">
      <alignment vertical="center"/>
    </xf>
    <xf numFmtId="0" fontId="96" fillId="0" borderId="0" xfId="0" applyFont="1" applyAlignment="1">
      <alignment horizontal="left" vertical="center"/>
    </xf>
    <xf numFmtId="0" fontId="96" fillId="0" borderId="14" xfId="161" applyFont="1" applyBorder="1">
      <alignment vertical="center"/>
    </xf>
    <xf numFmtId="0" fontId="105" fillId="14" borderId="0" xfId="0" applyFont="1" applyFill="1">
      <alignment vertical="center"/>
    </xf>
    <xf numFmtId="0" fontId="105" fillId="14" borderId="0" xfId="161" applyFont="1" applyFill="1">
      <alignment vertical="center"/>
    </xf>
    <xf numFmtId="0" fontId="105" fillId="14" borderId="0" xfId="0" applyFont="1" applyFill="1" applyAlignment="1">
      <alignment horizontal="left" vertical="center"/>
    </xf>
    <xf numFmtId="0" fontId="105" fillId="19" borderId="0" xfId="0" applyFont="1" applyFill="1">
      <alignment vertical="center"/>
    </xf>
    <xf numFmtId="0" fontId="105" fillId="19" borderId="0" xfId="161" applyFont="1" applyFill="1">
      <alignment vertical="center"/>
    </xf>
    <xf numFmtId="0" fontId="105" fillId="19" borderId="0" xfId="161" applyFont="1" applyFill="1" applyAlignment="1">
      <alignment horizontal="center" vertical="center"/>
    </xf>
    <xf numFmtId="0" fontId="105" fillId="19" borderId="0" xfId="161" applyFont="1" applyFill="1" applyAlignment="1">
      <alignment horizontal="left" vertical="center"/>
    </xf>
    <xf numFmtId="0" fontId="96" fillId="19" borderId="6" xfId="161" quotePrefix="1" applyFont="1" applyFill="1" applyBorder="1">
      <alignment vertical="center"/>
    </xf>
    <xf numFmtId="0" fontId="101" fillId="19" borderId="0" xfId="0" applyFont="1" applyFill="1">
      <alignment vertical="center"/>
    </xf>
    <xf numFmtId="0" fontId="96" fillId="19" borderId="0" xfId="0" applyFont="1" applyFill="1">
      <alignment vertical="center"/>
    </xf>
    <xf numFmtId="0" fontId="105" fillId="19" borderId="0" xfId="0" applyFont="1" applyFill="1" applyAlignment="1">
      <alignment horizontal="center" vertical="center"/>
    </xf>
    <xf numFmtId="0" fontId="96" fillId="19" borderId="11" xfId="161" applyFont="1" applyFill="1" applyBorder="1">
      <alignment vertical="center"/>
    </xf>
    <xf numFmtId="0" fontId="96" fillId="19" borderId="0" xfId="161" quotePrefix="1" applyFont="1" applyFill="1">
      <alignment vertical="center"/>
    </xf>
    <xf numFmtId="0" fontId="74" fillId="14" borderId="0" xfId="0" applyFont="1" applyFill="1">
      <alignment vertical="center"/>
    </xf>
    <xf numFmtId="0" fontId="110" fillId="14" borderId="0" xfId="0" applyFont="1" applyFill="1">
      <alignment vertical="center"/>
    </xf>
    <xf numFmtId="0" fontId="101" fillId="31" borderId="0" xfId="0" applyFont="1" applyFill="1" applyAlignment="1">
      <alignment horizontal="left" vertical="center"/>
    </xf>
    <xf numFmtId="0" fontId="101" fillId="31" borderId="0" xfId="0" applyFont="1" applyFill="1">
      <alignment vertical="center"/>
    </xf>
    <xf numFmtId="0" fontId="101" fillId="14" borderId="0" xfId="0" applyFont="1" applyFill="1">
      <alignment vertical="center"/>
    </xf>
    <xf numFmtId="0" fontId="96" fillId="0" borderId="8" xfId="161" applyFont="1" applyBorder="1">
      <alignment vertical="center"/>
    </xf>
    <xf numFmtId="0" fontId="102" fillId="0" borderId="8" xfId="0" applyFont="1" applyBorder="1">
      <alignment vertical="center"/>
    </xf>
    <xf numFmtId="0" fontId="102" fillId="0" borderId="8" xfId="0" applyFont="1" applyBorder="1" applyAlignment="1">
      <alignment vertical="center" wrapText="1"/>
    </xf>
    <xf numFmtId="0" fontId="96" fillId="10" borderId="53" xfId="46" applyFont="1" applyFill="1" applyBorder="1" applyAlignment="1">
      <alignment horizontal="center"/>
    </xf>
    <xf numFmtId="0" fontId="96" fillId="0" borderId="58" xfId="45" applyFont="1" applyBorder="1" applyAlignment="1" applyProtection="1">
      <alignment horizontal="center" vertical="center" wrapText="1"/>
      <protection locked="0"/>
    </xf>
    <xf numFmtId="0" fontId="96" fillId="0" borderId="54" xfId="45" applyFont="1" applyBorder="1" applyAlignment="1" applyProtection="1">
      <alignment horizontal="center" vertical="center" wrapText="1"/>
      <protection locked="0"/>
    </xf>
    <xf numFmtId="0" fontId="111" fillId="0" borderId="0" xfId="161" quotePrefix="1" applyFont="1">
      <alignment vertical="center"/>
    </xf>
    <xf numFmtId="0" fontId="105" fillId="36" borderId="0" xfId="161" applyFont="1" applyFill="1">
      <alignment vertical="center"/>
    </xf>
    <xf numFmtId="0" fontId="106" fillId="36" borderId="0" xfId="161" applyFont="1" applyFill="1">
      <alignment vertical="center"/>
    </xf>
    <xf numFmtId="0" fontId="106" fillId="36" borderId="0" xfId="161" quotePrefix="1" applyFont="1" applyFill="1">
      <alignment vertical="center"/>
    </xf>
    <xf numFmtId="0" fontId="106" fillId="36" borderId="0" xfId="161" applyFont="1" applyFill="1" applyAlignment="1">
      <alignment horizontal="center" vertical="center"/>
    </xf>
    <xf numFmtId="0" fontId="106" fillId="36" borderId="0" xfId="0" applyFont="1" applyFill="1">
      <alignment vertical="center"/>
    </xf>
    <xf numFmtId="0" fontId="106" fillId="36" borderId="0" xfId="0" applyFont="1" applyFill="1" applyAlignment="1">
      <alignment vertical="center" wrapText="1"/>
    </xf>
    <xf numFmtId="0" fontId="107" fillId="36" borderId="0" xfId="161" applyFont="1" applyFill="1">
      <alignment vertical="center"/>
    </xf>
    <xf numFmtId="14" fontId="107" fillId="36" borderId="0" xfId="161" quotePrefix="1" applyNumberFormat="1" applyFont="1" applyFill="1">
      <alignment vertical="center"/>
    </xf>
    <xf numFmtId="0" fontId="107" fillId="36" borderId="0" xfId="161" quotePrefix="1" applyFont="1" applyFill="1">
      <alignment vertical="center"/>
    </xf>
    <xf numFmtId="0" fontId="105" fillId="36" borderId="0" xfId="161" quotePrefix="1" applyFont="1" applyFill="1">
      <alignment vertical="center"/>
    </xf>
    <xf numFmtId="0" fontId="105" fillId="36" borderId="0" xfId="161" applyFont="1" applyFill="1" applyAlignment="1">
      <alignment horizontal="left" vertical="center"/>
    </xf>
    <xf numFmtId="0" fontId="105" fillId="36" borderId="0" xfId="0" applyFont="1" applyFill="1">
      <alignment vertical="center"/>
    </xf>
    <xf numFmtId="0" fontId="105" fillId="36" borderId="0" xfId="161" applyFont="1" applyFill="1" applyAlignment="1">
      <alignment horizontal="center" vertical="center"/>
    </xf>
    <xf numFmtId="0" fontId="105" fillId="36" borderId="0" xfId="161" quotePrefix="1" applyFont="1" applyFill="1" applyAlignment="1">
      <alignment horizontal="left" vertical="center"/>
    </xf>
    <xf numFmtId="0" fontId="101" fillId="36" borderId="0" xfId="161" applyFont="1" applyFill="1">
      <alignment vertical="center"/>
    </xf>
    <xf numFmtId="0" fontId="116" fillId="36" borderId="0" xfId="161" applyFont="1" applyFill="1">
      <alignment vertical="center"/>
    </xf>
    <xf numFmtId="0" fontId="105" fillId="0" borderId="0" xfId="161" applyFont="1">
      <alignment vertical="center"/>
    </xf>
    <xf numFmtId="0" fontId="106" fillId="0" borderId="0" xfId="161" applyFont="1">
      <alignment vertical="center"/>
    </xf>
    <xf numFmtId="0" fontId="106" fillId="0" borderId="0" xfId="161" quotePrefix="1" applyFont="1">
      <alignment vertical="center"/>
    </xf>
    <xf numFmtId="0" fontId="106" fillId="0" borderId="0" xfId="161" applyFont="1" applyAlignment="1">
      <alignment horizontal="center" vertical="center"/>
    </xf>
    <xf numFmtId="0" fontId="106" fillId="0" borderId="0" xfId="0" applyFont="1">
      <alignment vertical="center"/>
    </xf>
    <xf numFmtId="0" fontId="106" fillId="0" borderId="0" xfId="0" applyFont="1" applyAlignment="1">
      <alignment vertical="center" wrapText="1"/>
    </xf>
    <xf numFmtId="0" fontId="107" fillId="0" borderId="0" xfId="161" applyFont="1">
      <alignment vertical="center"/>
    </xf>
    <xf numFmtId="14" fontId="107" fillId="0" borderId="0" xfId="161" quotePrefix="1" applyNumberFormat="1" applyFont="1">
      <alignment vertical="center"/>
    </xf>
    <xf numFmtId="0" fontId="107" fillId="0" borderId="0" xfId="161" quotePrefix="1" applyFont="1">
      <alignment vertical="center"/>
    </xf>
    <xf numFmtId="0" fontId="105" fillId="0" borderId="0" xfId="161" quotePrefix="1" applyFont="1">
      <alignment vertical="center"/>
    </xf>
    <xf numFmtId="0" fontId="105" fillId="0" borderId="0" xfId="161" applyFont="1" applyAlignment="1">
      <alignment horizontal="left" vertical="center"/>
    </xf>
    <xf numFmtId="0" fontId="105" fillId="0" borderId="0" xfId="0" applyFont="1">
      <alignment vertical="center"/>
    </xf>
    <xf numFmtId="0" fontId="105" fillId="0" borderId="0" xfId="161" applyFont="1" applyAlignment="1">
      <alignment horizontal="center" vertical="center"/>
    </xf>
    <xf numFmtId="0" fontId="105" fillId="0" borderId="0" xfId="161" quotePrefix="1" applyFont="1" applyAlignment="1">
      <alignment horizontal="left" vertical="center"/>
    </xf>
    <xf numFmtId="0" fontId="101" fillId="0" borderId="0" xfId="161" applyFont="1">
      <alignment vertical="center"/>
    </xf>
    <xf numFmtId="0" fontId="117" fillId="36" borderId="0" xfId="161" applyFont="1" applyFill="1">
      <alignment vertical="center"/>
    </xf>
    <xf numFmtId="0" fontId="117" fillId="0" borderId="0" xfId="161" applyFont="1">
      <alignment vertical="center"/>
    </xf>
    <xf numFmtId="0" fontId="113" fillId="0" borderId="0" xfId="161" applyFont="1">
      <alignment vertical="center"/>
    </xf>
    <xf numFmtId="0" fontId="118" fillId="0" borderId="0" xfId="161" applyFont="1" applyAlignment="1">
      <alignment vertical="top"/>
    </xf>
    <xf numFmtId="0" fontId="119" fillId="36" borderId="0" xfId="161" applyFont="1" applyFill="1">
      <alignment vertical="center"/>
    </xf>
    <xf numFmtId="0" fontId="119" fillId="36" borderId="0" xfId="161" quotePrefix="1" applyFont="1" applyFill="1">
      <alignment vertical="center"/>
    </xf>
    <xf numFmtId="0" fontId="116" fillId="14" borderId="0" xfId="0" applyFont="1" applyFill="1">
      <alignment vertical="center"/>
    </xf>
    <xf numFmtId="0" fontId="102" fillId="31" borderId="0" xfId="185" applyFont="1" applyFill="1">
      <alignment vertical="center"/>
    </xf>
    <xf numFmtId="0" fontId="102" fillId="14" borderId="0" xfId="185" applyFont="1" applyFill="1">
      <alignment vertical="center"/>
    </xf>
    <xf numFmtId="0" fontId="102" fillId="0" borderId="0" xfId="185" applyFont="1">
      <alignment vertical="center"/>
    </xf>
    <xf numFmtId="0" fontId="96" fillId="0" borderId="55" xfId="185" applyFont="1" applyBorder="1" applyAlignment="1" applyProtection="1">
      <alignment vertical="center" wrapText="1"/>
      <protection locked="0"/>
    </xf>
    <xf numFmtId="0" fontId="96" fillId="0" borderId="56" xfId="185" applyFont="1" applyBorder="1" applyAlignment="1" applyProtection="1">
      <alignment vertical="center" wrapText="1"/>
      <protection locked="0"/>
    </xf>
    <xf numFmtId="0" fontId="96" fillId="0" borderId="57" xfId="185" applyFont="1" applyBorder="1" applyAlignment="1" applyProtection="1">
      <alignment vertical="center" wrapText="1"/>
      <protection locked="0"/>
    </xf>
    <xf numFmtId="0" fontId="96" fillId="0" borderId="58" xfId="185" applyFont="1" applyBorder="1" applyAlignment="1">
      <alignment vertical="center" wrapText="1"/>
    </xf>
    <xf numFmtId="0" fontId="96" fillId="0" borderId="2" xfId="185" applyFont="1" applyBorder="1" applyAlignment="1">
      <alignment vertical="center" wrapText="1"/>
    </xf>
    <xf numFmtId="0" fontId="96" fillId="0" borderId="54" xfId="185" applyFont="1" applyBorder="1" applyAlignment="1">
      <alignment vertical="center" wrapText="1"/>
    </xf>
    <xf numFmtId="0" fontId="96" fillId="0" borderId="54" xfId="185" applyFont="1" applyBorder="1" applyAlignment="1">
      <alignment horizontal="left" vertical="center" wrapText="1"/>
    </xf>
    <xf numFmtId="0" fontId="102" fillId="0" borderId="10" xfId="185" applyFont="1" applyBorder="1">
      <alignment vertical="center"/>
    </xf>
    <xf numFmtId="0" fontId="102" fillId="0" borderId="2" xfId="185" applyFont="1" applyBorder="1">
      <alignment vertical="center"/>
    </xf>
    <xf numFmtId="0" fontId="102" fillId="0" borderId="17" xfId="185" applyFont="1" applyBorder="1">
      <alignment vertical="center"/>
    </xf>
    <xf numFmtId="0" fontId="96" fillId="0" borderId="62" xfId="185" applyFont="1" applyBorder="1" applyAlignment="1" applyProtection="1">
      <alignment vertical="center" wrapText="1"/>
      <protection locked="0"/>
    </xf>
    <xf numFmtId="0" fontId="96" fillId="0" borderId="63" xfId="185" applyFont="1" applyBorder="1" applyAlignment="1" applyProtection="1">
      <alignment vertical="center" wrapText="1"/>
      <protection locked="0"/>
    </xf>
    <xf numFmtId="0" fontId="96" fillId="0" borderId="64" xfId="185" applyFont="1" applyBorder="1" applyAlignment="1" applyProtection="1">
      <alignment vertical="center" wrapText="1"/>
      <protection locked="0"/>
    </xf>
    <xf numFmtId="0" fontId="96" fillId="0" borderId="65" xfId="185" applyFont="1" applyBorder="1" applyAlignment="1" applyProtection="1">
      <alignment vertical="center" wrapText="1"/>
      <protection locked="0"/>
    </xf>
    <xf numFmtId="0" fontId="96" fillId="31" borderId="0" xfId="185" applyFont="1" applyFill="1" applyProtection="1">
      <alignment vertical="center"/>
      <protection locked="0"/>
    </xf>
    <xf numFmtId="0" fontId="104" fillId="0" borderId="62" xfId="185" applyFont="1" applyBorder="1" applyAlignment="1">
      <alignment horizontal="left" vertical="center"/>
    </xf>
    <xf numFmtId="0" fontId="104" fillId="0" borderId="63" xfId="185" applyFont="1" applyBorder="1" applyAlignment="1">
      <alignment horizontal="left" vertical="center"/>
    </xf>
    <xf numFmtId="0" fontId="96" fillId="0" borderId="63" xfId="185" applyFont="1" applyBorder="1" applyAlignment="1">
      <alignment horizontal="left" vertical="center"/>
    </xf>
    <xf numFmtId="0" fontId="102" fillId="0" borderId="63" xfId="185" applyFont="1" applyBorder="1">
      <alignment vertical="center"/>
    </xf>
    <xf numFmtId="0" fontId="102" fillId="0" borderId="64" xfId="185" applyFont="1" applyBorder="1">
      <alignment vertical="center"/>
    </xf>
    <xf numFmtId="0" fontId="111" fillId="0" borderId="10" xfId="185" applyFont="1" applyBorder="1" applyProtection="1">
      <alignment vertical="center"/>
      <protection locked="0"/>
    </xf>
    <xf numFmtId="0" fontId="111" fillId="0" borderId="2" xfId="185" applyFont="1" applyBorder="1" applyProtection="1">
      <alignment vertical="center"/>
      <protection locked="0"/>
    </xf>
    <xf numFmtId="0" fontId="111" fillId="0" borderId="17" xfId="185" applyFont="1" applyBorder="1" applyProtection="1">
      <alignment vertical="center"/>
      <protection locked="0"/>
    </xf>
    <xf numFmtId="0" fontId="102" fillId="0" borderId="0" xfId="185" applyFont="1" applyProtection="1">
      <alignment vertical="center"/>
      <protection locked="0"/>
    </xf>
    <xf numFmtId="0" fontId="96" fillId="0" borderId="62" xfId="185" applyFont="1" applyBorder="1" applyAlignment="1">
      <alignment horizontal="left" vertical="center"/>
    </xf>
    <xf numFmtId="0" fontId="102" fillId="0" borderId="10" xfId="185" applyFont="1" applyBorder="1" applyProtection="1">
      <alignment vertical="center"/>
      <protection locked="0"/>
    </xf>
    <xf numFmtId="0" fontId="102" fillId="0" borderId="2" xfId="185" applyFont="1" applyBorder="1" applyProtection="1">
      <alignment vertical="center"/>
      <protection locked="0"/>
    </xf>
    <xf numFmtId="0" fontId="102" fillId="0" borderId="17" xfId="185" applyFont="1" applyBorder="1" applyProtection="1">
      <alignment vertical="center"/>
      <protection locked="0"/>
    </xf>
    <xf numFmtId="0" fontId="102" fillId="0" borderId="7" xfId="185" applyFont="1" applyBorder="1">
      <alignment vertical="center"/>
    </xf>
    <xf numFmtId="0" fontId="102" fillId="0" borderId="8" xfId="185" applyFont="1" applyBorder="1">
      <alignment vertical="center"/>
    </xf>
    <xf numFmtId="0" fontId="102" fillId="0" borderId="14" xfId="185" applyFont="1" applyBorder="1">
      <alignment vertical="center"/>
    </xf>
    <xf numFmtId="0" fontId="104" fillId="14" borderId="0" xfId="185" applyFont="1" applyFill="1">
      <alignment vertical="center"/>
    </xf>
    <xf numFmtId="0" fontId="113" fillId="14" borderId="0" xfId="185" applyFont="1" applyFill="1">
      <alignment vertical="center"/>
    </xf>
    <xf numFmtId="0" fontId="96" fillId="14" borderId="0" xfId="185" applyFont="1" applyFill="1" applyProtection="1">
      <alignment vertical="center"/>
      <protection locked="0"/>
    </xf>
    <xf numFmtId="0" fontId="102" fillId="14" borderId="0" xfId="185" applyFont="1" applyFill="1" applyAlignment="1">
      <alignment vertical="center" wrapText="1"/>
    </xf>
    <xf numFmtId="0" fontId="101" fillId="14" borderId="0" xfId="185" applyFont="1" applyFill="1" applyAlignment="1">
      <alignment vertical="center" wrapText="1"/>
    </xf>
    <xf numFmtId="0" fontId="96" fillId="14" borderId="0" xfId="185" applyFont="1" applyFill="1" applyAlignment="1">
      <alignment vertical="center" wrapText="1"/>
    </xf>
    <xf numFmtId="0" fontId="102" fillId="0" borderId="0" xfId="186" applyFont="1">
      <alignment vertical="center"/>
    </xf>
    <xf numFmtId="0" fontId="96" fillId="31" borderId="0" xfId="186" applyFont="1" applyFill="1">
      <alignment vertical="center"/>
    </xf>
    <xf numFmtId="0" fontId="96" fillId="0" borderId="2" xfId="45" applyFont="1" applyBorder="1" applyAlignment="1">
      <alignment horizontal="center" vertical="center" wrapText="1"/>
    </xf>
    <xf numFmtId="0" fontId="96" fillId="0" borderId="62" xfId="186" applyFont="1" applyBorder="1" applyAlignment="1" applyProtection="1">
      <alignment vertical="top" wrapText="1"/>
      <protection locked="0"/>
    </xf>
    <xf numFmtId="0" fontId="96" fillId="0" borderId="63" xfId="186" applyFont="1" applyBorder="1" applyAlignment="1" applyProtection="1">
      <alignment vertical="top" wrapText="1"/>
      <protection locked="0"/>
    </xf>
    <xf numFmtId="0" fontId="96" fillId="0" borderId="64" xfId="186" applyFont="1" applyBorder="1" applyAlignment="1" applyProtection="1">
      <alignment vertical="top" wrapText="1"/>
      <protection locked="0"/>
    </xf>
    <xf numFmtId="0" fontId="96" fillId="0" borderId="3" xfId="186" applyFont="1" applyBorder="1" applyAlignment="1">
      <alignment vertical="center" shrinkToFit="1"/>
    </xf>
    <xf numFmtId="0" fontId="96" fillId="0" borderId="0" xfId="186" applyFont="1">
      <alignment vertical="center"/>
    </xf>
    <xf numFmtId="0" fontId="120" fillId="0" borderId="0" xfId="186" applyFont="1">
      <alignment vertical="center"/>
    </xf>
    <xf numFmtId="0" fontId="123" fillId="0" borderId="0" xfId="186" applyFont="1">
      <alignment vertical="center"/>
    </xf>
    <xf numFmtId="0" fontId="124" fillId="0" borderId="0" xfId="186" applyFont="1">
      <alignment vertical="center"/>
    </xf>
    <xf numFmtId="0" fontId="125" fillId="31" borderId="0" xfId="186" applyFont="1" applyFill="1">
      <alignment vertical="center"/>
    </xf>
    <xf numFmtId="0" fontId="102" fillId="0" borderId="6" xfId="186" applyFont="1" applyBorder="1">
      <alignment vertical="center"/>
    </xf>
    <xf numFmtId="0" fontId="96" fillId="0" borderId="7" xfId="161" applyFont="1" applyBorder="1">
      <alignment vertical="center"/>
    </xf>
    <xf numFmtId="185" fontId="105" fillId="19" borderId="0" xfId="161" quotePrefix="1" applyNumberFormat="1" applyFont="1" applyFill="1">
      <alignment vertical="center"/>
    </xf>
    <xf numFmtId="0" fontId="127" fillId="36" borderId="0" xfId="161" applyFont="1" applyFill="1">
      <alignment vertical="center"/>
    </xf>
    <xf numFmtId="0" fontId="119" fillId="0" borderId="0" xfId="161" applyFont="1">
      <alignment vertical="center"/>
    </xf>
    <xf numFmtId="0" fontId="119" fillId="0" borderId="0" xfId="161" quotePrefix="1" applyFont="1">
      <alignment vertical="center"/>
    </xf>
    <xf numFmtId="0" fontId="108" fillId="0" borderId="0" xfId="161" applyFont="1" applyAlignment="1">
      <alignment vertical="top"/>
    </xf>
    <xf numFmtId="0" fontId="108" fillId="0" borderId="0" xfId="161" applyFont="1">
      <alignment vertical="center"/>
    </xf>
    <xf numFmtId="0" fontId="20" fillId="0" borderId="0" xfId="48" applyFont="1" applyAlignment="1">
      <alignment horizontal="center" vertical="center" wrapText="1"/>
    </xf>
    <xf numFmtId="0" fontId="20" fillId="0" borderId="0" xfId="48" applyFont="1" applyAlignment="1">
      <alignment horizontal="center" vertical="center"/>
    </xf>
    <xf numFmtId="14" fontId="82" fillId="14" borderId="0" xfId="48" applyNumberFormat="1" applyFont="1" applyFill="1" applyAlignment="1">
      <alignment horizontal="center" vertical="center"/>
    </xf>
    <xf numFmtId="0" fontId="82" fillId="14" borderId="0" xfId="48" applyFont="1" applyFill="1" applyAlignment="1">
      <alignment horizontal="center" vertical="center"/>
    </xf>
    <xf numFmtId="0" fontId="16" fillId="0" borderId="3" xfId="48" applyFont="1" applyBorder="1" applyAlignment="1">
      <alignment horizontal="center"/>
    </xf>
    <xf numFmtId="0" fontId="16" fillId="14" borderId="0" xfId="48" applyFont="1" applyFill="1" applyAlignment="1">
      <alignment horizontal="center"/>
    </xf>
    <xf numFmtId="0" fontId="19" fillId="12" borderId="3" xfId="48" applyFont="1" applyFill="1" applyBorder="1" applyAlignment="1">
      <alignment horizontal="left" vertical="center"/>
    </xf>
    <xf numFmtId="0" fontId="20" fillId="0" borderId="3" xfId="48" applyFont="1" applyBorder="1" applyAlignment="1">
      <alignment horizontal="center" vertical="center"/>
    </xf>
    <xf numFmtId="0" fontId="20" fillId="0" borderId="3" xfId="48" applyFont="1" applyBorder="1" applyAlignment="1">
      <alignment horizontal="left" vertical="center"/>
    </xf>
    <xf numFmtId="14" fontId="20" fillId="0" borderId="3" xfId="48" applyNumberFormat="1" applyFont="1" applyBorder="1" applyAlignment="1">
      <alignment horizontal="center" vertical="center"/>
    </xf>
    <xf numFmtId="0" fontId="14" fillId="16" borderId="10" xfId="50" applyFill="1" applyBorder="1" applyAlignment="1">
      <alignment horizontal="center" vertical="center"/>
    </xf>
    <xf numFmtId="0" fontId="14" fillId="16" borderId="17" xfId="50" applyFill="1" applyBorder="1" applyAlignment="1">
      <alignment horizontal="center" vertical="center"/>
    </xf>
    <xf numFmtId="0" fontId="14" fillId="16" borderId="3" xfId="50" applyFill="1" applyBorder="1" applyAlignment="1">
      <alignment horizontal="left" vertical="center"/>
    </xf>
    <xf numFmtId="0" fontId="19" fillId="12" borderId="10" xfId="48" applyFont="1" applyFill="1" applyBorder="1" applyAlignment="1">
      <alignment horizontal="left" vertical="center"/>
    </xf>
    <xf numFmtId="0" fontId="19" fillId="12" borderId="2" xfId="48" applyFont="1" applyFill="1" applyBorder="1" applyAlignment="1">
      <alignment horizontal="left" vertical="center"/>
    </xf>
    <xf numFmtId="0" fontId="19" fillId="12" borderId="17" xfId="48" applyFont="1" applyFill="1" applyBorder="1" applyAlignment="1">
      <alignment horizontal="left" vertical="center"/>
    </xf>
    <xf numFmtId="0" fontId="49" fillId="15" borderId="24" xfId="48" applyFont="1" applyFill="1" applyBorder="1" applyAlignment="1">
      <alignment vertical="center"/>
    </xf>
    <xf numFmtId="0" fontId="19" fillId="12" borderId="3" xfId="48" applyFont="1" applyFill="1" applyBorder="1" applyAlignment="1">
      <alignment vertical="center"/>
    </xf>
    <xf numFmtId="0" fontId="21" fillId="0" borderId="10" xfId="48" applyFont="1" applyBorder="1" applyAlignment="1">
      <alignment vertical="center"/>
    </xf>
    <xf numFmtId="0" fontId="21" fillId="0" borderId="2" xfId="48" applyFont="1" applyBorder="1" applyAlignment="1">
      <alignment vertical="center"/>
    </xf>
    <xf numFmtId="0" fontId="21" fillId="0" borderId="17" xfId="48" applyFont="1" applyBorder="1" applyAlignment="1">
      <alignment vertical="center"/>
    </xf>
    <xf numFmtId="0" fontId="53" fillId="14" borderId="15" xfId="0" applyFont="1" applyFill="1" applyBorder="1" applyAlignment="1">
      <alignment vertical="center" wrapText="1"/>
    </xf>
    <xf numFmtId="0" fontId="53" fillId="14" borderId="12" xfId="0" applyFont="1" applyFill="1" applyBorder="1" applyAlignment="1">
      <alignment vertical="center" wrapText="1"/>
    </xf>
    <xf numFmtId="0" fontId="53" fillId="14" borderId="13" xfId="0" applyFont="1" applyFill="1" applyBorder="1" applyAlignment="1">
      <alignment vertical="center" wrapText="1"/>
    </xf>
    <xf numFmtId="0" fontId="53" fillId="14" borderId="7" xfId="0" applyFont="1" applyFill="1" applyBorder="1" applyAlignment="1">
      <alignment vertical="center" wrapText="1"/>
    </xf>
    <xf numFmtId="0" fontId="53" fillId="14" borderId="8" xfId="0" applyFont="1" applyFill="1" applyBorder="1" applyAlignment="1">
      <alignment vertical="center" wrapText="1"/>
    </xf>
    <xf numFmtId="0" fontId="53" fillId="14" borderId="14" xfId="0" applyFont="1" applyFill="1" applyBorder="1" applyAlignment="1">
      <alignment vertical="center" wrapText="1"/>
    </xf>
    <xf numFmtId="0" fontId="19" fillId="15" borderId="25" xfId="48" applyFont="1" applyFill="1" applyBorder="1" applyAlignment="1">
      <alignment vertical="center"/>
    </xf>
    <xf numFmtId="0" fontId="20" fillId="0" borderId="3" xfId="48" applyFont="1" applyBorder="1" applyAlignment="1">
      <alignment vertical="center"/>
    </xf>
    <xf numFmtId="0" fontId="53" fillId="14" borderId="3" xfId="0" applyFont="1" applyFill="1" applyBorder="1">
      <alignment vertical="center"/>
    </xf>
    <xf numFmtId="0" fontId="18" fillId="15" borderId="23" xfId="48" applyFont="1" applyFill="1" applyBorder="1" applyAlignment="1">
      <alignment vertical="center"/>
    </xf>
    <xf numFmtId="0" fontId="55" fillId="17" borderId="8" xfId="0" applyFont="1" applyFill="1" applyBorder="1" applyAlignment="1">
      <alignment horizontal="center" vertical="center"/>
    </xf>
    <xf numFmtId="0" fontId="53" fillId="14" borderId="3" xfId="0" applyFont="1" applyFill="1" applyBorder="1" applyAlignment="1">
      <alignment vertical="center" wrapText="1"/>
    </xf>
    <xf numFmtId="0" fontId="53" fillId="0" borderId="15" xfId="0" applyFont="1" applyBorder="1" applyAlignment="1">
      <alignment horizontal="center" vertical="center"/>
    </xf>
    <xf numFmtId="0" fontId="53" fillId="0" borderId="13" xfId="0" applyFont="1" applyBorder="1" applyAlignment="1">
      <alignment horizontal="center" vertical="center"/>
    </xf>
    <xf numFmtId="0" fontId="53" fillId="0" borderId="3" xfId="0" applyFont="1" applyBorder="1" applyAlignment="1">
      <alignment horizontal="center" vertical="center"/>
    </xf>
    <xf numFmtId="0" fontId="0" fillId="0" borderId="3" xfId="0" applyBorder="1" applyAlignment="1">
      <alignment horizontal="center" vertical="center"/>
    </xf>
    <xf numFmtId="0" fontId="53" fillId="0" borderId="23" xfId="0" applyFont="1" applyBorder="1" applyAlignment="1">
      <alignment horizontal="center" vertical="center"/>
    </xf>
    <xf numFmtId="0" fontId="53" fillId="0" borderId="3" xfId="0" applyFont="1" applyBorder="1">
      <alignment vertical="center"/>
    </xf>
    <xf numFmtId="0" fontId="53" fillId="0" borderId="3" xfId="0" applyFont="1" applyBorder="1" applyAlignment="1">
      <alignment vertical="center" wrapText="1"/>
    </xf>
    <xf numFmtId="0" fontId="53" fillId="0" borderId="23" xfId="0" applyFont="1" applyBorder="1">
      <alignment vertical="center"/>
    </xf>
    <xf numFmtId="0" fontId="53" fillId="0" borderId="10" xfId="0" applyFont="1" applyBorder="1" applyAlignment="1">
      <alignment vertical="center" wrapText="1"/>
    </xf>
    <xf numFmtId="0" fontId="53" fillId="0" borderId="2" xfId="0" applyFont="1" applyBorder="1">
      <alignment vertical="center"/>
    </xf>
    <xf numFmtId="0" fontId="53" fillId="0" borderId="17" xfId="0" applyFont="1" applyBorder="1">
      <alignment vertical="center"/>
    </xf>
    <xf numFmtId="0" fontId="0" fillId="0" borderId="3" xfId="0" applyBorder="1">
      <alignment vertical="center"/>
    </xf>
    <xf numFmtId="14" fontId="53" fillId="0" borderId="3" xfId="0" applyNumberFormat="1" applyFont="1" applyBorder="1" applyAlignment="1">
      <alignment horizontal="center" vertical="center"/>
    </xf>
    <xf numFmtId="14" fontId="20" fillId="0" borderId="3" xfId="50" applyNumberFormat="1" applyFont="1" applyBorder="1" applyAlignment="1">
      <alignment horizontal="center" vertical="center"/>
    </xf>
    <xf numFmtId="0" fontId="20" fillId="0" borderId="3" xfId="50" applyFont="1" applyBorder="1" applyAlignment="1">
      <alignment horizontal="center" vertical="center"/>
    </xf>
    <xf numFmtId="14" fontId="20" fillId="0" borderId="10" xfId="50" applyNumberFormat="1" applyFont="1" applyBorder="1" applyAlignment="1">
      <alignment horizontal="center" vertical="center"/>
    </xf>
    <xf numFmtId="14" fontId="20" fillId="0" borderId="2" xfId="50" applyNumberFormat="1" applyFont="1" applyBorder="1" applyAlignment="1">
      <alignment horizontal="center" vertical="center"/>
    </xf>
    <xf numFmtId="14" fontId="20" fillId="0" borderId="17" xfId="50" applyNumberFormat="1" applyFont="1" applyBorder="1" applyAlignment="1">
      <alignment horizontal="center" vertical="center"/>
    </xf>
    <xf numFmtId="14" fontId="53" fillId="0" borderId="23" xfId="0" applyNumberFormat="1" applyFont="1" applyBorder="1" applyAlignment="1">
      <alignment horizontal="center" vertical="center"/>
    </xf>
    <xf numFmtId="0" fontId="21" fillId="0" borderId="3" xfId="48" applyFont="1" applyBorder="1" applyAlignment="1">
      <alignment vertical="center"/>
    </xf>
    <xf numFmtId="0" fontId="51" fillId="13" borderId="10" xfId="49" applyFont="1" applyFill="1" applyBorder="1" applyAlignment="1">
      <alignment horizontal="center" vertical="center"/>
    </xf>
    <xf numFmtId="0" fontId="51" fillId="13" borderId="2" xfId="49" applyFont="1" applyFill="1" applyBorder="1" applyAlignment="1">
      <alignment horizontal="center" vertical="center"/>
    </xf>
    <xf numFmtId="0" fontId="51" fillId="13" borderId="17" xfId="49" applyFont="1" applyFill="1" applyBorder="1" applyAlignment="1">
      <alignment horizontal="center" vertical="center"/>
    </xf>
    <xf numFmtId="0" fontId="20" fillId="10" borderId="10" xfId="46" applyFont="1" applyFill="1" applyBorder="1" applyAlignment="1">
      <alignment horizontal="center"/>
    </xf>
    <xf numFmtId="0" fontId="20" fillId="10" borderId="17" xfId="46" applyFont="1" applyFill="1" applyBorder="1" applyAlignment="1">
      <alignment horizontal="center"/>
    </xf>
    <xf numFmtId="0" fontId="103" fillId="0" borderId="52" xfId="161" quotePrefix="1" applyFont="1" applyBorder="1" applyAlignment="1">
      <alignment horizontal="center" vertical="center"/>
    </xf>
    <xf numFmtId="0" fontId="96" fillId="0" borderId="10" xfId="45" applyFont="1" applyBorder="1" applyAlignment="1">
      <alignment horizontal="center" vertical="center" wrapText="1"/>
    </xf>
    <xf numFmtId="0" fontId="96" fillId="0" borderId="17" xfId="45" applyFont="1" applyBorder="1" applyAlignment="1">
      <alignment horizontal="center" vertical="center" wrapText="1"/>
    </xf>
    <xf numFmtId="0" fontId="96" fillId="0" borderId="58" xfId="185" applyFont="1" applyBorder="1" applyAlignment="1" applyProtection="1">
      <alignment vertical="center" wrapText="1"/>
      <protection locked="0"/>
    </xf>
    <xf numFmtId="0" fontId="96" fillId="0" borderId="2" xfId="185" applyFont="1" applyBorder="1" applyAlignment="1" applyProtection="1">
      <alignment vertical="center" wrapText="1"/>
      <protection locked="0"/>
    </xf>
    <xf numFmtId="0" fontId="96" fillId="0" borderId="54" xfId="185" applyFont="1" applyBorder="1" applyAlignment="1" applyProtection="1">
      <alignment vertical="center" wrapText="1"/>
      <protection locked="0"/>
    </xf>
    <xf numFmtId="0" fontId="96" fillId="0" borderId="55" xfId="185" applyFont="1" applyBorder="1" applyAlignment="1" applyProtection="1">
      <alignment vertical="center" wrapText="1"/>
      <protection locked="0"/>
    </xf>
    <xf numFmtId="0" fontId="96" fillId="0" borderId="56" xfId="185" applyFont="1" applyBorder="1" applyAlignment="1" applyProtection="1">
      <alignment vertical="center" wrapText="1"/>
      <protection locked="0"/>
    </xf>
    <xf numFmtId="0" fontId="96" fillId="0" borderId="57" xfId="185" applyFont="1" applyBorder="1" applyAlignment="1" applyProtection="1">
      <alignment vertical="center" wrapText="1"/>
      <protection locked="0"/>
    </xf>
    <xf numFmtId="0" fontId="96" fillId="0" borderId="10" xfId="185" applyFont="1" applyBorder="1" applyAlignment="1">
      <alignment horizontal="center" vertical="center" wrapText="1"/>
    </xf>
    <xf numFmtId="0" fontId="96" fillId="0" borderId="2" xfId="185" applyFont="1" applyBorder="1" applyAlignment="1">
      <alignment horizontal="center" vertical="center" wrapText="1"/>
    </xf>
    <xf numFmtId="0" fontId="96" fillId="0" borderId="54" xfId="185" applyFont="1" applyBorder="1" applyAlignment="1">
      <alignment horizontal="center" vertical="center" wrapText="1"/>
    </xf>
    <xf numFmtId="0" fontId="96" fillId="0" borderId="58" xfId="185" applyFont="1" applyBorder="1" applyAlignment="1">
      <alignment horizontal="center" vertical="center" wrapText="1"/>
    </xf>
    <xf numFmtId="0" fontId="96" fillId="0" borderId="17" xfId="185" applyFont="1" applyBorder="1" applyAlignment="1">
      <alignment horizontal="center" vertical="center" wrapText="1"/>
    </xf>
    <xf numFmtId="0" fontId="96" fillId="0" borderId="10" xfId="185" applyFont="1" applyBorder="1" applyAlignment="1">
      <alignment horizontal="center" vertical="center" shrinkToFit="1"/>
    </xf>
    <xf numFmtId="0" fontId="96" fillId="0" borderId="2" xfId="185" applyFont="1" applyBorder="1" applyAlignment="1">
      <alignment horizontal="center" vertical="center" shrinkToFit="1"/>
    </xf>
    <xf numFmtId="0" fontId="96" fillId="0" borderId="17" xfId="185" applyFont="1" applyBorder="1" applyAlignment="1">
      <alignment horizontal="center" vertical="center" shrinkToFit="1"/>
    </xf>
    <xf numFmtId="0" fontId="96" fillId="14" borderId="3" xfId="185" applyFont="1" applyFill="1" applyBorder="1" applyAlignment="1">
      <alignment horizontal="left" vertical="center" wrapText="1"/>
    </xf>
    <xf numFmtId="0" fontId="96" fillId="0" borderId="62" xfId="185" applyFont="1" applyBorder="1" applyAlignment="1" applyProtection="1">
      <alignment vertical="center" wrapText="1"/>
      <protection locked="0"/>
    </xf>
    <xf numFmtId="0" fontId="96" fillId="0" borderId="63" xfId="185" applyFont="1" applyBorder="1" applyAlignment="1" applyProtection="1">
      <alignment vertical="center" wrapText="1"/>
      <protection locked="0"/>
    </xf>
    <xf numFmtId="0" fontId="96" fillId="0" borderId="64" xfId="185" applyFont="1" applyBorder="1" applyAlignment="1" applyProtection="1">
      <alignment vertical="center" wrapText="1"/>
      <protection locked="0"/>
    </xf>
    <xf numFmtId="0" fontId="96" fillId="14" borderId="68" xfId="185" applyFont="1" applyFill="1" applyBorder="1" applyAlignment="1" applyProtection="1">
      <alignment horizontal="left" vertical="center" wrapText="1"/>
      <protection locked="0"/>
    </xf>
    <xf numFmtId="0" fontId="96" fillId="14" borderId="69" xfId="185" applyFont="1" applyFill="1" applyBorder="1" applyAlignment="1" applyProtection="1">
      <alignment horizontal="left" vertical="center" wrapText="1"/>
      <protection locked="0"/>
    </xf>
    <xf numFmtId="0" fontId="96" fillId="14" borderId="70" xfId="185" applyFont="1" applyFill="1" applyBorder="1" applyAlignment="1" applyProtection="1">
      <alignment horizontal="left" vertical="center" wrapText="1"/>
      <protection locked="0"/>
    </xf>
    <xf numFmtId="0" fontId="96" fillId="14" borderId="58" xfId="185" applyFont="1" applyFill="1" applyBorder="1" applyAlignment="1" applyProtection="1">
      <alignment horizontal="left" vertical="center" wrapText="1" shrinkToFit="1"/>
      <protection locked="0"/>
    </xf>
    <xf numFmtId="0" fontId="96" fillId="14" borderId="2" xfId="185" applyFont="1" applyFill="1" applyBorder="1" applyAlignment="1" applyProtection="1">
      <alignment horizontal="left" vertical="center" shrinkToFit="1"/>
      <protection locked="0"/>
    </xf>
    <xf numFmtId="0" fontId="96" fillId="14" borderId="17" xfId="185" applyFont="1" applyFill="1" applyBorder="1" applyAlignment="1" applyProtection="1">
      <alignment horizontal="left" vertical="center" shrinkToFit="1"/>
      <protection locked="0"/>
    </xf>
    <xf numFmtId="0" fontId="96" fillId="14" borderId="3" xfId="185" quotePrefix="1" applyFont="1" applyFill="1" applyBorder="1" applyAlignment="1">
      <alignment horizontal="left" vertical="center" wrapText="1"/>
    </xf>
    <xf numFmtId="0" fontId="96" fillId="0" borderId="10" xfId="185" applyFont="1" applyBorder="1" applyAlignment="1">
      <alignment horizontal="left" vertical="center" wrapText="1" shrinkToFit="1"/>
    </xf>
    <xf numFmtId="0" fontId="96" fillId="0" borderId="2" xfId="185" applyFont="1" applyBorder="1" applyAlignment="1">
      <alignment horizontal="left" vertical="center" wrapText="1" shrinkToFit="1"/>
    </xf>
    <xf numFmtId="0" fontId="96" fillId="0" borderId="17" xfId="185" applyFont="1" applyBorder="1" applyAlignment="1">
      <alignment horizontal="left" vertical="center" wrapText="1" shrinkToFit="1"/>
    </xf>
    <xf numFmtId="0" fontId="96" fillId="14" borderId="10" xfId="185" applyFont="1" applyFill="1" applyBorder="1" applyAlignment="1">
      <alignment horizontal="left" vertical="center" wrapText="1"/>
    </xf>
    <xf numFmtId="0" fontId="96" fillId="14" borderId="2" xfId="185" applyFont="1" applyFill="1" applyBorder="1" applyAlignment="1">
      <alignment horizontal="left" vertical="center" wrapText="1"/>
    </xf>
    <xf numFmtId="0" fontId="96" fillId="14" borderId="17" xfId="185" applyFont="1" applyFill="1" applyBorder="1" applyAlignment="1">
      <alignment horizontal="left" vertical="center" wrapText="1"/>
    </xf>
    <xf numFmtId="49" fontId="96" fillId="0" borderId="10" xfId="45" applyNumberFormat="1" applyFont="1" applyBorder="1" applyAlignment="1">
      <alignment horizontal="left" vertical="center" wrapText="1"/>
    </xf>
    <xf numFmtId="49" fontId="96" fillId="0" borderId="54" xfId="45" applyNumberFormat="1" applyFont="1" applyBorder="1" applyAlignment="1">
      <alignment horizontal="left" vertical="center" wrapText="1"/>
    </xf>
    <xf numFmtId="0" fontId="96" fillId="0" borderId="65" xfId="185" applyFont="1" applyBorder="1" applyAlignment="1" applyProtection="1">
      <alignment vertical="center" wrapText="1"/>
      <protection locked="0"/>
    </xf>
    <xf numFmtId="0" fontId="96" fillId="0" borderId="66" xfId="185" applyFont="1" applyBorder="1" applyAlignment="1" applyProtection="1">
      <alignment vertical="center" wrapText="1"/>
      <protection locked="0"/>
    </xf>
    <xf numFmtId="0" fontId="96" fillId="0" borderId="67" xfId="185" applyFont="1" applyBorder="1" applyAlignment="1" applyProtection="1">
      <alignment vertical="center" wrapText="1"/>
      <protection locked="0"/>
    </xf>
    <xf numFmtId="0" fontId="96" fillId="0" borderId="65" xfId="45" applyFont="1" applyBorder="1" applyAlignment="1">
      <alignment horizontal="center" vertical="center"/>
    </xf>
    <xf numFmtId="0" fontId="96" fillId="0" borderId="66" xfId="45" applyFont="1" applyBorder="1" applyAlignment="1">
      <alignment horizontal="center" vertical="center"/>
    </xf>
    <xf numFmtId="0" fontId="96" fillId="0" borderId="67" xfId="45" applyFont="1" applyBorder="1" applyAlignment="1">
      <alignment horizontal="center" vertical="center"/>
    </xf>
    <xf numFmtId="0" fontId="96" fillId="0" borderId="58" xfId="185" applyFont="1" applyBorder="1" applyAlignment="1" applyProtection="1">
      <alignment horizontal="left" vertical="center" wrapText="1"/>
      <protection locked="0"/>
    </xf>
    <xf numFmtId="0" fontId="96" fillId="0" borderId="2" xfId="185" applyFont="1" applyBorder="1" applyAlignment="1" applyProtection="1">
      <alignment horizontal="left" vertical="center" wrapText="1"/>
      <protection locked="0"/>
    </xf>
    <xf numFmtId="0" fontId="96" fillId="0" borderId="10" xfId="185" applyFont="1" applyBorder="1" applyAlignment="1">
      <alignment horizontal="left" vertical="center" wrapText="1"/>
    </xf>
    <xf numFmtId="0" fontId="96" fillId="0" borderId="2" xfId="185" applyFont="1" applyBorder="1" applyAlignment="1">
      <alignment horizontal="left" vertical="center" wrapText="1"/>
    </xf>
    <xf numFmtId="0" fontId="96" fillId="0" borderId="17" xfId="185" applyFont="1" applyBorder="1" applyAlignment="1">
      <alignment horizontal="left" vertical="center" wrapText="1"/>
    </xf>
    <xf numFmtId="0" fontId="104" fillId="33" borderId="3" xfId="185" applyFont="1" applyFill="1" applyBorder="1" applyAlignment="1">
      <alignment horizontal="center" vertical="center"/>
    </xf>
    <xf numFmtId="0" fontId="113" fillId="32" borderId="15" xfId="185" applyFont="1" applyFill="1" applyBorder="1" applyAlignment="1">
      <alignment horizontal="center" vertical="center" wrapText="1"/>
    </xf>
    <xf numFmtId="0" fontId="113" fillId="32" borderId="13" xfId="185" applyFont="1" applyFill="1" applyBorder="1" applyAlignment="1">
      <alignment horizontal="center" vertical="center" wrapText="1"/>
    </xf>
    <xf numFmtId="0" fontId="113" fillId="32" borderId="7" xfId="185" applyFont="1" applyFill="1" applyBorder="1" applyAlignment="1">
      <alignment horizontal="center" vertical="center" wrapText="1"/>
    </xf>
    <xf numFmtId="0" fontId="113" fillId="32" borderId="14" xfId="185" applyFont="1" applyFill="1" applyBorder="1" applyAlignment="1">
      <alignment horizontal="center" vertical="center" wrapText="1"/>
    </xf>
    <xf numFmtId="0" fontId="104" fillId="32" borderId="15" xfId="185" applyFont="1" applyFill="1" applyBorder="1" applyAlignment="1" applyProtection="1">
      <alignment horizontal="center" vertical="center" wrapText="1"/>
      <protection locked="0"/>
    </xf>
    <xf numFmtId="0" fontId="104" fillId="32" borderId="12" xfId="185" applyFont="1" applyFill="1" applyBorder="1" applyAlignment="1" applyProtection="1">
      <alignment horizontal="center" vertical="center" wrapText="1"/>
      <protection locked="0"/>
    </xf>
    <xf numFmtId="0" fontId="104" fillId="32" borderId="7" xfId="185" applyFont="1" applyFill="1" applyBorder="1" applyAlignment="1" applyProtection="1">
      <alignment horizontal="center" vertical="center" wrapText="1"/>
      <protection locked="0"/>
    </xf>
    <xf numFmtId="0" fontId="104" fillId="32" borderId="8" xfId="185" applyFont="1" applyFill="1" applyBorder="1" applyAlignment="1" applyProtection="1">
      <alignment horizontal="center" vertical="center" wrapText="1"/>
      <protection locked="0"/>
    </xf>
    <xf numFmtId="0" fontId="104" fillId="32" borderId="15" xfId="185" applyFont="1" applyFill="1" applyBorder="1" applyAlignment="1">
      <alignment horizontal="center" vertical="center" wrapText="1"/>
    </xf>
    <xf numFmtId="0" fontId="104" fillId="32" borderId="12" xfId="185" applyFont="1" applyFill="1" applyBorder="1" applyAlignment="1">
      <alignment horizontal="center" vertical="center" wrapText="1"/>
    </xf>
    <xf numFmtId="0" fontId="104" fillId="32" borderId="13" xfId="185" applyFont="1" applyFill="1" applyBorder="1" applyAlignment="1">
      <alignment horizontal="center" vertical="center" wrapText="1"/>
    </xf>
    <xf numFmtId="0" fontId="104" fillId="32" borderId="7" xfId="185" applyFont="1" applyFill="1" applyBorder="1" applyAlignment="1">
      <alignment horizontal="center" vertical="center" wrapText="1"/>
    </xf>
    <xf numFmtId="0" fontId="104" fillId="32" borderId="8" xfId="185" applyFont="1" applyFill="1" applyBorder="1" applyAlignment="1">
      <alignment horizontal="center" vertical="center" wrapText="1"/>
    </xf>
    <xf numFmtId="0" fontId="104" fillId="32" borderId="14" xfId="185" applyFont="1" applyFill="1" applyBorder="1" applyAlignment="1">
      <alignment horizontal="center" vertical="center" wrapText="1"/>
    </xf>
    <xf numFmtId="0" fontId="113" fillId="32" borderId="12" xfId="185" applyFont="1" applyFill="1" applyBorder="1" applyAlignment="1">
      <alignment horizontal="center" vertical="center" wrapText="1"/>
    </xf>
    <xf numFmtId="0" fontId="113" fillId="32" borderId="8" xfId="185" applyFont="1" applyFill="1" applyBorder="1" applyAlignment="1">
      <alignment horizontal="center" vertical="center" wrapText="1"/>
    </xf>
    <xf numFmtId="0" fontId="96" fillId="0" borderId="10" xfId="45" applyFont="1" applyBorder="1" applyAlignment="1">
      <alignment horizontal="left" vertical="center" wrapText="1"/>
    </xf>
    <xf numFmtId="0" fontId="96" fillId="0" borderId="54" xfId="45" applyFont="1" applyBorder="1" applyAlignment="1">
      <alignment horizontal="left" vertical="center" wrapText="1"/>
    </xf>
    <xf numFmtId="0" fontId="96" fillId="0" borderId="66" xfId="185" applyFont="1" applyBorder="1" applyAlignment="1" applyProtection="1">
      <alignment horizontal="left" vertical="center" wrapText="1"/>
      <protection locked="0"/>
    </xf>
    <xf numFmtId="0" fontId="96" fillId="0" borderId="67" xfId="185" applyFont="1" applyBorder="1" applyAlignment="1" applyProtection="1">
      <alignment horizontal="left" vertical="center" wrapText="1"/>
      <protection locked="0"/>
    </xf>
    <xf numFmtId="0" fontId="96" fillId="0" borderId="58" xfId="45" applyFont="1" applyBorder="1" applyAlignment="1" applyProtection="1">
      <alignment horizontal="center" vertical="center" wrapText="1"/>
      <protection locked="0"/>
    </xf>
    <xf numFmtId="0" fontId="96" fillId="0" borderId="54" xfId="45" applyFont="1" applyBorder="1" applyAlignment="1" applyProtection="1">
      <alignment horizontal="center" vertical="center" wrapText="1"/>
      <protection locked="0"/>
    </xf>
    <xf numFmtId="0" fontId="96" fillId="0" borderId="58" xfId="185" applyFont="1" applyBorder="1" applyAlignment="1">
      <alignment vertical="center" wrapText="1"/>
    </xf>
    <xf numFmtId="0" fontId="96" fillId="0" borderId="2" xfId="185" applyFont="1" applyBorder="1" applyAlignment="1">
      <alignment vertical="center" wrapText="1"/>
    </xf>
    <xf numFmtId="0" fontId="96" fillId="0" borderId="54" xfId="185" applyFont="1" applyBorder="1" applyAlignment="1">
      <alignment vertical="center" wrapText="1"/>
    </xf>
    <xf numFmtId="0" fontId="96" fillId="0" borderId="58" xfId="185" applyFont="1" applyBorder="1" applyAlignment="1">
      <alignment horizontal="left" vertical="center" wrapText="1"/>
    </xf>
    <xf numFmtId="0" fontId="96" fillId="0" borderId="54" xfId="185" applyFont="1" applyBorder="1" applyAlignment="1">
      <alignment horizontal="left" vertical="center" wrapText="1"/>
    </xf>
    <xf numFmtId="0" fontId="96" fillId="0" borderId="58" xfId="45" applyFont="1" applyBorder="1" applyAlignment="1">
      <alignment vertical="center" wrapText="1"/>
    </xf>
    <xf numFmtId="0" fontId="96" fillId="0" borderId="2" xfId="45" applyFont="1" applyBorder="1" applyAlignment="1">
      <alignment vertical="center" wrapText="1"/>
    </xf>
    <xf numFmtId="0" fontId="96" fillId="0" borderId="54" xfId="45" applyFont="1" applyBorder="1" applyAlignment="1">
      <alignment vertical="center" wrapText="1"/>
    </xf>
    <xf numFmtId="0" fontId="96" fillId="0" borderId="59" xfId="185" applyFont="1" applyBorder="1" applyAlignment="1" applyProtection="1">
      <alignment vertical="center" wrapText="1"/>
      <protection locked="0"/>
    </xf>
    <xf numFmtId="0" fontId="96" fillId="0" borderId="60" xfId="185" applyFont="1" applyBorder="1" applyAlignment="1" applyProtection="1">
      <alignment vertical="center" wrapText="1"/>
      <protection locked="0"/>
    </xf>
    <xf numFmtId="0" fontId="96" fillId="0" borderId="61" xfId="185" applyFont="1" applyBorder="1" applyAlignment="1" applyProtection="1">
      <alignment vertical="center" wrapText="1"/>
      <protection locked="0"/>
    </xf>
    <xf numFmtId="0" fontId="96" fillId="0" borderId="59" xfId="45" applyFont="1" applyBorder="1" applyAlignment="1">
      <alignment horizontal="center" vertical="center"/>
    </xf>
    <xf numFmtId="0" fontId="96" fillId="0" borderId="60" xfId="45" applyFont="1" applyBorder="1" applyAlignment="1">
      <alignment horizontal="center" vertical="center"/>
    </xf>
    <xf numFmtId="0" fontId="96" fillId="0" borderId="61" xfId="45" applyFont="1" applyBorder="1" applyAlignment="1">
      <alignment horizontal="center" vertical="center"/>
    </xf>
    <xf numFmtId="49" fontId="112" fillId="0" borderId="10" xfId="45" applyNumberFormat="1" applyFont="1" applyBorder="1" applyAlignment="1">
      <alignment horizontal="left" vertical="center" wrapText="1"/>
    </xf>
    <xf numFmtId="49" fontId="112" fillId="0" borderId="54" xfId="45" applyNumberFormat="1" applyFont="1" applyBorder="1" applyAlignment="1">
      <alignment horizontal="left" vertical="center" wrapText="1"/>
    </xf>
    <xf numFmtId="0" fontId="112" fillId="0" borderId="55" xfId="185" applyFont="1" applyBorder="1" applyAlignment="1" applyProtection="1">
      <alignment vertical="center" wrapText="1"/>
      <protection locked="0"/>
    </xf>
    <xf numFmtId="0" fontId="112" fillId="0" borderId="56" xfId="185" applyFont="1" applyBorder="1" applyAlignment="1" applyProtection="1">
      <alignment vertical="center" wrapText="1"/>
      <protection locked="0"/>
    </xf>
    <xf numFmtId="0" fontId="112" fillId="0" borderId="57" xfId="185" applyFont="1" applyBorder="1" applyAlignment="1" applyProtection="1">
      <alignment vertical="center" wrapText="1"/>
      <protection locked="0"/>
    </xf>
    <xf numFmtId="0" fontId="96" fillId="0" borderId="54" xfId="185" applyFont="1" applyBorder="1" applyAlignment="1" applyProtection="1">
      <alignment horizontal="left" vertical="center" wrapText="1"/>
      <protection locked="0"/>
    </xf>
    <xf numFmtId="0" fontId="96" fillId="0" borderId="58" xfId="45" applyFont="1" applyBorder="1" applyAlignment="1">
      <alignment horizontal="center" vertical="center"/>
    </xf>
    <xf numFmtId="0" fontId="96" fillId="0" borderId="2" xfId="45" applyFont="1" applyBorder="1" applyAlignment="1">
      <alignment horizontal="center" vertical="center"/>
    </xf>
    <xf numFmtId="0" fontId="96" fillId="0" borderId="54" xfId="45" applyFont="1" applyBorder="1" applyAlignment="1">
      <alignment horizontal="center" vertical="center"/>
    </xf>
    <xf numFmtId="0" fontId="112" fillId="0" borderId="10" xfId="185" applyFont="1" applyBorder="1" applyAlignment="1" applyProtection="1">
      <alignment horizontal="left" vertical="center" wrapText="1"/>
      <protection locked="0"/>
    </xf>
    <xf numFmtId="0" fontId="112" fillId="0" borderId="2" xfId="185" applyFont="1" applyBorder="1" applyAlignment="1" applyProtection="1">
      <alignment horizontal="left" vertical="center" wrapText="1"/>
      <protection locked="0"/>
    </xf>
    <xf numFmtId="0" fontId="112" fillId="0" borderId="17" xfId="185" applyFont="1" applyBorder="1" applyAlignment="1" applyProtection="1">
      <alignment horizontal="left" vertical="center" wrapText="1"/>
      <protection locked="0"/>
    </xf>
    <xf numFmtId="0" fontId="112" fillId="0" borderId="59" xfId="185" applyFont="1" applyBorder="1" applyAlignment="1" applyProtection="1">
      <alignment vertical="center" wrapText="1"/>
      <protection locked="0"/>
    </xf>
    <xf numFmtId="0" fontId="112" fillId="0" borderId="60" xfId="185" applyFont="1" applyBorder="1" applyAlignment="1" applyProtection="1">
      <alignment vertical="center" wrapText="1"/>
      <protection locked="0"/>
    </xf>
    <xf numFmtId="0" fontId="112" fillId="0" borderId="61" xfId="185" applyFont="1" applyBorder="1" applyAlignment="1" applyProtection="1">
      <alignment vertical="center" wrapText="1"/>
      <protection locked="0"/>
    </xf>
    <xf numFmtId="0" fontId="112" fillId="0" borderId="62" xfId="185" applyFont="1" applyBorder="1" applyAlignment="1" applyProtection="1">
      <alignment vertical="center" wrapText="1"/>
      <protection locked="0"/>
    </xf>
    <xf numFmtId="0" fontId="112" fillId="0" borderId="63" xfId="185" applyFont="1" applyBorder="1" applyAlignment="1" applyProtection="1">
      <alignment vertical="center" wrapText="1"/>
      <protection locked="0"/>
    </xf>
    <xf numFmtId="0" fontId="112" fillId="0" borderId="64" xfId="185" applyFont="1" applyBorder="1" applyAlignment="1" applyProtection="1">
      <alignment vertical="center" wrapText="1"/>
      <protection locked="0"/>
    </xf>
    <xf numFmtId="0" fontId="112" fillId="0" borderId="59" xfId="45" applyFont="1" applyBorder="1" applyAlignment="1">
      <alignment horizontal="center" vertical="center"/>
    </xf>
    <xf numFmtId="0" fontId="112" fillId="0" borderId="60" xfId="45" applyFont="1" applyBorder="1" applyAlignment="1">
      <alignment horizontal="center" vertical="center"/>
    </xf>
    <xf numFmtId="0" fontId="112" fillId="0" borderId="61" xfId="45" applyFont="1" applyBorder="1" applyAlignment="1">
      <alignment horizontal="center" vertical="center"/>
    </xf>
    <xf numFmtId="0" fontId="112" fillId="0" borderId="58" xfId="45" applyFont="1" applyBorder="1" applyAlignment="1" applyProtection="1">
      <alignment horizontal="center" vertical="center" wrapText="1"/>
      <protection locked="0"/>
    </xf>
    <xf numFmtId="0" fontId="112" fillId="0" borderId="54" xfId="45" applyFont="1" applyBorder="1" applyAlignment="1" applyProtection="1">
      <alignment horizontal="center" vertical="center" wrapText="1"/>
      <protection locked="0"/>
    </xf>
    <xf numFmtId="0" fontId="112" fillId="0" borderId="58" xfId="45" applyFont="1" applyBorder="1" applyAlignment="1" applyProtection="1">
      <alignment vertical="center" wrapText="1"/>
      <protection locked="0"/>
    </xf>
    <xf numFmtId="0" fontId="112" fillId="0" borderId="2" xfId="45" applyFont="1" applyBorder="1" applyAlignment="1" applyProtection="1">
      <alignment vertical="center" wrapText="1"/>
      <protection locked="0"/>
    </xf>
    <xf numFmtId="0" fontId="112" fillId="0" borderId="58" xfId="185" applyFont="1" applyBorder="1" applyAlignment="1" applyProtection="1">
      <alignment horizontal="center" vertical="center" wrapText="1"/>
      <protection locked="0"/>
    </xf>
    <xf numFmtId="0" fontId="112" fillId="0" borderId="2" xfId="185" applyFont="1" applyBorder="1" applyAlignment="1" applyProtection="1">
      <alignment horizontal="center" vertical="center" wrapText="1"/>
      <protection locked="0"/>
    </xf>
    <xf numFmtId="0" fontId="112" fillId="0" borderId="54" xfId="185" applyFont="1" applyBorder="1" applyAlignment="1" applyProtection="1">
      <alignment horizontal="center" vertical="center" wrapText="1"/>
      <protection locked="0"/>
    </xf>
    <xf numFmtId="0" fontId="112" fillId="0" borderId="58" xfId="185" applyFont="1" applyBorder="1" applyAlignment="1" applyProtection="1">
      <alignment horizontal="left" vertical="center" wrapText="1"/>
      <protection locked="0"/>
    </xf>
    <xf numFmtId="0" fontId="112" fillId="0" borderId="54" xfId="185" applyFont="1" applyBorder="1" applyAlignment="1" applyProtection="1">
      <alignment horizontal="left" vertical="center" wrapText="1"/>
      <protection locked="0"/>
    </xf>
    <xf numFmtId="0" fontId="96" fillId="0" borderId="2" xfId="45" applyFont="1" applyBorder="1" applyAlignment="1">
      <alignment horizontal="left" vertical="center" wrapText="1"/>
    </xf>
    <xf numFmtId="0" fontId="96" fillId="0" borderId="17" xfId="45" applyFont="1" applyBorder="1" applyAlignment="1">
      <alignment horizontal="left" vertical="center" wrapText="1"/>
    </xf>
    <xf numFmtId="0" fontId="96" fillId="0" borderId="62" xfId="45" applyFont="1" applyBorder="1" applyAlignment="1" applyProtection="1">
      <alignment vertical="center" wrapText="1"/>
      <protection locked="0"/>
    </xf>
    <xf numFmtId="0" fontId="96" fillId="0" borderId="63" xfId="45" applyFont="1" applyBorder="1" applyAlignment="1" applyProtection="1">
      <alignment vertical="center" wrapText="1"/>
      <protection locked="0"/>
    </xf>
    <xf numFmtId="0" fontId="96" fillId="0" borderId="71" xfId="45" applyFont="1" applyBorder="1" applyAlignment="1" applyProtection="1">
      <alignment vertical="center" wrapText="1"/>
      <protection locked="0"/>
    </xf>
    <xf numFmtId="0" fontId="96" fillId="0" borderId="3" xfId="45" applyFont="1" applyBorder="1" applyAlignment="1" applyProtection="1">
      <alignment horizontal="left" vertical="center" wrapText="1"/>
      <protection locked="0"/>
    </xf>
    <xf numFmtId="0" fontId="96" fillId="0" borderId="64" xfId="45" applyFont="1" applyBorder="1" applyAlignment="1" applyProtection="1">
      <alignment vertical="center" wrapText="1"/>
      <protection locked="0"/>
    </xf>
    <xf numFmtId="0" fontId="104" fillId="33" borderId="23" xfId="185" applyFont="1" applyFill="1" applyBorder="1" applyAlignment="1">
      <alignment horizontal="center" vertical="center"/>
    </xf>
    <xf numFmtId="0" fontId="104" fillId="34" borderId="3" xfId="185" applyFont="1" applyFill="1" applyBorder="1" applyAlignment="1">
      <alignment horizontal="center" vertical="center"/>
    </xf>
    <xf numFmtId="0" fontId="96" fillId="34" borderId="3" xfId="185" applyFont="1" applyFill="1" applyBorder="1" applyAlignment="1">
      <alignment horizontal="center" vertical="center"/>
    </xf>
    <xf numFmtId="0" fontId="104" fillId="32" borderId="3" xfId="185" applyFont="1" applyFill="1" applyBorder="1" applyAlignment="1">
      <alignment horizontal="center" vertical="center" wrapText="1"/>
    </xf>
    <xf numFmtId="0" fontId="104" fillId="32" borderId="3" xfId="185" applyFont="1" applyFill="1" applyBorder="1" applyAlignment="1">
      <alignment horizontal="center" vertical="center"/>
    </xf>
    <xf numFmtId="0" fontId="104" fillId="32" borderId="15" xfId="185" applyFont="1" applyFill="1" applyBorder="1" applyAlignment="1">
      <alignment horizontal="center" vertical="center"/>
    </xf>
    <xf numFmtId="0" fontId="104" fillId="32" borderId="13" xfId="185" applyFont="1" applyFill="1" applyBorder="1" applyAlignment="1">
      <alignment horizontal="center" vertical="center"/>
    </xf>
    <xf numFmtId="0" fontId="104" fillId="32" borderId="7" xfId="185" applyFont="1" applyFill="1" applyBorder="1" applyAlignment="1">
      <alignment horizontal="center" vertical="center"/>
    </xf>
    <xf numFmtId="0" fontId="104" fillId="32" borderId="14" xfId="185" applyFont="1" applyFill="1" applyBorder="1" applyAlignment="1">
      <alignment horizontal="center" vertical="center"/>
    </xf>
    <xf numFmtId="0" fontId="104" fillId="34" borderId="3" xfId="185" applyFont="1" applyFill="1" applyBorder="1" applyAlignment="1" applyProtection="1">
      <alignment horizontal="center" vertical="center" wrapText="1"/>
      <protection locked="0"/>
    </xf>
    <xf numFmtId="0" fontId="96" fillId="0" borderId="58" xfId="45" applyFont="1" applyBorder="1" applyAlignment="1">
      <alignment horizontal="center" vertical="center" wrapText="1"/>
    </xf>
    <xf numFmtId="0" fontId="96" fillId="0" borderId="2" xfId="45" applyFont="1" applyBorder="1" applyAlignment="1">
      <alignment horizontal="center" vertical="center" wrapText="1"/>
    </xf>
    <xf numFmtId="0" fontId="96" fillId="0" borderId="3" xfId="186" applyFont="1" applyBorder="1" applyAlignment="1">
      <alignment horizontal="center" vertical="center" wrapText="1"/>
    </xf>
    <xf numFmtId="0" fontId="104" fillId="33" borderId="3" xfId="186" applyFont="1" applyFill="1" applyBorder="1" applyAlignment="1">
      <alignment horizontal="center" vertical="center"/>
    </xf>
    <xf numFmtId="0" fontId="104" fillId="32" borderId="3" xfId="186" applyFont="1" applyFill="1" applyBorder="1" applyAlignment="1">
      <alignment horizontal="center" vertical="center" wrapText="1"/>
    </xf>
    <xf numFmtId="0" fontId="104" fillId="32" borderId="3" xfId="186" applyFont="1" applyFill="1" applyBorder="1" applyAlignment="1">
      <alignment horizontal="center" vertical="center"/>
    </xf>
    <xf numFmtId="0" fontId="104" fillId="32" borderId="10" xfId="186" applyFont="1" applyFill="1" applyBorder="1" applyAlignment="1">
      <alignment horizontal="center" vertical="center"/>
    </xf>
    <xf numFmtId="0" fontId="104" fillId="32" borderId="2" xfId="186" applyFont="1" applyFill="1" applyBorder="1" applyAlignment="1">
      <alignment horizontal="center" vertical="center"/>
    </xf>
    <xf numFmtId="0" fontId="104" fillId="32" borderId="17" xfId="186" applyFont="1" applyFill="1" applyBorder="1" applyAlignment="1">
      <alignment horizontal="center" vertical="center"/>
    </xf>
    <xf numFmtId="0" fontId="96" fillId="0" borderId="10" xfId="45" applyFont="1" applyBorder="1" applyAlignment="1">
      <alignment horizontal="left" vertical="center" shrinkToFit="1"/>
    </xf>
    <xf numFmtId="0" fontId="96" fillId="0" borderId="54" xfId="45" applyFont="1" applyBorder="1" applyAlignment="1">
      <alignment horizontal="left" vertical="center" shrinkToFit="1"/>
    </xf>
    <xf numFmtId="0" fontId="96" fillId="0" borderId="55" xfId="186" applyFont="1" applyBorder="1" applyAlignment="1" applyProtection="1">
      <alignment vertical="top" wrapText="1"/>
      <protection locked="0"/>
    </xf>
    <xf numFmtId="0" fontId="96" fillId="0" borderId="56" xfId="186" applyFont="1" applyBorder="1" applyAlignment="1" applyProtection="1">
      <alignment vertical="top" wrapText="1"/>
      <protection locked="0"/>
    </xf>
    <xf numFmtId="0" fontId="96" fillId="0" borderId="57" xfId="186" applyFont="1" applyBorder="1" applyAlignment="1" applyProtection="1">
      <alignment vertical="top" wrapText="1"/>
      <protection locked="0"/>
    </xf>
    <xf numFmtId="0" fontId="96" fillId="0" borderId="58" xfId="186" applyFont="1" applyBorder="1" applyAlignment="1" applyProtection="1">
      <alignment vertical="top" wrapText="1"/>
      <protection locked="0"/>
    </xf>
    <xf numFmtId="0" fontId="96" fillId="0" borderId="2" xfId="186" applyFont="1" applyBorder="1" applyAlignment="1" applyProtection="1">
      <alignment vertical="top" wrapText="1"/>
      <protection locked="0"/>
    </xf>
    <xf numFmtId="0" fontId="96" fillId="0" borderId="54" xfId="186" applyFont="1" applyBorder="1" applyAlignment="1" applyProtection="1">
      <alignment vertical="top" wrapText="1"/>
      <protection locked="0"/>
    </xf>
    <xf numFmtId="0" fontId="96" fillId="0" borderId="62" xfId="45" applyFont="1" applyBorder="1" applyAlignment="1" applyProtection="1">
      <alignment vertical="top" wrapText="1"/>
      <protection locked="0"/>
    </xf>
    <xf numFmtId="0" fontId="96" fillId="0" borderId="63" xfId="45" applyFont="1" applyBorder="1" applyAlignment="1" applyProtection="1">
      <alignment vertical="top" wrapText="1"/>
      <protection locked="0"/>
    </xf>
    <xf numFmtId="0" fontId="96" fillId="0" borderId="71" xfId="45" applyFont="1" applyBorder="1" applyAlignment="1" applyProtection="1">
      <alignment vertical="top" wrapText="1"/>
      <protection locked="0"/>
    </xf>
    <xf numFmtId="0" fontId="96" fillId="0" borderId="3" xfId="45" applyFont="1" applyBorder="1" applyAlignment="1" applyProtection="1">
      <alignment horizontal="left" vertical="top" wrapText="1"/>
      <protection locked="0"/>
    </xf>
    <xf numFmtId="0" fontId="112" fillId="0" borderId="62" xfId="45" applyFont="1" applyBorder="1" applyAlignment="1" applyProtection="1">
      <alignment vertical="top" wrapText="1"/>
      <protection locked="0"/>
    </xf>
    <xf numFmtId="0" fontId="112" fillId="0" borderId="63" xfId="45" applyFont="1" applyBorder="1" applyAlignment="1" applyProtection="1">
      <alignment vertical="top" wrapText="1"/>
      <protection locked="0"/>
    </xf>
    <xf numFmtId="0" fontId="112" fillId="0" borderId="71" xfId="45" applyFont="1" applyBorder="1" applyAlignment="1" applyProtection="1">
      <alignment vertical="top" wrapText="1"/>
      <protection locked="0"/>
    </xf>
    <xf numFmtId="0" fontId="96" fillId="0" borderId="62" xfId="186" applyFont="1" applyBorder="1" applyAlignment="1" applyProtection="1">
      <alignment vertical="top" wrapText="1"/>
      <protection locked="0"/>
    </xf>
    <xf numFmtId="0" fontId="96" fillId="0" borderId="63" xfId="186" applyFont="1" applyBorder="1" applyAlignment="1" applyProtection="1">
      <alignment vertical="top" wrapText="1"/>
      <protection locked="0"/>
    </xf>
    <xf numFmtId="0" fontId="96" fillId="0" borderId="64" xfId="186" applyFont="1" applyBorder="1" applyAlignment="1" applyProtection="1">
      <alignment vertical="top" wrapText="1"/>
      <protection locked="0"/>
    </xf>
    <xf numFmtId="0" fontId="96" fillId="0" borderId="3" xfId="186" applyFont="1" applyBorder="1" applyAlignment="1">
      <alignment vertical="center" shrinkToFit="1"/>
    </xf>
    <xf numFmtId="0" fontId="96" fillId="0" borderId="3" xfId="186" applyFont="1" applyBorder="1" applyAlignment="1" applyProtection="1">
      <alignment vertical="center" shrinkToFit="1"/>
      <protection locked="0"/>
    </xf>
    <xf numFmtId="0" fontId="104" fillId="0" borderId="3" xfId="186" applyFont="1" applyBorder="1" applyAlignment="1">
      <alignment horizontal="center" vertical="center" shrinkToFit="1"/>
    </xf>
    <xf numFmtId="0" fontId="104" fillId="0" borderId="3" xfId="186" applyFont="1" applyBorder="1" applyAlignment="1" applyProtection="1">
      <alignment horizontal="center" vertical="center" shrinkToFit="1"/>
      <protection locked="0"/>
    </xf>
    <xf numFmtId="0" fontId="96" fillId="0" borderId="3" xfId="186" applyFont="1" applyBorder="1" applyAlignment="1">
      <alignment vertical="center" wrapText="1"/>
    </xf>
    <xf numFmtId="0" fontId="96" fillId="0" borderId="10" xfId="186" applyFont="1" applyBorder="1" applyAlignment="1">
      <alignment vertical="center" wrapText="1"/>
    </xf>
    <xf numFmtId="0" fontId="96" fillId="0" borderId="2" xfId="186" applyFont="1" applyBorder="1" applyAlignment="1">
      <alignment vertical="center" wrapText="1"/>
    </xf>
    <xf numFmtId="0" fontId="96" fillId="0" borderId="17" xfId="186" applyFont="1" applyBorder="1" applyAlignment="1">
      <alignment vertical="center" wrapText="1"/>
    </xf>
    <xf numFmtId="0" fontId="104" fillId="32" borderId="15" xfId="186" applyFont="1" applyFill="1" applyBorder="1" applyAlignment="1">
      <alignment horizontal="center" vertical="center" wrapText="1"/>
    </xf>
    <xf numFmtId="0" fontId="104" fillId="32" borderId="12" xfId="186" applyFont="1" applyFill="1" applyBorder="1" applyAlignment="1">
      <alignment horizontal="center" vertical="center" wrapText="1"/>
    </xf>
    <xf numFmtId="0" fontId="104" fillId="32" borderId="13" xfId="186" applyFont="1" applyFill="1" applyBorder="1" applyAlignment="1">
      <alignment horizontal="center" vertical="center" wrapText="1"/>
    </xf>
    <xf numFmtId="0" fontId="104" fillId="32" borderId="7" xfId="186" applyFont="1" applyFill="1" applyBorder="1" applyAlignment="1">
      <alignment horizontal="center" vertical="center" wrapText="1"/>
    </xf>
    <xf numFmtId="0" fontId="104" fillId="32" borderId="8" xfId="186" applyFont="1" applyFill="1" applyBorder="1" applyAlignment="1">
      <alignment horizontal="center" vertical="center" wrapText="1"/>
    </xf>
    <xf numFmtId="0" fontId="104" fillId="32" borderId="14" xfId="186" applyFont="1" applyFill="1" applyBorder="1" applyAlignment="1">
      <alignment horizontal="center" vertical="center" wrapText="1"/>
    </xf>
    <xf numFmtId="0" fontId="112" fillId="0" borderId="10" xfId="186" applyFont="1" applyBorder="1" applyAlignment="1" applyProtection="1">
      <alignment horizontal="left" vertical="center" wrapText="1"/>
      <protection locked="0"/>
    </xf>
    <xf numFmtId="0" fontId="112" fillId="0" borderId="2" xfId="186" applyFont="1" applyBorder="1" applyAlignment="1" applyProtection="1">
      <alignment horizontal="left" vertical="center" wrapText="1"/>
      <protection locked="0"/>
    </xf>
    <xf numFmtId="0" fontId="112" fillId="0" borderId="17" xfId="186" applyFont="1" applyBorder="1" applyAlignment="1" applyProtection="1">
      <alignment horizontal="left" vertical="center" wrapText="1"/>
      <protection locked="0"/>
    </xf>
    <xf numFmtId="0" fontId="96" fillId="32" borderId="3" xfId="186" applyFont="1" applyFill="1" applyBorder="1" applyAlignment="1">
      <alignment horizontal="center" vertical="center" wrapText="1"/>
    </xf>
    <xf numFmtId="0" fontId="96" fillId="14" borderId="3" xfId="186" applyFont="1" applyFill="1" applyBorder="1" applyAlignment="1" applyProtection="1">
      <alignment horizontal="center" vertical="center" wrapText="1"/>
      <protection locked="0"/>
    </xf>
    <xf numFmtId="0" fontId="96" fillId="0" borderId="10" xfId="45" applyFont="1" applyBorder="1" applyAlignment="1">
      <alignment vertical="center" wrapText="1"/>
    </xf>
    <xf numFmtId="0" fontId="96" fillId="0" borderId="17" xfId="45" applyFont="1" applyBorder="1" applyAlignment="1">
      <alignment vertical="center" wrapText="1"/>
    </xf>
    <xf numFmtId="0" fontId="96" fillId="0" borderId="10" xfId="186" applyFont="1" applyBorder="1" applyAlignment="1" applyProtection="1">
      <alignment horizontal="left" vertical="center" wrapText="1"/>
      <protection locked="0"/>
    </xf>
    <xf numFmtId="0" fontId="96" fillId="0" borderId="2" xfId="186" applyFont="1" applyBorder="1" applyAlignment="1" applyProtection="1">
      <alignment horizontal="left" vertical="center" wrapText="1"/>
      <protection locked="0"/>
    </xf>
    <xf numFmtId="0" fontId="96" fillId="0" borderId="17" xfId="186" applyFont="1" applyBorder="1" applyAlignment="1" applyProtection="1">
      <alignment horizontal="left" vertical="center" wrapText="1"/>
      <protection locked="0"/>
    </xf>
    <xf numFmtId="0" fontId="112" fillId="0" borderId="3" xfId="186" applyFont="1" applyBorder="1" applyAlignment="1" applyProtection="1">
      <alignment horizontal="center" vertical="center" wrapText="1"/>
      <protection locked="0"/>
    </xf>
    <xf numFmtId="0" fontId="120" fillId="0" borderId="3" xfId="186" applyFont="1" applyBorder="1" applyAlignment="1">
      <alignment vertical="center" wrapText="1"/>
    </xf>
    <xf numFmtId="0" fontId="96" fillId="0" borderId="10" xfId="186" applyFont="1" applyBorder="1" applyAlignment="1">
      <alignment horizontal="center" vertical="center" wrapText="1"/>
    </xf>
    <xf numFmtId="0" fontId="96" fillId="0" borderId="2" xfId="186" applyFont="1" applyBorder="1" applyAlignment="1">
      <alignment horizontal="center" vertical="center" wrapText="1"/>
    </xf>
    <xf numFmtId="0" fontId="96" fillId="0" borderId="17" xfId="186" applyFont="1" applyBorder="1" applyAlignment="1">
      <alignment horizontal="center" vertical="center" wrapText="1"/>
    </xf>
    <xf numFmtId="0" fontId="96" fillId="32" borderId="3" xfId="186" applyFont="1" applyFill="1" applyBorder="1" applyAlignment="1">
      <alignment vertical="center" wrapText="1"/>
    </xf>
    <xf numFmtId="0" fontId="112" fillId="14" borderId="3" xfId="186" applyFont="1" applyFill="1" applyBorder="1" applyAlignment="1" applyProtection="1">
      <alignment vertical="center" wrapText="1"/>
      <protection locked="0"/>
    </xf>
    <xf numFmtId="0" fontId="96" fillId="0" borderId="3" xfId="186" applyFont="1" applyBorder="1" applyAlignment="1" applyProtection="1">
      <alignment horizontal="center" vertical="center" wrapText="1"/>
      <protection locked="0"/>
    </xf>
    <xf numFmtId="0" fontId="96" fillId="0" borderId="10" xfId="186" applyFont="1" applyBorder="1" applyAlignment="1" applyProtection="1">
      <alignment horizontal="center" vertical="center" wrapText="1"/>
      <protection locked="0"/>
    </xf>
    <xf numFmtId="0" fontId="96" fillId="0" borderId="2" xfId="186" applyFont="1" applyBorder="1" applyAlignment="1" applyProtection="1">
      <alignment horizontal="center" vertical="center" wrapText="1"/>
      <protection locked="0"/>
    </xf>
    <xf numFmtId="0" fontId="96" fillId="0" borderId="17" xfId="186" applyFont="1" applyBorder="1" applyAlignment="1" applyProtection="1">
      <alignment horizontal="center" vertical="center" wrapText="1"/>
      <protection locked="0"/>
    </xf>
    <xf numFmtId="0" fontId="96" fillId="0" borderId="3" xfId="186" applyFont="1" applyBorder="1" applyAlignment="1" applyProtection="1">
      <alignment vertical="center" wrapText="1"/>
      <protection locked="0"/>
    </xf>
    <xf numFmtId="0" fontId="124" fillId="0" borderId="3" xfId="186" applyFont="1" applyBorder="1" applyAlignment="1">
      <alignment vertical="center" wrapText="1"/>
    </xf>
    <xf numFmtId="0" fontId="96" fillId="0" borderId="10" xfId="186" quotePrefix="1" applyFont="1" applyBorder="1" applyAlignment="1">
      <alignment horizontal="center" vertical="center" wrapText="1"/>
    </xf>
    <xf numFmtId="0" fontId="96" fillId="14" borderId="3" xfId="186" applyFont="1" applyFill="1" applyBorder="1" applyAlignment="1" applyProtection="1">
      <alignment vertical="center" wrapText="1"/>
      <protection locked="0"/>
    </xf>
    <xf numFmtId="49" fontId="96" fillId="0" borderId="3" xfId="186" applyNumberFormat="1" applyFont="1" applyBorder="1" applyAlignment="1">
      <alignment vertical="center" wrapText="1"/>
    </xf>
    <xf numFmtId="0" fontId="96" fillId="0" borderId="10" xfId="186" applyFont="1" applyBorder="1" applyAlignment="1">
      <alignment horizontal="center" vertical="center" shrinkToFit="1"/>
    </xf>
    <xf numFmtId="0" fontId="96" fillId="0" borderId="2" xfId="186" applyFont="1" applyBorder="1" applyAlignment="1">
      <alignment horizontal="center" vertical="center" shrinkToFit="1"/>
    </xf>
    <xf numFmtId="0" fontId="96" fillId="0" borderId="17" xfId="186" applyFont="1" applyBorder="1" applyAlignment="1">
      <alignment horizontal="center" vertical="center" shrinkToFit="1"/>
    </xf>
    <xf numFmtId="0" fontId="104" fillId="35" borderId="2" xfId="186" applyFont="1" applyFill="1" applyBorder="1" applyAlignment="1">
      <alignment horizontal="center" vertical="center"/>
    </xf>
    <xf numFmtId="0" fontId="104" fillId="35" borderId="17" xfId="186" applyFont="1" applyFill="1" applyBorder="1" applyAlignment="1">
      <alignment horizontal="center" vertical="center"/>
    </xf>
    <xf numFmtId="0" fontId="104" fillId="5" borderId="8" xfId="186" applyFont="1" applyFill="1" applyBorder="1" applyAlignment="1">
      <alignment horizontal="center" vertical="center" wrapText="1"/>
    </xf>
    <xf numFmtId="0" fontId="104" fillId="5" borderId="14" xfId="186" applyFont="1" applyFill="1" applyBorder="1" applyAlignment="1">
      <alignment horizontal="center" vertical="center" wrapText="1"/>
    </xf>
    <xf numFmtId="0" fontId="104" fillId="5" borderId="7" xfId="186" applyFont="1" applyFill="1" applyBorder="1" applyAlignment="1">
      <alignment horizontal="center" vertical="center" wrapText="1"/>
    </xf>
    <xf numFmtId="0" fontId="104" fillId="5" borderId="3" xfId="186" applyFont="1" applyFill="1" applyBorder="1" applyAlignment="1">
      <alignment horizontal="center" vertical="center" wrapText="1"/>
    </xf>
    <xf numFmtId="0" fontId="104" fillId="5" borderId="10" xfId="186" applyFont="1" applyFill="1" applyBorder="1" applyAlignment="1">
      <alignment horizontal="center" vertical="center" wrapText="1"/>
    </xf>
    <xf numFmtId="0" fontId="104" fillId="5" borderId="17" xfId="186" applyFont="1" applyFill="1" applyBorder="1" applyAlignment="1">
      <alignment horizontal="center" vertical="center" wrapText="1"/>
    </xf>
    <xf numFmtId="0" fontId="104" fillId="5" borderId="2" xfId="186" applyFont="1" applyFill="1" applyBorder="1" applyAlignment="1">
      <alignment horizontal="center" vertical="center" wrapText="1"/>
    </xf>
    <xf numFmtId="0" fontId="96" fillId="0" borderId="10" xfId="186" applyFont="1" applyBorder="1" applyAlignment="1" applyProtection="1">
      <alignment vertical="center" wrapText="1"/>
      <protection locked="0"/>
    </xf>
    <xf numFmtId="0" fontId="96" fillId="0" borderId="2" xfId="186" applyFont="1" applyBorder="1" applyAlignment="1" applyProtection="1">
      <alignment vertical="center" wrapText="1"/>
      <protection locked="0"/>
    </xf>
    <xf numFmtId="0" fontId="96" fillId="0" borderId="17" xfId="186" applyFont="1" applyBorder="1" applyAlignment="1" applyProtection="1">
      <alignment vertical="center" wrapText="1"/>
      <protection locked="0"/>
    </xf>
    <xf numFmtId="0" fontId="96" fillId="0" borderId="10" xfId="186" applyFont="1" applyBorder="1" applyAlignment="1">
      <alignment horizontal="left" vertical="center" wrapText="1"/>
    </xf>
    <xf numFmtId="0" fontId="96" fillId="0" borderId="2" xfId="186" applyFont="1" applyBorder="1" applyAlignment="1">
      <alignment horizontal="left" vertical="center" wrapText="1"/>
    </xf>
    <xf numFmtId="0" fontId="96" fillId="0" borderId="17" xfId="186" applyFont="1" applyBorder="1" applyAlignment="1">
      <alignment horizontal="left" vertical="center" wrapText="1"/>
    </xf>
    <xf numFmtId="0" fontId="96" fillId="0" borderId="2" xfId="186" applyFont="1" applyBorder="1" applyAlignment="1">
      <alignment horizontal="center" vertical="center"/>
    </xf>
    <xf numFmtId="0" fontId="96" fillId="0" borderId="17" xfId="186" applyFont="1" applyBorder="1" applyAlignment="1">
      <alignment horizontal="center" vertical="center"/>
    </xf>
    <xf numFmtId="0" fontId="96" fillId="0" borderId="10" xfId="186" applyFont="1" applyBorder="1" applyAlignment="1">
      <alignment horizontal="center" vertical="center"/>
    </xf>
    <xf numFmtId="14" fontId="96" fillId="0" borderId="10" xfId="186" applyNumberFormat="1" applyFont="1" applyBorder="1">
      <alignment vertical="center"/>
    </xf>
    <xf numFmtId="14" fontId="96" fillId="0" borderId="2" xfId="186" applyNumberFormat="1" applyFont="1" applyBorder="1">
      <alignment vertical="center"/>
    </xf>
    <xf numFmtId="0" fontId="96" fillId="0" borderId="2" xfId="186" applyFont="1" applyBorder="1">
      <alignment vertical="center"/>
    </xf>
    <xf numFmtId="0" fontId="96" fillId="0" borderId="17" xfId="186" applyFont="1" applyBorder="1">
      <alignment vertical="center"/>
    </xf>
    <xf numFmtId="0" fontId="96" fillId="0" borderId="10" xfId="186" applyFont="1" applyBorder="1">
      <alignment vertical="center"/>
    </xf>
    <xf numFmtId="0" fontId="96" fillId="0" borderId="10" xfId="186" applyFont="1" applyBorder="1" applyAlignment="1">
      <alignment horizontal="left" vertical="center" shrinkToFit="1"/>
    </xf>
    <xf numFmtId="0" fontId="96" fillId="0" borderId="2" xfId="186" applyFont="1" applyBorder="1" applyAlignment="1">
      <alignment horizontal="left" vertical="center" shrinkToFit="1"/>
    </xf>
    <xf numFmtId="0" fontId="96" fillId="0" borderId="17" xfId="186" applyFont="1" applyBorder="1" applyAlignment="1">
      <alignment horizontal="left" vertical="center" shrinkToFit="1"/>
    </xf>
    <xf numFmtId="0" fontId="96" fillId="0" borderId="10" xfId="186" applyFont="1" applyBorder="1" applyAlignment="1" applyProtection="1">
      <alignment vertical="center" shrinkToFit="1"/>
      <protection locked="0"/>
    </xf>
    <xf numFmtId="0" fontId="96" fillId="0" borderId="2" xfId="186" applyFont="1" applyBorder="1" applyAlignment="1" applyProtection="1">
      <alignment vertical="center" shrinkToFit="1"/>
      <protection locked="0"/>
    </xf>
    <xf numFmtId="0" fontId="96" fillId="0" borderId="17" xfId="186" applyFont="1" applyBorder="1" applyAlignment="1" applyProtection="1">
      <alignment vertical="center" shrinkToFit="1"/>
      <protection locked="0"/>
    </xf>
    <xf numFmtId="185" fontId="61" fillId="0" borderId="0" xfId="161" quotePrefix="1" applyNumberFormat="1" applyFont="1" applyAlignment="1">
      <alignment horizontal="right" vertical="center"/>
    </xf>
    <xf numFmtId="179" fontId="61" fillId="0" borderId="10" xfId="161" quotePrefix="1" applyNumberFormat="1" applyFont="1" applyBorder="1" applyAlignment="1">
      <alignment horizontal="right" vertical="center"/>
    </xf>
    <xf numFmtId="0" fontId="61" fillId="0" borderId="2" xfId="161" quotePrefix="1" applyFont="1" applyBorder="1" applyAlignment="1">
      <alignment horizontal="right" vertical="center"/>
    </xf>
    <xf numFmtId="0" fontId="61" fillId="0" borderId="17" xfId="161" quotePrefix="1" applyFont="1" applyBorder="1" applyAlignment="1">
      <alignment horizontal="right" vertical="center"/>
    </xf>
    <xf numFmtId="183" fontId="61" fillId="0" borderId="10" xfId="161" quotePrefix="1" applyNumberFormat="1" applyFont="1" applyBorder="1" applyAlignment="1">
      <alignment horizontal="center" vertical="center"/>
    </xf>
    <xf numFmtId="183" fontId="61" fillId="0" borderId="2" xfId="161" quotePrefix="1" applyNumberFormat="1" applyFont="1" applyBorder="1" applyAlignment="1">
      <alignment horizontal="center" vertical="center"/>
    </xf>
    <xf numFmtId="183" fontId="61" fillId="0" borderId="17" xfId="161" quotePrefix="1" applyNumberFormat="1" applyFont="1" applyBorder="1" applyAlignment="1">
      <alignment horizontal="center" vertical="center"/>
    </xf>
    <xf numFmtId="184" fontId="61" fillId="0" borderId="10" xfId="161" quotePrefix="1" applyNumberFormat="1" applyFont="1" applyBorder="1" applyAlignment="1">
      <alignment horizontal="center" vertical="center"/>
    </xf>
    <xf numFmtId="184" fontId="61" fillId="0" borderId="2" xfId="161" quotePrefix="1" applyNumberFormat="1" applyFont="1" applyBorder="1" applyAlignment="1">
      <alignment horizontal="center" vertical="center"/>
    </xf>
    <xf numFmtId="184" fontId="61" fillId="0" borderId="17" xfId="161" quotePrefix="1" applyNumberFormat="1" applyFont="1" applyBorder="1" applyAlignment="1">
      <alignment horizontal="center" vertical="center"/>
    </xf>
    <xf numFmtId="191" fontId="61" fillId="0" borderId="10" xfId="161" quotePrefix="1" applyNumberFormat="1" applyFont="1" applyBorder="1" applyAlignment="1">
      <alignment horizontal="right" vertical="center"/>
    </xf>
    <xf numFmtId="191" fontId="61" fillId="0" borderId="2" xfId="161" quotePrefix="1" applyNumberFormat="1" applyFont="1" applyBorder="1" applyAlignment="1">
      <alignment horizontal="right" vertical="center"/>
    </xf>
    <xf numFmtId="191" fontId="61" fillId="0" borderId="17" xfId="161" quotePrefix="1" applyNumberFormat="1" applyFont="1" applyBorder="1" applyAlignment="1">
      <alignment horizontal="right" vertical="center"/>
    </xf>
    <xf numFmtId="182" fontId="61" fillId="0" borderId="10" xfId="161" quotePrefix="1" applyNumberFormat="1" applyFont="1" applyBorder="1" applyAlignment="1">
      <alignment horizontal="right" vertical="center"/>
    </xf>
    <xf numFmtId="182" fontId="61" fillId="0" borderId="2" xfId="161" quotePrefix="1" applyNumberFormat="1" applyFont="1" applyBorder="1" applyAlignment="1">
      <alignment horizontal="right" vertical="center"/>
    </xf>
    <xf numFmtId="182" fontId="61" fillId="0" borderId="17" xfId="161" quotePrefix="1" applyNumberFormat="1" applyFont="1" applyBorder="1" applyAlignment="1">
      <alignment horizontal="right" vertical="center"/>
    </xf>
    <xf numFmtId="185" fontId="61" fillId="0" borderId="10" xfId="161" quotePrefix="1" applyNumberFormat="1" applyFont="1" applyBorder="1" applyAlignment="1">
      <alignment horizontal="right" vertical="center"/>
    </xf>
    <xf numFmtId="185" fontId="61" fillId="0" borderId="2" xfId="161" quotePrefix="1" applyNumberFormat="1" applyFont="1" applyBorder="1" applyAlignment="1">
      <alignment horizontal="right" vertical="center"/>
    </xf>
    <xf numFmtId="185" fontId="61" fillId="0" borderId="17" xfId="161" quotePrefix="1" applyNumberFormat="1" applyFont="1" applyBorder="1" applyAlignment="1">
      <alignment horizontal="right" vertical="center"/>
    </xf>
    <xf numFmtId="179" fontId="61" fillId="0" borderId="0" xfId="161" quotePrefix="1" applyNumberFormat="1" applyFont="1" applyAlignment="1">
      <alignment horizontal="right" vertical="center"/>
    </xf>
    <xf numFmtId="0" fontId="61" fillId="0" borderId="0" xfId="161" quotePrefix="1" applyFont="1" applyAlignment="1">
      <alignment horizontal="right" vertical="center"/>
    </xf>
    <xf numFmtId="183" fontId="61" fillId="0" borderId="0" xfId="161" quotePrefix="1" applyNumberFormat="1" applyFont="1" applyAlignment="1">
      <alignment horizontal="right" vertical="center"/>
    </xf>
    <xf numFmtId="185" fontId="61" fillId="0" borderId="31" xfId="161" quotePrefix="1" applyNumberFormat="1" applyFont="1" applyBorder="1" applyAlignment="1">
      <alignment horizontal="right" vertical="center"/>
    </xf>
    <xf numFmtId="179" fontId="61" fillId="0" borderId="2" xfId="161" quotePrefix="1" applyNumberFormat="1" applyFont="1" applyBorder="1" applyAlignment="1">
      <alignment horizontal="right" vertical="center"/>
    </xf>
    <xf numFmtId="179" fontId="61" fillId="0" borderId="17" xfId="161" quotePrefix="1" applyNumberFormat="1" applyFont="1" applyBorder="1" applyAlignment="1">
      <alignment horizontal="right" vertical="center"/>
    </xf>
    <xf numFmtId="180" fontId="61" fillId="0" borderId="10" xfId="161" quotePrefix="1" applyNumberFormat="1" applyFont="1" applyBorder="1" applyAlignment="1">
      <alignment horizontal="right" vertical="center"/>
    </xf>
    <xf numFmtId="180" fontId="61" fillId="0" borderId="2" xfId="161" quotePrefix="1" applyNumberFormat="1" applyFont="1" applyBorder="1" applyAlignment="1">
      <alignment horizontal="right" vertical="center"/>
    </xf>
    <xf numFmtId="180" fontId="61" fillId="0" borderId="17" xfId="161" quotePrefix="1" applyNumberFormat="1" applyFont="1" applyBorder="1" applyAlignment="1">
      <alignment horizontal="right" vertical="center"/>
    </xf>
    <xf numFmtId="183" fontId="61" fillId="0" borderId="10" xfId="161" quotePrefix="1" applyNumberFormat="1" applyFont="1" applyBorder="1" applyAlignment="1">
      <alignment horizontal="right" vertical="center"/>
    </xf>
    <xf numFmtId="183" fontId="61" fillId="0" borderId="2" xfId="161" quotePrefix="1" applyNumberFormat="1" applyFont="1" applyBorder="1" applyAlignment="1">
      <alignment horizontal="right" vertical="center"/>
    </xf>
    <xf numFmtId="183" fontId="61" fillId="0" borderId="17" xfId="161" quotePrefix="1" applyNumberFormat="1" applyFont="1" applyBorder="1" applyAlignment="1">
      <alignment horizontal="right" vertical="center"/>
    </xf>
    <xf numFmtId="185" fontId="61" fillId="0" borderId="10" xfId="161" applyNumberFormat="1" applyFont="1" applyBorder="1" applyAlignment="1">
      <alignment horizontal="center" vertical="center"/>
    </xf>
    <xf numFmtId="185" fontId="61" fillId="0" borderId="2" xfId="161" applyNumberFormat="1" applyFont="1" applyBorder="1" applyAlignment="1">
      <alignment horizontal="center" vertical="center"/>
    </xf>
    <xf numFmtId="185" fontId="61" fillId="0" borderId="17" xfId="161" applyNumberFormat="1" applyFont="1" applyBorder="1" applyAlignment="1">
      <alignment horizontal="center" vertical="center"/>
    </xf>
    <xf numFmtId="184" fontId="61" fillId="0" borderId="10" xfId="161" applyNumberFormat="1" applyFont="1" applyBorder="1" applyAlignment="1">
      <alignment horizontal="center" vertical="center"/>
    </xf>
    <xf numFmtId="184" fontId="61" fillId="0" borderId="2" xfId="161" applyNumberFormat="1" applyFont="1" applyBorder="1" applyAlignment="1">
      <alignment horizontal="center" vertical="center"/>
    </xf>
    <xf numFmtId="184" fontId="61" fillId="0" borderId="17" xfId="161" applyNumberFormat="1" applyFont="1" applyBorder="1" applyAlignment="1">
      <alignment horizontal="center" vertical="center"/>
    </xf>
    <xf numFmtId="184" fontId="61" fillId="0" borderId="10" xfId="161" quotePrefix="1" applyNumberFormat="1" applyFont="1" applyBorder="1" applyAlignment="1">
      <alignment horizontal="right" vertical="center"/>
    </xf>
    <xf numFmtId="184" fontId="61" fillId="0" borderId="2" xfId="161" quotePrefix="1" applyNumberFormat="1" applyFont="1" applyBorder="1" applyAlignment="1">
      <alignment horizontal="right" vertical="center"/>
    </xf>
    <xf numFmtId="184" fontId="61" fillId="0" borderId="17" xfId="161" quotePrefix="1" applyNumberFormat="1" applyFont="1" applyBorder="1" applyAlignment="1">
      <alignment horizontal="right" vertical="center"/>
    </xf>
    <xf numFmtId="185" fontId="61" fillId="0" borderId="0" xfId="161" applyNumberFormat="1" applyFont="1" applyAlignment="1">
      <alignment horizontal="right" vertical="center"/>
    </xf>
    <xf numFmtId="3" fontId="61" fillId="0" borderId="10" xfId="161" quotePrefix="1" applyNumberFormat="1" applyFont="1" applyBorder="1" applyAlignment="1">
      <alignment horizontal="right" vertical="center"/>
    </xf>
    <xf numFmtId="3" fontId="61" fillId="0" borderId="2" xfId="161" quotePrefix="1" applyNumberFormat="1" applyFont="1" applyBorder="1" applyAlignment="1">
      <alignment horizontal="right" vertical="center"/>
    </xf>
    <xf numFmtId="3" fontId="61" fillId="0" borderId="17" xfId="161" quotePrefix="1" applyNumberFormat="1" applyFont="1" applyBorder="1" applyAlignment="1">
      <alignment horizontal="right" vertical="center"/>
    </xf>
    <xf numFmtId="9" fontId="61" fillId="0" borderId="10" xfId="161" quotePrefix="1" applyNumberFormat="1" applyFont="1" applyBorder="1" applyAlignment="1">
      <alignment horizontal="right" vertical="center"/>
    </xf>
    <xf numFmtId="9" fontId="61" fillId="0" borderId="2" xfId="161" quotePrefix="1" applyNumberFormat="1" applyFont="1" applyBorder="1" applyAlignment="1">
      <alignment horizontal="right" vertical="center"/>
    </xf>
    <xf numFmtId="9" fontId="61" fillId="0" borderId="17" xfId="161" quotePrefix="1" applyNumberFormat="1" applyFont="1" applyBorder="1" applyAlignment="1">
      <alignment horizontal="right" vertical="center"/>
    </xf>
    <xf numFmtId="49" fontId="61" fillId="0" borderId="10" xfId="161" quotePrefix="1" applyNumberFormat="1" applyFont="1" applyBorder="1" applyAlignment="1">
      <alignment horizontal="center" vertical="center"/>
    </xf>
    <xf numFmtId="49" fontId="61" fillId="0" borderId="2" xfId="161" quotePrefix="1" applyNumberFormat="1" applyFont="1" applyBorder="1" applyAlignment="1">
      <alignment horizontal="center" vertical="center"/>
    </xf>
    <xf numFmtId="49" fontId="61" fillId="0" borderId="17" xfId="161" quotePrefix="1" applyNumberFormat="1" applyFont="1" applyBorder="1" applyAlignment="1">
      <alignment horizontal="center" vertical="center"/>
    </xf>
    <xf numFmtId="181" fontId="61" fillId="0" borderId="10" xfId="161" quotePrefix="1" applyNumberFormat="1" applyFont="1" applyBorder="1" applyAlignment="1">
      <alignment horizontal="right" vertical="center"/>
    </xf>
    <xf numFmtId="181" fontId="61" fillId="0" borderId="2" xfId="161" quotePrefix="1" applyNumberFormat="1" applyFont="1" applyBorder="1" applyAlignment="1">
      <alignment horizontal="right" vertical="center"/>
    </xf>
    <xf numFmtId="181" fontId="61" fillId="0" borderId="17" xfId="161" quotePrefix="1" applyNumberFormat="1" applyFont="1" applyBorder="1" applyAlignment="1">
      <alignment horizontal="right" vertical="center"/>
    </xf>
    <xf numFmtId="186" fontId="61" fillId="0" borderId="10" xfId="161" quotePrefix="1" applyNumberFormat="1" applyFont="1" applyBorder="1" applyAlignment="1">
      <alignment horizontal="right" vertical="center"/>
    </xf>
    <xf numFmtId="186" fontId="61" fillId="0" borderId="2" xfId="161" quotePrefix="1" applyNumberFormat="1" applyFont="1" applyBorder="1" applyAlignment="1">
      <alignment horizontal="right" vertical="center"/>
    </xf>
    <xf numFmtId="186" fontId="61" fillId="0" borderId="17" xfId="161" quotePrefix="1" applyNumberFormat="1" applyFont="1" applyBorder="1" applyAlignment="1">
      <alignment horizontal="right" vertical="center"/>
    </xf>
    <xf numFmtId="187" fontId="61" fillId="0" borderId="10" xfId="161" quotePrefix="1" applyNumberFormat="1" applyFont="1" applyBorder="1" applyAlignment="1">
      <alignment horizontal="right" vertical="center"/>
    </xf>
    <xf numFmtId="187" fontId="61" fillId="0" borderId="2" xfId="161" quotePrefix="1" applyNumberFormat="1" applyFont="1" applyBorder="1" applyAlignment="1">
      <alignment horizontal="right" vertical="center"/>
    </xf>
    <xf numFmtId="187" fontId="61" fillId="0" borderId="17" xfId="161" quotePrefix="1" applyNumberFormat="1" applyFont="1" applyBorder="1" applyAlignment="1">
      <alignment horizontal="right" vertical="center"/>
    </xf>
    <xf numFmtId="188" fontId="61" fillId="0" borderId="10" xfId="161" quotePrefix="1" applyNumberFormat="1" applyFont="1" applyBorder="1" applyAlignment="1">
      <alignment horizontal="right" vertical="center"/>
    </xf>
    <xf numFmtId="188" fontId="61" fillId="0" borderId="2" xfId="161" quotePrefix="1" applyNumberFormat="1" applyFont="1" applyBorder="1" applyAlignment="1">
      <alignment horizontal="right" vertical="center"/>
    </xf>
    <xf numFmtId="188" fontId="61" fillId="0" borderId="17" xfId="161" quotePrefix="1" applyNumberFormat="1" applyFont="1" applyBorder="1" applyAlignment="1">
      <alignment horizontal="right" vertical="center"/>
    </xf>
    <xf numFmtId="10" fontId="61" fillId="0" borderId="10" xfId="161" quotePrefix="1" applyNumberFormat="1" applyFont="1" applyBorder="1" applyAlignment="1">
      <alignment horizontal="right" vertical="center"/>
    </xf>
    <xf numFmtId="10" fontId="61" fillId="0" borderId="2" xfId="161" quotePrefix="1" applyNumberFormat="1" applyFont="1" applyBorder="1" applyAlignment="1">
      <alignment horizontal="right" vertical="center"/>
    </xf>
    <xf numFmtId="10" fontId="61" fillId="0" borderId="17" xfId="161" quotePrefix="1" applyNumberFormat="1" applyFont="1" applyBorder="1" applyAlignment="1">
      <alignment horizontal="right" vertical="center"/>
    </xf>
    <xf numFmtId="0" fontId="61" fillId="0" borderId="10" xfId="161" quotePrefix="1" applyFont="1" applyBorder="1" applyAlignment="1">
      <alignment horizontal="right" vertical="center"/>
    </xf>
    <xf numFmtId="189" fontId="61" fillId="21" borderId="10" xfId="161" quotePrefix="1" applyNumberFormat="1" applyFont="1" applyFill="1" applyBorder="1" applyAlignment="1">
      <alignment horizontal="right" vertical="center"/>
    </xf>
    <xf numFmtId="189" fontId="61" fillId="21" borderId="2" xfId="161" quotePrefix="1" applyNumberFormat="1" applyFont="1" applyFill="1" applyBorder="1" applyAlignment="1">
      <alignment horizontal="right" vertical="center"/>
    </xf>
    <xf numFmtId="189" fontId="61" fillId="21" borderId="17" xfId="161" quotePrefix="1" applyNumberFormat="1" applyFont="1" applyFill="1" applyBorder="1" applyAlignment="1">
      <alignment horizontal="right" vertical="center"/>
    </xf>
    <xf numFmtId="182" fontId="61" fillId="21" borderId="10" xfId="161" quotePrefix="1" applyNumberFormat="1" applyFont="1" applyFill="1" applyBorder="1" applyAlignment="1">
      <alignment horizontal="right" vertical="center"/>
    </xf>
    <xf numFmtId="182" fontId="61" fillId="21" borderId="2" xfId="161" quotePrefix="1" applyNumberFormat="1" applyFont="1" applyFill="1" applyBorder="1" applyAlignment="1">
      <alignment horizontal="right" vertical="center"/>
    </xf>
    <xf numFmtId="182" fontId="61" fillId="21" borderId="17" xfId="161" quotePrefix="1" applyNumberFormat="1" applyFont="1" applyFill="1" applyBorder="1" applyAlignment="1">
      <alignment horizontal="right" vertical="center"/>
    </xf>
    <xf numFmtId="0" fontId="0" fillId="0" borderId="2" xfId="0" applyBorder="1" applyAlignment="1">
      <alignment horizontal="right" vertical="center"/>
    </xf>
    <xf numFmtId="0" fontId="0" fillId="0" borderId="17" xfId="0" applyBorder="1" applyAlignment="1">
      <alignment horizontal="right" vertical="center"/>
    </xf>
    <xf numFmtId="182" fontId="61" fillId="24" borderId="10" xfId="161" quotePrefix="1" applyNumberFormat="1" applyFont="1" applyFill="1" applyBorder="1" applyAlignment="1">
      <alignment horizontal="right" vertical="center"/>
    </xf>
    <xf numFmtId="189" fontId="61" fillId="24" borderId="10" xfId="161" quotePrefix="1" applyNumberFormat="1" applyFont="1" applyFill="1" applyBorder="1" applyAlignment="1">
      <alignment horizontal="right" vertical="center"/>
    </xf>
    <xf numFmtId="189" fontId="61" fillId="24" borderId="2" xfId="161" quotePrefix="1" applyNumberFormat="1" applyFont="1" applyFill="1" applyBorder="1" applyAlignment="1">
      <alignment horizontal="right" vertical="center"/>
    </xf>
    <xf numFmtId="189" fontId="61" fillId="24" borderId="17" xfId="161" quotePrefix="1" applyNumberFormat="1" applyFont="1" applyFill="1" applyBorder="1" applyAlignment="1">
      <alignment horizontal="right" vertical="center"/>
    </xf>
    <xf numFmtId="185" fontId="61" fillId="0" borderId="10" xfId="161" applyNumberFormat="1" applyFont="1" applyBorder="1" applyAlignment="1">
      <alignment horizontal="right" vertical="center"/>
    </xf>
    <xf numFmtId="185" fontId="61" fillId="0" borderId="2" xfId="161" applyNumberFormat="1" applyFont="1" applyBorder="1" applyAlignment="1">
      <alignment horizontal="right" vertical="center"/>
    </xf>
    <xf numFmtId="185" fontId="61" fillId="0" borderId="17" xfId="161" applyNumberFormat="1" applyFont="1" applyBorder="1" applyAlignment="1">
      <alignment horizontal="right" vertical="center"/>
    </xf>
    <xf numFmtId="182" fontId="61" fillId="0" borderId="10" xfId="161" quotePrefix="1" applyNumberFormat="1" applyFont="1" applyBorder="1" applyAlignment="1">
      <alignment horizontal="center" vertical="center"/>
    </xf>
    <xf numFmtId="182" fontId="61" fillId="0" borderId="2" xfId="161" quotePrefix="1" applyNumberFormat="1" applyFont="1" applyBorder="1" applyAlignment="1">
      <alignment horizontal="center" vertical="center"/>
    </xf>
    <xf numFmtId="182" fontId="61" fillId="0" borderId="17" xfId="161" quotePrefix="1" applyNumberFormat="1" applyFont="1" applyBorder="1" applyAlignment="1">
      <alignment horizontal="center" vertical="center"/>
    </xf>
    <xf numFmtId="182" fontId="61" fillId="0" borderId="28" xfId="161" quotePrefix="1" applyNumberFormat="1" applyFont="1" applyBorder="1" applyAlignment="1">
      <alignment horizontal="right" vertical="center"/>
    </xf>
    <xf numFmtId="187" fontId="61" fillId="0" borderId="10" xfId="161" quotePrefix="1" applyNumberFormat="1" applyFont="1" applyBorder="1" applyAlignment="1">
      <alignment horizontal="right" vertical="center" indent="1"/>
    </xf>
    <xf numFmtId="187" fontId="61" fillId="0" borderId="2" xfId="161" quotePrefix="1" applyNumberFormat="1" applyFont="1" applyBorder="1" applyAlignment="1">
      <alignment horizontal="right" vertical="center" indent="1"/>
    </xf>
    <xf numFmtId="187" fontId="61" fillId="0" borderId="17" xfId="161" quotePrefix="1" applyNumberFormat="1" applyFont="1" applyBorder="1" applyAlignment="1">
      <alignment horizontal="right" vertical="center" indent="1"/>
    </xf>
    <xf numFmtId="0" fontId="53" fillId="14" borderId="0" xfId="0" applyFont="1" applyFill="1" applyAlignment="1">
      <alignment horizontal="center" vertical="center"/>
    </xf>
    <xf numFmtId="190" fontId="53" fillId="14" borderId="15" xfId="0" applyNumberFormat="1" applyFont="1" applyFill="1" applyBorder="1" applyAlignment="1">
      <alignment horizontal="center" vertical="center"/>
    </xf>
    <xf numFmtId="190" fontId="53" fillId="14" borderId="12" xfId="0" applyNumberFormat="1" applyFont="1" applyFill="1" applyBorder="1" applyAlignment="1">
      <alignment horizontal="center" vertical="center"/>
    </xf>
    <xf numFmtId="184" fontId="87" fillId="0" borderId="10" xfId="161" quotePrefix="1" applyNumberFormat="1" applyFont="1" applyBorder="1" applyAlignment="1">
      <alignment horizontal="center" vertical="center"/>
    </xf>
    <xf numFmtId="184" fontId="87" fillId="0" borderId="2" xfId="161" quotePrefix="1" applyNumberFormat="1" applyFont="1" applyBorder="1" applyAlignment="1">
      <alignment horizontal="center" vertical="center"/>
    </xf>
    <xf numFmtId="184" fontId="87" fillId="0" borderId="17" xfId="161" quotePrefix="1" applyNumberFormat="1" applyFont="1" applyBorder="1" applyAlignment="1">
      <alignment horizontal="center" vertical="center"/>
    </xf>
    <xf numFmtId="181" fontId="61" fillId="0" borderId="10" xfId="161" quotePrefix="1" applyNumberFormat="1" applyFont="1" applyBorder="1" applyAlignment="1">
      <alignment horizontal="center" vertical="center"/>
    </xf>
    <xf numFmtId="181" fontId="61" fillId="0" borderId="2" xfId="161" quotePrefix="1" applyNumberFormat="1" applyFont="1" applyBorder="1" applyAlignment="1">
      <alignment horizontal="center" vertical="center"/>
    </xf>
    <xf numFmtId="181" fontId="61" fillId="0" borderId="17" xfId="161" quotePrefix="1" applyNumberFormat="1" applyFont="1" applyBorder="1" applyAlignment="1">
      <alignment horizontal="center" vertical="center"/>
    </xf>
    <xf numFmtId="179" fontId="61" fillId="0" borderId="10" xfId="161" applyNumberFormat="1" applyFont="1" applyBorder="1" applyAlignment="1">
      <alignment horizontal="right" vertical="center"/>
    </xf>
    <xf numFmtId="179" fontId="61" fillId="0" borderId="2" xfId="161" applyNumberFormat="1" applyFont="1" applyBorder="1" applyAlignment="1">
      <alignment horizontal="right" vertical="center"/>
    </xf>
    <xf numFmtId="179" fontId="61" fillId="0" borderId="17" xfId="161" applyNumberFormat="1" applyFont="1" applyBorder="1" applyAlignment="1">
      <alignment horizontal="right" vertical="center"/>
    </xf>
    <xf numFmtId="182" fontId="53" fillId="14" borderId="0" xfId="0" applyNumberFormat="1" applyFont="1" applyFill="1" applyAlignment="1">
      <alignment horizontal="center" vertical="center"/>
    </xf>
    <xf numFmtId="10" fontId="0" fillId="14" borderId="0" xfId="0" applyNumberFormat="1" applyFill="1" applyAlignment="1">
      <alignment horizontal="center" vertical="center"/>
    </xf>
    <xf numFmtId="179" fontId="61" fillId="0" borderId="10" xfId="161" quotePrefix="1" applyNumberFormat="1" applyFont="1" applyBorder="1" applyAlignment="1">
      <alignment horizontal="center" vertical="center"/>
    </xf>
    <xf numFmtId="179" fontId="61" fillId="0" borderId="2" xfId="161" quotePrefix="1" applyNumberFormat="1" applyFont="1" applyBorder="1" applyAlignment="1">
      <alignment horizontal="center" vertical="center"/>
    </xf>
    <xf numFmtId="179" fontId="61" fillId="0" borderId="17" xfId="161" quotePrefix="1" applyNumberFormat="1"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53">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6.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7.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8.xml.rels><?xml version="1.0" encoding="UTF-8" standalone="yes"?>
<Relationships xmlns="http://schemas.openxmlformats.org/package/2006/relationships"><Relationship Id="rId3" Type="http://schemas.openxmlformats.org/officeDocument/2006/relationships/image" Target="../media/image6.tmp"/><Relationship Id="rId2" Type="http://schemas.openxmlformats.org/officeDocument/2006/relationships/image" Target="../media/image5.emf"/><Relationship Id="rId1" Type="http://schemas.openxmlformats.org/officeDocument/2006/relationships/image" Target="../media/image4.tmp"/><Relationship Id="rId4" Type="http://schemas.openxmlformats.org/officeDocument/2006/relationships/image" Target="../media/image7.tmp"/></Relationships>
</file>

<file path=xl/drawings/_rels/drawing9.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_rels/drawing10.xml.rels><?xml version="1.0" encoding="UTF-8" standalone="yes"?>
<Relationships xmlns="http://schemas.openxmlformats.org/package/2006/relationships"><Relationship Id="rId3" Type="http://schemas.openxmlformats.org/officeDocument/2006/relationships/image" Target="../media/image7.tmp"/><Relationship Id="rId2" Type="http://schemas.openxmlformats.org/officeDocument/2006/relationships/image" Target="../media/image6.tmp"/><Relationship Id="rId1" Type="http://schemas.openxmlformats.org/officeDocument/2006/relationships/image" Target="../media/image4.tmp"/><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17</xdr:col>
      <xdr:colOff>38100</xdr:colOff>
      <xdr:row>12</xdr:row>
      <xdr:rowOff>19050</xdr:rowOff>
    </xdr:from>
    <xdr:to>
      <xdr:col>33</xdr:col>
      <xdr:colOff>57978</xdr:colOff>
      <xdr:row>14</xdr:row>
      <xdr:rowOff>35672</xdr:rowOff>
    </xdr:to>
    <xdr:sp macro="" textlink="">
      <xdr:nvSpPr>
        <xdr:cNvPr id="2" name="正方形/長方形 1">
          <a:extLst>
            <a:ext uri="{FF2B5EF4-FFF2-40B4-BE49-F238E27FC236}">
              <a16:creationId xmlns:a16="http://schemas.microsoft.com/office/drawing/2014/main" id="{0DAB9D6C-68DE-49DD-8F9C-7CF26CA9ECC8}"/>
            </a:ext>
          </a:extLst>
        </xdr:cNvPr>
        <xdr:cNvSpPr/>
      </xdr:nvSpPr>
      <xdr:spPr>
        <a:xfrm>
          <a:off x="3114675" y="2105025"/>
          <a:ext cx="2915478" cy="34047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3" name="正方形/長方形 2">
          <a:extLst>
            <a:ext uri="{FF2B5EF4-FFF2-40B4-BE49-F238E27FC236}">
              <a16:creationId xmlns:a16="http://schemas.microsoft.com/office/drawing/2014/main" id="{3C13976E-F2E7-4448-85DA-CFB4DCD8ADB0}"/>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4" name="正方形/長方形 3">
          <a:extLst>
            <a:ext uri="{FF2B5EF4-FFF2-40B4-BE49-F238E27FC236}">
              <a16:creationId xmlns:a16="http://schemas.microsoft.com/office/drawing/2014/main" id="{0670F3AD-6932-449E-A20F-7FCF13BC4A99}"/>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5" name="正方形/長方形 4">
          <a:extLst>
            <a:ext uri="{FF2B5EF4-FFF2-40B4-BE49-F238E27FC236}">
              <a16:creationId xmlns:a16="http://schemas.microsoft.com/office/drawing/2014/main" id="{D79CE5D8-962B-4232-93D1-570893FD84C7}"/>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6" name="正方形/長方形 5">
          <a:extLst>
            <a:ext uri="{FF2B5EF4-FFF2-40B4-BE49-F238E27FC236}">
              <a16:creationId xmlns:a16="http://schemas.microsoft.com/office/drawing/2014/main" id="{CBB9E50F-C0DA-4F40-B7C8-D12209552C43}"/>
            </a:ext>
          </a:extLst>
        </xdr:cNvPr>
        <xdr:cNvSpPr/>
      </xdr:nvSpPr>
      <xdr:spPr>
        <a:xfrm>
          <a:off x="3095625" y="68008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7" name="正方形/長方形 6">
          <a:extLst>
            <a:ext uri="{FF2B5EF4-FFF2-40B4-BE49-F238E27FC236}">
              <a16:creationId xmlns:a16="http://schemas.microsoft.com/office/drawing/2014/main" id="{A7A8ABF3-031A-46F1-B456-9F8E14947C43}"/>
            </a:ext>
          </a:extLst>
        </xdr:cNvPr>
        <xdr:cNvSpPr/>
      </xdr:nvSpPr>
      <xdr:spPr>
        <a:xfrm>
          <a:off x="3095625" y="71247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8" name="正方形/長方形 7">
          <a:extLst>
            <a:ext uri="{FF2B5EF4-FFF2-40B4-BE49-F238E27FC236}">
              <a16:creationId xmlns:a16="http://schemas.microsoft.com/office/drawing/2014/main" id="{5E212721-9B47-4CD7-9D14-C2B28A3A6ED5}"/>
            </a:ext>
          </a:extLst>
        </xdr:cNvPr>
        <xdr:cNvSpPr/>
      </xdr:nvSpPr>
      <xdr:spPr>
        <a:xfrm>
          <a:off x="3095625" y="74485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9" name="正方形/長方形 8">
          <a:extLst>
            <a:ext uri="{FF2B5EF4-FFF2-40B4-BE49-F238E27FC236}">
              <a16:creationId xmlns:a16="http://schemas.microsoft.com/office/drawing/2014/main" id="{D483D844-CC99-45D3-82F0-0074DD1E9806}"/>
            </a:ext>
          </a:extLst>
        </xdr:cNvPr>
        <xdr:cNvSpPr/>
      </xdr:nvSpPr>
      <xdr:spPr>
        <a:xfrm>
          <a:off x="3095625" y="77724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0" name="正方形/長方形 9">
          <a:extLst>
            <a:ext uri="{FF2B5EF4-FFF2-40B4-BE49-F238E27FC236}">
              <a16:creationId xmlns:a16="http://schemas.microsoft.com/office/drawing/2014/main" id="{A5E301B5-DF02-48D9-9677-E2448B7570F8}"/>
            </a:ext>
          </a:extLst>
        </xdr:cNvPr>
        <xdr:cNvSpPr/>
      </xdr:nvSpPr>
      <xdr:spPr>
        <a:xfrm>
          <a:off x="3095625" y="80962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61</xdr:row>
      <xdr:rowOff>16329</xdr:rowOff>
    </xdr:from>
    <xdr:to>
      <xdr:col>24</xdr:col>
      <xdr:colOff>131803</xdr:colOff>
      <xdr:row>63</xdr:row>
      <xdr:rowOff>97918</xdr:rowOff>
    </xdr:to>
    <xdr:sp macro="" textlink="">
      <xdr:nvSpPr>
        <xdr:cNvPr id="11" name="正方形/長方形 10">
          <a:extLst>
            <a:ext uri="{FF2B5EF4-FFF2-40B4-BE49-F238E27FC236}">
              <a16:creationId xmlns:a16="http://schemas.microsoft.com/office/drawing/2014/main" id="{9824401F-651B-46B2-8098-2E1B81B3A914}"/>
            </a:ext>
          </a:extLst>
        </xdr:cNvPr>
        <xdr:cNvSpPr/>
      </xdr:nvSpPr>
      <xdr:spPr>
        <a:xfrm>
          <a:off x="3273425" y="1003662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(RETURN)</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61</xdr:row>
      <xdr:rowOff>1</xdr:rowOff>
    </xdr:from>
    <xdr:to>
      <xdr:col>31</xdr:col>
      <xdr:colOff>139700</xdr:colOff>
      <xdr:row>63</xdr:row>
      <xdr:rowOff>95251</xdr:rowOff>
    </xdr:to>
    <xdr:sp macro="" textlink="">
      <xdr:nvSpPr>
        <xdr:cNvPr id="12" name="正方形/長方形 11">
          <a:extLst>
            <a:ext uri="{FF2B5EF4-FFF2-40B4-BE49-F238E27FC236}">
              <a16:creationId xmlns:a16="http://schemas.microsoft.com/office/drawing/2014/main" id="{616FA918-A6FD-40FF-832F-D6CBDD15147A}"/>
            </a:ext>
          </a:extLst>
        </xdr:cNvPr>
        <xdr:cNvSpPr/>
      </xdr:nvSpPr>
      <xdr:spPr>
        <a:xfrm>
          <a:off x="4569572" y="1002030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45505</xdr:colOff>
      <xdr:row>32</xdr:row>
      <xdr:rowOff>8731</xdr:rowOff>
    </xdr:to>
    <xdr:grpSp>
      <xdr:nvGrpSpPr>
        <xdr:cNvPr id="13" name="グループ化 12">
          <a:extLst>
            <a:ext uri="{FF2B5EF4-FFF2-40B4-BE49-F238E27FC236}">
              <a16:creationId xmlns:a16="http://schemas.microsoft.com/office/drawing/2014/main" id="{7EF001C8-1096-4F8C-8015-93E4B1CBAB61}"/>
            </a:ext>
          </a:extLst>
        </xdr:cNvPr>
        <xdr:cNvGrpSpPr/>
      </xdr:nvGrpSpPr>
      <xdr:grpSpPr>
        <a:xfrm>
          <a:off x="3118556" y="3880556"/>
          <a:ext cx="3714393" cy="1469231"/>
          <a:chOff x="3649663" y="3595688"/>
          <a:chExt cx="3620555" cy="1505743"/>
        </a:xfrm>
      </xdr:grpSpPr>
      <xdr:sp macro="" textlink="">
        <xdr:nvSpPr>
          <xdr:cNvPr id="14" name="正方形/長方形 13">
            <a:extLst>
              <a:ext uri="{FF2B5EF4-FFF2-40B4-BE49-F238E27FC236}">
                <a16:creationId xmlns:a16="http://schemas.microsoft.com/office/drawing/2014/main" id="{74B5F4EF-73D7-50E9-A829-A99DF0E492EB}"/>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15" name="図 14">
            <a:extLst>
              <a:ext uri="{FF2B5EF4-FFF2-40B4-BE49-F238E27FC236}">
                <a16:creationId xmlns:a16="http://schemas.microsoft.com/office/drawing/2014/main" id="{DB45DB9D-F345-CB6C-03B0-1CEE3CC4196C}"/>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16" name="正方形/長方形 15">
          <a:extLst>
            <a:ext uri="{FF2B5EF4-FFF2-40B4-BE49-F238E27FC236}">
              <a16:creationId xmlns:a16="http://schemas.microsoft.com/office/drawing/2014/main" id="{35D9A53C-0FA7-4033-8EEB-FFE31481008F}"/>
            </a:ext>
          </a:extLst>
        </xdr:cNvPr>
        <xdr:cNvSpPr/>
      </xdr:nvSpPr>
      <xdr:spPr>
        <a:xfrm>
          <a:off x="1991518" y="874182"/>
          <a:ext cx="373063" cy="24818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169334</xdr:colOff>
      <xdr:row>7</xdr:row>
      <xdr:rowOff>64029</xdr:rowOff>
    </xdr:from>
    <xdr:to>
      <xdr:col>12</xdr:col>
      <xdr:colOff>83080</xdr:colOff>
      <xdr:row>8</xdr:row>
      <xdr:rowOff>202142</xdr:rowOff>
    </xdr:to>
    <xdr:sp macro="" textlink="">
      <xdr:nvSpPr>
        <xdr:cNvPr id="17" name="線吹き出し 1 (枠付き) 12">
          <a:extLst>
            <a:ext uri="{FF2B5EF4-FFF2-40B4-BE49-F238E27FC236}">
              <a16:creationId xmlns:a16="http://schemas.microsoft.com/office/drawing/2014/main" id="{82868812-FF1E-44EC-9903-2D08A4738D24}"/>
            </a:ext>
          </a:extLst>
        </xdr:cNvPr>
        <xdr:cNvSpPr/>
      </xdr:nvSpPr>
      <xdr:spPr>
        <a:xfrm>
          <a:off x="1074209" y="1210204"/>
          <a:ext cx="1183746" cy="293688"/>
        </a:xfrm>
        <a:prstGeom prst="borderCallout1">
          <a:avLst>
            <a:gd name="adj1" fmla="val -4247"/>
            <a:gd name="adj2" fmla="val 28737"/>
            <a:gd name="adj3" fmla="val -21310"/>
            <a:gd name="adj4" fmla="val 8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18" name="正方形/長方形 17">
          <a:extLst>
            <a:ext uri="{FF2B5EF4-FFF2-40B4-BE49-F238E27FC236}">
              <a16:creationId xmlns:a16="http://schemas.microsoft.com/office/drawing/2014/main" id="{8C61F2D5-CE58-4A54-848F-364CD181D0CC}"/>
            </a:ext>
          </a:extLst>
        </xdr:cNvPr>
        <xdr:cNvSpPr/>
      </xdr:nvSpPr>
      <xdr:spPr>
        <a:xfrm>
          <a:off x="2698222" y="1873250"/>
          <a:ext cx="427831" cy="2780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19" name="正方形/長方形 18">
          <a:extLst>
            <a:ext uri="{FF2B5EF4-FFF2-40B4-BE49-F238E27FC236}">
              <a16:creationId xmlns:a16="http://schemas.microsoft.com/office/drawing/2014/main" id="{E2528441-2416-4889-89B8-6C4CF6747217}"/>
            </a:ext>
          </a:extLst>
        </xdr:cNvPr>
        <xdr:cNvSpPr/>
      </xdr:nvSpPr>
      <xdr:spPr>
        <a:xfrm>
          <a:off x="2601913" y="2789501"/>
          <a:ext cx="454553" cy="2794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0" name="正方形/長方形 19">
          <a:extLst>
            <a:ext uri="{FF2B5EF4-FFF2-40B4-BE49-F238E27FC236}">
              <a16:creationId xmlns:a16="http://schemas.microsoft.com/office/drawing/2014/main" id="{8074183E-62C3-46A8-B2E6-44251EE94A7B}"/>
            </a:ext>
          </a:extLst>
        </xdr:cNvPr>
        <xdr:cNvSpPr/>
      </xdr:nvSpPr>
      <xdr:spPr>
        <a:xfrm>
          <a:off x="2572280" y="3694376"/>
          <a:ext cx="429153"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21" name="正方形/長方形 20">
          <a:extLst>
            <a:ext uri="{FF2B5EF4-FFF2-40B4-BE49-F238E27FC236}">
              <a16:creationId xmlns:a16="http://schemas.microsoft.com/office/drawing/2014/main" id="{21B1FC2F-F46A-4B6E-A35B-3A4D8728CDCC}"/>
            </a:ext>
          </a:extLst>
        </xdr:cNvPr>
        <xdr:cNvSpPr/>
      </xdr:nvSpPr>
      <xdr:spPr>
        <a:xfrm>
          <a:off x="2655889" y="5860785"/>
          <a:ext cx="446087"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63</xdr:row>
      <xdr:rowOff>143139</xdr:rowOff>
    </xdr:from>
    <xdr:to>
      <xdr:col>23</xdr:col>
      <xdr:colOff>10584</xdr:colOff>
      <xdr:row>65</xdr:row>
      <xdr:rowOff>93926</xdr:rowOff>
    </xdr:to>
    <xdr:sp macro="" textlink="">
      <xdr:nvSpPr>
        <xdr:cNvPr id="23" name="正方形/長方形 22">
          <a:extLst>
            <a:ext uri="{FF2B5EF4-FFF2-40B4-BE49-F238E27FC236}">
              <a16:creationId xmlns:a16="http://schemas.microsoft.com/office/drawing/2014/main" id="{A8129855-392F-4037-BE6C-5E47A63D4914}"/>
            </a:ext>
          </a:extLst>
        </xdr:cNvPr>
        <xdr:cNvSpPr/>
      </xdr:nvSpPr>
      <xdr:spPr>
        <a:xfrm>
          <a:off x="3723747" y="10484114"/>
          <a:ext cx="446087" cy="2778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63</xdr:row>
      <xdr:rowOff>146314</xdr:rowOff>
    </xdr:from>
    <xdr:to>
      <xdr:col>29</xdr:col>
      <xdr:colOff>141024</xdr:colOff>
      <xdr:row>65</xdr:row>
      <xdr:rowOff>93926</xdr:rowOff>
    </xdr:to>
    <xdr:sp macro="" textlink="">
      <xdr:nvSpPr>
        <xdr:cNvPr id="24" name="正方形/長方形 23">
          <a:extLst>
            <a:ext uri="{FF2B5EF4-FFF2-40B4-BE49-F238E27FC236}">
              <a16:creationId xmlns:a16="http://schemas.microsoft.com/office/drawing/2014/main" id="{568D1609-1FF5-4674-BF95-465636E14841}"/>
            </a:ext>
          </a:extLst>
        </xdr:cNvPr>
        <xdr:cNvSpPr/>
      </xdr:nvSpPr>
      <xdr:spPr>
        <a:xfrm>
          <a:off x="4950620" y="10487289"/>
          <a:ext cx="441854" cy="27463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51</xdr:row>
      <xdr:rowOff>105834</xdr:rowOff>
    </xdr:from>
    <xdr:to>
      <xdr:col>6</xdr:col>
      <xdr:colOff>160338</xdr:colOff>
      <xdr:row>53</xdr:row>
      <xdr:rowOff>62972</xdr:rowOff>
    </xdr:to>
    <xdr:sp macro="" textlink="">
      <xdr:nvSpPr>
        <xdr:cNvPr id="25" name="正方形/長方形 24">
          <a:extLst>
            <a:ext uri="{FF2B5EF4-FFF2-40B4-BE49-F238E27FC236}">
              <a16:creationId xmlns:a16="http://schemas.microsoft.com/office/drawing/2014/main" id="{625082F4-3279-473F-BFD0-1A8BA40AC2E5}"/>
            </a:ext>
          </a:extLst>
        </xdr:cNvPr>
        <xdr:cNvSpPr/>
      </xdr:nvSpPr>
      <xdr:spPr>
        <a:xfrm>
          <a:off x="793750" y="8350251"/>
          <a:ext cx="446088" cy="2746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80433</xdr:colOff>
      <xdr:row>12</xdr:row>
      <xdr:rowOff>82550</xdr:rowOff>
    </xdr:from>
    <xdr:to>
      <xdr:col>34</xdr:col>
      <xdr:colOff>100311</xdr:colOff>
      <xdr:row>14</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63</xdr:row>
      <xdr:rowOff>16329</xdr:rowOff>
    </xdr:from>
    <xdr:to>
      <xdr:col>24</xdr:col>
      <xdr:colOff>131803</xdr:colOff>
      <xdr:row>65</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63</xdr:row>
      <xdr:rowOff>1</xdr:rowOff>
    </xdr:from>
    <xdr:to>
      <xdr:col>31</xdr:col>
      <xdr:colOff>139700</xdr:colOff>
      <xdr:row>65</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118556" y="3880556"/>
          <a:ext cx="3717568" cy="1472406"/>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000" baseline="0">
                <a:solidFill>
                  <a:schemeClr val="bg1">
                    <a:lumMod val="75000"/>
                  </a:schemeClr>
                </a:solidFill>
              </a:rPr>
              <a:t>Entry ex</a:t>
            </a:r>
          </a:p>
          <a:p>
            <a:pPr algn="l"/>
            <a:r>
              <a:rPr kumimoji="1" lang="en-US" altLang="ja-JP" sz="1000">
                <a:solidFill>
                  <a:schemeClr val="bg1">
                    <a:lumMod val="75000"/>
                  </a:schemeClr>
                </a:solidFill>
              </a:rPr>
              <a:t>ProductA</a:t>
            </a:r>
          </a:p>
          <a:p>
            <a:pPr algn="l"/>
            <a:r>
              <a:rPr kumimoji="1" lang="en-US" altLang="ja-JP" sz="1000">
                <a:solidFill>
                  <a:schemeClr val="bg1">
                    <a:lumMod val="75000"/>
                  </a:schemeClr>
                </a:solidFill>
              </a:rPr>
              <a:t>CL0123-4567-8-90</a:t>
            </a:r>
          </a:p>
          <a:p>
            <a:pPr algn="l"/>
            <a:r>
              <a:rPr kumimoji="1" lang="en-US" altLang="ja-JP" sz="1000">
                <a:solidFill>
                  <a:schemeClr val="bg1">
                    <a:lumMod val="75000"/>
                  </a:schemeClr>
                </a:solidFill>
              </a:rPr>
              <a:t>01234567890</a:t>
            </a:r>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1977760" y="857249"/>
          <a:ext cx="376238" cy="2460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7</xdr:row>
      <xdr:rowOff>113771</xdr:rowOff>
    </xdr:from>
    <xdr:to>
      <xdr:col>11</xdr:col>
      <xdr:colOff>95251</xdr:colOff>
      <xdr:row>8</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65</xdr:row>
      <xdr:rowOff>143139</xdr:rowOff>
    </xdr:from>
    <xdr:to>
      <xdr:col>23</xdr:col>
      <xdr:colOff>10584</xdr:colOff>
      <xdr:row>67</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65</xdr:row>
      <xdr:rowOff>146314</xdr:rowOff>
    </xdr:from>
    <xdr:to>
      <xdr:col>29</xdr:col>
      <xdr:colOff>141024</xdr:colOff>
      <xdr:row>67</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52</xdr:row>
      <xdr:rowOff>105834</xdr:rowOff>
    </xdr:from>
    <xdr:to>
      <xdr:col>6</xdr:col>
      <xdr:colOff>160338</xdr:colOff>
      <xdr:row>54</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53</xdr:row>
      <xdr:rowOff>116417</xdr:rowOff>
    </xdr:from>
    <xdr:to>
      <xdr:col>44</xdr:col>
      <xdr:colOff>83608</xdr:colOff>
      <xdr:row>55</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333191" y="8865306"/>
          <a:ext cx="821973" cy="268462"/>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52</xdr:row>
      <xdr:rowOff>25401</xdr:rowOff>
    </xdr:from>
    <xdr:to>
      <xdr:col>39</xdr:col>
      <xdr:colOff>137584</xdr:colOff>
      <xdr:row>53</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D26CB18A-19CB-40D6-BAA9-D3FCE408C9F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22</xdr:col>
      <xdr:colOff>190500</xdr:colOff>
      <xdr:row>20</xdr:row>
      <xdr:rowOff>19051</xdr:rowOff>
    </xdr:from>
    <xdr:to>
      <xdr:col>29</xdr:col>
      <xdr:colOff>104775</xdr:colOff>
      <xdr:row>23</xdr:row>
      <xdr:rowOff>9525</xdr:rowOff>
    </xdr:to>
    <xdr:sp macro="" textlink="">
      <xdr:nvSpPr>
        <xdr:cNvPr id="26" name="四角形吹き出し 11">
          <a:extLst>
            <a:ext uri="{FF2B5EF4-FFF2-40B4-BE49-F238E27FC236}">
              <a16:creationId xmlns:a16="http://schemas.microsoft.com/office/drawing/2014/main" id="{81C88106-4EC8-483E-9968-510063037A38}"/>
            </a:ext>
          </a:extLst>
        </xdr:cNvPr>
        <xdr:cNvSpPr/>
      </xdr:nvSpPr>
      <xdr:spPr>
        <a:xfrm>
          <a:off x="4591050" y="3200401"/>
          <a:ext cx="1314450" cy="390524"/>
        </a:xfrm>
        <a:prstGeom prst="wedgeRectCallout">
          <a:avLst>
            <a:gd name="adj1" fmla="val -80873"/>
            <a:gd name="adj2" fmla="val -607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各ステップは前段選択後に表示する</a:t>
          </a:r>
          <a:endParaRPr kumimoji="1" lang="en-US" altLang="ja-JP" sz="800">
            <a:solidFill>
              <a:sysClr val="windowText" lastClr="000000"/>
            </a:solidFill>
          </a:endParaRPr>
        </a:p>
      </xdr:txBody>
    </xdr:sp>
    <xdr:clientData/>
  </xdr:twoCellAnchor>
  <xdr:twoCellAnchor>
    <xdr:from>
      <xdr:col>13</xdr:col>
      <xdr:colOff>152400</xdr:colOff>
      <xdr:row>26</xdr:row>
      <xdr:rowOff>152400</xdr:rowOff>
    </xdr:from>
    <xdr:to>
      <xdr:col>20</xdr:col>
      <xdr:colOff>152400</xdr:colOff>
      <xdr:row>28</xdr:row>
      <xdr:rowOff>152400</xdr:rowOff>
    </xdr:to>
    <xdr:sp macro="" textlink="">
      <xdr:nvSpPr>
        <xdr:cNvPr id="27" name="正方形/長方形 26">
          <a:extLst>
            <a:ext uri="{FF2B5EF4-FFF2-40B4-BE49-F238E27FC236}">
              <a16:creationId xmlns:a16="http://schemas.microsoft.com/office/drawing/2014/main" id="{6E3D40A0-E374-436F-BA84-3727C262AF44}"/>
            </a:ext>
          </a:extLst>
        </xdr:cNvPr>
        <xdr:cNvSpPr/>
      </xdr:nvSpPr>
      <xdr:spPr>
        <a:xfrm>
          <a:off x="2752725" y="42481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次へ</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17</xdr:col>
      <xdr:colOff>0</xdr:colOff>
      <xdr:row>102</xdr:row>
      <xdr:rowOff>0</xdr:rowOff>
    </xdr:from>
    <xdr:to>
      <xdr:col>24</xdr:col>
      <xdr:colOff>0</xdr:colOff>
      <xdr:row>104</xdr:row>
      <xdr:rowOff>0</xdr:rowOff>
    </xdr:to>
    <xdr:sp macro="" textlink="">
      <xdr:nvSpPr>
        <xdr:cNvPr id="84" name="正方形/長方形 83">
          <a:extLst>
            <a:ext uri="{FF2B5EF4-FFF2-40B4-BE49-F238E27FC236}">
              <a16:creationId xmlns:a16="http://schemas.microsoft.com/office/drawing/2014/main" id="{00000000-0008-0000-0300-000054000000}"/>
            </a:ext>
          </a:extLst>
        </xdr:cNvPr>
        <xdr:cNvSpPr/>
      </xdr:nvSpPr>
      <xdr:spPr>
        <a:xfrm>
          <a:off x="34004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25</xdr:col>
      <xdr:colOff>0</xdr:colOff>
      <xdr:row>102</xdr:row>
      <xdr:rowOff>0</xdr:rowOff>
    </xdr:from>
    <xdr:to>
      <xdr:col>32</xdr:col>
      <xdr:colOff>0</xdr:colOff>
      <xdr:row>104</xdr:row>
      <xdr:rowOff>0</xdr:rowOff>
    </xdr:to>
    <xdr:sp macro="" textlink="">
      <xdr:nvSpPr>
        <xdr:cNvPr id="85" name="正方形/長方形 84">
          <a:extLst>
            <a:ext uri="{FF2B5EF4-FFF2-40B4-BE49-F238E27FC236}">
              <a16:creationId xmlns:a16="http://schemas.microsoft.com/office/drawing/2014/main" id="{00000000-0008-0000-0300-000055000000}"/>
            </a:ext>
          </a:extLst>
        </xdr:cNvPr>
        <xdr:cNvSpPr/>
      </xdr:nvSpPr>
      <xdr:spPr>
        <a:xfrm>
          <a:off x="50006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33</xdr:col>
      <xdr:colOff>0</xdr:colOff>
      <xdr:row>102</xdr:row>
      <xdr:rowOff>0</xdr:rowOff>
    </xdr:from>
    <xdr:to>
      <xdr:col>40</xdr:col>
      <xdr:colOff>0</xdr:colOff>
      <xdr:row>104</xdr:row>
      <xdr:rowOff>0</xdr:rowOff>
    </xdr:to>
    <xdr:sp macro="" textlink="">
      <xdr:nvSpPr>
        <xdr:cNvPr id="56" name="正方形/長方形 55">
          <a:extLst>
            <a:ext uri="{FF2B5EF4-FFF2-40B4-BE49-F238E27FC236}">
              <a16:creationId xmlns:a16="http://schemas.microsoft.com/office/drawing/2014/main" id="{00000000-0008-0000-0300-000038000000}"/>
            </a:ext>
          </a:extLst>
        </xdr:cNvPr>
        <xdr:cNvSpPr/>
      </xdr:nvSpPr>
      <xdr:spPr>
        <a:xfrm>
          <a:off x="66008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2" name="矢印: 左 1">
          <a:extLst>
            <a:ext uri="{FF2B5EF4-FFF2-40B4-BE49-F238E27FC236}">
              <a16:creationId xmlns:a16="http://schemas.microsoft.com/office/drawing/2014/main" id="{02F19CD5-F025-357A-9AF1-A54B8D2A21E2}"/>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3C7BF72-F229-478D-9413-D7F97FE3724F}"/>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7925" y="2743200"/>
          <a:ext cx="154327" cy="154327"/>
        </a:xfrm>
        <a:prstGeom prst="rect">
          <a:avLst/>
        </a:prstGeom>
        <a:ln>
          <a:solidFill>
            <a:schemeClr val="bg1">
              <a:lumMod val="50000"/>
            </a:schemeClr>
          </a:solidFill>
        </a:ln>
      </xdr:spPr>
    </xdr:pic>
    <xdr:clientData/>
  </xdr:oneCellAnchor>
  <xdr:twoCellAnchor>
    <xdr:from>
      <xdr:col>3</xdr:col>
      <xdr:colOff>0</xdr:colOff>
      <xdr:row>50</xdr:row>
      <xdr:rowOff>57150</xdr:rowOff>
    </xdr:from>
    <xdr:to>
      <xdr:col>6</xdr:col>
      <xdr:colOff>190500</xdr:colOff>
      <xdr:row>51</xdr:row>
      <xdr:rowOff>142875</xdr:rowOff>
    </xdr:to>
    <xdr:sp macro="" textlink="">
      <xdr:nvSpPr>
        <xdr:cNvPr id="7" name="正方形/長方形 6">
          <a:extLst>
            <a:ext uri="{FF2B5EF4-FFF2-40B4-BE49-F238E27FC236}">
              <a16:creationId xmlns:a16="http://schemas.microsoft.com/office/drawing/2014/main" id="{9B7E654F-B988-43B6-741A-CAEB004A0A31}"/>
            </a:ext>
          </a:extLst>
        </xdr:cNvPr>
        <xdr:cNvSpPr/>
      </xdr:nvSpPr>
      <xdr:spPr>
        <a:xfrm>
          <a:off x="600075"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12</xdr:col>
      <xdr:colOff>171450</xdr:colOff>
      <xdr:row>12</xdr:row>
      <xdr:rowOff>152401</xdr:rowOff>
    </xdr:from>
    <xdr:to>
      <xdr:col>19</xdr:col>
      <xdr:colOff>85725</xdr:colOff>
      <xdr:row>15</xdr:row>
      <xdr:rowOff>57150</xdr:rowOff>
    </xdr:to>
    <xdr:sp macro="" textlink="">
      <xdr:nvSpPr>
        <xdr:cNvPr id="23" name="四角形吹き出し 11">
          <a:extLst>
            <a:ext uri="{FF2B5EF4-FFF2-40B4-BE49-F238E27FC236}">
              <a16:creationId xmlns:a16="http://schemas.microsoft.com/office/drawing/2014/main" id="{614D56F4-D37B-3CC5-470F-2F3A76831225}"/>
            </a:ext>
          </a:extLst>
        </xdr:cNvPr>
        <xdr:cNvSpPr/>
      </xdr:nvSpPr>
      <xdr:spPr>
        <a:xfrm>
          <a:off x="2571750" y="2190751"/>
          <a:ext cx="1314450" cy="304799"/>
        </a:xfrm>
        <a:prstGeom prst="wedgeRectCallout">
          <a:avLst>
            <a:gd name="adj1" fmla="val -77975"/>
            <a:gd name="adj2" fmla="val 492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現状は単価上申区分のみ</a:t>
          </a:r>
          <a:endParaRPr kumimoji="1" lang="en-US" altLang="ja-JP" sz="800">
            <a:solidFill>
              <a:sysClr val="windowText" lastClr="000000"/>
            </a:solidFill>
          </a:endParaRPr>
        </a:p>
      </xdr:txBody>
    </xdr:sp>
    <xdr:clientData/>
  </xdr:twoCellAnchor>
  <xdr:twoCellAnchor>
    <xdr:from>
      <xdr:col>41</xdr:col>
      <xdr:colOff>114300</xdr:colOff>
      <xdr:row>20</xdr:row>
      <xdr:rowOff>9525</xdr:rowOff>
    </xdr:from>
    <xdr:to>
      <xdr:col>47</xdr:col>
      <xdr:colOff>85725</xdr:colOff>
      <xdr:row>22</xdr:row>
      <xdr:rowOff>19049</xdr:rowOff>
    </xdr:to>
    <xdr:sp macro="" textlink="">
      <xdr:nvSpPr>
        <xdr:cNvPr id="25" name="四角形吹き出し 11">
          <a:extLst>
            <a:ext uri="{FF2B5EF4-FFF2-40B4-BE49-F238E27FC236}">
              <a16:creationId xmlns:a16="http://schemas.microsoft.com/office/drawing/2014/main" id="{3A35B3E3-9053-14F4-BE0E-F7E6DEB6839F}"/>
            </a:ext>
          </a:extLst>
        </xdr:cNvPr>
        <xdr:cNvSpPr/>
      </xdr:nvSpPr>
      <xdr:spPr>
        <a:xfrm>
          <a:off x="8315325" y="3305175"/>
          <a:ext cx="1171575" cy="238124"/>
        </a:xfrm>
        <a:prstGeom prst="wedgeRectCallout">
          <a:avLst>
            <a:gd name="adj1" fmla="val -22903"/>
            <a:gd name="adj2" fmla="val 12159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工事金額</a:t>
          </a:r>
          <a:r>
            <a:rPr kumimoji="1" lang="en-US" altLang="ja-JP" sz="800">
              <a:solidFill>
                <a:sysClr val="windowText" lastClr="000000"/>
              </a:solidFill>
            </a:rPr>
            <a:t>x</a:t>
          </a:r>
          <a:r>
            <a:rPr kumimoji="1" lang="ja-JP" altLang="en-US" sz="800">
              <a:solidFill>
                <a:sysClr val="windowText" lastClr="000000"/>
              </a:solidFill>
            </a:rPr>
            <a:t>継続期間</a:t>
          </a:r>
          <a:endParaRPr kumimoji="1" lang="en-US" altLang="ja-JP" sz="800">
            <a:solidFill>
              <a:sysClr val="windowText" lastClr="000000"/>
            </a:solidFill>
          </a:endParaRPr>
        </a:p>
      </xdr:txBody>
    </xdr:sp>
    <xdr:clientData/>
  </xdr:twoCellAnchor>
  <xdr:oneCellAnchor>
    <xdr:from>
      <xdr:col>49</xdr:col>
      <xdr:colOff>0</xdr:colOff>
      <xdr:row>26</xdr:row>
      <xdr:rowOff>0</xdr:rowOff>
    </xdr:from>
    <xdr:ext cx="201083" cy="171450"/>
    <xdr:pic>
      <xdr:nvPicPr>
        <xdr:cNvPr id="26" name="図 25">
          <a:extLst>
            <a:ext uri="{FF2B5EF4-FFF2-40B4-BE49-F238E27FC236}">
              <a16:creationId xmlns:a16="http://schemas.microsoft.com/office/drawing/2014/main" id="{88F1C993-150D-49BC-9732-3469C83DFC93}"/>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6012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7" name="図 26">
          <a:extLst>
            <a:ext uri="{FF2B5EF4-FFF2-40B4-BE49-F238E27FC236}">
              <a16:creationId xmlns:a16="http://schemas.microsoft.com/office/drawing/2014/main" id="{A5D2811B-4ED1-4C10-8D81-4B51280EC37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80105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51</xdr:col>
      <xdr:colOff>85725</xdr:colOff>
      <xdr:row>22</xdr:row>
      <xdr:rowOff>114300</xdr:rowOff>
    </xdr:from>
    <xdr:to>
      <xdr:col>58</xdr:col>
      <xdr:colOff>0</xdr:colOff>
      <xdr:row>25</xdr:row>
      <xdr:rowOff>76199</xdr:rowOff>
    </xdr:to>
    <xdr:sp macro="" textlink="">
      <xdr:nvSpPr>
        <xdr:cNvPr id="28" name="四角形吹き出し 11">
          <a:extLst>
            <a:ext uri="{FF2B5EF4-FFF2-40B4-BE49-F238E27FC236}">
              <a16:creationId xmlns:a16="http://schemas.microsoft.com/office/drawing/2014/main" id="{0451F537-F4C8-D7CA-9156-D8DAC133BEC7}"/>
            </a:ext>
          </a:extLst>
        </xdr:cNvPr>
        <xdr:cNvSpPr/>
      </xdr:nvSpPr>
      <xdr:spPr>
        <a:xfrm>
          <a:off x="10287000" y="3695700"/>
          <a:ext cx="1314450" cy="30479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分類の大中小は連携。クレーム</a:t>
          </a:r>
          <a:r>
            <a:rPr kumimoji="1" lang="en-US" altLang="ja-JP" sz="800">
              <a:solidFill>
                <a:sysClr val="windowText" lastClr="000000"/>
              </a:solidFill>
            </a:rPr>
            <a:t>DB</a:t>
          </a:r>
          <a:r>
            <a:rPr kumimoji="1" lang="ja-JP" altLang="en-US" sz="800">
              <a:solidFill>
                <a:sysClr val="windowText" lastClr="000000"/>
              </a:solidFill>
            </a:rPr>
            <a:t>参照。</a:t>
          </a:r>
          <a:endParaRPr kumimoji="1" lang="en-US" altLang="ja-JP" sz="800">
            <a:solidFill>
              <a:sysClr val="windowText" lastClr="000000"/>
            </a:solidFill>
          </a:endParaRPr>
        </a:p>
      </xdr:txBody>
    </xdr:sp>
    <xdr:clientData/>
  </xdr:twoCellAnchor>
  <xdr:twoCellAnchor>
    <xdr:from>
      <xdr:col>3</xdr:col>
      <xdr:colOff>9525</xdr:colOff>
      <xdr:row>66</xdr:row>
      <xdr:rowOff>85725</xdr:rowOff>
    </xdr:from>
    <xdr:to>
      <xdr:col>7</xdr:col>
      <xdr:colOff>0</xdr:colOff>
      <xdr:row>68</xdr:row>
      <xdr:rowOff>0</xdr:rowOff>
    </xdr:to>
    <xdr:sp macro="" textlink="">
      <xdr:nvSpPr>
        <xdr:cNvPr id="5" name="正方形/長方形 4">
          <a:extLst>
            <a:ext uri="{FF2B5EF4-FFF2-40B4-BE49-F238E27FC236}">
              <a16:creationId xmlns:a16="http://schemas.microsoft.com/office/drawing/2014/main" id="{F1D5EF3E-643F-48E4-11E0-336061442327}"/>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1" name="正方形/長方形 20">
          <a:extLst>
            <a:ext uri="{FF2B5EF4-FFF2-40B4-BE49-F238E27FC236}">
              <a16:creationId xmlns:a16="http://schemas.microsoft.com/office/drawing/2014/main" id="{0BA3729D-5A88-49C6-AF0B-9FFA0ACE8B7E}"/>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2" name="正方形/長方形 21">
          <a:extLst>
            <a:ext uri="{FF2B5EF4-FFF2-40B4-BE49-F238E27FC236}">
              <a16:creationId xmlns:a16="http://schemas.microsoft.com/office/drawing/2014/main" id="{09DD92F9-247A-43A9-9FC8-B34505BF08A9}"/>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5715</xdr:colOff>
      <xdr:row>74</xdr:row>
      <xdr:rowOff>9502</xdr:rowOff>
    </xdr:from>
    <xdr:ext cx="219106" cy="161948"/>
    <xdr:pic>
      <xdr:nvPicPr>
        <xdr:cNvPr id="24" name="図 23" descr="画面の領域">
          <a:extLst>
            <a:ext uri="{FF2B5EF4-FFF2-40B4-BE49-F238E27FC236}">
              <a16:creationId xmlns:a16="http://schemas.microsoft.com/office/drawing/2014/main" id="{532796EB-5A3D-4D10-8744-DE85F80F5C0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6265" y="11677627"/>
          <a:ext cx="219106" cy="161948"/>
        </a:xfrm>
        <a:prstGeom prst="rect">
          <a:avLst/>
        </a:prstGeom>
      </xdr:spPr>
    </xdr:pic>
    <xdr:clientData/>
  </xdr:oneCellAnchor>
  <xdr:twoCellAnchor>
    <xdr:from>
      <xdr:col>12</xdr:col>
      <xdr:colOff>123825</xdr:colOff>
      <xdr:row>21</xdr:row>
      <xdr:rowOff>66676</xdr:rowOff>
    </xdr:from>
    <xdr:to>
      <xdr:col>20</xdr:col>
      <xdr:colOff>85725</xdr:colOff>
      <xdr:row>24</xdr:row>
      <xdr:rowOff>9526</xdr:rowOff>
    </xdr:to>
    <xdr:sp macro="" textlink="">
      <xdr:nvSpPr>
        <xdr:cNvPr id="10" name="四角形吹き出し 11">
          <a:extLst>
            <a:ext uri="{FF2B5EF4-FFF2-40B4-BE49-F238E27FC236}">
              <a16:creationId xmlns:a16="http://schemas.microsoft.com/office/drawing/2014/main" id="{EC1251DB-A5C5-956B-7537-2E3212B9D52E}"/>
            </a:ext>
          </a:extLst>
        </xdr:cNvPr>
        <xdr:cNvSpPr/>
      </xdr:nvSpPr>
      <xdr:spPr>
        <a:xfrm>
          <a:off x="2524125" y="3419476"/>
          <a:ext cx="1562100" cy="342900"/>
        </a:xfrm>
        <a:prstGeom prst="wedgeRectCallout">
          <a:avLst>
            <a:gd name="adj1" fmla="val -49605"/>
            <a:gd name="adj2" fmla="val -8217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口銭率は円販売でも表示する</a:t>
          </a:r>
          <a:endParaRPr kumimoji="1" lang="en-US" altLang="ja-JP" sz="800">
            <a:solidFill>
              <a:sysClr val="windowText" lastClr="000000"/>
            </a:solidFill>
          </a:endParaRPr>
        </a:p>
      </xdr:txBody>
    </xdr:sp>
    <xdr:clientData/>
  </xdr:two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6B4324E6-6753-49E8-AC60-70EC5452ACA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17824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77</xdr:row>
      <xdr:rowOff>152400</xdr:rowOff>
    </xdr:from>
    <xdr:to>
      <xdr:col>3</xdr:col>
      <xdr:colOff>28</xdr:colOff>
      <xdr:row>79</xdr:row>
      <xdr:rowOff>15269</xdr:rowOff>
    </xdr:to>
    <xdr:pic>
      <xdr:nvPicPr>
        <xdr:cNvPr id="30" name="図 29" descr="画面の領域">
          <a:extLst>
            <a:ext uri="{FF2B5EF4-FFF2-40B4-BE49-F238E27FC236}">
              <a16:creationId xmlns:a16="http://schemas.microsoft.com/office/drawing/2014/main" id="{58F31C2A-A6A6-405E-8D8A-2EDD6CBF3B2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31" name="図 30" descr="画面の領域">
          <a:extLst>
            <a:ext uri="{FF2B5EF4-FFF2-40B4-BE49-F238E27FC236}">
              <a16:creationId xmlns:a16="http://schemas.microsoft.com/office/drawing/2014/main" id="{678B2EA0-2138-4B82-8D87-2176D17B0FB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38</xdr:col>
      <xdr:colOff>0</xdr:colOff>
      <xdr:row>98</xdr:row>
      <xdr:rowOff>9502</xdr:rowOff>
    </xdr:from>
    <xdr:ext cx="219106" cy="161948"/>
    <xdr:pic>
      <xdr:nvPicPr>
        <xdr:cNvPr id="32" name="図 31" descr="画面の領域">
          <a:extLst>
            <a:ext uri="{FF2B5EF4-FFF2-40B4-BE49-F238E27FC236}">
              <a16:creationId xmlns:a16="http://schemas.microsoft.com/office/drawing/2014/main" id="{1E1824F7-A21D-4396-BBC6-5F152A3F1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99</xdr:row>
      <xdr:rowOff>9502</xdr:rowOff>
    </xdr:from>
    <xdr:ext cx="219106" cy="161948"/>
    <xdr:pic>
      <xdr:nvPicPr>
        <xdr:cNvPr id="33" name="図 32" descr="画面の領域">
          <a:extLst>
            <a:ext uri="{FF2B5EF4-FFF2-40B4-BE49-F238E27FC236}">
              <a16:creationId xmlns:a16="http://schemas.microsoft.com/office/drawing/2014/main" id="{0E50A762-839F-4E8E-B377-3F87C2E9085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6</xdr:col>
      <xdr:colOff>190500</xdr:colOff>
      <xdr:row>95</xdr:row>
      <xdr:rowOff>0</xdr:rowOff>
    </xdr:from>
    <xdr:ext cx="201083" cy="171450"/>
    <xdr:pic>
      <xdr:nvPicPr>
        <xdr:cNvPr id="34" name="図 33">
          <a:extLst>
            <a:ext uri="{FF2B5EF4-FFF2-40B4-BE49-F238E27FC236}">
              <a16:creationId xmlns:a16="http://schemas.microsoft.com/office/drawing/2014/main" id="{91FC4B96-76C6-14CF-F9B3-3201D9BA455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43</xdr:col>
      <xdr:colOff>38100</xdr:colOff>
      <xdr:row>92</xdr:row>
      <xdr:rowOff>15240</xdr:rowOff>
    </xdr:from>
    <xdr:to>
      <xdr:col>58</xdr:col>
      <xdr:colOff>76201</xdr:colOff>
      <xdr:row>96</xdr:row>
      <xdr:rowOff>91440</xdr:rowOff>
    </xdr:to>
    <xdr:sp macro="" textlink="">
      <xdr:nvSpPr>
        <xdr:cNvPr id="35" name="テキスト ボックス 34">
          <a:extLst>
            <a:ext uri="{FF2B5EF4-FFF2-40B4-BE49-F238E27FC236}">
              <a16:creationId xmlns:a16="http://schemas.microsoft.com/office/drawing/2014/main" id="{41C9DB2C-D907-7AE6-DC0A-B01D00E66CE7}"/>
            </a:ext>
          </a:extLst>
        </xdr:cNvPr>
        <xdr:cNvSpPr txBox="1"/>
      </xdr:nvSpPr>
      <xdr:spPr>
        <a:xfrm>
          <a:off x="8557260" y="13944600"/>
          <a:ext cx="3009901" cy="662940"/>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en-US" altLang="ja-JP" sz="900">
              <a:solidFill>
                <a:sysClr val="windowText" lastClr="000000"/>
              </a:solidFill>
            </a:rPr>
            <a:t>WF</a:t>
          </a:r>
          <a:r>
            <a:rPr kumimoji="1" lang="ja-JP" altLang="en-US" sz="900">
              <a:solidFill>
                <a:sysClr val="windowText" lastClr="000000"/>
              </a:solidFill>
            </a:rPr>
            <a:t>関連は汎用上申同等とする。</a:t>
          </a:r>
          <a:endParaRPr kumimoji="1" lang="en-US" altLang="ja-JP" sz="900">
            <a:solidFill>
              <a:sysClr val="windowText" lastClr="000000"/>
            </a:solidFill>
          </a:endParaRPr>
        </a:p>
        <a:p>
          <a:r>
            <a:rPr kumimoji="1" lang="ja-JP" altLang="en-US" sz="900">
              <a:solidFill>
                <a:sysClr val="windowText" lastClr="000000"/>
              </a:solidFill>
            </a:rPr>
            <a:t>承認者は最大</a:t>
          </a:r>
          <a:r>
            <a:rPr kumimoji="1" lang="en-US" altLang="ja-JP" sz="900">
              <a:solidFill>
                <a:sysClr val="windowText" lastClr="000000"/>
              </a:solidFill>
            </a:rPr>
            <a:t>30</a:t>
          </a:r>
          <a:r>
            <a:rPr kumimoji="1" lang="ja-JP" altLang="en-US" sz="900">
              <a:solidFill>
                <a:sysClr val="windowText" lastClr="000000"/>
              </a:solidFill>
            </a:rPr>
            <a:t>ノードまで、確認者数上限は無し。</a:t>
          </a:r>
          <a:endParaRPr kumimoji="1" lang="en-US" altLang="ja-JP" sz="900">
            <a:solidFill>
              <a:sysClr val="windowText" lastClr="000000"/>
            </a:solidFill>
          </a:endParaRPr>
        </a:p>
        <a:p>
          <a:r>
            <a:rPr kumimoji="1" lang="ja-JP" altLang="en-US" sz="900">
              <a:solidFill>
                <a:sysClr val="windowText" lastClr="000000"/>
              </a:solidFill>
            </a:rPr>
            <a:t>処理者には組織も指定可能</a:t>
          </a:r>
          <a:endParaRPr kumimoji="1" lang="en-US" altLang="ja-JP" sz="900">
            <a:solidFill>
              <a:sysClr val="windowText" lastClr="000000"/>
            </a:solidFill>
          </a:endParaRPr>
        </a:p>
      </xdr:txBody>
    </xdr:sp>
    <xdr:clientData/>
  </xdr:twoCellAnchor>
  <xdr:twoCellAnchor>
    <xdr:from>
      <xdr:col>23</xdr:col>
      <xdr:colOff>66675</xdr:colOff>
      <xdr:row>45</xdr:row>
      <xdr:rowOff>19050</xdr:rowOff>
    </xdr:from>
    <xdr:to>
      <xdr:col>37</xdr:col>
      <xdr:colOff>161925</xdr:colOff>
      <xdr:row>47</xdr:row>
      <xdr:rowOff>19050</xdr:rowOff>
    </xdr:to>
    <xdr:sp macro="" textlink="">
      <xdr:nvSpPr>
        <xdr:cNvPr id="38" name="テキスト ボックス 37">
          <a:extLst>
            <a:ext uri="{FF2B5EF4-FFF2-40B4-BE49-F238E27FC236}">
              <a16:creationId xmlns:a16="http://schemas.microsoft.com/office/drawing/2014/main" id="{B9228494-C759-48D4-BF67-B4F182F12F0C}"/>
            </a:ext>
          </a:extLst>
        </xdr:cNvPr>
        <xdr:cNvSpPr txBox="1"/>
      </xdr:nvSpPr>
      <xdr:spPr>
        <a:xfrm>
          <a:off x="4667250" y="6972300"/>
          <a:ext cx="2895600" cy="371475"/>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カスタム品の場合については外貨販売シートを参照</a:t>
          </a:r>
          <a:endParaRPr kumimoji="1" lang="en-US" altLang="ja-JP" sz="900">
            <a:solidFill>
              <a:sysClr val="windowText" lastClr="000000"/>
            </a:solidFill>
          </a:endParaRPr>
        </a:p>
      </xdr:txBody>
    </xdr:sp>
    <xdr:clientData/>
  </xdr:twoCellAnchor>
  <xdr:twoCellAnchor>
    <xdr:from>
      <xdr:col>42</xdr:col>
      <xdr:colOff>89535</xdr:colOff>
      <xdr:row>96</xdr:row>
      <xdr:rowOff>83820</xdr:rowOff>
    </xdr:from>
    <xdr:to>
      <xdr:col>51</xdr:col>
      <xdr:colOff>152400</xdr:colOff>
      <xdr:row>99</xdr:row>
      <xdr:rowOff>19050</xdr:rowOff>
    </xdr:to>
    <xdr:sp macro="" textlink="">
      <xdr:nvSpPr>
        <xdr:cNvPr id="12" name="四角形吹き出し 11">
          <a:extLst>
            <a:ext uri="{FF2B5EF4-FFF2-40B4-BE49-F238E27FC236}">
              <a16:creationId xmlns:a16="http://schemas.microsoft.com/office/drawing/2014/main" id="{5BDFAB28-19E6-0223-3C6B-7A6DA64CCDBD}"/>
            </a:ext>
          </a:extLst>
        </xdr:cNvPr>
        <xdr:cNvSpPr/>
      </xdr:nvSpPr>
      <xdr:spPr>
        <a:xfrm>
          <a:off x="8490585" y="13752195"/>
          <a:ext cx="1863090" cy="449580"/>
        </a:xfrm>
        <a:prstGeom prst="wedgeRectCallout">
          <a:avLst>
            <a:gd name="adj1" fmla="val -72459"/>
            <a:gd name="adj2" fmla="val 24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汎用上申では確認者は完了案件を参照出来るが同じ仕様とする</a:t>
          </a:r>
          <a:endParaRPr kumimoji="1" lang="en-US" altLang="ja-JP" sz="800">
            <a:solidFill>
              <a:sysClr val="windowText" lastClr="000000"/>
            </a:solidFill>
          </a:endParaRPr>
        </a:p>
      </xdr:txBody>
    </xdr:sp>
    <xdr:clientData/>
  </xdr:twoCellAnchor>
  <xdr:oneCellAnchor>
    <xdr:from>
      <xdr:col>15</xdr:col>
      <xdr:colOff>9525</xdr:colOff>
      <xdr:row>17</xdr:row>
      <xdr:rowOff>9525</xdr:rowOff>
    </xdr:from>
    <xdr:ext cx="201083" cy="171450"/>
    <xdr:pic>
      <xdr:nvPicPr>
        <xdr:cNvPr id="15" name="図 14">
          <a:extLst>
            <a:ext uri="{FF2B5EF4-FFF2-40B4-BE49-F238E27FC236}">
              <a16:creationId xmlns:a16="http://schemas.microsoft.com/office/drawing/2014/main" id="{047C44BF-A15F-CAF8-215B-9B58407085D8}"/>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908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23</xdr:col>
      <xdr:colOff>146684</xdr:colOff>
      <xdr:row>65</xdr:row>
      <xdr:rowOff>133349</xdr:rowOff>
    </xdr:from>
    <xdr:to>
      <xdr:col>44</xdr:col>
      <xdr:colOff>158115</xdr:colOff>
      <xdr:row>80</xdr:row>
      <xdr:rowOff>19050</xdr:rowOff>
    </xdr:to>
    <xdr:sp macro="" textlink="">
      <xdr:nvSpPr>
        <xdr:cNvPr id="17" name="テキスト ボックス 16">
          <a:extLst>
            <a:ext uri="{FF2B5EF4-FFF2-40B4-BE49-F238E27FC236}">
              <a16:creationId xmlns:a16="http://schemas.microsoft.com/office/drawing/2014/main" id="{727A13FC-9FE2-8287-0574-D9E060535063}"/>
            </a:ext>
          </a:extLst>
        </xdr:cNvPr>
        <xdr:cNvSpPr txBox="1"/>
      </xdr:nvSpPr>
      <xdr:spPr>
        <a:xfrm>
          <a:off x="4747259" y="10487024"/>
          <a:ext cx="4211956" cy="2114551"/>
        </a:xfrm>
        <a:prstGeom prst="rect">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kumimoji="1" lang="ja-JP" altLang="en-US" sz="900">
              <a:solidFill>
                <a:sysClr val="windowText" lastClr="000000"/>
              </a:solidFill>
            </a:rPr>
            <a:t>・明細欄の数値項目の仕様</a:t>
          </a:r>
        </a:p>
        <a:p>
          <a:r>
            <a:rPr kumimoji="1" lang="ja-JP" altLang="en-US" sz="900">
              <a:solidFill>
                <a:sysClr val="windowText" lastClr="000000"/>
              </a:solidFill>
            </a:rPr>
            <a:t>→金額欄は四捨五入して小数点第四位</a:t>
          </a:r>
          <a:endParaRPr kumimoji="1" lang="en-US" altLang="ja-JP" sz="900">
            <a:solidFill>
              <a:sysClr val="windowText" lastClr="000000"/>
            </a:solidFill>
          </a:endParaRPr>
        </a:p>
        <a:p>
          <a:r>
            <a:rPr kumimoji="1" lang="en-US" altLang="ja-JP" sz="900">
              <a:solidFill>
                <a:sysClr val="windowText" lastClr="000000"/>
              </a:solidFill>
            </a:rPr>
            <a:t>%</a:t>
          </a:r>
          <a:r>
            <a:rPr kumimoji="1" lang="ja-JP" altLang="en-US" sz="900">
              <a:solidFill>
                <a:sysClr val="windowText" lastClr="000000"/>
              </a:solidFill>
            </a:rPr>
            <a:t>は小数点第一位、数量は整数</a:t>
          </a:r>
        </a:p>
        <a:p>
          <a:endParaRPr kumimoji="1" lang="en-US" altLang="ja-JP" sz="900">
            <a:solidFill>
              <a:sysClr val="windowText" lastClr="000000"/>
            </a:solidFill>
          </a:endParaRPr>
        </a:p>
        <a:p>
          <a:r>
            <a:rPr kumimoji="1" lang="ja-JP" altLang="en-US" sz="900">
              <a:solidFill>
                <a:sysClr val="windowText" lastClr="000000"/>
              </a:solidFill>
            </a:rPr>
            <a:t>・小計、合計欄の数値項目の仕様</a:t>
          </a:r>
          <a:endParaRPr kumimoji="1" lang="en-US" altLang="ja-JP" sz="900">
            <a:solidFill>
              <a:sysClr val="windowText" lastClr="000000"/>
            </a:solidFill>
          </a:endParaRPr>
        </a:p>
        <a:p>
          <a:r>
            <a:rPr kumimoji="1" lang="ja-JP" altLang="en-US" sz="900" b="0">
              <a:solidFill>
                <a:sysClr val="windowText" lastClr="000000"/>
              </a:solidFill>
            </a:rPr>
            <a:t>→円販売の金額欄は四捨五入して整数。外貨は小数点第二位。</a:t>
          </a:r>
          <a:endParaRPr kumimoji="1" lang="en-US" altLang="ja-JP" sz="900" b="0">
            <a:solidFill>
              <a:sysClr val="windowText" lastClr="000000"/>
            </a:solidFill>
          </a:endParaRPr>
        </a:p>
        <a:p>
          <a:r>
            <a:rPr kumimoji="1" lang="en-US" altLang="ja-JP" sz="900" b="0">
              <a:solidFill>
                <a:sysClr val="windowText" lastClr="000000"/>
              </a:solidFill>
            </a:rPr>
            <a:t>%</a:t>
          </a:r>
          <a:r>
            <a:rPr kumimoji="1" lang="ja-JP" altLang="en-US" sz="900" b="0">
              <a:solidFill>
                <a:sysClr val="windowText" lastClr="000000"/>
              </a:solidFill>
            </a:rPr>
            <a:t>は小数点第一位、数量は整数</a:t>
          </a:r>
          <a:endParaRPr kumimoji="1" lang="en-US" altLang="ja-JP" sz="900" b="0">
            <a:solidFill>
              <a:sysClr val="windowText" lastClr="000000"/>
            </a:solidFill>
          </a:endParaRPr>
        </a:p>
        <a:p>
          <a:endParaRPr kumimoji="1" lang="en-US" altLang="ja-JP" sz="900">
            <a:solidFill>
              <a:srgbClr val="FF0000"/>
            </a:solidFill>
          </a:endParaRPr>
        </a:p>
        <a:p>
          <a:r>
            <a:rPr kumimoji="1" lang="en-US" altLang="ja-JP" sz="900">
              <a:solidFill>
                <a:sysClr val="windowText" lastClr="000000"/>
              </a:solidFill>
            </a:rPr>
            <a:t>【</a:t>
          </a:r>
          <a:r>
            <a:rPr kumimoji="1" lang="ja-JP" altLang="en-US" sz="900">
              <a:solidFill>
                <a:sysClr val="windowText" lastClr="000000"/>
              </a:solidFill>
            </a:rPr>
            <a:t>承認者確認用欄の色付け仕様</a:t>
          </a:r>
          <a:r>
            <a:rPr kumimoji="1" lang="en-US" altLang="ja-JP" sz="900">
              <a:solidFill>
                <a:sysClr val="windowText" lastClr="000000"/>
              </a:solidFill>
            </a:rPr>
            <a:t>】</a:t>
          </a:r>
        </a:p>
        <a:p>
          <a:r>
            <a:rPr kumimoji="1" lang="ja-JP" altLang="en-US" sz="900">
              <a:solidFill>
                <a:sysClr val="windowText" lastClr="000000"/>
              </a:solidFill>
            </a:rPr>
            <a:t>・貢献率、</a:t>
          </a:r>
          <a:r>
            <a:rPr kumimoji="1" lang="ja-JP" altLang="en-US" sz="900">
              <a:solidFill>
                <a:srgbClr val="FF0000"/>
              </a:solidFill>
            </a:rPr>
            <a:t>国内収益性、連結収益性</a:t>
          </a:r>
          <a:r>
            <a:rPr kumimoji="1" lang="ja-JP" altLang="en-US" sz="900">
              <a:solidFill>
                <a:sysClr val="windowText" lastClr="000000"/>
              </a:solidFill>
            </a:rPr>
            <a:t>：</a:t>
          </a:r>
          <a:r>
            <a:rPr kumimoji="1" lang="en-US" altLang="ja-JP" sz="900">
              <a:solidFill>
                <a:sysClr val="windowText" lastClr="000000"/>
              </a:solidFill>
            </a:rPr>
            <a:t>30%</a:t>
          </a:r>
          <a:r>
            <a:rPr kumimoji="1" lang="ja-JP" altLang="en-US" sz="900">
              <a:solidFill>
                <a:sysClr val="windowText" lastClr="000000"/>
              </a:solidFill>
            </a:rPr>
            <a:t>未満赤字</a:t>
          </a:r>
          <a:endParaRPr kumimoji="1" lang="en-US" altLang="ja-JP" sz="900">
            <a:solidFill>
              <a:sysClr val="windowText" lastClr="000000"/>
            </a:solidFill>
          </a:endParaRPr>
        </a:p>
        <a:p>
          <a:r>
            <a:rPr kumimoji="1" lang="ja-JP" altLang="en-US" sz="900">
              <a:solidFill>
                <a:sysClr val="windowText" lastClr="000000"/>
              </a:solidFill>
            </a:rPr>
            <a:t>・貢献率以外の</a:t>
          </a:r>
          <a:r>
            <a:rPr kumimoji="1" lang="en-US" altLang="ja-JP" sz="900">
              <a:solidFill>
                <a:sysClr val="windowText" lastClr="000000"/>
              </a:solidFill>
            </a:rPr>
            <a:t>%</a:t>
          </a:r>
          <a:r>
            <a:rPr kumimoji="1" lang="ja-JP" altLang="en-US" sz="900">
              <a:solidFill>
                <a:sysClr val="windowText" lastClr="000000"/>
              </a:solidFill>
            </a:rPr>
            <a:t>表示項目は、マイナスの場合赤字</a:t>
          </a:r>
          <a:endParaRPr kumimoji="1" lang="en-US" altLang="ja-JP" sz="900">
            <a:solidFill>
              <a:sysClr val="windowText" lastClr="000000"/>
            </a:solidFill>
          </a:endParaRPr>
        </a:p>
        <a:p>
          <a:r>
            <a:rPr kumimoji="1" lang="ja-JP" altLang="en-US" sz="900">
              <a:solidFill>
                <a:sysClr val="windowText" lastClr="000000"/>
              </a:solidFill>
            </a:rPr>
            <a:t>・数値項目はマイナスの場合赤字</a:t>
          </a:r>
          <a:endParaRPr kumimoji="1" lang="en-US" altLang="ja-JP" sz="900" b="1">
            <a:solidFill>
              <a:sysClr val="windowText" lastClr="000000"/>
            </a:solidFill>
          </a:endParaRPr>
        </a:p>
        <a:p>
          <a:endParaRPr kumimoji="1" lang="en-US" altLang="ja-JP" sz="900">
            <a:solidFill>
              <a:srgbClr val="FF0000"/>
            </a:solidFill>
          </a:endParaRPr>
        </a:p>
        <a:p>
          <a:endParaRPr kumimoji="1" lang="en-US" altLang="ja-JP" sz="900">
            <a:solidFill>
              <a:srgbClr val="FF0000"/>
            </a:solidFill>
          </a:endParaRPr>
        </a:p>
      </xdr:txBody>
    </xdr:sp>
    <xdr:clientData/>
  </xdr:twoCellAnchor>
  <xdr:twoCellAnchor>
    <xdr:from>
      <xdr:col>20</xdr:col>
      <xdr:colOff>171450</xdr:colOff>
      <xdr:row>35</xdr:row>
      <xdr:rowOff>85725</xdr:rowOff>
    </xdr:from>
    <xdr:to>
      <xdr:col>27</xdr:col>
      <xdr:colOff>85725</xdr:colOff>
      <xdr:row>36</xdr:row>
      <xdr:rowOff>161924</xdr:rowOff>
    </xdr:to>
    <xdr:sp macro="" textlink="">
      <xdr:nvSpPr>
        <xdr:cNvPr id="4" name="四角形吹き出し 11">
          <a:extLst>
            <a:ext uri="{FF2B5EF4-FFF2-40B4-BE49-F238E27FC236}">
              <a16:creationId xmlns:a16="http://schemas.microsoft.com/office/drawing/2014/main" id="{B42CFB17-CB6A-412B-C957-3DAAB6EB37F0}"/>
            </a:ext>
          </a:extLst>
        </xdr:cNvPr>
        <xdr:cNvSpPr/>
      </xdr:nvSpPr>
      <xdr:spPr>
        <a:xfrm>
          <a:off x="4171950" y="5610225"/>
          <a:ext cx="1314450" cy="247649"/>
        </a:xfrm>
        <a:prstGeom prst="wedgeRectCallout">
          <a:avLst>
            <a:gd name="adj1" fmla="val -68555"/>
            <a:gd name="adj2" fmla="val 1028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エラーメッセージ。現行まま</a:t>
          </a:r>
          <a:endParaRPr kumimoji="1" lang="en-US" altLang="ja-JP" sz="800">
            <a:solidFill>
              <a:sysClr val="windowText" lastClr="000000"/>
            </a:solidFill>
          </a:endParaRPr>
        </a:p>
      </xdr:txBody>
    </xdr:sp>
    <xdr:clientData/>
  </xdr:twoCellAnchor>
  <xdr:oneCellAnchor>
    <xdr:from>
      <xdr:col>15</xdr:col>
      <xdr:colOff>0</xdr:colOff>
      <xdr:row>80</xdr:row>
      <xdr:rowOff>47625</xdr:rowOff>
    </xdr:from>
    <xdr:ext cx="201083" cy="171450"/>
    <xdr:pic>
      <xdr:nvPicPr>
        <xdr:cNvPr id="3" name="図 2">
          <a:extLst>
            <a:ext uri="{FF2B5EF4-FFF2-40B4-BE49-F238E27FC236}">
              <a16:creationId xmlns:a16="http://schemas.microsoft.com/office/drawing/2014/main" id="{DF77AD2F-2B58-DA2B-4B3F-69DC6E59544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01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50</xdr:row>
      <xdr:rowOff>57150</xdr:rowOff>
    </xdr:from>
    <xdr:to>
      <xdr:col>11</xdr:col>
      <xdr:colOff>114300</xdr:colOff>
      <xdr:row>51</xdr:row>
      <xdr:rowOff>142875</xdr:rowOff>
    </xdr:to>
    <xdr:sp macro="" textlink="">
      <xdr:nvSpPr>
        <xdr:cNvPr id="8" name="正方形/長方形 7">
          <a:extLst>
            <a:ext uri="{FF2B5EF4-FFF2-40B4-BE49-F238E27FC236}">
              <a16:creationId xmlns:a16="http://schemas.microsoft.com/office/drawing/2014/main" id="{91C22224-25D3-4FD6-8F05-999701825B5C}"/>
            </a:ext>
          </a:extLst>
        </xdr:cNvPr>
        <xdr:cNvSpPr/>
      </xdr:nvSpPr>
      <xdr:spPr>
        <a:xfrm>
          <a:off x="1524000" y="80676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9</xdr:col>
      <xdr:colOff>0</xdr:colOff>
      <xdr:row>102</xdr:row>
      <xdr:rowOff>0</xdr:rowOff>
    </xdr:from>
    <xdr:to>
      <xdr:col>16</xdr:col>
      <xdr:colOff>0</xdr:colOff>
      <xdr:row>104</xdr:row>
      <xdr:rowOff>0</xdr:rowOff>
    </xdr:to>
    <xdr:sp macro="" textlink="">
      <xdr:nvSpPr>
        <xdr:cNvPr id="9" name="正方形/長方形 8">
          <a:extLst>
            <a:ext uri="{FF2B5EF4-FFF2-40B4-BE49-F238E27FC236}">
              <a16:creationId xmlns:a16="http://schemas.microsoft.com/office/drawing/2014/main" id="{2112D696-CB67-FBAA-D0E5-C4F2AB24B2BB}"/>
            </a:ext>
          </a:extLst>
        </xdr:cNvPr>
        <xdr:cNvSpPr/>
      </xdr:nvSpPr>
      <xdr:spPr>
        <a:xfrm>
          <a:off x="1800225" y="154400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印刷</a:t>
          </a:r>
        </a:p>
      </xdr:txBody>
    </xdr:sp>
    <xdr:clientData/>
  </xdr:twoCellAnchor>
  <xdr:twoCellAnchor>
    <xdr:from>
      <xdr:col>9</xdr:col>
      <xdr:colOff>80010</xdr:colOff>
      <xdr:row>105</xdr:row>
      <xdr:rowOff>83820</xdr:rowOff>
    </xdr:from>
    <xdr:to>
      <xdr:col>18</xdr:col>
      <xdr:colOff>142875</xdr:colOff>
      <xdr:row>108</xdr:row>
      <xdr:rowOff>19050</xdr:rowOff>
    </xdr:to>
    <xdr:sp macro="" textlink="">
      <xdr:nvSpPr>
        <xdr:cNvPr id="11" name="四角形吹き出し 11">
          <a:extLst>
            <a:ext uri="{FF2B5EF4-FFF2-40B4-BE49-F238E27FC236}">
              <a16:creationId xmlns:a16="http://schemas.microsoft.com/office/drawing/2014/main" id="{588652E2-2A48-FB82-9577-7F8DEFD36776}"/>
            </a:ext>
          </a:extLst>
        </xdr:cNvPr>
        <xdr:cNvSpPr/>
      </xdr:nvSpPr>
      <xdr:spPr>
        <a:xfrm>
          <a:off x="1880235" y="16038195"/>
          <a:ext cx="1863090" cy="449580"/>
        </a:xfrm>
        <a:prstGeom prst="wedgeRectCallout">
          <a:avLst>
            <a:gd name="adj1" fmla="val -41784"/>
            <a:gd name="adj2" fmla="val -9933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rgbClr val="FF0000"/>
              </a:solidFill>
            </a:rPr>
            <a:t>申請、承認グリッド除いた全体を</a:t>
          </a:r>
          <a:r>
            <a:rPr kumimoji="1" lang="en-US" altLang="ja-JP" sz="800">
              <a:solidFill>
                <a:srgbClr val="FF0000"/>
              </a:solidFill>
            </a:rPr>
            <a:t>A4</a:t>
          </a:r>
          <a:r>
            <a:rPr kumimoji="1" lang="ja-JP" altLang="en-US" sz="800">
              <a:solidFill>
                <a:srgbClr val="FF0000"/>
              </a:solidFill>
            </a:rPr>
            <a:t>、</a:t>
          </a:r>
          <a:endParaRPr kumimoji="1" lang="en-US" altLang="ja-JP" sz="800">
            <a:solidFill>
              <a:srgbClr val="FF0000"/>
            </a:solidFill>
          </a:endParaRPr>
        </a:p>
        <a:p>
          <a:pPr algn="l">
            <a:lnSpc>
              <a:spcPts val="900"/>
            </a:lnSpc>
          </a:pPr>
          <a:r>
            <a:rPr kumimoji="1" lang="ja-JP" altLang="en-US" sz="800">
              <a:solidFill>
                <a:srgbClr val="FF0000"/>
              </a:solidFill>
            </a:rPr>
            <a:t>承認グリッドを</a:t>
          </a:r>
          <a:r>
            <a:rPr kumimoji="1" lang="en-US" altLang="ja-JP" sz="800">
              <a:solidFill>
                <a:srgbClr val="FF0000"/>
              </a:solidFill>
            </a:rPr>
            <a:t>A3</a:t>
          </a:r>
          <a:r>
            <a:rPr kumimoji="1" lang="ja-JP" altLang="en-US" sz="800">
              <a:solidFill>
                <a:srgbClr val="FF0000"/>
              </a:solidFill>
            </a:rPr>
            <a:t>横で出力する。</a:t>
          </a:r>
          <a:endParaRPr kumimoji="1" lang="en-US" altLang="ja-JP" sz="800">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102</xdr:row>
      <xdr:rowOff>0</xdr:rowOff>
    </xdr:from>
    <xdr:to>
      <xdr:col>22</xdr:col>
      <xdr:colOff>0</xdr:colOff>
      <xdr:row>104</xdr:row>
      <xdr:rowOff>0</xdr:rowOff>
    </xdr:to>
    <xdr:sp macro="" textlink="">
      <xdr:nvSpPr>
        <xdr:cNvPr id="2" name="正方形/長方形 1">
          <a:extLst>
            <a:ext uri="{FF2B5EF4-FFF2-40B4-BE49-F238E27FC236}">
              <a16:creationId xmlns:a16="http://schemas.microsoft.com/office/drawing/2014/main" id="{8150C595-2F30-4EDC-80DA-4F6018BE7CAA}"/>
            </a:ext>
          </a:extLst>
        </xdr:cNvPr>
        <xdr:cNvSpPr/>
      </xdr:nvSpPr>
      <xdr:spPr>
        <a:xfrm>
          <a:off x="30003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102</xdr:row>
      <xdr:rowOff>0</xdr:rowOff>
    </xdr:from>
    <xdr:to>
      <xdr:col>30</xdr:col>
      <xdr:colOff>0</xdr:colOff>
      <xdr:row>104</xdr:row>
      <xdr:rowOff>0</xdr:rowOff>
    </xdr:to>
    <xdr:sp macro="" textlink="">
      <xdr:nvSpPr>
        <xdr:cNvPr id="3" name="正方形/長方形 2">
          <a:extLst>
            <a:ext uri="{FF2B5EF4-FFF2-40B4-BE49-F238E27FC236}">
              <a16:creationId xmlns:a16="http://schemas.microsoft.com/office/drawing/2014/main" id="{7E5FE1E6-EB77-4569-945E-0396D3B350EB}"/>
            </a:ext>
          </a:extLst>
        </xdr:cNvPr>
        <xdr:cNvSpPr/>
      </xdr:nvSpPr>
      <xdr:spPr>
        <a:xfrm>
          <a:off x="46005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102</xdr:row>
      <xdr:rowOff>0</xdr:rowOff>
    </xdr:from>
    <xdr:to>
      <xdr:col>38</xdr:col>
      <xdr:colOff>0</xdr:colOff>
      <xdr:row>104</xdr:row>
      <xdr:rowOff>0</xdr:rowOff>
    </xdr:to>
    <xdr:sp macro="" textlink="">
      <xdr:nvSpPr>
        <xdr:cNvPr id="4" name="正方形/長方形 3">
          <a:extLst>
            <a:ext uri="{FF2B5EF4-FFF2-40B4-BE49-F238E27FC236}">
              <a16:creationId xmlns:a16="http://schemas.microsoft.com/office/drawing/2014/main" id="{8CBAB78A-0063-4052-89DA-BB397818DDCC}"/>
            </a:ext>
          </a:extLst>
        </xdr:cNvPr>
        <xdr:cNvSpPr/>
      </xdr:nvSpPr>
      <xdr:spPr>
        <a:xfrm>
          <a:off x="6200775" y="1206817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8039612-52F5-4FB1-8A57-6795F1BD806E}"/>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35F1C2D6-84E9-43A4-A829-2027ED86B1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49</xdr:row>
      <xdr:rowOff>85725</xdr:rowOff>
    </xdr:from>
    <xdr:to>
      <xdr:col>7</xdr:col>
      <xdr:colOff>0</xdr:colOff>
      <xdr:row>51</xdr:row>
      <xdr:rowOff>0</xdr:rowOff>
    </xdr:to>
    <xdr:sp macro="" textlink="">
      <xdr:nvSpPr>
        <xdr:cNvPr id="7" name="正方形/長方形 6">
          <a:extLst>
            <a:ext uri="{FF2B5EF4-FFF2-40B4-BE49-F238E27FC236}">
              <a16:creationId xmlns:a16="http://schemas.microsoft.com/office/drawing/2014/main" id="{AD4C4C06-75EE-4A05-8D0B-E01FF3CBDF2C}"/>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17" name="図 16">
          <a:extLst>
            <a:ext uri="{FF2B5EF4-FFF2-40B4-BE49-F238E27FC236}">
              <a16:creationId xmlns:a16="http://schemas.microsoft.com/office/drawing/2014/main" id="{657A8C20-A58D-4511-BC67-AA7DB2B5A7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06D9E62F-BD12-4A50-8412-FD88973F689C}"/>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66</xdr:row>
      <xdr:rowOff>85725</xdr:rowOff>
    </xdr:from>
    <xdr:to>
      <xdr:col>7</xdr:col>
      <xdr:colOff>0</xdr:colOff>
      <xdr:row>68</xdr:row>
      <xdr:rowOff>0</xdr:rowOff>
    </xdr:to>
    <xdr:sp macro="" textlink="">
      <xdr:nvSpPr>
        <xdr:cNvPr id="21" name="正方形/長方形 20">
          <a:extLst>
            <a:ext uri="{FF2B5EF4-FFF2-40B4-BE49-F238E27FC236}">
              <a16:creationId xmlns:a16="http://schemas.microsoft.com/office/drawing/2014/main" id="{5DBC6DD7-7DC1-4AC5-8D6E-3B75CEA2FF3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72</xdr:row>
      <xdr:rowOff>0</xdr:rowOff>
    </xdr:from>
    <xdr:to>
      <xdr:col>8</xdr:col>
      <xdr:colOff>43669</xdr:colOff>
      <xdr:row>73</xdr:row>
      <xdr:rowOff>0</xdr:rowOff>
    </xdr:to>
    <xdr:sp macro="" textlink="">
      <xdr:nvSpPr>
        <xdr:cNvPr id="22" name="正方形/長方形 21">
          <a:extLst>
            <a:ext uri="{FF2B5EF4-FFF2-40B4-BE49-F238E27FC236}">
              <a16:creationId xmlns:a16="http://schemas.microsoft.com/office/drawing/2014/main" id="{6FA3065E-AF76-4BB7-BDA4-8AF60DE73DEF}"/>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72</xdr:row>
      <xdr:rowOff>0</xdr:rowOff>
    </xdr:from>
    <xdr:to>
      <xdr:col>12</xdr:col>
      <xdr:colOff>0</xdr:colOff>
      <xdr:row>73</xdr:row>
      <xdr:rowOff>0</xdr:rowOff>
    </xdr:to>
    <xdr:sp macro="" textlink="">
      <xdr:nvSpPr>
        <xdr:cNvPr id="23" name="正方形/長方形 22">
          <a:extLst>
            <a:ext uri="{FF2B5EF4-FFF2-40B4-BE49-F238E27FC236}">
              <a16:creationId xmlns:a16="http://schemas.microsoft.com/office/drawing/2014/main" id="{6775DC0F-A953-45CD-88AF-A6C03976D035}"/>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74</xdr:row>
      <xdr:rowOff>9502</xdr:rowOff>
    </xdr:from>
    <xdr:ext cx="219106" cy="161948"/>
    <xdr:pic>
      <xdr:nvPicPr>
        <xdr:cNvPr id="24" name="図 23" descr="画面の領域">
          <a:extLst>
            <a:ext uri="{FF2B5EF4-FFF2-40B4-BE49-F238E27FC236}">
              <a16:creationId xmlns:a16="http://schemas.microsoft.com/office/drawing/2014/main" id="{56E36ABB-B079-4A5F-9E83-22C14CE7D6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200525" y="11334727"/>
          <a:ext cx="219106" cy="161948"/>
        </a:xfrm>
        <a:prstGeom prst="rect">
          <a:avLst/>
        </a:prstGeom>
      </xdr:spPr>
    </xdr:pic>
    <xdr:clientData/>
  </xdr:oneCellAnchor>
  <xdr:twoCellAnchor editAs="oneCell">
    <xdr:from>
      <xdr:col>2</xdr:col>
      <xdr:colOff>0</xdr:colOff>
      <xdr:row>77</xdr:row>
      <xdr:rowOff>152400</xdr:rowOff>
    </xdr:from>
    <xdr:to>
      <xdr:col>2</xdr:col>
      <xdr:colOff>198148</xdr:colOff>
      <xdr:row>79</xdr:row>
      <xdr:rowOff>15269</xdr:rowOff>
    </xdr:to>
    <xdr:pic>
      <xdr:nvPicPr>
        <xdr:cNvPr id="11" name="図 10" descr="画面の領域">
          <a:extLst>
            <a:ext uri="{FF2B5EF4-FFF2-40B4-BE49-F238E27FC236}">
              <a16:creationId xmlns:a16="http://schemas.microsoft.com/office/drawing/2014/main" id="{DDF5E072-3E1B-4D2B-8060-2E526153774F}"/>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97</xdr:row>
      <xdr:rowOff>9502</xdr:rowOff>
    </xdr:from>
    <xdr:ext cx="219106" cy="161948"/>
    <xdr:pic>
      <xdr:nvPicPr>
        <xdr:cNvPr id="12" name="図 11" descr="画面の領域">
          <a:extLst>
            <a:ext uri="{FF2B5EF4-FFF2-40B4-BE49-F238E27FC236}">
              <a16:creationId xmlns:a16="http://schemas.microsoft.com/office/drawing/2014/main" id="{BA00205C-7BC4-4A5A-B31C-0B4A7FA043F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98</xdr:row>
      <xdr:rowOff>9502</xdr:rowOff>
    </xdr:from>
    <xdr:ext cx="219106" cy="161948"/>
    <xdr:pic>
      <xdr:nvPicPr>
        <xdr:cNvPr id="13" name="図 12" descr="画面の領域">
          <a:extLst>
            <a:ext uri="{FF2B5EF4-FFF2-40B4-BE49-F238E27FC236}">
              <a16:creationId xmlns:a16="http://schemas.microsoft.com/office/drawing/2014/main" id="{0BF6693D-FB2C-4C9B-AE95-B213233FF6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99</xdr:row>
      <xdr:rowOff>9502</xdr:rowOff>
    </xdr:from>
    <xdr:ext cx="219106" cy="161948"/>
    <xdr:pic>
      <xdr:nvPicPr>
        <xdr:cNvPr id="14" name="図 13" descr="画面の領域">
          <a:extLst>
            <a:ext uri="{FF2B5EF4-FFF2-40B4-BE49-F238E27FC236}">
              <a16:creationId xmlns:a16="http://schemas.microsoft.com/office/drawing/2014/main" id="{68BAB11D-C04D-454C-859F-DB31F9D958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95</xdr:row>
      <xdr:rowOff>0</xdr:rowOff>
    </xdr:from>
    <xdr:ext cx="201083" cy="171450"/>
    <xdr:pic>
      <xdr:nvPicPr>
        <xdr:cNvPr id="15" name="図 14">
          <a:extLst>
            <a:ext uri="{FF2B5EF4-FFF2-40B4-BE49-F238E27FC236}">
              <a16:creationId xmlns:a16="http://schemas.microsoft.com/office/drawing/2014/main" id="{020EA3C4-7F6B-477B-9F03-EB8E87085CC4}"/>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9525</xdr:colOff>
      <xdr:row>17</xdr:row>
      <xdr:rowOff>0</xdr:rowOff>
    </xdr:from>
    <xdr:ext cx="201083" cy="171450"/>
    <xdr:pic>
      <xdr:nvPicPr>
        <xdr:cNvPr id="10" name="図 9">
          <a:extLst>
            <a:ext uri="{FF2B5EF4-FFF2-40B4-BE49-F238E27FC236}">
              <a16:creationId xmlns:a16="http://schemas.microsoft.com/office/drawing/2014/main" id="{4D1FC5A6-DB48-4A0B-BDFC-07A466ED2C1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9900"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87</xdr:row>
      <xdr:rowOff>0</xdr:rowOff>
    </xdr:from>
    <xdr:ext cx="201083" cy="171450"/>
    <xdr:pic>
      <xdr:nvPicPr>
        <xdr:cNvPr id="19" name="図 18">
          <a:extLst>
            <a:ext uri="{FF2B5EF4-FFF2-40B4-BE49-F238E27FC236}">
              <a16:creationId xmlns:a16="http://schemas.microsoft.com/office/drawing/2014/main" id="{AF8A48F3-3BEF-4AD8-B46E-5F2303F4E999}"/>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81</xdr:row>
      <xdr:rowOff>19050</xdr:rowOff>
    </xdr:from>
    <xdr:ext cx="201083" cy="171450"/>
    <xdr:pic>
      <xdr:nvPicPr>
        <xdr:cNvPr id="20" name="図 19">
          <a:extLst>
            <a:ext uri="{FF2B5EF4-FFF2-40B4-BE49-F238E27FC236}">
              <a16:creationId xmlns:a16="http://schemas.microsoft.com/office/drawing/2014/main" id="{C1FE2133-43C9-D717-D70A-F6002ECCB91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5872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49</xdr:row>
      <xdr:rowOff>95250</xdr:rowOff>
    </xdr:from>
    <xdr:to>
      <xdr:col>11</xdr:col>
      <xdr:colOff>85725</xdr:colOff>
      <xdr:row>51</xdr:row>
      <xdr:rowOff>9525</xdr:rowOff>
    </xdr:to>
    <xdr:sp macro="" textlink="">
      <xdr:nvSpPr>
        <xdr:cNvPr id="8" name="正方形/長方形 7">
          <a:extLst>
            <a:ext uri="{FF2B5EF4-FFF2-40B4-BE49-F238E27FC236}">
              <a16:creationId xmlns:a16="http://schemas.microsoft.com/office/drawing/2014/main" id="{20B53DD6-3696-47AD-8CC3-5D5BF0B569C4}"/>
            </a:ext>
          </a:extLst>
        </xdr:cNvPr>
        <xdr:cNvSpPr/>
      </xdr:nvSpPr>
      <xdr:spPr>
        <a:xfrm>
          <a:off x="1495425" y="79343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112</xdr:row>
      <xdr:rowOff>0</xdr:rowOff>
    </xdr:from>
    <xdr:to>
      <xdr:col>22</xdr:col>
      <xdr:colOff>0</xdr:colOff>
      <xdr:row>114</xdr:row>
      <xdr:rowOff>0</xdr:rowOff>
    </xdr:to>
    <xdr:sp macro="" textlink="">
      <xdr:nvSpPr>
        <xdr:cNvPr id="2" name="正方形/長方形 1">
          <a:extLst>
            <a:ext uri="{FF2B5EF4-FFF2-40B4-BE49-F238E27FC236}">
              <a16:creationId xmlns:a16="http://schemas.microsoft.com/office/drawing/2014/main" id="{2A00E30D-0DC8-4BD1-9728-EE0E386DE2AA}"/>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112</xdr:row>
      <xdr:rowOff>0</xdr:rowOff>
    </xdr:from>
    <xdr:to>
      <xdr:col>30</xdr:col>
      <xdr:colOff>0</xdr:colOff>
      <xdr:row>114</xdr:row>
      <xdr:rowOff>0</xdr:rowOff>
    </xdr:to>
    <xdr:sp macro="" textlink="">
      <xdr:nvSpPr>
        <xdr:cNvPr id="3" name="正方形/長方形 2">
          <a:extLst>
            <a:ext uri="{FF2B5EF4-FFF2-40B4-BE49-F238E27FC236}">
              <a16:creationId xmlns:a16="http://schemas.microsoft.com/office/drawing/2014/main" id="{E0221C57-125E-4629-AF91-EBA5CD92E756}"/>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112</xdr:row>
      <xdr:rowOff>0</xdr:rowOff>
    </xdr:from>
    <xdr:to>
      <xdr:col>38</xdr:col>
      <xdr:colOff>0</xdr:colOff>
      <xdr:row>114</xdr:row>
      <xdr:rowOff>0</xdr:rowOff>
    </xdr:to>
    <xdr:sp macro="" textlink="">
      <xdr:nvSpPr>
        <xdr:cNvPr id="4" name="正方形/長方形 3">
          <a:extLst>
            <a:ext uri="{FF2B5EF4-FFF2-40B4-BE49-F238E27FC236}">
              <a16:creationId xmlns:a16="http://schemas.microsoft.com/office/drawing/2014/main" id="{2F3F7596-EB19-49F2-9C36-E0D3F5BC74E7}"/>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9DFD6481-CF0F-40D4-B990-9400740E44C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7EFBD6D3-E51E-47E4-B087-D10B4C8DD18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57</xdr:row>
      <xdr:rowOff>85725</xdr:rowOff>
    </xdr:from>
    <xdr:to>
      <xdr:col>7</xdr:col>
      <xdr:colOff>0</xdr:colOff>
      <xdr:row>59</xdr:row>
      <xdr:rowOff>0</xdr:rowOff>
    </xdr:to>
    <xdr:sp macro="" textlink="">
      <xdr:nvSpPr>
        <xdr:cNvPr id="7" name="正方形/長方形 6">
          <a:extLst>
            <a:ext uri="{FF2B5EF4-FFF2-40B4-BE49-F238E27FC236}">
              <a16:creationId xmlns:a16="http://schemas.microsoft.com/office/drawing/2014/main" id="{98FB9266-BCED-49BF-B7B8-2073567FACC0}"/>
            </a:ext>
          </a:extLst>
        </xdr:cNvPr>
        <xdr:cNvSpPr/>
      </xdr:nvSpPr>
      <xdr:spPr>
        <a:xfrm>
          <a:off x="609600" y="80962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49</xdr:col>
      <xdr:colOff>0</xdr:colOff>
      <xdr:row>26</xdr:row>
      <xdr:rowOff>0</xdr:rowOff>
    </xdr:from>
    <xdr:ext cx="201083" cy="171450"/>
    <xdr:pic>
      <xdr:nvPicPr>
        <xdr:cNvPr id="8" name="図 7">
          <a:extLst>
            <a:ext uri="{FF2B5EF4-FFF2-40B4-BE49-F238E27FC236}">
              <a16:creationId xmlns:a16="http://schemas.microsoft.com/office/drawing/2014/main" id="{6F31A2A4-7A42-4052-81FE-50EE00C2173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801225"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9" name="図 8">
          <a:extLst>
            <a:ext uri="{FF2B5EF4-FFF2-40B4-BE49-F238E27FC236}">
              <a16:creationId xmlns:a16="http://schemas.microsoft.com/office/drawing/2014/main" id="{80191F83-C95E-4388-9141-12847AC82EA5}"/>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9525</xdr:colOff>
      <xdr:row>76</xdr:row>
      <xdr:rowOff>85725</xdr:rowOff>
    </xdr:from>
    <xdr:to>
      <xdr:col>7</xdr:col>
      <xdr:colOff>0</xdr:colOff>
      <xdr:row>78</xdr:row>
      <xdr:rowOff>0</xdr:rowOff>
    </xdr:to>
    <xdr:sp macro="" textlink="">
      <xdr:nvSpPr>
        <xdr:cNvPr id="10" name="正方形/長方形 9">
          <a:extLst>
            <a:ext uri="{FF2B5EF4-FFF2-40B4-BE49-F238E27FC236}">
              <a16:creationId xmlns:a16="http://schemas.microsoft.com/office/drawing/2014/main" id="{5864711D-6326-429B-BE55-1DF3825F8620}"/>
            </a:ext>
          </a:extLst>
        </xdr:cNvPr>
        <xdr:cNvSpPr/>
      </xdr:nvSpPr>
      <xdr:spPr>
        <a:xfrm>
          <a:off x="609600" y="1026795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82</xdr:row>
      <xdr:rowOff>0</xdr:rowOff>
    </xdr:from>
    <xdr:to>
      <xdr:col>8</xdr:col>
      <xdr:colOff>43669</xdr:colOff>
      <xdr:row>83</xdr:row>
      <xdr:rowOff>0</xdr:rowOff>
    </xdr:to>
    <xdr:sp macro="" textlink="">
      <xdr:nvSpPr>
        <xdr:cNvPr id="11" name="正方形/長方形 10">
          <a:extLst>
            <a:ext uri="{FF2B5EF4-FFF2-40B4-BE49-F238E27FC236}">
              <a16:creationId xmlns:a16="http://schemas.microsoft.com/office/drawing/2014/main" id="{0AE12088-3648-4D6C-A124-B41AF0FBCFD7}"/>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82</xdr:row>
      <xdr:rowOff>0</xdr:rowOff>
    </xdr:from>
    <xdr:to>
      <xdr:col>12</xdr:col>
      <xdr:colOff>0</xdr:colOff>
      <xdr:row>83</xdr:row>
      <xdr:rowOff>0</xdr:rowOff>
    </xdr:to>
    <xdr:sp macro="" textlink="">
      <xdr:nvSpPr>
        <xdr:cNvPr id="12" name="正方形/長方形 11">
          <a:extLst>
            <a:ext uri="{FF2B5EF4-FFF2-40B4-BE49-F238E27FC236}">
              <a16:creationId xmlns:a16="http://schemas.microsoft.com/office/drawing/2014/main" id="{735E9687-7654-4A26-9C8E-39D1FA00248C}"/>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84</xdr:row>
      <xdr:rowOff>9502</xdr:rowOff>
    </xdr:from>
    <xdr:ext cx="219106" cy="161948"/>
    <xdr:pic>
      <xdr:nvPicPr>
        <xdr:cNvPr id="13" name="図 12" descr="画面の領域">
          <a:extLst>
            <a:ext uri="{FF2B5EF4-FFF2-40B4-BE49-F238E27FC236}">
              <a16:creationId xmlns:a16="http://schemas.microsoft.com/office/drawing/2014/main" id="{5CEED9FC-A38A-4A37-B875-E3B2393AF9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oneCellAnchor>
    <xdr:from>
      <xdr:col>15</xdr:col>
      <xdr:colOff>0</xdr:colOff>
      <xdr:row>91</xdr:row>
      <xdr:rowOff>0</xdr:rowOff>
    </xdr:from>
    <xdr:ext cx="201083" cy="171450"/>
    <xdr:pic>
      <xdr:nvPicPr>
        <xdr:cNvPr id="15" name="図 14">
          <a:extLst>
            <a:ext uri="{FF2B5EF4-FFF2-40B4-BE49-F238E27FC236}">
              <a16:creationId xmlns:a16="http://schemas.microsoft.com/office/drawing/2014/main" id="{E1179C3C-0719-4A18-B532-3C49D87B0520}"/>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2967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editAs="oneCell">
    <xdr:from>
      <xdr:col>2</xdr:col>
      <xdr:colOff>0</xdr:colOff>
      <xdr:row>87</xdr:row>
      <xdr:rowOff>152400</xdr:rowOff>
    </xdr:from>
    <xdr:to>
      <xdr:col>3</xdr:col>
      <xdr:colOff>28</xdr:colOff>
      <xdr:row>89</xdr:row>
      <xdr:rowOff>15269</xdr:rowOff>
    </xdr:to>
    <xdr:pic>
      <xdr:nvPicPr>
        <xdr:cNvPr id="25" name="図 24" descr="画面の領域">
          <a:extLst>
            <a:ext uri="{FF2B5EF4-FFF2-40B4-BE49-F238E27FC236}">
              <a16:creationId xmlns:a16="http://schemas.microsoft.com/office/drawing/2014/main" id="{37975B50-946B-4855-A4C8-ECBF2E06ED2C}"/>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107</xdr:row>
      <xdr:rowOff>9502</xdr:rowOff>
    </xdr:from>
    <xdr:ext cx="219106" cy="161948"/>
    <xdr:pic>
      <xdr:nvPicPr>
        <xdr:cNvPr id="26" name="図 25" descr="画面の領域">
          <a:extLst>
            <a:ext uri="{FF2B5EF4-FFF2-40B4-BE49-F238E27FC236}">
              <a16:creationId xmlns:a16="http://schemas.microsoft.com/office/drawing/2014/main" id="{C50667CC-2C84-455E-A48A-18E36B07354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108</xdr:row>
      <xdr:rowOff>9502</xdr:rowOff>
    </xdr:from>
    <xdr:ext cx="219106" cy="161948"/>
    <xdr:pic>
      <xdr:nvPicPr>
        <xdr:cNvPr id="27" name="図 26" descr="画面の領域">
          <a:extLst>
            <a:ext uri="{FF2B5EF4-FFF2-40B4-BE49-F238E27FC236}">
              <a16:creationId xmlns:a16="http://schemas.microsoft.com/office/drawing/2014/main" id="{907381F4-238E-4701-A406-8530196118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109</xdr:row>
      <xdr:rowOff>9502</xdr:rowOff>
    </xdr:from>
    <xdr:ext cx="219106" cy="161948"/>
    <xdr:pic>
      <xdr:nvPicPr>
        <xdr:cNvPr id="28" name="図 27" descr="画面の領域">
          <a:extLst>
            <a:ext uri="{FF2B5EF4-FFF2-40B4-BE49-F238E27FC236}">
              <a16:creationId xmlns:a16="http://schemas.microsoft.com/office/drawing/2014/main" id="{C4D27BA7-115E-460B-9C0F-33EC1A051F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105</xdr:row>
      <xdr:rowOff>0</xdr:rowOff>
    </xdr:from>
    <xdr:ext cx="201083" cy="171450"/>
    <xdr:pic>
      <xdr:nvPicPr>
        <xdr:cNvPr id="29" name="図 28">
          <a:extLst>
            <a:ext uri="{FF2B5EF4-FFF2-40B4-BE49-F238E27FC236}">
              <a16:creationId xmlns:a16="http://schemas.microsoft.com/office/drawing/2014/main" id="{4745E74B-D755-4018-A22F-D44E9FF40452}"/>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AB0CB4AD-C494-417F-9C46-063BBE0B2D1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97</xdr:row>
      <xdr:rowOff>0</xdr:rowOff>
    </xdr:from>
    <xdr:ext cx="201083" cy="171450"/>
    <xdr:pic>
      <xdr:nvPicPr>
        <xdr:cNvPr id="16" name="図 15">
          <a:extLst>
            <a:ext uri="{FF2B5EF4-FFF2-40B4-BE49-F238E27FC236}">
              <a16:creationId xmlns:a16="http://schemas.microsoft.com/office/drawing/2014/main" id="{6F22A786-8988-4266-9438-1ADF2618DE3D}"/>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95250</xdr:colOff>
      <xdr:row>57</xdr:row>
      <xdr:rowOff>85725</xdr:rowOff>
    </xdr:from>
    <xdr:to>
      <xdr:col>11</xdr:col>
      <xdr:colOff>85725</xdr:colOff>
      <xdr:row>59</xdr:row>
      <xdr:rowOff>0</xdr:rowOff>
    </xdr:to>
    <xdr:sp macro="" textlink="">
      <xdr:nvSpPr>
        <xdr:cNvPr id="18" name="正方形/長方形 17">
          <a:extLst>
            <a:ext uri="{FF2B5EF4-FFF2-40B4-BE49-F238E27FC236}">
              <a16:creationId xmlns:a16="http://schemas.microsoft.com/office/drawing/2014/main" id="{E7EF44D0-D1E8-4A05-BD29-A6FA1D7AE22D}"/>
            </a:ext>
          </a:extLst>
        </xdr:cNvPr>
        <xdr:cNvSpPr/>
      </xdr:nvSpPr>
      <xdr:spPr>
        <a:xfrm>
          <a:off x="1495425" y="7924800"/>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10</xdr:col>
      <xdr:colOff>38100</xdr:colOff>
      <xdr:row>69</xdr:row>
      <xdr:rowOff>0</xdr:rowOff>
    </xdr:from>
    <xdr:to>
      <xdr:col>17</xdr:col>
      <xdr:colOff>76200</xdr:colOff>
      <xdr:row>70</xdr:row>
      <xdr:rowOff>161925</xdr:rowOff>
    </xdr:to>
    <xdr:sp macro="" textlink="">
      <xdr:nvSpPr>
        <xdr:cNvPr id="17" name="四角形吹き出し 11">
          <a:extLst>
            <a:ext uri="{FF2B5EF4-FFF2-40B4-BE49-F238E27FC236}">
              <a16:creationId xmlns:a16="http://schemas.microsoft.com/office/drawing/2014/main" id="{D99D49E3-FEE8-437D-B0AE-047D4E6AC5F4}"/>
            </a:ext>
          </a:extLst>
        </xdr:cNvPr>
        <xdr:cNvSpPr/>
      </xdr:nvSpPr>
      <xdr:spPr>
        <a:xfrm>
          <a:off x="2038350" y="9667875"/>
          <a:ext cx="1438275" cy="333375"/>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rgbClr val="FF0000"/>
              </a:solidFill>
            </a:rPr>
            <a:t>1</a:t>
          </a:r>
          <a:r>
            <a:rPr kumimoji="1" lang="ja-JP" altLang="en-US" sz="800">
              <a:solidFill>
                <a:srgbClr val="FF0000"/>
              </a:solidFill>
            </a:rPr>
            <a:t>行目は申請通貨</a:t>
          </a:r>
          <a:endParaRPr kumimoji="1" lang="en-US" altLang="ja-JP" sz="800">
            <a:solidFill>
              <a:srgbClr val="FF0000"/>
            </a:solidFill>
          </a:endParaRPr>
        </a:p>
        <a:p>
          <a:pPr algn="l">
            <a:lnSpc>
              <a:spcPts val="900"/>
            </a:lnSpc>
          </a:pPr>
          <a:r>
            <a:rPr kumimoji="1" lang="en-US" altLang="ja-JP" sz="800">
              <a:solidFill>
                <a:srgbClr val="FF0000"/>
              </a:solidFill>
            </a:rPr>
            <a:t>2</a:t>
          </a:r>
          <a:r>
            <a:rPr kumimoji="1" lang="ja-JP" altLang="en-US" sz="800">
              <a:solidFill>
                <a:srgbClr val="FF0000"/>
              </a:solidFill>
            </a:rPr>
            <a:t>行目は</a:t>
          </a:r>
          <a:r>
            <a:rPr kumimoji="1" lang="en-US" altLang="ja-JP" sz="800">
              <a:solidFill>
                <a:srgbClr val="FF0000"/>
              </a:solidFill>
            </a:rPr>
            <a:t>JPY</a:t>
          </a:r>
          <a:r>
            <a:rPr kumimoji="1" lang="ja-JP" altLang="en-US" sz="800">
              <a:solidFill>
                <a:srgbClr val="FF0000"/>
              </a:solidFill>
            </a:rPr>
            <a:t>の表示</a:t>
          </a:r>
          <a:endParaRPr kumimoji="1" lang="en-US" altLang="ja-JP" sz="800">
            <a:solidFill>
              <a:srgbClr val="FF0000"/>
            </a:solidFill>
          </a:endParaRPr>
        </a:p>
      </xdr:txBody>
    </xdr:sp>
    <xdr:clientData/>
  </xdr:twoCellAnchor>
  <xdr:twoCellAnchor>
    <xdr:from>
      <xdr:col>23</xdr:col>
      <xdr:colOff>171450</xdr:colOff>
      <xdr:row>52</xdr:row>
      <xdr:rowOff>123825</xdr:rowOff>
    </xdr:from>
    <xdr:to>
      <xdr:col>33</xdr:col>
      <xdr:colOff>161925</xdr:colOff>
      <xdr:row>54</xdr:row>
      <xdr:rowOff>66675</xdr:rowOff>
    </xdr:to>
    <xdr:sp macro="" textlink="">
      <xdr:nvSpPr>
        <xdr:cNvPr id="19" name="四角形吹き出し 11">
          <a:extLst>
            <a:ext uri="{FF2B5EF4-FFF2-40B4-BE49-F238E27FC236}">
              <a16:creationId xmlns:a16="http://schemas.microsoft.com/office/drawing/2014/main" id="{90B5EA0D-AE79-4F81-9C0D-6F1773EFDA00}"/>
            </a:ext>
          </a:extLst>
        </xdr:cNvPr>
        <xdr:cNvSpPr/>
      </xdr:nvSpPr>
      <xdr:spPr>
        <a:xfrm>
          <a:off x="4772025" y="70770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23</xdr:col>
      <xdr:colOff>78518</xdr:colOff>
      <xdr:row>35</xdr:row>
      <xdr:rowOff>144285</xdr:rowOff>
    </xdr:from>
    <xdr:to>
      <xdr:col>34</xdr:col>
      <xdr:colOff>161511</xdr:colOff>
      <xdr:row>39</xdr:row>
      <xdr:rowOff>47626</xdr:rowOff>
    </xdr:to>
    <xdr:sp macro="" textlink="">
      <xdr:nvSpPr>
        <xdr:cNvPr id="20" name="四角形吹き出し 11">
          <a:extLst>
            <a:ext uri="{FF2B5EF4-FFF2-40B4-BE49-F238E27FC236}">
              <a16:creationId xmlns:a16="http://schemas.microsoft.com/office/drawing/2014/main" id="{9FD2D9A4-861E-494C-BE22-82E23507556D}"/>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13</xdr:col>
      <xdr:colOff>62865</xdr:colOff>
      <xdr:row>39</xdr:row>
      <xdr:rowOff>156211</xdr:rowOff>
    </xdr:from>
    <xdr:to>
      <xdr:col>22</xdr:col>
      <xdr:colOff>32716</xdr:colOff>
      <xdr:row>42</xdr:row>
      <xdr:rowOff>26670</xdr:rowOff>
    </xdr:to>
    <xdr:sp macro="" textlink="">
      <xdr:nvSpPr>
        <xdr:cNvPr id="21" name="四角形吹き出し 11">
          <a:extLst>
            <a:ext uri="{FF2B5EF4-FFF2-40B4-BE49-F238E27FC236}">
              <a16:creationId xmlns:a16="http://schemas.microsoft.com/office/drawing/2014/main" id="{06E8ED9B-0212-494B-9BA1-0A2254FC35C0}"/>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22</xdr:col>
      <xdr:colOff>161925</xdr:colOff>
      <xdr:row>41</xdr:row>
      <xdr:rowOff>152400</xdr:rowOff>
    </xdr:from>
    <xdr:to>
      <xdr:col>32</xdr:col>
      <xdr:colOff>0</xdr:colOff>
      <xdr:row>44</xdr:row>
      <xdr:rowOff>66675</xdr:rowOff>
    </xdr:to>
    <xdr:sp macro="" textlink="">
      <xdr:nvSpPr>
        <xdr:cNvPr id="24" name="四角形吹き出し 11">
          <a:extLst>
            <a:ext uri="{FF2B5EF4-FFF2-40B4-BE49-F238E27FC236}">
              <a16:creationId xmlns:a16="http://schemas.microsoft.com/office/drawing/2014/main" id="{4432433F-FE68-42A8-BA06-9C563588A722}"/>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41</xdr:row>
      <xdr:rowOff>152400</xdr:rowOff>
    </xdr:from>
    <xdr:to>
      <xdr:col>40</xdr:col>
      <xdr:colOff>142875</xdr:colOff>
      <xdr:row>44</xdr:row>
      <xdr:rowOff>66675</xdr:rowOff>
    </xdr:to>
    <xdr:sp macro="" textlink="">
      <xdr:nvSpPr>
        <xdr:cNvPr id="30" name="四角形吹き出し 11">
          <a:extLst>
            <a:ext uri="{FF2B5EF4-FFF2-40B4-BE49-F238E27FC236}">
              <a16:creationId xmlns:a16="http://schemas.microsoft.com/office/drawing/2014/main" id="{6167572C-4B41-477B-B7B0-AA9CB3AF80A2}"/>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146</xdr:row>
      <xdr:rowOff>0</xdr:rowOff>
    </xdr:from>
    <xdr:to>
      <xdr:col>22</xdr:col>
      <xdr:colOff>0</xdr:colOff>
      <xdr:row>148</xdr:row>
      <xdr:rowOff>0</xdr:rowOff>
    </xdr:to>
    <xdr:sp macro="" textlink="">
      <xdr:nvSpPr>
        <xdr:cNvPr id="2" name="正方形/長方形 1">
          <a:extLst>
            <a:ext uri="{FF2B5EF4-FFF2-40B4-BE49-F238E27FC236}">
              <a16:creationId xmlns:a16="http://schemas.microsoft.com/office/drawing/2014/main" id="{8361D997-6EAE-42F9-B985-B71430A588B5}"/>
            </a:ext>
          </a:extLst>
        </xdr:cNvPr>
        <xdr:cNvSpPr/>
      </xdr:nvSpPr>
      <xdr:spPr>
        <a:xfrm>
          <a:off x="30003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146</xdr:row>
      <xdr:rowOff>0</xdr:rowOff>
    </xdr:from>
    <xdr:to>
      <xdr:col>30</xdr:col>
      <xdr:colOff>0</xdr:colOff>
      <xdr:row>148</xdr:row>
      <xdr:rowOff>0</xdr:rowOff>
    </xdr:to>
    <xdr:sp macro="" textlink="">
      <xdr:nvSpPr>
        <xdr:cNvPr id="3" name="正方形/長方形 2">
          <a:extLst>
            <a:ext uri="{FF2B5EF4-FFF2-40B4-BE49-F238E27FC236}">
              <a16:creationId xmlns:a16="http://schemas.microsoft.com/office/drawing/2014/main" id="{E4F3B550-C178-4BC5-AEBE-A28DBF4C7030}"/>
            </a:ext>
          </a:extLst>
        </xdr:cNvPr>
        <xdr:cNvSpPr/>
      </xdr:nvSpPr>
      <xdr:spPr>
        <a:xfrm>
          <a:off x="46005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146</xdr:row>
      <xdr:rowOff>0</xdr:rowOff>
    </xdr:from>
    <xdr:to>
      <xdr:col>38</xdr:col>
      <xdr:colOff>0</xdr:colOff>
      <xdr:row>148</xdr:row>
      <xdr:rowOff>0</xdr:rowOff>
    </xdr:to>
    <xdr:sp macro="" textlink="">
      <xdr:nvSpPr>
        <xdr:cNvPr id="4" name="正方形/長方形 3">
          <a:extLst>
            <a:ext uri="{FF2B5EF4-FFF2-40B4-BE49-F238E27FC236}">
              <a16:creationId xmlns:a16="http://schemas.microsoft.com/office/drawing/2014/main" id="{94872B9A-46CE-4CD6-A5AB-C6D5C647EDB9}"/>
            </a:ext>
          </a:extLst>
        </xdr:cNvPr>
        <xdr:cNvSpPr/>
      </xdr:nvSpPr>
      <xdr:spPr>
        <a:xfrm>
          <a:off x="6200775" y="11896725"/>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468B21AA-B832-4D15-B8F6-64E6D0394E75}"/>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476B491E-9D63-46E3-ABB6-14F2EE3D135B}"/>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72</xdr:row>
      <xdr:rowOff>85725</xdr:rowOff>
    </xdr:from>
    <xdr:to>
      <xdr:col>7</xdr:col>
      <xdr:colOff>0</xdr:colOff>
      <xdr:row>74</xdr:row>
      <xdr:rowOff>0</xdr:rowOff>
    </xdr:to>
    <xdr:sp macro="" textlink="">
      <xdr:nvSpPr>
        <xdr:cNvPr id="7" name="正方形/長方形 6">
          <a:extLst>
            <a:ext uri="{FF2B5EF4-FFF2-40B4-BE49-F238E27FC236}">
              <a16:creationId xmlns:a16="http://schemas.microsoft.com/office/drawing/2014/main" id="{D3588E5B-9AF1-4F97-9890-865763A04A77}"/>
            </a:ext>
          </a:extLst>
        </xdr:cNvPr>
        <xdr:cNvSpPr/>
      </xdr:nvSpPr>
      <xdr:spPr>
        <a:xfrm>
          <a:off x="609600" y="8181975"/>
          <a:ext cx="790575" cy="42862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oneCellAnchor>
    <xdr:from>
      <xdr:col>32</xdr:col>
      <xdr:colOff>0</xdr:colOff>
      <xdr:row>26</xdr:row>
      <xdr:rowOff>0</xdr:rowOff>
    </xdr:from>
    <xdr:ext cx="201083" cy="171450"/>
    <xdr:pic>
      <xdr:nvPicPr>
        <xdr:cNvPr id="18" name="図 17">
          <a:extLst>
            <a:ext uri="{FF2B5EF4-FFF2-40B4-BE49-F238E27FC236}">
              <a16:creationId xmlns:a16="http://schemas.microsoft.com/office/drawing/2014/main" id="{FE3F6E15-B708-4689-80BC-ECA49AAFE686}"/>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xdr:col>
      <xdr:colOff>0</xdr:colOff>
      <xdr:row>110</xdr:row>
      <xdr:rowOff>85725</xdr:rowOff>
    </xdr:from>
    <xdr:to>
      <xdr:col>6</xdr:col>
      <xdr:colOff>190500</xdr:colOff>
      <xdr:row>112</xdr:row>
      <xdr:rowOff>0</xdr:rowOff>
    </xdr:to>
    <xdr:sp macro="" textlink="">
      <xdr:nvSpPr>
        <xdr:cNvPr id="21" name="正方形/長方形 20">
          <a:extLst>
            <a:ext uri="{FF2B5EF4-FFF2-40B4-BE49-F238E27FC236}">
              <a16:creationId xmlns:a16="http://schemas.microsoft.com/office/drawing/2014/main" id="{D2475BCC-3D57-4CD1-9FEF-D333B39F0691}"/>
            </a:ext>
          </a:extLst>
        </xdr:cNvPr>
        <xdr:cNvSpPr/>
      </xdr:nvSpPr>
      <xdr:spPr>
        <a:xfrm>
          <a:off x="600075" y="149828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116</xdr:row>
      <xdr:rowOff>0</xdr:rowOff>
    </xdr:from>
    <xdr:to>
      <xdr:col>8</xdr:col>
      <xdr:colOff>43669</xdr:colOff>
      <xdr:row>117</xdr:row>
      <xdr:rowOff>0</xdr:rowOff>
    </xdr:to>
    <xdr:sp macro="" textlink="">
      <xdr:nvSpPr>
        <xdr:cNvPr id="22" name="正方形/長方形 21">
          <a:extLst>
            <a:ext uri="{FF2B5EF4-FFF2-40B4-BE49-F238E27FC236}">
              <a16:creationId xmlns:a16="http://schemas.microsoft.com/office/drawing/2014/main" id="{C1230DC3-E851-4531-BCE4-4F138045FFE8}"/>
            </a:ext>
          </a:extLst>
        </xdr:cNvPr>
        <xdr:cNvSpPr/>
      </xdr:nvSpPr>
      <xdr:spPr>
        <a:xfrm>
          <a:off x="600075" y="10982325"/>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116</xdr:row>
      <xdr:rowOff>0</xdr:rowOff>
    </xdr:from>
    <xdr:to>
      <xdr:col>12</xdr:col>
      <xdr:colOff>0</xdr:colOff>
      <xdr:row>117</xdr:row>
      <xdr:rowOff>0</xdr:rowOff>
    </xdr:to>
    <xdr:sp macro="" textlink="">
      <xdr:nvSpPr>
        <xdr:cNvPr id="23" name="正方形/長方形 22">
          <a:extLst>
            <a:ext uri="{FF2B5EF4-FFF2-40B4-BE49-F238E27FC236}">
              <a16:creationId xmlns:a16="http://schemas.microsoft.com/office/drawing/2014/main" id="{C9D7C6F0-5ED9-4FAA-87B9-13055FC85842}"/>
            </a:ext>
          </a:extLst>
        </xdr:cNvPr>
        <xdr:cNvSpPr/>
      </xdr:nvSpPr>
      <xdr:spPr>
        <a:xfrm>
          <a:off x="1756556" y="10982325"/>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118</xdr:row>
      <xdr:rowOff>9502</xdr:rowOff>
    </xdr:from>
    <xdr:ext cx="219106" cy="161948"/>
    <xdr:pic>
      <xdr:nvPicPr>
        <xdr:cNvPr id="24" name="図 23" descr="画面の領域">
          <a:extLst>
            <a:ext uri="{FF2B5EF4-FFF2-40B4-BE49-F238E27FC236}">
              <a16:creationId xmlns:a16="http://schemas.microsoft.com/office/drawing/2014/main" id="{7DEB14A4-965E-4BE1-BADB-BD506618CC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00550" y="11334727"/>
          <a:ext cx="219106" cy="161948"/>
        </a:xfrm>
        <a:prstGeom prst="rect">
          <a:avLst/>
        </a:prstGeom>
      </xdr:spPr>
    </xdr:pic>
    <xdr:clientData/>
  </xdr:oneCellAnchor>
  <xdr:twoCellAnchor>
    <xdr:from>
      <xdr:col>21</xdr:col>
      <xdr:colOff>123824</xdr:colOff>
      <xdr:row>105</xdr:row>
      <xdr:rowOff>104775</xdr:rowOff>
    </xdr:from>
    <xdr:to>
      <xdr:col>31</xdr:col>
      <xdr:colOff>65209</xdr:colOff>
      <xdr:row>107</xdr:row>
      <xdr:rowOff>95250</xdr:rowOff>
    </xdr:to>
    <xdr:sp macro="" textlink="">
      <xdr:nvSpPr>
        <xdr:cNvPr id="30" name="四角形吹き出し 11">
          <a:extLst>
            <a:ext uri="{FF2B5EF4-FFF2-40B4-BE49-F238E27FC236}">
              <a16:creationId xmlns:a16="http://schemas.microsoft.com/office/drawing/2014/main" id="{6DBDD004-6A4C-447C-BD6E-85D79B99D0DE}"/>
            </a:ext>
          </a:extLst>
        </xdr:cNvPr>
        <xdr:cNvSpPr/>
      </xdr:nvSpPr>
      <xdr:spPr>
        <a:xfrm>
          <a:off x="4324349" y="16659225"/>
          <a:ext cx="1941635" cy="333375"/>
        </a:xfrm>
        <a:prstGeom prst="wedgeRectCallout">
          <a:avLst>
            <a:gd name="adj1" fmla="val -77253"/>
            <a:gd name="adj2" fmla="val -5944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金型、治工具で無償が選択されている場合のみ表示</a:t>
          </a:r>
          <a:endParaRPr kumimoji="1" lang="en-US" altLang="ja-JP" sz="800">
            <a:solidFill>
              <a:sysClr val="windowText" lastClr="000000"/>
            </a:solidFill>
          </a:endParaRPr>
        </a:p>
      </xdr:txBody>
    </xdr:sp>
    <xdr:clientData/>
  </xdr:twoCellAnchor>
  <xdr:twoCellAnchor>
    <xdr:from>
      <xdr:col>23</xdr:col>
      <xdr:colOff>78518</xdr:colOff>
      <xdr:row>41</xdr:row>
      <xdr:rowOff>144285</xdr:rowOff>
    </xdr:from>
    <xdr:to>
      <xdr:col>34</xdr:col>
      <xdr:colOff>161511</xdr:colOff>
      <xdr:row>45</xdr:row>
      <xdr:rowOff>47626</xdr:rowOff>
    </xdr:to>
    <xdr:sp macro="" textlink="">
      <xdr:nvSpPr>
        <xdr:cNvPr id="34" name="四角形吹き出し 11">
          <a:extLst>
            <a:ext uri="{FF2B5EF4-FFF2-40B4-BE49-F238E27FC236}">
              <a16:creationId xmlns:a16="http://schemas.microsoft.com/office/drawing/2014/main" id="{1E401332-252C-4473-8358-725C40A6F247}"/>
            </a:ext>
          </a:extLst>
        </xdr:cNvPr>
        <xdr:cNvSpPr/>
      </xdr:nvSpPr>
      <xdr:spPr>
        <a:xfrm>
          <a:off x="4679093" y="6468885"/>
          <a:ext cx="2283268" cy="474841"/>
        </a:xfrm>
        <a:prstGeom prst="wedgeRectCallout">
          <a:avLst>
            <a:gd name="adj1" fmla="val -66240"/>
            <a:gd name="adj2" fmla="val 3188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default</a:t>
          </a:r>
          <a:r>
            <a:rPr kumimoji="1" lang="ja-JP" altLang="en-US" sz="800">
              <a:solidFill>
                <a:sysClr val="windowText" lastClr="000000"/>
              </a:solidFill>
            </a:rPr>
            <a:t>は経営計画レートですが、変更できるように。客先によってはその会社のレートで変換することが求められる。（日系企業の場合）</a:t>
          </a:r>
          <a:endParaRPr kumimoji="1" lang="en-US" altLang="ja-JP" sz="800">
            <a:solidFill>
              <a:sysClr val="windowText" lastClr="000000"/>
            </a:solidFill>
          </a:endParaRPr>
        </a:p>
        <a:p>
          <a:pPr algn="l">
            <a:lnSpc>
              <a:spcPts val="900"/>
            </a:lnSpc>
          </a:pPr>
          <a:endParaRPr kumimoji="1" lang="en-US" altLang="ja-JP" sz="800">
            <a:solidFill>
              <a:srgbClr val="FF0000"/>
            </a:solidFill>
          </a:endParaRPr>
        </a:p>
        <a:p>
          <a:pPr algn="l">
            <a:lnSpc>
              <a:spcPts val="900"/>
            </a:lnSpc>
          </a:pPr>
          <a:endParaRPr kumimoji="1" lang="en-US" altLang="ja-JP" sz="800">
            <a:solidFill>
              <a:srgbClr val="FF0000"/>
            </a:solidFill>
          </a:endParaRPr>
        </a:p>
      </xdr:txBody>
    </xdr:sp>
    <xdr:clientData/>
  </xdr:twoCellAnchor>
  <xdr:twoCellAnchor>
    <xdr:from>
      <xdr:col>51</xdr:col>
      <xdr:colOff>85725</xdr:colOff>
      <xdr:row>37</xdr:row>
      <xdr:rowOff>57150</xdr:rowOff>
    </xdr:from>
    <xdr:to>
      <xdr:col>56</xdr:col>
      <xdr:colOff>85725</xdr:colOff>
      <xdr:row>41</xdr:row>
      <xdr:rowOff>0</xdr:rowOff>
    </xdr:to>
    <xdr:sp macro="" textlink="">
      <xdr:nvSpPr>
        <xdr:cNvPr id="8" name="四角形吹き出し 11">
          <a:extLst>
            <a:ext uri="{FF2B5EF4-FFF2-40B4-BE49-F238E27FC236}">
              <a16:creationId xmlns:a16="http://schemas.microsoft.com/office/drawing/2014/main" id="{824F86EF-C5D4-4BF1-A3B6-910E3426CAFF}"/>
            </a:ext>
          </a:extLst>
        </xdr:cNvPr>
        <xdr:cNvSpPr/>
      </xdr:nvSpPr>
      <xdr:spPr>
        <a:xfrm>
          <a:off x="10287000" y="54102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editAs="oneCell">
    <xdr:from>
      <xdr:col>2</xdr:col>
      <xdr:colOff>0</xdr:colOff>
      <xdr:row>121</xdr:row>
      <xdr:rowOff>152400</xdr:rowOff>
    </xdr:from>
    <xdr:to>
      <xdr:col>3</xdr:col>
      <xdr:colOff>28</xdr:colOff>
      <xdr:row>123</xdr:row>
      <xdr:rowOff>19079</xdr:rowOff>
    </xdr:to>
    <xdr:pic>
      <xdr:nvPicPr>
        <xdr:cNvPr id="19" name="図 18" descr="画面の領域">
          <a:extLst>
            <a:ext uri="{FF2B5EF4-FFF2-40B4-BE49-F238E27FC236}">
              <a16:creationId xmlns:a16="http://schemas.microsoft.com/office/drawing/2014/main" id="{2449DCE9-78E4-4DCE-AB20-E6512B30D54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00050" y="11877675"/>
          <a:ext cx="198148" cy="205769"/>
        </a:xfrm>
        <a:prstGeom prst="rect">
          <a:avLst/>
        </a:prstGeom>
        <a:solidFill>
          <a:schemeClr val="bg1">
            <a:lumMod val="85000"/>
          </a:schemeClr>
        </a:solidFill>
      </xdr:spPr>
    </xdr:pic>
    <xdr:clientData/>
  </xdr:twoCellAnchor>
  <xdr:oneCellAnchor>
    <xdr:from>
      <xdr:col>38</xdr:col>
      <xdr:colOff>0</xdr:colOff>
      <xdr:row>141</xdr:row>
      <xdr:rowOff>9502</xdr:rowOff>
    </xdr:from>
    <xdr:ext cx="219106" cy="161948"/>
    <xdr:pic>
      <xdr:nvPicPr>
        <xdr:cNvPr id="20" name="図 19" descr="画面の領域">
          <a:extLst>
            <a:ext uri="{FF2B5EF4-FFF2-40B4-BE49-F238E27FC236}">
              <a16:creationId xmlns:a16="http://schemas.microsoft.com/office/drawing/2014/main" id="{89C1E70A-13C7-4E47-9642-40FBE041699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020777"/>
          <a:ext cx="219106" cy="161948"/>
        </a:xfrm>
        <a:prstGeom prst="rect">
          <a:avLst/>
        </a:prstGeom>
      </xdr:spPr>
    </xdr:pic>
    <xdr:clientData/>
  </xdr:oneCellAnchor>
  <xdr:oneCellAnchor>
    <xdr:from>
      <xdr:col>38</xdr:col>
      <xdr:colOff>0</xdr:colOff>
      <xdr:row>142</xdr:row>
      <xdr:rowOff>9502</xdr:rowOff>
    </xdr:from>
    <xdr:ext cx="219106" cy="161948"/>
    <xdr:pic>
      <xdr:nvPicPr>
        <xdr:cNvPr id="25" name="図 24" descr="画面の領域">
          <a:extLst>
            <a:ext uri="{FF2B5EF4-FFF2-40B4-BE49-F238E27FC236}">
              <a16:creationId xmlns:a16="http://schemas.microsoft.com/office/drawing/2014/main" id="{CBF22942-B607-42CA-9598-00234BDA1A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192227"/>
          <a:ext cx="219106" cy="161948"/>
        </a:xfrm>
        <a:prstGeom prst="rect">
          <a:avLst/>
        </a:prstGeom>
      </xdr:spPr>
    </xdr:pic>
    <xdr:clientData/>
  </xdr:oneCellAnchor>
  <xdr:oneCellAnchor>
    <xdr:from>
      <xdr:col>38</xdr:col>
      <xdr:colOff>0</xdr:colOff>
      <xdr:row>143</xdr:row>
      <xdr:rowOff>9502</xdr:rowOff>
    </xdr:from>
    <xdr:ext cx="219106" cy="161948"/>
    <xdr:pic>
      <xdr:nvPicPr>
        <xdr:cNvPr id="26" name="図 25" descr="画面の領域">
          <a:extLst>
            <a:ext uri="{FF2B5EF4-FFF2-40B4-BE49-F238E27FC236}">
              <a16:creationId xmlns:a16="http://schemas.microsoft.com/office/drawing/2014/main" id="{8D1DBED1-D842-4236-91FF-4852415D44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600950" y="14363677"/>
          <a:ext cx="219106" cy="161948"/>
        </a:xfrm>
        <a:prstGeom prst="rect">
          <a:avLst/>
        </a:prstGeom>
      </xdr:spPr>
    </xdr:pic>
    <xdr:clientData/>
  </xdr:oneCellAnchor>
  <xdr:oneCellAnchor>
    <xdr:from>
      <xdr:col>6</xdr:col>
      <xdr:colOff>190500</xdr:colOff>
      <xdr:row>139</xdr:row>
      <xdr:rowOff>0</xdr:rowOff>
    </xdr:from>
    <xdr:ext cx="201083" cy="171450"/>
    <xdr:pic>
      <xdr:nvPicPr>
        <xdr:cNvPr id="27" name="図 26">
          <a:extLst>
            <a:ext uri="{FF2B5EF4-FFF2-40B4-BE49-F238E27FC236}">
              <a16:creationId xmlns:a16="http://schemas.microsoft.com/office/drawing/2014/main" id="{AA36BFAE-6738-4629-95AF-EA57B35F9D27}"/>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390650" y="136683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17</xdr:col>
      <xdr:colOff>47625</xdr:colOff>
      <xdr:row>102</xdr:row>
      <xdr:rowOff>104776</xdr:rowOff>
    </xdr:from>
    <xdr:to>
      <xdr:col>18</xdr:col>
      <xdr:colOff>123825</xdr:colOff>
      <xdr:row>106</xdr:row>
      <xdr:rowOff>152400</xdr:rowOff>
    </xdr:to>
    <xdr:sp macro="" textlink="">
      <xdr:nvSpPr>
        <xdr:cNvPr id="29" name="右中かっこ 28">
          <a:extLst>
            <a:ext uri="{FF2B5EF4-FFF2-40B4-BE49-F238E27FC236}">
              <a16:creationId xmlns:a16="http://schemas.microsoft.com/office/drawing/2014/main" id="{36014197-6238-267E-9450-40B3DEA98669}"/>
            </a:ext>
          </a:extLst>
        </xdr:cNvPr>
        <xdr:cNvSpPr/>
      </xdr:nvSpPr>
      <xdr:spPr>
        <a:xfrm>
          <a:off x="3448050" y="14316076"/>
          <a:ext cx="276225" cy="904874"/>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62865</xdr:colOff>
      <xdr:row>45</xdr:row>
      <xdr:rowOff>156211</xdr:rowOff>
    </xdr:from>
    <xdr:to>
      <xdr:col>22</xdr:col>
      <xdr:colOff>32716</xdr:colOff>
      <xdr:row>48</xdr:row>
      <xdr:rowOff>26670</xdr:rowOff>
    </xdr:to>
    <xdr:sp macro="" textlink="">
      <xdr:nvSpPr>
        <xdr:cNvPr id="13" name="四角形吹き出し 11">
          <a:extLst>
            <a:ext uri="{FF2B5EF4-FFF2-40B4-BE49-F238E27FC236}">
              <a16:creationId xmlns:a16="http://schemas.microsoft.com/office/drawing/2014/main" id="{09343CE1-3B6D-414F-87BA-C37AC3352E2F}"/>
            </a:ext>
          </a:extLst>
        </xdr:cNvPr>
        <xdr:cNvSpPr/>
      </xdr:nvSpPr>
      <xdr:spPr>
        <a:xfrm>
          <a:off x="2663190" y="7052311"/>
          <a:ext cx="1770076" cy="384809"/>
        </a:xfrm>
        <a:prstGeom prst="wedgeRectCallout">
          <a:avLst>
            <a:gd name="adj1" fmla="val -43457"/>
            <a:gd name="adj2" fmla="val -848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経営計画レート選択時は自動表示。</a:t>
          </a:r>
          <a:br>
            <a:rPr kumimoji="1" lang="en-US" altLang="ja-JP" sz="800">
              <a:solidFill>
                <a:sysClr val="windowText" lastClr="000000"/>
              </a:solidFill>
            </a:rPr>
          </a:br>
          <a:r>
            <a:rPr kumimoji="1" lang="ja-JP" altLang="en-US" sz="800">
              <a:solidFill>
                <a:sysClr val="windowText" lastClr="000000"/>
              </a:solidFill>
            </a:rPr>
            <a:t>そのれ外は手入力。必須項目とする。</a:t>
          </a:r>
          <a:endParaRPr kumimoji="1" lang="en-US" altLang="ja-JP" sz="800">
            <a:solidFill>
              <a:sysClr val="windowText" lastClr="000000"/>
            </a:solidFill>
          </a:endParaRPr>
        </a:p>
      </xdr:txBody>
    </xdr:sp>
    <xdr:clientData/>
  </xdr:twoCellAnchor>
  <xdr:twoCellAnchor>
    <xdr:from>
      <xdr:col>8</xdr:col>
      <xdr:colOff>74734</xdr:colOff>
      <xdr:row>107</xdr:row>
      <xdr:rowOff>104042</xdr:rowOff>
    </xdr:from>
    <xdr:to>
      <xdr:col>15</xdr:col>
      <xdr:colOff>190500</xdr:colOff>
      <xdr:row>109</xdr:row>
      <xdr:rowOff>9525</xdr:rowOff>
    </xdr:to>
    <xdr:sp macro="" textlink="">
      <xdr:nvSpPr>
        <xdr:cNvPr id="35" name="四角形吹き出し 11">
          <a:extLst>
            <a:ext uri="{FF2B5EF4-FFF2-40B4-BE49-F238E27FC236}">
              <a16:creationId xmlns:a16="http://schemas.microsoft.com/office/drawing/2014/main" id="{F6D553A7-CF88-40EA-BB6F-FDDD945CC47F}"/>
            </a:ext>
          </a:extLst>
        </xdr:cNvPr>
        <xdr:cNvSpPr/>
      </xdr:nvSpPr>
      <xdr:spPr>
        <a:xfrm>
          <a:off x="1674934" y="16658492"/>
          <a:ext cx="1515941" cy="248383"/>
        </a:xfrm>
        <a:prstGeom prst="wedgeRectCallout">
          <a:avLst>
            <a:gd name="adj1" fmla="val -44935"/>
            <a:gd name="adj2" fmla="val -146504"/>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「有」を選択した場合、赤字で表示</a:t>
          </a:r>
          <a:endParaRPr kumimoji="1" lang="en-US" altLang="ja-JP" sz="800">
            <a:solidFill>
              <a:sysClr val="windowText" lastClr="000000"/>
            </a:solidFill>
          </a:endParaRPr>
        </a:p>
      </xdr:txBody>
    </xdr:sp>
    <xdr:clientData/>
  </xdr:twoCellAnchor>
  <xdr:twoCellAnchor>
    <xdr:from>
      <xdr:col>47</xdr:col>
      <xdr:colOff>191222</xdr:colOff>
      <xdr:row>70</xdr:row>
      <xdr:rowOff>76200</xdr:rowOff>
    </xdr:from>
    <xdr:to>
      <xdr:col>57</xdr:col>
      <xdr:colOff>9000</xdr:colOff>
      <xdr:row>74</xdr:row>
      <xdr:rowOff>25572</xdr:rowOff>
    </xdr:to>
    <xdr:sp macro="" textlink="">
      <xdr:nvSpPr>
        <xdr:cNvPr id="41" name="四角形吹き出し 11">
          <a:extLst>
            <a:ext uri="{FF2B5EF4-FFF2-40B4-BE49-F238E27FC236}">
              <a16:creationId xmlns:a16="http://schemas.microsoft.com/office/drawing/2014/main" id="{6C8A2732-B5D6-42CC-8140-A5AEC8D7E6AA}"/>
            </a:ext>
          </a:extLst>
        </xdr:cNvPr>
        <xdr:cNvSpPr/>
      </xdr:nvSpPr>
      <xdr:spPr>
        <a:xfrm>
          <a:off x="9592397" y="11372850"/>
          <a:ext cx="1818028" cy="635172"/>
        </a:xfrm>
        <a:prstGeom prst="wedgeRectCallout">
          <a:avLst>
            <a:gd name="adj1" fmla="val -33736"/>
            <a:gd name="adj2" fmla="val 111310"/>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a:t>
          </a:r>
          <a:r>
            <a:rPr kumimoji="1" lang="en-US" altLang="ja-JP" sz="800">
              <a:solidFill>
                <a:sysClr val="windowText" lastClr="000000"/>
              </a:solidFill>
            </a:rPr>
            <a:t>/(1-</a:t>
          </a:r>
          <a:r>
            <a:rPr kumimoji="1" lang="ja-JP" altLang="en-US" sz="800">
              <a:solidFill>
                <a:sysClr val="windowText" lastClr="000000"/>
              </a:solidFill>
            </a:rPr>
            <a:t>物流コスト率）</a:t>
          </a:r>
          <a:r>
            <a:rPr kumimoji="1" lang="en-US" altLang="ja-JP" sz="800">
              <a:solidFill>
                <a:sysClr val="windowText" lastClr="000000"/>
              </a:solidFill>
            </a:rPr>
            <a:t>×</a:t>
          </a:r>
          <a:r>
            <a:rPr kumimoji="1" lang="ja-JP" altLang="en-US" sz="800">
              <a:solidFill>
                <a:sysClr val="windowText" lastClr="000000"/>
              </a:solidFill>
            </a:rPr>
            <a:t>口銭率</a:t>
          </a:r>
          <a:endParaRPr kumimoji="1" lang="en-US" altLang="ja-JP" sz="800">
            <a:solidFill>
              <a:sysClr val="windowText" lastClr="000000"/>
            </a:solidFill>
          </a:endParaRPr>
        </a:p>
        <a:p>
          <a:pPr algn="l">
            <a:lnSpc>
              <a:spcPts val="900"/>
            </a:lnSpc>
          </a:pPr>
          <a:r>
            <a:rPr kumimoji="1" lang="ja-JP" altLang="en-US" sz="800">
              <a:solidFill>
                <a:sysClr val="windowText" lastClr="000000"/>
              </a:solidFill>
            </a:rPr>
            <a:t>改修前の計算式も確認し設定する</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2022.10.20</a:t>
          </a:r>
          <a:r>
            <a:rPr kumimoji="1" lang="en-US" altLang="ja-JP" sz="800" baseline="0">
              <a:solidFill>
                <a:sysClr val="windowText" lastClr="000000"/>
              </a:solidFill>
            </a:rPr>
            <a:t> </a:t>
          </a:r>
          <a:r>
            <a:rPr kumimoji="1" lang="ja-JP" altLang="en-US" sz="800" baseline="0">
              <a:solidFill>
                <a:sysClr val="windowText" lastClr="000000"/>
              </a:solidFill>
            </a:rPr>
            <a:t> </a:t>
          </a:r>
          <a:r>
            <a:rPr kumimoji="1" lang="en-US" altLang="ja-JP" sz="800" baseline="0">
              <a:solidFill>
                <a:sysClr val="windowText" lastClr="000000"/>
              </a:solidFill>
            </a:rPr>
            <a:t>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xdr:txBody>
    </xdr:sp>
    <xdr:clientData/>
  </xdr:twoCellAnchor>
  <xdr:oneCellAnchor>
    <xdr:from>
      <xdr:col>15</xdr:col>
      <xdr:colOff>0</xdr:colOff>
      <xdr:row>17</xdr:row>
      <xdr:rowOff>0</xdr:rowOff>
    </xdr:from>
    <xdr:ext cx="201083" cy="171450"/>
    <xdr:pic>
      <xdr:nvPicPr>
        <xdr:cNvPr id="14" name="図 13">
          <a:extLst>
            <a:ext uri="{FF2B5EF4-FFF2-40B4-BE49-F238E27FC236}">
              <a16:creationId xmlns:a16="http://schemas.microsoft.com/office/drawing/2014/main" id="{932E8A4B-5411-43CC-A7A3-8FD6FC33F81F}"/>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55</xdr:col>
      <xdr:colOff>28575</xdr:colOff>
      <xdr:row>61</xdr:row>
      <xdr:rowOff>123825</xdr:rowOff>
    </xdr:from>
    <xdr:to>
      <xdr:col>57</xdr:col>
      <xdr:colOff>16566</xdr:colOff>
      <xdr:row>72</xdr:row>
      <xdr:rowOff>108502</xdr:rowOff>
    </xdr:to>
    <xdr:sp macro="" textlink="">
      <xdr:nvSpPr>
        <xdr:cNvPr id="28" name="右中かっこ 27">
          <a:extLst>
            <a:ext uri="{FF2B5EF4-FFF2-40B4-BE49-F238E27FC236}">
              <a16:creationId xmlns:a16="http://schemas.microsoft.com/office/drawing/2014/main" id="{50F61282-584E-4720-8D28-AEE0CA23D9AB}"/>
            </a:ext>
          </a:extLst>
        </xdr:cNvPr>
        <xdr:cNvSpPr/>
      </xdr:nvSpPr>
      <xdr:spPr>
        <a:xfrm>
          <a:off x="11029950" y="9534525"/>
          <a:ext cx="388041" cy="221352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59</xdr:col>
      <xdr:colOff>47625</xdr:colOff>
      <xdr:row>65</xdr:row>
      <xdr:rowOff>57150</xdr:rowOff>
    </xdr:from>
    <xdr:to>
      <xdr:col>64</xdr:col>
      <xdr:colOff>47625</xdr:colOff>
      <xdr:row>67</xdr:row>
      <xdr:rowOff>114300</xdr:rowOff>
    </xdr:to>
    <xdr:sp macro="" textlink="">
      <xdr:nvSpPr>
        <xdr:cNvPr id="31" name="四角形吹き出し 11">
          <a:extLst>
            <a:ext uri="{FF2B5EF4-FFF2-40B4-BE49-F238E27FC236}">
              <a16:creationId xmlns:a16="http://schemas.microsoft.com/office/drawing/2014/main" id="{C3F3AEAE-0BBD-A89A-F2B0-490592C3C803}"/>
            </a:ext>
          </a:extLst>
        </xdr:cNvPr>
        <xdr:cNvSpPr/>
      </xdr:nvSpPr>
      <xdr:spPr>
        <a:xfrm>
          <a:off x="11849100" y="10325100"/>
          <a:ext cx="1000125" cy="400050"/>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51</xdr:col>
      <xdr:colOff>171450</xdr:colOff>
      <xdr:row>93</xdr:row>
      <xdr:rowOff>0</xdr:rowOff>
    </xdr:from>
    <xdr:to>
      <xdr:col>53</xdr:col>
      <xdr:colOff>159441</xdr:colOff>
      <xdr:row>109</xdr:row>
      <xdr:rowOff>19049</xdr:rowOff>
    </xdr:to>
    <xdr:sp macro="" textlink="">
      <xdr:nvSpPr>
        <xdr:cNvPr id="32" name="右中かっこ 31">
          <a:extLst>
            <a:ext uri="{FF2B5EF4-FFF2-40B4-BE49-F238E27FC236}">
              <a16:creationId xmlns:a16="http://schemas.microsoft.com/office/drawing/2014/main" id="{BF7D5D2E-2909-4DE2-9AAE-1B91892AA461}"/>
            </a:ext>
          </a:extLst>
        </xdr:cNvPr>
        <xdr:cNvSpPr/>
      </xdr:nvSpPr>
      <xdr:spPr>
        <a:xfrm>
          <a:off x="10372725" y="14668500"/>
          <a:ext cx="388041" cy="2590799"/>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55</xdr:col>
      <xdr:colOff>161925</xdr:colOff>
      <xdr:row>99</xdr:row>
      <xdr:rowOff>161925</xdr:rowOff>
    </xdr:from>
    <xdr:to>
      <xdr:col>61</xdr:col>
      <xdr:colOff>38100</xdr:colOff>
      <xdr:row>103</xdr:row>
      <xdr:rowOff>0</xdr:rowOff>
    </xdr:to>
    <xdr:sp macro="" textlink="">
      <xdr:nvSpPr>
        <xdr:cNvPr id="33" name="四角形吹き出し 11">
          <a:extLst>
            <a:ext uri="{FF2B5EF4-FFF2-40B4-BE49-F238E27FC236}">
              <a16:creationId xmlns:a16="http://schemas.microsoft.com/office/drawing/2014/main" id="{D5D125FB-160D-4637-B97B-37DC7CB0DC9C}"/>
            </a:ext>
          </a:extLst>
        </xdr:cNvPr>
        <xdr:cNvSpPr/>
      </xdr:nvSpPr>
      <xdr:spPr>
        <a:xfrm>
          <a:off x="11163300" y="15687675"/>
          <a:ext cx="1076325" cy="352425"/>
        </a:xfrm>
        <a:prstGeom prst="wedgeRectCallout">
          <a:avLst>
            <a:gd name="adj1" fmla="val -73695"/>
            <a:gd name="adj2" fmla="val 1326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カスタム品の場合のみ表示</a:t>
          </a:r>
          <a:endParaRPr kumimoji="1" lang="en-US" altLang="ja-JP" sz="800">
            <a:solidFill>
              <a:sysClr val="windowText" lastClr="000000"/>
            </a:solidFill>
          </a:endParaRPr>
        </a:p>
      </xdr:txBody>
    </xdr:sp>
    <xdr:clientData/>
  </xdr:twoCellAnchor>
  <xdr:twoCellAnchor>
    <xdr:from>
      <xdr:col>22</xdr:col>
      <xdr:colOff>161925</xdr:colOff>
      <xdr:row>47</xdr:row>
      <xdr:rowOff>152400</xdr:rowOff>
    </xdr:from>
    <xdr:to>
      <xdr:col>32</xdr:col>
      <xdr:colOff>0</xdr:colOff>
      <xdr:row>50</xdr:row>
      <xdr:rowOff>66675</xdr:rowOff>
    </xdr:to>
    <xdr:sp macro="" textlink="">
      <xdr:nvSpPr>
        <xdr:cNvPr id="9" name="四角形吹き出し 11">
          <a:extLst>
            <a:ext uri="{FF2B5EF4-FFF2-40B4-BE49-F238E27FC236}">
              <a16:creationId xmlns:a16="http://schemas.microsoft.com/office/drawing/2014/main" id="{67428259-F5D2-BA5C-6C9A-63677372AD40}"/>
            </a:ext>
          </a:extLst>
        </xdr:cNvPr>
        <xdr:cNvSpPr/>
      </xdr:nvSpPr>
      <xdr:spPr>
        <a:xfrm>
          <a:off x="4562475" y="73914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33</xdr:col>
      <xdr:colOff>85725</xdr:colOff>
      <xdr:row>47</xdr:row>
      <xdr:rowOff>152400</xdr:rowOff>
    </xdr:from>
    <xdr:to>
      <xdr:col>40</xdr:col>
      <xdr:colOff>142875</xdr:colOff>
      <xdr:row>50</xdr:row>
      <xdr:rowOff>66675</xdr:rowOff>
    </xdr:to>
    <xdr:sp macro="" textlink="">
      <xdr:nvSpPr>
        <xdr:cNvPr id="10" name="四角形吹き出し 11">
          <a:extLst>
            <a:ext uri="{FF2B5EF4-FFF2-40B4-BE49-F238E27FC236}">
              <a16:creationId xmlns:a16="http://schemas.microsoft.com/office/drawing/2014/main" id="{13BF6904-352E-C04C-6044-0A69DD29AF83}"/>
            </a:ext>
          </a:extLst>
        </xdr:cNvPr>
        <xdr:cNvSpPr/>
      </xdr:nvSpPr>
      <xdr:spPr>
        <a:xfrm>
          <a:off x="6686550" y="7391400"/>
          <a:ext cx="1457325" cy="314325"/>
        </a:xfrm>
        <a:prstGeom prst="wedgeRectCallout">
          <a:avLst>
            <a:gd name="adj1" fmla="val -35474"/>
            <a:gd name="adj2" fmla="val 149227"/>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125</xdr:row>
      <xdr:rowOff>0</xdr:rowOff>
    </xdr:from>
    <xdr:ext cx="201083" cy="171450"/>
    <xdr:pic>
      <xdr:nvPicPr>
        <xdr:cNvPr id="12" name="図 11">
          <a:extLst>
            <a:ext uri="{FF2B5EF4-FFF2-40B4-BE49-F238E27FC236}">
              <a16:creationId xmlns:a16="http://schemas.microsoft.com/office/drawing/2014/main" id="{DB824C79-9639-406E-A53F-41BB8BF5BDE1}"/>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26396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131</xdr:row>
      <xdr:rowOff>0</xdr:rowOff>
    </xdr:from>
    <xdr:ext cx="201083" cy="171450"/>
    <xdr:pic>
      <xdr:nvPicPr>
        <xdr:cNvPr id="36" name="図 35">
          <a:extLst>
            <a:ext uri="{FF2B5EF4-FFF2-40B4-BE49-F238E27FC236}">
              <a16:creationId xmlns:a16="http://schemas.microsoft.com/office/drawing/2014/main" id="{EBC9784F-BFDC-4BFC-B613-59E3557E9EFE}"/>
            </a:ext>
          </a:extLst>
        </xdr:cNvPr>
        <xdr:cNvPicPr>
          <a:picLocks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000375" y="13325475"/>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72</xdr:row>
      <xdr:rowOff>85725</xdr:rowOff>
    </xdr:from>
    <xdr:to>
      <xdr:col>11</xdr:col>
      <xdr:colOff>76200</xdr:colOff>
      <xdr:row>74</xdr:row>
      <xdr:rowOff>0</xdr:rowOff>
    </xdr:to>
    <xdr:sp macro="" textlink="">
      <xdr:nvSpPr>
        <xdr:cNvPr id="15" name="正方形/長方形 14">
          <a:extLst>
            <a:ext uri="{FF2B5EF4-FFF2-40B4-BE49-F238E27FC236}">
              <a16:creationId xmlns:a16="http://schemas.microsoft.com/office/drawing/2014/main" id="{F39EBE78-F1A3-45C6-ABBB-2ABD08BEF1EF}"/>
            </a:ext>
          </a:extLst>
        </xdr:cNvPr>
        <xdr:cNvSpPr/>
      </xdr:nvSpPr>
      <xdr:spPr>
        <a:xfrm>
          <a:off x="1485900" y="11725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24</xdr:col>
      <xdr:colOff>180975</xdr:colOff>
      <xdr:row>58</xdr:row>
      <xdr:rowOff>123825</xdr:rowOff>
    </xdr:from>
    <xdr:to>
      <xdr:col>34</xdr:col>
      <xdr:colOff>171450</xdr:colOff>
      <xdr:row>60</xdr:row>
      <xdr:rowOff>95250</xdr:rowOff>
    </xdr:to>
    <xdr:sp macro="" textlink="">
      <xdr:nvSpPr>
        <xdr:cNvPr id="16" name="四角形吹き出し 11">
          <a:extLst>
            <a:ext uri="{FF2B5EF4-FFF2-40B4-BE49-F238E27FC236}">
              <a16:creationId xmlns:a16="http://schemas.microsoft.com/office/drawing/2014/main" id="{F4BBB47B-B91F-7E63-B0E4-93060FC378BF}"/>
            </a:ext>
          </a:extLst>
        </xdr:cNvPr>
        <xdr:cNvSpPr/>
      </xdr:nvSpPr>
      <xdr:spPr>
        <a:xfrm>
          <a:off x="4981575" y="9020175"/>
          <a:ext cx="1990725" cy="314325"/>
        </a:xfrm>
        <a:prstGeom prst="wedgeRectCallout">
          <a:avLst>
            <a:gd name="adj1" fmla="val -34820"/>
            <a:gd name="adj2" fmla="val -108349"/>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原計通貨、申請通貨は同一チェック</a:t>
          </a:r>
          <a:endParaRPr kumimoji="1" lang="en-US" altLang="ja-JP" sz="800">
            <a:solidFill>
              <a:sysClr val="windowText" lastClr="000000"/>
            </a:solidFill>
          </a:endParaRPr>
        </a:p>
      </xdr:txBody>
    </xdr:sp>
    <xdr:clientData/>
  </xdr:twoCellAnchor>
  <xdr:twoCellAnchor>
    <xdr:from>
      <xdr:col>9</xdr:col>
      <xdr:colOff>123825</xdr:colOff>
      <xdr:row>85</xdr:row>
      <xdr:rowOff>28575</xdr:rowOff>
    </xdr:from>
    <xdr:to>
      <xdr:col>16</xdr:col>
      <xdr:colOff>161925</xdr:colOff>
      <xdr:row>87</xdr:row>
      <xdr:rowOff>161925</xdr:rowOff>
    </xdr:to>
    <xdr:sp macro="" textlink="">
      <xdr:nvSpPr>
        <xdr:cNvPr id="38" name="四角形吹き出し 11">
          <a:extLst>
            <a:ext uri="{FF2B5EF4-FFF2-40B4-BE49-F238E27FC236}">
              <a16:creationId xmlns:a16="http://schemas.microsoft.com/office/drawing/2014/main" id="{D9065EE2-9C76-7AAE-F863-76B7526CDA89}"/>
            </a:ext>
          </a:extLst>
        </xdr:cNvPr>
        <xdr:cNvSpPr/>
      </xdr:nvSpPr>
      <xdr:spPr>
        <a:xfrm>
          <a:off x="1924050" y="13325475"/>
          <a:ext cx="1438275" cy="476250"/>
        </a:xfrm>
        <a:prstGeom prst="wedgeRectCallout">
          <a:avLst>
            <a:gd name="adj1" fmla="val -59700"/>
            <a:gd name="adj2" fmla="val -38652"/>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en-US" altLang="ja-JP" sz="800">
              <a:solidFill>
                <a:sysClr val="windowText" lastClr="000000"/>
              </a:solidFill>
            </a:rPr>
            <a:t>1</a:t>
          </a:r>
          <a:r>
            <a:rPr kumimoji="1" lang="ja-JP" altLang="en-US" sz="800">
              <a:solidFill>
                <a:sysClr val="windowText" lastClr="000000"/>
              </a:solidFill>
            </a:rPr>
            <a:t>行目は申請通貨</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2</a:t>
          </a:r>
          <a:r>
            <a:rPr kumimoji="1" lang="ja-JP" altLang="en-US" sz="800">
              <a:solidFill>
                <a:sysClr val="windowText" lastClr="000000"/>
              </a:solidFill>
            </a:rPr>
            <a:t>行目は</a:t>
          </a:r>
          <a:r>
            <a:rPr kumimoji="1" lang="en-US" altLang="ja-JP" sz="800">
              <a:solidFill>
                <a:sysClr val="windowText" lastClr="000000"/>
              </a:solidFill>
            </a:rPr>
            <a:t>JPY</a:t>
          </a:r>
          <a:r>
            <a:rPr kumimoji="1" lang="ja-JP" altLang="en-US" sz="800">
              <a:solidFill>
                <a:sysClr val="windowText" lastClr="000000"/>
              </a:solidFill>
            </a:rPr>
            <a:t>の表示。ただし申請通貨</a:t>
          </a:r>
          <a:r>
            <a:rPr kumimoji="1" lang="en-US" altLang="ja-JP" sz="800">
              <a:solidFill>
                <a:sysClr val="windowText" lastClr="000000"/>
              </a:solidFill>
            </a:rPr>
            <a:t>=JPY</a:t>
          </a:r>
          <a:r>
            <a:rPr kumimoji="1" lang="ja-JP" altLang="en-US" sz="800">
              <a:solidFill>
                <a:sysClr val="windowText" lastClr="000000"/>
              </a:solidFill>
            </a:rPr>
            <a:t>の場合は表示不要</a:t>
          </a:r>
          <a:endParaRPr kumimoji="1" lang="en-US" altLang="ja-JP" sz="800">
            <a:solidFill>
              <a:sysClr val="windowText" lastClr="000000"/>
            </a:solidFill>
          </a:endParaRPr>
        </a:p>
      </xdr:txBody>
    </xdr:sp>
    <xdr:clientData/>
  </xdr:twoCellAnchor>
  <xdr:twoCellAnchor>
    <xdr:from>
      <xdr:col>30</xdr:col>
      <xdr:colOff>28576</xdr:colOff>
      <xdr:row>95</xdr:row>
      <xdr:rowOff>152400</xdr:rowOff>
    </xdr:from>
    <xdr:to>
      <xdr:col>33</xdr:col>
      <xdr:colOff>152401</xdr:colOff>
      <xdr:row>96</xdr:row>
      <xdr:rowOff>171449</xdr:rowOff>
    </xdr:to>
    <xdr:sp macro="" textlink="">
      <xdr:nvSpPr>
        <xdr:cNvPr id="39" name="四角形吹き出し 11">
          <a:extLst>
            <a:ext uri="{FF2B5EF4-FFF2-40B4-BE49-F238E27FC236}">
              <a16:creationId xmlns:a16="http://schemas.microsoft.com/office/drawing/2014/main" id="{8EE65368-F519-8B05-BBFE-0280271ACD50}"/>
            </a:ext>
          </a:extLst>
        </xdr:cNvPr>
        <xdr:cNvSpPr/>
      </xdr:nvSpPr>
      <xdr:spPr>
        <a:xfrm>
          <a:off x="6029326" y="15506700"/>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twoCellAnchor>
    <xdr:from>
      <xdr:col>30</xdr:col>
      <xdr:colOff>28576</xdr:colOff>
      <xdr:row>100</xdr:row>
      <xdr:rowOff>142875</xdr:rowOff>
    </xdr:from>
    <xdr:to>
      <xdr:col>33</xdr:col>
      <xdr:colOff>152401</xdr:colOff>
      <xdr:row>101</xdr:row>
      <xdr:rowOff>161924</xdr:rowOff>
    </xdr:to>
    <xdr:sp macro="" textlink="">
      <xdr:nvSpPr>
        <xdr:cNvPr id="40" name="四角形吹き出し 11">
          <a:extLst>
            <a:ext uri="{FF2B5EF4-FFF2-40B4-BE49-F238E27FC236}">
              <a16:creationId xmlns:a16="http://schemas.microsoft.com/office/drawing/2014/main" id="{82D9EA37-D135-5844-3263-8A8612F265FB}"/>
            </a:ext>
          </a:extLst>
        </xdr:cNvPr>
        <xdr:cNvSpPr/>
      </xdr:nvSpPr>
      <xdr:spPr>
        <a:xfrm>
          <a:off x="6029326" y="16011525"/>
          <a:ext cx="723900" cy="190499"/>
        </a:xfrm>
        <a:prstGeom prst="wedgeRectCallout">
          <a:avLst>
            <a:gd name="adj1" fmla="val -67028"/>
            <a:gd name="adj2" fmla="val 619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小計欄</a:t>
          </a:r>
          <a:endParaRPr kumimoji="1" lang="en-US" altLang="ja-JP" sz="80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113</xdr:row>
      <xdr:rowOff>0</xdr:rowOff>
    </xdr:from>
    <xdr:to>
      <xdr:col>22</xdr:col>
      <xdr:colOff>0</xdr:colOff>
      <xdr:row>115</xdr:row>
      <xdr:rowOff>0</xdr:rowOff>
    </xdr:to>
    <xdr:sp macro="" textlink="">
      <xdr:nvSpPr>
        <xdr:cNvPr id="2" name="正方形/長方形 1">
          <a:extLst>
            <a:ext uri="{FF2B5EF4-FFF2-40B4-BE49-F238E27FC236}">
              <a16:creationId xmlns:a16="http://schemas.microsoft.com/office/drawing/2014/main" id="{5B42A3FF-4E4E-4FC3-A78C-C565F515A49D}"/>
            </a:ext>
          </a:extLst>
        </xdr:cNvPr>
        <xdr:cNvSpPr/>
      </xdr:nvSpPr>
      <xdr:spPr>
        <a:xfrm>
          <a:off x="30003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113</xdr:row>
      <xdr:rowOff>0</xdr:rowOff>
    </xdr:from>
    <xdr:to>
      <xdr:col>30</xdr:col>
      <xdr:colOff>0</xdr:colOff>
      <xdr:row>115</xdr:row>
      <xdr:rowOff>0</xdr:rowOff>
    </xdr:to>
    <xdr:sp macro="" textlink="">
      <xdr:nvSpPr>
        <xdr:cNvPr id="3" name="正方形/長方形 2">
          <a:extLst>
            <a:ext uri="{FF2B5EF4-FFF2-40B4-BE49-F238E27FC236}">
              <a16:creationId xmlns:a16="http://schemas.microsoft.com/office/drawing/2014/main" id="{313834E4-2DFF-48F4-81A8-668ACC7A1DD0}"/>
            </a:ext>
          </a:extLst>
        </xdr:cNvPr>
        <xdr:cNvSpPr/>
      </xdr:nvSpPr>
      <xdr:spPr>
        <a:xfrm>
          <a:off x="46005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113</xdr:row>
      <xdr:rowOff>0</xdr:rowOff>
    </xdr:from>
    <xdr:to>
      <xdr:col>38</xdr:col>
      <xdr:colOff>0</xdr:colOff>
      <xdr:row>115</xdr:row>
      <xdr:rowOff>0</xdr:rowOff>
    </xdr:to>
    <xdr:sp macro="" textlink="">
      <xdr:nvSpPr>
        <xdr:cNvPr id="4" name="正方形/長方形 3">
          <a:extLst>
            <a:ext uri="{FF2B5EF4-FFF2-40B4-BE49-F238E27FC236}">
              <a16:creationId xmlns:a16="http://schemas.microsoft.com/office/drawing/2014/main" id="{BCDF2590-7BB4-48CA-B44C-445935AAC85C}"/>
            </a:ext>
          </a:extLst>
        </xdr:cNvPr>
        <xdr:cNvSpPr/>
      </xdr:nvSpPr>
      <xdr:spPr>
        <a:xfrm>
          <a:off x="6200775" y="1678305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7D1D9B35-E5EA-4994-A54C-11D3B9CF66A9}"/>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C36B6AAB-4BC6-4B53-B374-0618A29B6BC4}"/>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C1D8B0A4-0269-4A32-8B95-01CA2FC8A5EB}"/>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77</xdr:row>
      <xdr:rowOff>85725</xdr:rowOff>
    </xdr:from>
    <xdr:to>
      <xdr:col>6</xdr:col>
      <xdr:colOff>190500</xdr:colOff>
      <xdr:row>79</xdr:row>
      <xdr:rowOff>0</xdr:rowOff>
    </xdr:to>
    <xdr:sp macro="" textlink="">
      <xdr:nvSpPr>
        <xdr:cNvPr id="10" name="正方形/長方形 9">
          <a:extLst>
            <a:ext uri="{FF2B5EF4-FFF2-40B4-BE49-F238E27FC236}">
              <a16:creationId xmlns:a16="http://schemas.microsoft.com/office/drawing/2014/main" id="{9EE9A3C6-FF56-464A-9041-72B117D1FC13}"/>
            </a:ext>
          </a:extLst>
        </xdr:cNvPr>
        <xdr:cNvSpPr/>
      </xdr:nvSpPr>
      <xdr:spPr>
        <a:xfrm>
          <a:off x="600075" y="15154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83</xdr:row>
      <xdr:rowOff>0</xdr:rowOff>
    </xdr:from>
    <xdr:to>
      <xdr:col>8</xdr:col>
      <xdr:colOff>43669</xdr:colOff>
      <xdr:row>84</xdr:row>
      <xdr:rowOff>0</xdr:rowOff>
    </xdr:to>
    <xdr:sp macro="" textlink="">
      <xdr:nvSpPr>
        <xdr:cNvPr id="11" name="正方形/長方形 10">
          <a:extLst>
            <a:ext uri="{FF2B5EF4-FFF2-40B4-BE49-F238E27FC236}">
              <a16:creationId xmlns:a16="http://schemas.microsoft.com/office/drawing/2014/main" id="{1A3C0415-354B-4296-A859-04E9E86492BA}"/>
            </a:ext>
          </a:extLst>
        </xdr:cNvPr>
        <xdr:cNvSpPr/>
      </xdr:nvSpPr>
      <xdr:spPr>
        <a:xfrm>
          <a:off x="600075" y="1586865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83</xdr:row>
      <xdr:rowOff>0</xdr:rowOff>
    </xdr:from>
    <xdr:to>
      <xdr:col>12</xdr:col>
      <xdr:colOff>0</xdr:colOff>
      <xdr:row>84</xdr:row>
      <xdr:rowOff>0</xdr:rowOff>
    </xdr:to>
    <xdr:sp macro="" textlink="">
      <xdr:nvSpPr>
        <xdr:cNvPr id="12" name="正方形/長方形 11">
          <a:extLst>
            <a:ext uri="{FF2B5EF4-FFF2-40B4-BE49-F238E27FC236}">
              <a16:creationId xmlns:a16="http://schemas.microsoft.com/office/drawing/2014/main" id="{AA5F1555-F76A-4DB1-8925-42D5DD13FA85}"/>
            </a:ext>
          </a:extLst>
        </xdr:cNvPr>
        <xdr:cNvSpPr/>
      </xdr:nvSpPr>
      <xdr:spPr>
        <a:xfrm>
          <a:off x="1756556" y="1586865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85</xdr:row>
      <xdr:rowOff>9502</xdr:rowOff>
    </xdr:from>
    <xdr:ext cx="219106" cy="161948"/>
    <xdr:pic>
      <xdr:nvPicPr>
        <xdr:cNvPr id="13" name="図 12" descr="画面の領域">
          <a:extLst>
            <a:ext uri="{FF2B5EF4-FFF2-40B4-BE49-F238E27FC236}">
              <a16:creationId xmlns:a16="http://schemas.microsoft.com/office/drawing/2014/main" id="{684F93F2-830E-4D07-A99E-39D4445834F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221052"/>
          <a:ext cx="219106" cy="161948"/>
        </a:xfrm>
        <a:prstGeom prst="rect">
          <a:avLst/>
        </a:prstGeom>
      </xdr:spPr>
    </xdr:pic>
    <xdr:clientData/>
  </xdr:oneCellAnchor>
  <xdr:twoCellAnchor editAs="oneCell">
    <xdr:from>
      <xdr:col>2</xdr:col>
      <xdr:colOff>0</xdr:colOff>
      <xdr:row>88</xdr:row>
      <xdr:rowOff>152400</xdr:rowOff>
    </xdr:from>
    <xdr:to>
      <xdr:col>2</xdr:col>
      <xdr:colOff>198148</xdr:colOff>
      <xdr:row>90</xdr:row>
      <xdr:rowOff>15269</xdr:rowOff>
    </xdr:to>
    <xdr:pic>
      <xdr:nvPicPr>
        <xdr:cNvPr id="25" name="図 24" descr="画面の領域">
          <a:extLst>
            <a:ext uri="{FF2B5EF4-FFF2-40B4-BE49-F238E27FC236}">
              <a16:creationId xmlns:a16="http://schemas.microsoft.com/office/drawing/2014/main" id="{876C42EE-F3E7-4A4D-9000-6E410CF8ED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7621250"/>
          <a:ext cx="198148" cy="205769"/>
        </a:xfrm>
        <a:prstGeom prst="rect">
          <a:avLst/>
        </a:prstGeom>
        <a:solidFill>
          <a:schemeClr val="bg1">
            <a:lumMod val="85000"/>
          </a:schemeClr>
        </a:solidFill>
      </xdr:spPr>
    </xdr:pic>
    <xdr:clientData/>
  </xdr:twoCellAnchor>
  <xdr:oneCellAnchor>
    <xdr:from>
      <xdr:col>38</xdr:col>
      <xdr:colOff>0</xdr:colOff>
      <xdr:row>108</xdr:row>
      <xdr:rowOff>9502</xdr:rowOff>
    </xdr:from>
    <xdr:ext cx="219106" cy="161948"/>
    <xdr:pic>
      <xdr:nvPicPr>
        <xdr:cNvPr id="26" name="図 25" descr="画面の領域">
          <a:extLst>
            <a:ext uri="{FF2B5EF4-FFF2-40B4-BE49-F238E27FC236}">
              <a16:creationId xmlns:a16="http://schemas.microsoft.com/office/drawing/2014/main" id="{4572524F-BBA1-4DDC-85DE-D2BCAE8D5D2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764352"/>
          <a:ext cx="219106" cy="161948"/>
        </a:xfrm>
        <a:prstGeom prst="rect">
          <a:avLst/>
        </a:prstGeom>
      </xdr:spPr>
    </xdr:pic>
    <xdr:clientData/>
  </xdr:oneCellAnchor>
  <xdr:oneCellAnchor>
    <xdr:from>
      <xdr:col>38</xdr:col>
      <xdr:colOff>0</xdr:colOff>
      <xdr:row>109</xdr:row>
      <xdr:rowOff>9502</xdr:rowOff>
    </xdr:from>
    <xdr:ext cx="219106" cy="161948"/>
    <xdr:pic>
      <xdr:nvPicPr>
        <xdr:cNvPr id="27" name="図 26" descr="画面の領域">
          <a:extLst>
            <a:ext uri="{FF2B5EF4-FFF2-40B4-BE49-F238E27FC236}">
              <a16:creationId xmlns:a16="http://schemas.microsoft.com/office/drawing/2014/main" id="{47DB8A0C-72C1-4646-9EB4-7604F531177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9935802"/>
          <a:ext cx="219106" cy="161948"/>
        </a:xfrm>
        <a:prstGeom prst="rect">
          <a:avLst/>
        </a:prstGeom>
      </xdr:spPr>
    </xdr:pic>
    <xdr:clientData/>
  </xdr:oneCellAnchor>
  <xdr:oneCellAnchor>
    <xdr:from>
      <xdr:col>38</xdr:col>
      <xdr:colOff>0</xdr:colOff>
      <xdr:row>110</xdr:row>
      <xdr:rowOff>9502</xdr:rowOff>
    </xdr:from>
    <xdr:ext cx="219106" cy="161948"/>
    <xdr:pic>
      <xdr:nvPicPr>
        <xdr:cNvPr id="28" name="図 27" descr="画面の領域">
          <a:extLst>
            <a:ext uri="{FF2B5EF4-FFF2-40B4-BE49-F238E27FC236}">
              <a16:creationId xmlns:a16="http://schemas.microsoft.com/office/drawing/2014/main" id="{2085A4C6-C3BC-4187-8ADA-68F9A8516E7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20107252"/>
          <a:ext cx="219106" cy="161948"/>
        </a:xfrm>
        <a:prstGeom prst="rect">
          <a:avLst/>
        </a:prstGeom>
      </xdr:spPr>
    </xdr:pic>
    <xdr:clientData/>
  </xdr:oneCellAnchor>
  <xdr:oneCellAnchor>
    <xdr:from>
      <xdr:col>6</xdr:col>
      <xdr:colOff>190500</xdr:colOff>
      <xdr:row>106</xdr:row>
      <xdr:rowOff>0</xdr:rowOff>
    </xdr:from>
    <xdr:ext cx="201083" cy="171450"/>
    <xdr:pic>
      <xdr:nvPicPr>
        <xdr:cNvPr id="29" name="図 28">
          <a:extLst>
            <a:ext uri="{FF2B5EF4-FFF2-40B4-BE49-F238E27FC236}">
              <a16:creationId xmlns:a16="http://schemas.microsoft.com/office/drawing/2014/main" id="{35F77A82-BFCB-4541-93AA-4C1931940DA9}"/>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94119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5" name="図 14">
          <a:extLst>
            <a:ext uri="{FF2B5EF4-FFF2-40B4-BE49-F238E27FC236}">
              <a16:creationId xmlns:a16="http://schemas.microsoft.com/office/drawing/2014/main" id="{5FE21EFA-D30A-438D-B2C9-D15A82C7BDA3}"/>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17" name="図 16">
          <a:extLst>
            <a:ext uri="{FF2B5EF4-FFF2-40B4-BE49-F238E27FC236}">
              <a16:creationId xmlns:a16="http://schemas.microsoft.com/office/drawing/2014/main" id="{3FEE4D7F-5264-41E6-B10F-1BCAD12F8B11}"/>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33" name="図 32">
          <a:extLst>
            <a:ext uri="{FF2B5EF4-FFF2-40B4-BE49-F238E27FC236}">
              <a16:creationId xmlns:a16="http://schemas.microsoft.com/office/drawing/2014/main" id="{35CB49F6-BB1F-41FE-8F80-A96B694B2A35}"/>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31</xdr:col>
      <xdr:colOff>9525</xdr:colOff>
      <xdr:row>43</xdr:row>
      <xdr:rowOff>38100</xdr:rowOff>
    </xdr:from>
    <xdr:to>
      <xdr:col>40</xdr:col>
      <xdr:colOff>47625</xdr:colOff>
      <xdr:row>45</xdr:row>
      <xdr:rowOff>123825</xdr:rowOff>
    </xdr:to>
    <xdr:sp macro="" textlink="">
      <xdr:nvSpPr>
        <xdr:cNvPr id="8" name="四角形吹き出し 11">
          <a:extLst>
            <a:ext uri="{FF2B5EF4-FFF2-40B4-BE49-F238E27FC236}">
              <a16:creationId xmlns:a16="http://schemas.microsoft.com/office/drawing/2014/main" id="{DB21661E-C8BA-46E4-8AAE-AC8C3E11DFF0}"/>
            </a:ext>
          </a:extLst>
        </xdr:cNvPr>
        <xdr:cNvSpPr/>
      </xdr:nvSpPr>
      <xdr:spPr>
        <a:xfrm>
          <a:off x="6210300" y="6819900"/>
          <a:ext cx="1838325" cy="314325"/>
        </a:xfrm>
        <a:prstGeom prst="wedgeRectCallout">
          <a:avLst>
            <a:gd name="adj1" fmla="val 5977"/>
            <a:gd name="adj2" fmla="val 137106"/>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この列まで原計通貨に応じた小数点桁数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twoCellAnchor>
    <xdr:from>
      <xdr:col>41</xdr:col>
      <xdr:colOff>133350</xdr:colOff>
      <xdr:row>43</xdr:row>
      <xdr:rowOff>38100</xdr:rowOff>
    </xdr:from>
    <xdr:to>
      <xdr:col>48</xdr:col>
      <xdr:colOff>190500</xdr:colOff>
      <xdr:row>45</xdr:row>
      <xdr:rowOff>123825</xdr:rowOff>
    </xdr:to>
    <xdr:sp macro="" textlink="">
      <xdr:nvSpPr>
        <xdr:cNvPr id="14" name="四角形吹き出し 11">
          <a:extLst>
            <a:ext uri="{FF2B5EF4-FFF2-40B4-BE49-F238E27FC236}">
              <a16:creationId xmlns:a16="http://schemas.microsoft.com/office/drawing/2014/main" id="{DF844AA9-7447-49F6-8E97-40FE027A355A}"/>
            </a:ext>
          </a:extLst>
        </xdr:cNvPr>
        <xdr:cNvSpPr/>
      </xdr:nvSpPr>
      <xdr:spPr>
        <a:xfrm>
          <a:off x="8334375" y="6819900"/>
          <a:ext cx="1457325" cy="314325"/>
        </a:xfrm>
        <a:prstGeom prst="wedgeRectCallout">
          <a:avLst>
            <a:gd name="adj1" fmla="val -46585"/>
            <a:gd name="adj2" fmla="val 128015"/>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申請通貨に応じた小数点桁数</a:t>
          </a:r>
          <a:endParaRPr kumimoji="1" lang="en-US" altLang="ja-JP" sz="800">
            <a:solidFill>
              <a:sysClr val="windowText" lastClr="000000"/>
            </a:solidFill>
          </a:endParaRPr>
        </a:p>
        <a:p>
          <a:pPr algn="l">
            <a:lnSpc>
              <a:spcPts val="900"/>
            </a:lnSpc>
          </a:pPr>
          <a:r>
            <a:rPr kumimoji="1" lang="en-US" altLang="ja-JP" sz="800">
              <a:solidFill>
                <a:sysClr val="windowText" lastClr="000000"/>
              </a:solidFill>
            </a:rPr>
            <a:t>JPY:2</a:t>
          </a:r>
          <a:r>
            <a:rPr kumimoji="1" lang="ja-JP" altLang="en-US" sz="800">
              <a:solidFill>
                <a:sysClr val="windowText" lastClr="000000"/>
              </a:solidFill>
            </a:rPr>
            <a:t>桁、それ以外</a:t>
          </a:r>
          <a:r>
            <a:rPr kumimoji="1" lang="en-US" altLang="ja-JP" sz="800">
              <a:solidFill>
                <a:sysClr val="windowText" lastClr="000000"/>
              </a:solidFill>
            </a:rPr>
            <a:t>:4</a:t>
          </a:r>
          <a:r>
            <a:rPr kumimoji="1" lang="ja-JP" altLang="en-US" sz="800">
              <a:solidFill>
                <a:sysClr val="windowText" lastClr="000000"/>
              </a:solidFill>
            </a:rPr>
            <a:t>桁</a:t>
          </a:r>
          <a:endParaRPr kumimoji="1" lang="en-US" altLang="ja-JP" sz="800">
            <a:solidFill>
              <a:sysClr val="windowText" lastClr="000000"/>
            </a:solidFill>
          </a:endParaRPr>
        </a:p>
      </xdr:txBody>
    </xdr:sp>
    <xdr:clientData/>
  </xdr:twoCellAnchor>
  <xdr:oneCellAnchor>
    <xdr:from>
      <xdr:col>15</xdr:col>
      <xdr:colOff>0</xdr:colOff>
      <xdr:row>92</xdr:row>
      <xdr:rowOff>0</xdr:rowOff>
    </xdr:from>
    <xdr:ext cx="201083" cy="171450"/>
    <xdr:pic>
      <xdr:nvPicPr>
        <xdr:cNvPr id="16" name="図 15">
          <a:extLst>
            <a:ext uri="{FF2B5EF4-FFF2-40B4-BE49-F238E27FC236}">
              <a16:creationId xmlns:a16="http://schemas.microsoft.com/office/drawing/2014/main" id="{B5705EBF-FF38-44FC-82F8-AD03FFCCC25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9354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98</xdr:row>
      <xdr:rowOff>0</xdr:rowOff>
    </xdr:from>
    <xdr:ext cx="201083" cy="171450"/>
    <xdr:pic>
      <xdr:nvPicPr>
        <xdr:cNvPr id="18" name="図 17">
          <a:extLst>
            <a:ext uri="{FF2B5EF4-FFF2-40B4-BE49-F238E27FC236}">
              <a16:creationId xmlns:a16="http://schemas.microsoft.com/office/drawing/2014/main" id="{2D8C2CA8-AF2D-4A2F-AA30-6AB3F9536482}"/>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00406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85725</xdr:colOff>
      <xdr:row>56</xdr:row>
      <xdr:rowOff>85725</xdr:rowOff>
    </xdr:from>
    <xdr:to>
      <xdr:col>11</xdr:col>
      <xdr:colOff>76200</xdr:colOff>
      <xdr:row>58</xdr:row>
      <xdr:rowOff>0</xdr:rowOff>
    </xdr:to>
    <xdr:sp macro="" textlink="">
      <xdr:nvSpPr>
        <xdr:cNvPr id="19" name="正方形/長方形 18">
          <a:extLst>
            <a:ext uri="{FF2B5EF4-FFF2-40B4-BE49-F238E27FC236}">
              <a16:creationId xmlns:a16="http://schemas.microsoft.com/office/drawing/2014/main" id="{0FE392E0-0A80-43C5-A1CC-E3653371AD3A}"/>
            </a:ext>
          </a:extLst>
        </xdr:cNvPr>
        <xdr:cNvSpPr/>
      </xdr:nvSpPr>
      <xdr:spPr>
        <a:xfrm>
          <a:off x="14859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109</xdr:row>
      <xdr:rowOff>0</xdr:rowOff>
    </xdr:from>
    <xdr:to>
      <xdr:col>22</xdr:col>
      <xdr:colOff>0</xdr:colOff>
      <xdr:row>111</xdr:row>
      <xdr:rowOff>0</xdr:rowOff>
    </xdr:to>
    <xdr:sp macro="" textlink="">
      <xdr:nvSpPr>
        <xdr:cNvPr id="2" name="正方形/長方形 1">
          <a:extLst>
            <a:ext uri="{FF2B5EF4-FFF2-40B4-BE49-F238E27FC236}">
              <a16:creationId xmlns:a16="http://schemas.microsoft.com/office/drawing/2014/main" id="{FA2175C6-7F03-4E61-8A76-3C36014DFC92}"/>
            </a:ext>
          </a:extLst>
        </xdr:cNvPr>
        <xdr:cNvSpPr/>
      </xdr:nvSpPr>
      <xdr:spPr>
        <a:xfrm>
          <a:off x="30003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en-US" altLang="ja-JP" sz="900" b="1"/>
            <a:t>CD</a:t>
          </a:r>
          <a:r>
            <a:rPr kumimoji="1" lang="ja-JP" altLang="en-US" sz="900" b="1"/>
            <a:t>資料出力</a:t>
          </a:r>
        </a:p>
      </xdr:txBody>
    </xdr:sp>
    <xdr:clientData/>
  </xdr:twoCellAnchor>
  <xdr:twoCellAnchor>
    <xdr:from>
      <xdr:col>23</xdr:col>
      <xdr:colOff>0</xdr:colOff>
      <xdr:row>109</xdr:row>
      <xdr:rowOff>0</xdr:rowOff>
    </xdr:from>
    <xdr:to>
      <xdr:col>30</xdr:col>
      <xdr:colOff>0</xdr:colOff>
      <xdr:row>111</xdr:row>
      <xdr:rowOff>0</xdr:rowOff>
    </xdr:to>
    <xdr:sp macro="" textlink="">
      <xdr:nvSpPr>
        <xdr:cNvPr id="3" name="正方形/長方形 2">
          <a:extLst>
            <a:ext uri="{FF2B5EF4-FFF2-40B4-BE49-F238E27FC236}">
              <a16:creationId xmlns:a16="http://schemas.microsoft.com/office/drawing/2014/main" id="{C8BA7484-FB42-4FCF-9FFB-67708C27D0D9}"/>
            </a:ext>
          </a:extLst>
        </xdr:cNvPr>
        <xdr:cNvSpPr/>
      </xdr:nvSpPr>
      <xdr:spPr>
        <a:xfrm>
          <a:off x="46005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一時保存</a:t>
          </a:r>
        </a:p>
      </xdr:txBody>
    </xdr:sp>
    <xdr:clientData/>
  </xdr:twoCellAnchor>
  <xdr:twoCellAnchor>
    <xdr:from>
      <xdr:col>31</xdr:col>
      <xdr:colOff>0</xdr:colOff>
      <xdr:row>109</xdr:row>
      <xdr:rowOff>0</xdr:rowOff>
    </xdr:from>
    <xdr:to>
      <xdr:col>38</xdr:col>
      <xdr:colOff>0</xdr:colOff>
      <xdr:row>111</xdr:row>
      <xdr:rowOff>0</xdr:rowOff>
    </xdr:to>
    <xdr:sp macro="" textlink="">
      <xdr:nvSpPr>
        <xdr:cNvPr id="4" name="正方形/長方形 3">
          <a:extLst>
            <a:ext uri="{FF2B5EF4-FFF2-40B4-BE49-F238E27FC236}">
              <a16:creationId xmlns:a16="http://schemas.microsoft.com/office/drawing/2014/main" id="{92615D9C-857B-4744-A6D7-A452763794BC}"/>
            </a:ext>
          </a:extLst>
        </xdr:cNvPr>
        <xdr:cNvSpPr/>
      </xdr:nvSpPr>
      <xdr:spPr>
        <a:xfrm>
          <a:off x="6200775" y="16954500"/>
          <a:ext cx="1400175" cy="34290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申請</a:t>
          </a:r>
        </a:p>
      </xdr:txBody>
    </xdr:sp>
    <xdr:clientData/>
  </xdr:twoCellAnchor>
  <xdr:twoCellAnchor>
    <xdr:from>
      <xdr:col>2</xdr:col>
      <xdr:colOff>1</xdr:colOff>
      <xdr:row>7</xdr:row>
      <xdr:rowOff>38100</xdr:rowOff>
    </xdr:from>
    <xdr:to>
      <xdr:col>2</xdr:col>
      <xdr:colOff>156483</xdr:colOff>
      <xdr:row>7</xdr:row>
      <xdr:rowOff>180975</xdr:rowOff>
    </xdr:to>
    <xdr:sp macro="" textlink="">
      <xdr:nvSpPr>
        <xdr:cNvPr id="5" name="矢印: 左 4">
          <a:extLst>
            <a:ext uri="{FF2B5EF4-FFF2-40B4-BE49-F238E27FC236}">
              <a16:creationId xmlns:a16="http://schemas.microsoft.com/office/drawing/2014/main" id="{EE679313-AA01-4378-BFE0-52E86C603938}"/>
            </a:ext>
          </a:extLst>
        </xdr:cNvPr>
        <xdr:cNvSpPr/>
      </xdr:nvSpPr>
      <xdr:spPr>
        <a:xfrm>
          <a:off x="400051" y="1162050"/>
          <a:ext cx="156482" cy="142875"/>
        </a:xfrm>
        <a:prstGeom prst="leftArrow">
          <a:avLst/>
        </a:prstGeom>
        <a:solidFill>
          <a:schemeClr val="bg1">
            <a:lumMod val="50000"/>
          </a:schemeClr>
        </a:solidFill>
        <a:ln w="12700">
          <a:solidFill>
            <a:schemeClr val="bg1">
              <a:lumMod val="50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oneCellAnchor>
    <xdr:from>
      <xdr:col>32</xdr:col>
      <xdr:colOff>57150</xdr:colOff>
      <xdr:row>18</xdr:row>
      <xdr:rowOff>19050</xdr:rowOff>
    </xdr:from>
    <xdr:ext cx="154327" cy="154327"/>
    <xdr:pic>
      <xdr:nvPicPr>
        <xdr:cNvPr id="6" name="図 5" descr="画面の領域">
          <a:extLst>
            <a:ext uri="{FF2B5EF4-FFF2-40B4-BE49-F238E27FC236}">
              <a16:creationId xmlns:a16="http://schemas.microsoft.com/office/drawing/2014/main" id="{180DFBDD-5FDC-439E-9F46-AEF523A2612E}"/>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7950" y="2971800"/>
          <a:ext cx="154327" cy="154327"/>
        </a:xfrm>
        <a:prstGeom prst="rect">
          <a:avLst/>
        </a:prstGeom>
        <a:ln>
          <a:solidFill>
            <a:schemeClr val="bg1">
              <a:lumMod val="50000"/>
            </a:schemeClr>
          </a:solidFill>
        </a:ln>
      </xdr:spPr>
    </xdr:pic>
    <xdr:clientData/>
  </xdr:oneCellAnchor>
  <xdr:twoCellAnchor>
    <xdr:from>
      <xdr:col>3</xdr:col>
      <xdr:colOff>9525</xdr:colOff>
      <xdr:row>56</xdr:row>
      <xdr:rowOff>85725</xdr:rowOff>
    </xdr:from>
    <xdr:to>
      <xdr:col>7</xdr:col>
      <xdr:colOff>0</xdr:colOff>
      <xdr:row>58</xdr:row>
      <xdr:rowOff>0</xdr:rowOff>
    </xdr:to>
    <xdr:sp macro="" textlink="">
      <xdr:nvSpPr>
        <xdr:cNvPr id="7" name="正方形/長方形 6">
          <a:extLst>
            <a:ext uri="{FF2B5EF4-FFF2-40B4-BE49-F238E27FC236}">
              <a16:creationId xmlns:a16="http://schemas.microsoft.com/office/drawing/2014/main" id="{BAEC1DF1-B2C4-4B33-84E5-D2B3604AB064}"/>
            </a:ext>
          </a:extLst>
        </xdr:cNvPr>
        <xdr:cNvSpPr/>
      </xdr:nvSpPr>
      <xdr:spPr>
        <a:xfrm>
          <a:off x="609600" y="105822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反映</a:t>
          </a:r>
        </a:p>
      </xdr:txBody>
    </xdr:sp>
    <xdr:clientData/>
  </xdr:twoCellAnchor>
  <xdr:twoCellAnchor>
    <xdr:from>
      <xdr:col>3</xdr:col>
      <xdr:colOff>0</xdr:colOff>
      <xdr:row>73</xdr:row>
      <xdr:rowOff>85725</xdr:rowOff>
    </xdr:from>
    <xdr:to>
      <xdr:col>6</xdr:col>
      <xdr:colOff>190500</xdr:colOff>
      <xdr:row>75</xdr:row>
      <xdr:rowOff>0</xdr:rowOff>
    </xdr:to>
    <xdr:sp macro="" textlink="">
      <xdr:nvSpPr>
        <xdr:cNvPr id="10" name="正方形/長方形 9">
          <a:extLst>
            <a:ext uri="{FF2B5EF4-FFF2-40B4-BE49-F238E27FC236}">
              <a16:creationId xmlns:a16="http://schemas.microsoft.com/office/drawing/2014/main" id="{8399818F-5F0A-43FC-AAFC-D18B112A98C6}"/>
            </a:ext>
          </a:extLst>
        </xdr:cNvPr>
        <xdr:cNvSpPr/>
      </xdr:nvSpPr>
      <xdr:spPr>
        <a:xfrm>
          <a:off x="600075" y="1532572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twoCellAnchor>
    <xdr:from>
      <xdr:col>3</xdr:col>
      <xdr:colOff>0</xdr:colOff>
      <xdr:row>79</xdr:row>
      <xdr:rowOff>0</xdr:rowOff>
    </xdr:from>
    <xdr:to>
      <xdr:col>8</xdr:col>
      <xdr:colOff>43669</xdr:colOff>
      <xdr:row>80</xdr:row>
      <xdr:rowOff>0</xdr:rowOff>
    </xdr:to>
    <xdr:sp macro="" textlink="">
      <xdr:nvSpPr>
        <xdr:cNvPr id="11" name="正方形/長方形 10">
          <a:extLst>
            <a:ext uri="{FF2B5EF4-FFF2-40B4-BE49-F238E27FC236}">
              <a16:creationId xmlns:a16="http://schemas.microsoft.com/office/drawing/2014/main" id="{C1A87268-0949-40FC-B032-F9F28562860A}"/>
            </a:ext>
          </a:extLst>
        </xdr:cNvPr>
        <xdr:cNvSpPr/>
      </xdr:nvSpPr>
      <xdr:spPr>
        <a:xfrm>
          <a:off x="600075" y="16040100"/>
          <a:ext cx="104379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ja-JP" altLang="en-US" sz="1100" b="1">
              <a:solidFill>
                <a:srgbClr val="00B050"/>
              </a:solidFill>
            </a:rPr>
            <a:t>＋</a:t>
          </a:r>
          <a:r>
            <a:rPr kumimoji="1" lang="ja-JP" altLang="en-US" sz="900"/>
            <a:t> ファイル追加</a:t>
          </a:r>
          <a:r>
            <a:rPr kumimoji="1" lang="en-US" altLang="ja-JP" sz="900"/>
            <a:t>…</a:t>
          </a:r>
          <a:endParaRPr kumimoji="1" lang="ja-JP" altLang="en-US" sz="900"/>
        </a:p>
      </xdr:txBody>
    </xdr:sp>
    <xdr:clientData/>
  </xdr:twoCellAnchor>
  <xdr:twoCellAnchor>
    <xdr:from>
      <xdr:col>8</xdr:col>
      <xdr:colOff>156356</xdr:colOff>
      <xdr:row>79</xdr:row>
      <xdr:rowOff>0</xdr:rowOff>
    </xdr:from>
    <xdr:to>
      <xdr:col>12</xdr:col>
      <xdr:colOff>0</xdr:colOff>
      <xdr:row>80</xdr:row>
      <xdr:rowOff>0</xdr:rowOff>
    </xdr:to>
    <xdr:sp macro="" textlink="">
      <xdr:nvSpPr>
        <xdr:cNvPr id="12" name="正方形/長方形 11">
          <a:extLst>
            <a:ext uri="{FF2B5EF4-FFF2-40B4-BE49-F238E27FC236}">
              <a16:creationId xmlns:a16="http://schemas.microsoft.com/office/drawing/2014/main" id="{32F3DE82-4C82-422B-91F1-31FB8447F575}"/>
            </a:ext>
          </a:extLst>
        </xdr:cNvPr>
        <xdr:cNvSpPr/>
      </xdr:nvSpPr>
      <xdr:spPr>
        <a:xfrm>
          <a:off x="1756556" y="16040100"/>
          <a:ext cx="643744" cy="171450"/>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lIns="36000" tIns="36000" rIns="36000" bIns="36000" rtlCol="0" anchor="ctr"/>
        <a:lstStyle/>
        <a:p>
          <a:pPr algn="ctr"/>
          <a:r>
            <a:rPr kumimoji="1" lang="en-US" altLang="ja-JP" sz="1100" b="1">
              <a:solidFill>
                <a:srgbClr val="FF0000"/>
              </a:solidFill>
            </a:rPr>
            <a:t>×</a:t>
          </a:r>
          <a:r>
            <a:rPr kumimoji="1" lang="ja-JP" altLang="en-US" sz="900"/>
            <a:t> 　中断</a:t>
          </a:r>
        </a:p>
      </xdr:txBody>
    </xdr:sp>
    <xdr:clientData/>
  </xdr:twoCellAnchor>
  <xdr:oneCellAnchor>
    <xdr:from>
      <xdr:col>22</xdr:col>
      <xdr:colOff>0</xdr:colOff>
      <xdr:row>81</xdr:row>
      <xdr:rowOff>9502</xdr:rowOff>
    </xdr:from>
    <xdr:ext cx="219106" cy="161948"/>
    <xdr:pic>
      <xdr:nvPicPr>
        <xdr:cNvPr id="13" name="図 12" descr="画面の領域">
          <a:extLst>
            <a:ext uri="{FF2B5EF4-FFF2-40B4-BE49-F238E27FC236}">
              <a16:creationId xmlns:a16="http://schemas.microsoft.com/office/drawing/2014/main" id="{37DE3216-9508-47E8-8E92-4EA1590DE72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00550" y="16392502"/>
          <a:ext cx="219106" cy="161948"/>
        </a:xfrm>
        <a:prstGeom prst="rect">
          <a:avLst/>
        </a:prstGeom>
      </xdr:spPr>
    </xdr:pic>
    <xdr:clientData/>
  </xdr:oneCellAnchor>
  <xdr:twoCellAnchor>
    <xdr:from>
      <xdr:col>45</xdr:col>
      <xdr:colOff>76200</xdr:colOff>
      <xdr:row>56</xdr:row>
      <xdr:rowOff>0</xdr:rowOff>
    </xdr:from>
    <xdr:to>
      <xdr:col>53</xdr:col>
      <xdr:colOff>66675</xdr:colOff>
      <xdr:row>59</xdr:row>
      <xdr:rowOff>66676</xdr:rowOff>
    </xdr:to>
    <xdr:sp macro="" textlink="">
      <xdr:nvSpPr>
        <xdr:cNvPr id="23" name="四角形吹き出し 11">
          <a:extLst>
            <a:ext uri="{FF2B5EF4-FFF2-40B4-BE49-F238E27FC236}">
              <a16:creationId xmlns:a16="http://schemas.microsoft.com/office/drawing/2014/main" id="{A2056365-3806-B7C9-F686-6612E6E03C17}"/>
            </a:ext>
          </a:extLst>
        </xdr:cNvPr>
        <xdr:cNvSpPr/>
      </xdr:nvSpPr>
      <xdr:spPr>
        <a:xfrm>
          <a:off x="9077325" y="11582399"/>
          <a:ext cx="1590675" cy="523877"/>
        </a:xfrm>
        <a:prstGeom prst="wedgeRectCallout">
          <a:avLst>
            <a:gd name="adj1" fmla="val 14928"/>
            <a:gd name="adj2" fmla="val 104761"/>
          </a:avLst>
        </a:prstGeom>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r>
            <a:rPr kumimoji="1" lang="ja-JP" altLang="en-US" sz="800">
              <a:solidFill>
                <a:sysClr val="windowText" lastClr="000000"/>
              </a:solidFill>
            </a:rPr>
            <a:t>申請価格の計算式を確認する</a:t>
          </a:r>
          <a:r>
            <a:rPr kumimoji="1" lang="en-US" altLang="ja-JP" sz="800">
              <a:solidFill>
                <a:sysClr val="windowText" lastClr="000000"/>
              </a:solidFill>
            </a:rPr>
            <a:t>2022.10.20  AA</a:t>
          </a:r>
        </a:p>
        <a:p>
          <a:pPr algn="l">
            <a:lnSpc>
              <a:spcPts val="900"/>
            </a:lnSpc>
          </a:pPr>
          <a:r>
            <a:rPr kumimoji="1" lang="en-US" altLang="ja-JP" sz="800">
              <a:solidFill>
                <a:sysClr val="windowText" lastClr="000000"/>
              </a:solidFill>
            </a:rPr>
            <a:t>FOB</a:t>
          </a:r>
          <a:r>
            <a:rPr kumimoji="1" lang="ja-JP" altLang="en-US" sz="800">
              <a:solidFill>
                <a:sysClr val="windowText" lastClr="000000"/>
              </a:solidFill>
            </a:rPr>
            <a:t>価格 </a:t>
          </a:r>
          <a:r>
            <a:rPr kumimoji="1" lang="en-US" altLang="ja-JP" sz="800">
              <a:solidFill>
                <a:sysClr val="windowText" lastClr="000000"/>
              </a:solidFill>
            </a:rPr>
            <a:t>- (CIF</a:t>
          </a:r>
          <a:r>
            <a:rPr kumimoji="1" lang="ja-JP" altLang="en-US" sz="800">
              <a:solidFill>
                <a:sysClr val="windowText" lastClr="000000"/>
              </a:solidFill>
            </a:rPr>
            <a:t>価格 * 口銭率</a:t>
          </a:r>
          <a:r>
            <a:rPr kumimoji="1" lang="en-US" altLang="ja-JP" sz="800">
              <a:solidFill>
                <a:sysClr val="windowText" lastClr="000000"/>
              </a:solidFill>
            </a:rPr>
            <a:t>)</a:t>
          </a:r>
        </a:p>
        <a:p>
          <a:pPr algn="l">
            <a:lnSpc>
              <a:spcPts val="900"/>
            </a:lnSpc>
          </a:pPr>
          <a:endParaRPr kumimoji="1" lang="en-US" altLang="ja-JP" sz="800">
            <a:solidFill>
              <a:sysClr val="windowText" lastClr="000000"/>
            </a:solidFill>
          </a:endParaRPr>
        </a:p>
      </xdr:txBody>
    </xdr:sp>
    <xdr:clientData/>
  </xdr:twoCellAnchor>
  <xdr:twoCellAnchor editAs="oneCell">
    <xdr:from>
      <xdr:col>2</xdr:col>
      <xdr:colOff>0</xdr:colOff>
      <xdr:row>84</xdr:row>
      <xdr:rowOff>152400</xdr:rowOff>
    </xdr:from>
    <xdr:to>
      <xdr:col>3</xdr:col>
      <xdr:colOff>28</xdr:colOff>
      <xdr:row>86</xdr:row>
      <xdr:rowOff>19079</xdr:rowOff>
    </xdr:to>
    <xdr:pic>
      <xdr:nvPicPr>
        <xdr:cNvPr id="16" name="図 15" descr="画面の領域">
          <a:extLst>
            <a:ext uri="{FF2B5EF4-FFF2-40B4-BE49-F238E27FC236}">
              <a16:creationId xmlns:a16="http://schemas.microsoft.com/office/drawing/2014/main" id="{3B5E84CC-F78F-43BF-8F6C-9833420E55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0050" y="11849100"/>
          <a:ext cx="198148" cy="205769"/>
        </a:xfrm>
        <a:prstGeom prst="rect">
          <a:avLst/>
        </a:prstGeom>
        <a:solidFill>
          <a:schemeClr val="bg1">
            <a:lumMod val="85000"/>
          </a:schemeClr>
        </a:solidFill>
      </xdr:spPr>
    </xdr:pic>
    <xdr:clientData/>
  </xdr:twoCellAnchor>
  <xdr:oneCellAnchor>
    <xdr:from>
      <xdr:col>38</xdr:col>
      <xdr:colOff>0</xdr:colOff>
      <xdr:row>104</xdr:row>
      <xdr:rowOff>9502</xdr:rowOff>
    </xdr:from>
    <xdr:ext cx="219106" cy="161948"/>
    <xdr:pic>
      <xdr:nvPicPr>
        <xdr:cNvPr id="17" name="図 16" descr="画面の領域">
          <a:extLst>
            <a:ext uri="{FF2B5EF4-FFF2-40B4-BE49-F238E27FC236}">
              <a16:creationId xmlns:a16="http://schemas.microsoft.com/office/drawing/2014/main" id="{5D13003C-2616-4106-89D2-6F8DBD4A824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3992202"/>
          <a:ext cx="219106" cy="161948"/>
        </a:xfrm>
        <a:prstGeom prst="rect">
          <a:avLst/>
        </a:prstGeom>
      </xdr:spPr>
    </xdr:pic>
    <xdr:clientData/>
  </xdr:oneCellAnchor>
  <xdr:oneCellAnchor>
    <xdr:from>
      <xdr:col>38</xdr:col>
      <xdr:colOff>0</xdr:colOff>
      <xdr:row>105</xdr:row>
      <xdr:rowOff>9502</xdr:rowOff>
    </xdr:from>
    <xdr:ext cx="219106" cy="161948"/>
    <xdr:pic>
      <xdr:nvPicPr>
        <xdr:cNvPr id="18" name="図 17" descr="画面の領域">
          <a:extLst>
            <a:ext uri="{FF2B5EF4-FFF2-40B4-BE49-F238E27FC236}">
              <a16:creationId xmlns:a16="http://schemas.microsoft.com/office/drawing/2014/main" id="{856CBFCD-43ED-4526-91B6-2D2321C09DC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163652"/>
          <a:ext cx="219106" cy="161948"/>
        </a:xfrm>
        <a:prstGeom prst="rect">
          <a:avLst/>
        </a:prstGeom>
      </xdr:spPr>
    </xdr:pic>
    <xdr:clientData/>
  </xdr:oneCellAnchor>
  <xdr:oneCellAnchor>
    <xdr:from>
      <xdr:col>38</xdr:col>
      <xdr:colOff>0</xdr:colOff>
      <xdr:row>106</xdr:row>
      <xdr:rowOff>9502</xdr:rowOff>
    </xdr:from>
    <xdr:ext cx="219106" cy="161948"/>
    <xdr:pic>
      <xdr:nvPicPr>
        <xdr:cNvPr id="19" name="図 18" descr="画面の領域">
          <a:extLst>
            <a:ext uri="{FF2B5EF4-FFF2-40B4-BE49-F238E27FC236}">
              <a16:creationId xmlns:a16="http://schemas.microsoft.com/office/drawing/2014/main" id="{0CB3E6E8-03EB-46A0-B28B-973242E6840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600950" y="14335102"/>
          <a:ext cx="219106" cy="161948"/>
        </a:xfrm>
        <a:prstGeom prst="rect">
          <a:avLst/>
        </a:prstGeom>
      </xdr:spPr>
    </xdr:pic>
    <xdr:clientData/>
  </xdr:oneCellAnchor>
  <xdr:oneCellAnchor>
    <xdr:from>
      <xdr:col>6</xdr:col>
      <xdr:colOff>190500</xdr:colOff>
      <xdr:row>102</xdr:row>
      <xdr:rowOff>0</xdr:rowOff>
    </xdr:from>
    <xdr:ext cx="201083" cy="171450"/>
    <xdr:pic>
      <xdr:nvPicPr>
        <xdr:cNvPr id="20" name="図 19">
          <a:extLst>
            <a:ext uri="{FF2B5EF4-FFF2-40B4-BE49-F238E27FC236}">
              <a16:creationId xmlns:a16="http://schemas.microsoft.com/office/drawing/2014/main" id="{F27D5283-CCDF-4824-BA1A-C299DEE5159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390650" y="136398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2" name="図 21">
          <a:extLst>
            <a:ext uri="{FF2B5EF4-FFF2-40B4-BE49-F238E27FC236}">
              <a16:creationId xmlns:a16="http://schemas.microsoft.com/office/drawing/2014/main" id="{D8FA51ED-F86D-4D96-B7C0-0D32F27B115E}"/>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32</xdr:col>
      <xdr:colOff>0</xdr:colOff>
      <xdr:row>26</xdr:row>
      <xdr:rowOff>0</xdr:rowOff>
    </xdr:from>
    <xdr:ext cx="201083" cy="171450"/>
    <xdr:pic>
      <xdr:nvPicPr>
        <xdr:cNvPr id="26" name="図 25">
          <a:extLst>
            <a:ext uri="{FF2B5EF4-FFF2-40B4-BE49-F238E27FC236}">
              <a16:creationId xmlns:a16="http://schemas.microsoft.com/office/drawing/2014/main" id="{901EE48C-3B75-4389-8C13-C56CBCA9B1E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400800" y="40957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17</xdr:row>
      <xdr:rowOff>0</xdr:rowOff>
    </xdr:from>
    <xdr:ext cx="201083" cy="171450"/>
    <xdr:pic>
      <xdr:nvPicPr>
        <xdr:cNvPr id="8" name="図 7">
          <a:extLst>
            <a:ext uri="{FF2B5EF4-FFF2-40B4-BE49-F238E27FC236}">
              <a16:creationId xmlns:a16="http://schemas.microsoft.com/office/drawing/2014/main" id="{CE2250BB-491C-4103-B119-BA7B62BF15B8}"/>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278130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88</xdr:row>
      <xdr:rowOff>0</xdr:rowOff>
    </xdr:from>
    <xdr:ext cx="201083" cy="171450"/>
    <xdr:pic>
      <xdr:nvPicPr>
        <xdr:cNvPr id="9" name="図 8">
          <a:extLst>
            <a:ext uri="{FF2B5EF4-FFF2-40B4-BE49-F238E27FC236}">
              <a16:creationId xmlns:a16="http://schemas.microsoft.com/office/drawing/2014/main" id="{BEE88940-0833-4D65-93A1-A1776DA5D46B}"/>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39255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oneCellAnchor>
    <xdr:from>
      <xdr:col>15</xdr:col>
      <xdr:colOff>0</xdr:colOff>
      <xdr:row>94</xdr:row>
      <xdr:rowOff>0</xdr:rowOff>
    </xdr:from>
    <xdr:ext cx="201083" cy="171450"/>
    <xdr:pic>
      <xdr:nvPicPr>
        <xdr:cNvPr id="21" name="図 20">
          <a:extLst>
            <a:ext uri="{FF2B5EF4-FFF2-40B4-BE49-F238E27FC236}">
              <a16:creationId xmlns:a16="http://schemas.microsoft.com/office/drawing/2014/main" id="{1041A5B3-8B90-4609-BCD5-C2F7B8C54157}"/>
            </a:ext>
          </a:extLst>
        </xdr:cNvPr>
        <xdr:cNvPicPr>
          <a:picLocks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3000375" y="14611350"/>
          <a:ext cx="201083" cy="171450"/>
        </a:xfrm>
        <a:prstGeom prst="rect">
          <a:avLst/>
        </a:prstGeom>
        <a:noFill/>
        <a:ln>
          <a:solidFill>
            <a:schemeClr val="bg1">
              <a:lumMod val="50000"/>
            </a:schemeClr>
          </a:solidFill>
        </a:ln>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123825</xdr:colOff>
      <xdr:row>56</xdr:row>
      <xdr:rowOff>85725</xdr:rowOff>
    </xdr:from>
    <xdr:to>
      <xdr:col>11</xdr:col>
      <xdr:colOff>114300</xdr:colOff>
      <xdr:row>58</xdr:row>
      <xdr:rowOff>0</xdr:rowOff>
    </xdr:to>
    <xdr:sp macro="" textlink="">
      <xdr:nvSpPr>
        <xdr:cNvPr id="14" name="正方形/長方形 13">
          <a:extLst>
            <a:ext uri="{FF2B5EF4-FFF2-40B4-BE49-F238E27FC236}">
              <a16:creationId xmlns:a16="http://schemas.microsoft.com/office/drawing/2014/main" id="{8F4C95BB-93EA-4D0A-AC5D-31D2945DC518}"/>
            </a:ext>
          </a:extLst>
        </xdr:cNvPr>
        <xdr:cNvSpPr/>
      </xdr:nvSpPr>
      <xdr:spPr>
        <a:xfrm>
          <a:off x="1524000" y="8867775"/>
          <a:ext cx="790575" cy="257175"/>
        </a:xfrm>
        <a:prstGeom prst="rect">
          <a:avLst/>
        </a:prstGeom>
        <a:ln/>
      </xdr:spPr>
      <xdr:style>
        <a:lnRef idx="1">
          <a:schemeClr val="dk1"/>
        </a:lnRef>
        <a:fillRef idx="2">
          <a:schemeClr val="dk1"/>
        </a:fillRef>
        <a:effectRef idx="1">
          <a:schemeClr val="dk1"/>
        </a:effectRef>
        <a:fontRef idx="minor">
          <a:schemeClr val="dk1"/>
        </a:fontRef>
      </xdr:style>
      <xdr:txBody>
        <a:bodyPr vertOverflow="clip" horzOverflow="clip" wrap="none" lIns="0" tIns="0" rIns="0" bIns="0" rtlCol="0" anchor="ctr"/>
        <a:lstStyle/>
        <a:p>
          <a:pPr algn="ctr"/>
          <a:r>
            <a:rPr kumimoji="1" lang="ja-JP" altLang="en-US" sz="900" b="1"/>
            <a:t>エクセル出力</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9.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10.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12.bin"/><Relationship Id="rId4"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3.bin"/><Relationship Id="rId4"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4.bin"/><Relationship Id="rId4" Type="http://schemas.openxmlformats.org/officeDocument/2006/relationships/comments" Target="../comments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703" t="str">
        <f ca="1">TEXT(変更来歴!AT2,"yyyy年 mm月 dd日") &amp; " " &amp; 変更来歴!AT3</f>
        <v>2026年 04月 22日 r1.2</v>
      </c>
      <c r="C22" s="704"/>
      <c r="D22" s="704"/>
      <c r="E22" s="704"/>
      <c r="F22" s="704"/>
      <c r="G22" s="704"/>
      <c r="H22" s="704"/>
    </row>
    <row r="23" spans="2:8" ht="14.25" customHeight="1"/>
    <row r="24" spans="2:8" ht="14.25" customHeight="1"/>
    <row r="25" spans="2:8" ht="14.25" customHeight="1"/>
    <row r="26" spans="2:8" ht="14.25" customHeight="1"/>
    <row r="27" spans="2:8" ht="14.25" customHeight="1"/>
    <row r="28" spans="2:8" ht="14.25" customHeight="1">
      <c r="C28" s="705" t="s">
        <v>28</v>
      </c>
      <c r="D28" s="705"/>
      <c r="E28" s="705"/>
      <c r="F28" s="705" t="s">
        <v>0</v>
      </c>
      <c r="G28" s="705"/>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706"/>
      <c r="D33" s="706"/>
      <c r="E33" s="706"/>
      <c r="F33" s="706"/>
      <c r="G33" s="706"/>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701"/>
    </row>
    <row r="39" spans="3:20" ht="14.25" customHeight="1">
      <c r="K39" s="17"/>
      <c r="L39" s="12"/>
      <c r="M39" s="8"/>
      <c r="N39" s="12"/>
      <c r="O39" s="8"/>
      <c r="P39" s="8"/>
      <c r="Q39" s="8"/>
      <c r="R39" s="14"/>
      <c r="S39" s="19"/>
      <c r="T39" s="702"/>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701"/>
    </row>
    <row r="43" spans="3:20" s="8" customFormat="1" ht="14.25" customHeight="1">
      <c r="K43" s="17"/>
      <c r="L43" s="12"/>
      <c r="N43" s="12"/>
      <c r="R43" s="14"/>
      <c r="S43" s="19"/>
      <c r="T43" s="701"/>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701"/>
    </row>
    <row r="47" spans="3:20" ht="14.25" customHeight="1">
      <c r="K47" s="17"/>
      <c r="L47" s="12"/>
      <c r="M47" s="8"/>
      <c r="N47" s="12"/>
      <c r="O47" s="8"/>
      <c r="P47" s="8"/>
      <c r="Q47" s="8"/>
      <c r="R47" s="14"/>
      <c r="S47" s="19"/>
      <c r="T47" s="701"/>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701"/>
    </row>
    <row r="51" spans="11:20" ht="14.25" customHeight="1">
      <c r="K51" s="17"/>
      <c r="L51" s="12"/>
      <c r="M51" s="8"/>
      <c r="N51" s="12"/>
      <c r="O51" s="8"/>
      <c r="P51" s="8"/>
      <c r="Q51" s="8"/>
      <c r="R51" s="14"/>
      <c r="S51" s="19"/>
      <c r="T51" s="701"/>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701"/>
    </row>
    <row r="55" spans="11:20">
      <c r="K55" s="17"/>
      <c r="L55" s="12"/>
      <c r="M55" s="8"/>
      <c r="N55" s="12"/>
      <c r="O55" s="8"/>
      <c r="P55" s="8"/>
      <c r="Q55" s="8"/>
      <c r="R55" s="14"/>
      <c r="S55" s="19"/>
      <c r="T55" s="702"/>
    </row>
    <row r="57" spans="11:20">
      <c r="K57" s="11"/>
      <c r="L57" s="12"/>
      <c r="M57" s="8"/>
      <c r="N57" s="12"/>
      <c r="O57" s="13"/>
      <c r="P57" s="14"/>
      <c r="Q57" s="15"/>
      <c r="R57" s="14"/>
      <c r="S57" s="16"/>
      <c r="T57" s="14"/>
    </row>
    <row r="58" spans="11:20">
      <c r="K58" s="17"/>
      <c r="L58" s="12"/>
      <c r="M58" s="18"/>
      <c r="N58" s="12"/>
      <c r="O58" s="8"/>
      <c r="P58" s="14"/>
      <c r="Q58" s="15"/>
      <c r="R58" s="14"/>
      <c r="S58" s="16"/>
      <c r="T58" s="701"/>
    </row>
    <row r="59" spans="11:20">
      <c r="K59" s="17"/>
      <c r="L59" s="12"/>
      <c r="M59" s="8"/>
      <c r="N59" s="12"/>
      <c r="O59" s="8"/>
      <c r="P59" s="8"/>
      <c r="Q59" s="8"/>
      <c r="R59" s="14"/>
      <c r="S59" s="19"/>
      <c r="T59" s="702"/>
    </row>
    <row r="61" spans="11:20">
      <c r="K61" s="11"/>
      <c r="L61" s="12"/>
      <c r="M61" s="8"/>
      <c r="N61" s="12"/>
      <c r="O61" s="13"/>
      <c r="P61" s="14"/>
      <c r="Q61" s="15"/>
      <c r="R61" s="14"/>
      <c r="S61" s="16"/>
      <c r="T61" s="14"/>
    </row>
    <row r="62" spans="11:20">
      <c r="K62" s="17"/>
      <c r="L62" s="12"/>
      <c r="M62" s="18"/>
      <c r="N62" s="12"/>
      <c r="O62" s="8"/>
      <c r="P62" s="14"/>
      <c r="Q62" s="15"/>
      <c r="R62" s="14"/>
      <c r="S62" s="16"/>
      <c r="T62" s="701"/>
    </row>
    <row r="63" spans="11:20">
      <c r="K63" s="17"/>
      <c r="L63" s="12"/>
      <c r="M63" s="8"/>
      <c r="N63" s="12"/>
      <c r="O63" s="8"/>
      <c r="P63" s="8"/>
      <c r="Q63" s="8"/>
      <c r="R63" s="14"/>
      <c r="S63" s="19"/>
      <c r="T63" s="702"/>
    </row>
    <row r="65" spans="11:20">
      <c r="K65" s="11"/>
      <c r="L65" s="12"/>
      <c r="M65" s="8"/>
      <c r="N65" s="12"/>
      <c r="O65" s="13"/>
      <c r="P65" s="14"/>
      <c r="Q65" s="15"/>
      <c r="R65" s="14"/>
      <c r="S65" s="16"/>
      <c r="T65" s="14"/>
    </row>
    <row r="66" spans="11:20">
      <c r="K66" s="17"/>
      <c r="L66" s="12"/>
      <c r="M66" s="18"/>
      <c r="N66" s="12"/>
      <c r="O66" s="8"/>
      <c r="P66" s="14"/>
      <c r="Q66" s="15"/>
      <c r="R66" s="14"/>
      <c r="S66" s="16"/>
      <c r="T66" s="701"/>
    </row>
    <row r="67" spans="11:20">
      <c r="K67" s="17"/>
      <c r="L67" s="12"/>
      <c r="M67" s="8"/>
      <c r="N67" s="12"/>
      <c r="O67" s="8"/>
      <c r="P67" s="8"/>
      <c r="Q67" s="8"/>
      <c r="R67" s="14"/>
      <c r="S67" s="19"/>
      <c r="T67" s="702"/>
    </row>
    <row r="69" spans="11:20">
      <c r="K69" s="11"/>
      <c r="L69" s="12"/>
      <c r="M69" s="8"/>
      <c r="N69" s="12"/>
      <c r="O69" s="13"/>
      <c r="P69" s="14"/>
      <c r="Q69" s="15"/>
      <c r="R69" s="14"/>
      <c r="S69" s="16"/>
      <c r="T69" s="14"/>
    </row>
    <row r="70" spans="11:20">
      <c r="K70" s="17"/>
      <c r="L70" s="12"/>
      <c r="M70" s="18"/>
      <c r="N70" s="12"/>
      <c r="O70" s="8"/>
      <c r="P70" s="14"/>
      <c r="Q70" s="15"/>
      <c r="R70" s="14"/>
      <c r="S70" s="16"/>
      <c r="T70" s="701"/>
    </row>
    <row r="71" spans="11:20">
      <c r="K71" s="17"/>
      <c r="L71" s="12"/>
      <c r="M71" s="20"/>
      <c r="N71" s="12"/>
      <c r="O71" s="8"/>
      <c r="P71" s="8"/>
      <c r="Q71" s="8"/>
      <c r="R71" s="14"/>
      <c r="S71" s="19"/>
      <c r="T71" s="702"/>
    </row>
    <row r="73" spans="11:20">
      <c r="K73" s="11"/>
      <c r="L73" s="12"/>
      <c r="M73" s="8"/>
      <c r="N73" s="12"/>
      <c r="O73" s="13"/>
      <c r="P73" s="14"/>
      <c r="Q73" s="15"/>
      <c r="R73" s="14"/>
      <c r="S73" s="16"/>
      <c r="T73" s="14"/>
    </row>
    <row r="74" spans="11:20">
      <c r="K74" s="17"/>
      <c r="L74" s="12"/>
      <c r="M74" s="18"/>
      <c r="N74" s="12"/>
      <c r="O74" s="8"/>
      <c r="P74" s="14"/>
      <c r="Q74" s="15"/>
      <c r="R74" s="14"/>
      <c r="S74" s="16"/>
      <c r="T74" s="701"/>
    </row>
    <row r="75" spans="11:20">
      <c r="K75" s="17"/>
      <c r="L75" s="12"/>
      <c r="M75" s="8"/>
      <c r="N75" s="12"/>
      <c r="O75" s="8"/>
      <c r="P75" s="8"/>
      <c r="Q75" s="8"/>
      <c r="R75" s="14"/>
      <c r="S75" s="19"/>
      <c r="T75" s="702"/>
    </row>
    <row r="77" spans="11:20">
      <c r="K77" s="11"/>
      <c r="L77" s="12"/>
      <c r="M77" s="8"/>
      <c r="N77" s="12"/>
      <c r="O77" s="13"/>
      <c r="P77" s="14"/>
      <c r="Q77" s="15"/>
      <c r="R77" s="14"/>
      <c r="S77" s="16"/>
      <c r="T77" s="14"/>
    </row>
    <row r="78" spans="11:20">
      <c r="K78" s="17"/>
      <c r="L78" s="12"/>
      <c r="M78" s="18"/>
      <c r="N78" s="12"/>
      <c r="O78" s="8"/>
      <c r="P78" s="14"/>
      <c r="Q78" s="15"/>
      <c r="R78" s="14"/>
      <c r="S78" s="16"/>
      <c r="T78" s="701"/>
    </row>
    <row r="79" spans="11:20">
      <c r="K79" s="17"/>
      <c r="L79" s="12"/>
      <c r="M79" s="20"/>
      <c r="N79" s="12"/>
      <c r="O79" s="8"/>
      <c r="P79" s="8"/>
      <c r="Q79" s="8"/>
      <c r="R79" s="14"/>
      <c r="S79" s="19"/>
      <c r="T79" s="702"/>
    </row>
    <row r="81" spans="11:20">
      <c r="K81" s="11"/>
      <c r="L81" s="12"/>
      <c r="M81" s="8"/>
      <c r="N81" s="12"/>
      <c r="O81" s="13"/>
      <c r="P81" s="14"/>
      <c r="Q81" s="15"/>
      <c r="R81" s="14"/>
      <c r="S81" s="16"/>
      <c r="T81" s="14"/>
    </row>
    <row r="82" spans="11:20">
      <c r="K82" s="17"/>
      <c r="L82" s="12"/>
      <c r="M82" s="18"/>
      <c r="N82" s="12"/>
      <c r="O82" s="8"/>
      <c r="P82" s="14"/>
      <c r="Q82" s="15"/>
      <c r="R82" s="14"/>
      <c r="S82" s="16"/>
      <c r="T82" s="701"/>
    </row>
    <row r="83" spans="11:20">
      <c r="K83" s="17"/>
      <c r="L83" s="12"/>
      <c r="M83" s="8"/>
      <c r="N83" s="12"/>
      <c r="O83" s="8"/>
      <c r="P83" s="8"/>
      <c r="Q83" s="8"/>
      <c r="R83" s="14"/>
      <c r="S83" s="19"/>
      <c r="T83" s="702"/>
    </row>
    <row r="85" spans="11:20">
      <c r="K85" s="11"/>
      <c r="L85" s="12"/>
      <c r="M85" s="8"/>
      <c r="N85" s="12"/>
      <c r="O85" s="13"/>
      <c r="P85" s="14"/>
      <c r="Q85" s="15"/>
      <c r="R85" s="14"/>
      <c r="S85" s="16"/>
      <c r="T85" s="14"/>
    </row>
    <row r="86" spans="11:20">
      <c r="K86" s="17"/>
      <c r="L86" s="12"/>
      <c r="M86" s="18"/>
      <c r="N86" s="12"/>
      <c r="O86" s="8"/>
      <c r="P86" s="14"/>
      <c r="Q86" s="15"/>
      <c r="R86" s="14"/>
      <c r="S86" s="16"/>
      <c r="T86" s="701"/>
    </row>
    <row r="87" spans="11:20">
      <c r="K87" s="17"/>
      <c r="L87" s="12"/>
      <c r="M87" s="8"/>
      <c r="N87" s="12"/>
      <c r="O87" s="8"/>
      <c r="P87" s="8"/>
      <c r="Q87" s="8"/>
      <c r="R87" s="14"/>
      <c r="S87" s="19"/>
      <c r="T87" s="702"/>
    </row>
    <row r="89" spans="11:20">
      <c r="K89" s="11"/>
      <c r="L89" s="12"/>
      <c r="M89" s="8"/>
      <c r="N89" s="12"/>
      <c r="O89" s="13"/>
      <c r="P89" s="14"/>
      <c r="Q89" s="15"/>
      <c r="R89" s="14"/>
      <c r="S89" s="16"/>
      <c r="T89" s="14"/>
    </row>
    <row r="90" spans="11:20">
      <c r="K90" s="17"/>
      <c r="L90" s="12"/>
      <c r="M90" s="18"/>
      <c r="N90" s="12"/>
      <c r="O90" s="8"/>
      <c r="P90" s="14"/>
      <c r="Q90" s="15"/>
      <c r="R90" s="14"/>
      <c r="S90" s="16"/>
      <c r="T90" s="701"/>
    </row>
    <row r="91" spans="11:20">
      <c r="K91" s="17"/>
      <c r="L91" s="12"/>
      <c r="M91" s="18"/>
      <c r="N91" s="12"/>
      <c r="O91" s="8"/>
      <c r="P91" s="8"/>
      <c r="Q91" s="8"/>
      <c r="R91" s="14"/>
      <c r="S91" s="19"/>
      <c r="T91" s="702"/>
    </row>
    <row r="93" spans="11:20">
      <c r="K93" s="11"/>
      <c r="L93" s="12"/>
      <c r="M93" s="8"/>
      <c r="N93" s="12"/>
      <c r="O93" s="13"/>
      <c r="P93" s="14"/>
      <c r="Q93" s="15"/>
      <c r="R93" s="14"/>
      <c r="S93" s="16"/>
      <c r="T93" s="14"/>
    </row>
    <row r="94" spans="11:20">
      <c r="K94" s="17"/>
      <c r="L94" s="12"/>
      <c r="M94" s="18"/>
      <c r="N94" s="12"/>
      <c r="O94" s="8"/>
      <c r="P94" s="14"/>
      <c r="Q94" s="15"/>
      <c r="R94" s="14"/>
      <c r="S94" s="16"/>
      <c r="T94" s="701"/>
    </row>
    <row r="95" spans="11:20">
      <c r="K95" s="17"/>
      <c r="L95" s="12"/>
      <c r="M95" s="20"/>
      <c r="N95" s="12"/>
      <c r="O95" s="8"/>
      <c r="P95" s="8"/>
      <c r="Q95" s="8"/>
      <c r="R95" s="14"/>
      <c r="S95" s="19"/>
      <c r="T95" s="702"/>
    </row>
    <row r="97" spans="11:20">
      <c r="K97" s="11"/>
      <c r="L97" s="12"/>
      <c r="M97" s="8"/>
      <c r="N97" s="12"/>
      <c r="O97" s="13"/>
      <c r="P97" s="14"/>
      <c r="Q97" s="15"/>
      <c r="R97" s="14"/>
      <c r="S97" s="16"/>
      <c r="T97" s="14"/>
    </row>
    <row r="98" spans="11:20">
      <c r="K98" s="17"/>
      <c r="L98" s="12"/>
      <c r="M98" s="18"/>
      <c r="N98" s="12"/>
      <c r="O98" s="8"/>
      <c r="P98" s="14"/>
      <c r="Q98" s="15"/>
      <c r="R98" s="14"/>
      <c r="S98" s="16"/>
      <c r="T98" s="701"/>
    </row>
    <row r="99" spans="11:20">
      <c r="K99" s="17"/>
      <c r="L99" s="12"/>
      <c r="M99" s="20"/>
      <c r="N99" s="12"/>
      <c r="O99" s="8"/>
      <c r="P99" s="8"/>
      <c r="Q99" s="8"/>
      <c r="R99" s="14"/>
      <c r="S99" s="19"/>
      <c r="T99" s="702"/>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701"/>
    </row>
    <row r="103" spans="11:20">
      <c r="K103" s="17"/>
      <c r="L103" s="12"/>
      <c r="M103" s="8"/>
      <c r="N103" s="12"/>
      <c r="O103" s="8"/>
      <c r="P103" s="8"/>
      <c r="Q103" s="8"/>
      <c r="R103" s="14"/>
      <c r="S103" s="19"/>
      <c r="T103" s="702"/>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701"/>
    </row>
    <row r="107" spans="11:20">
      <c r="K107" s="17"/>
      <c r="L107" s="12"/>
      <c r="M107" s="8"/>
      <c r="N107" s="12"/>
      <c r="O107" s="8"/>
      <c r="P107" s="8"/>
      <c r="Q107" s="8"/>
      <c r="R107" s="14"/>
      <c r="S107" s="19"/>
      <c r="T107" s="702"/>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701"/>
    </row>
    <row r="111" spans="11:20">
      <c r="K111" s="17"/>
      <c r="L111" s="12"/>
      <c r="M111" s="8"/>
      <c r="N111" s="12"/>
      <c r="O111" s="8"/>
      <c r="P111" s="8"/>
      <c r="Q111" s="8"/>
      <c r="R111" s="14"/>
      <c r="S111" s="19"/>
      <c r="T111" s="702"/>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701"/>
    </row>
    <row r="115" spans="11:20">
      <c r="K115" s="17"/>
      <c r="L115" s="12"/>
      <c r="M115" s="8"/>
      <c r="N115" s="12"/>
      <c r="O115" s="8"/>
      <c r="P115" s="8"/>
      <c r="Q115" s="8"/>
      <c r="R115" s="14"/>
      <c r="S115" s="19"/>
      <c r="T115" s="702"/>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701"/>
    </row>
    <row r="119" spans="11:20">
      <c r="K119" s="17"/>
      <c r="L119" s="12"/>
      <c r="M119" s="8"/>
      <c r="N119" s="12"/>
      <c r="O119" s="8"/>
      <c r="P119" s="8"/>
      <c r="Q119" s="8"/>
      <c r="R119" s="14"/>
      <c r="S119" s="19"/>
      <c r="T119" s="702"/>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701"/>
    </row>
    <row r="123" spans="11:20">
      <c r="K123" s="17"/>
      <c r="L123" s="12"/>
      <c r="M123" s="8"/>
      <c r="N123" s="12"/>
      <c r="O123" s="8"/>
      <c r="P123" s="8"/>
      <c r="Q123" s="8"/>
      <c r="R123" s="14"/>
      <c r="S123" s="19"/>
      <c r="T123" s="702"/>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2"/>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731" t="s">
        <v>4</v>
      </c>
      <c r="B1" s="731"/>
      <c r="C1" s="731"/>
      <c r="D1" s="731"/>
      <c r="E1" s="731"/>
      <c r="F1" s="731"/>
      <c r="G1" s="731"/>
      <c r="H1" s="731"/>
      <c r="I1" s="718" t="s">
        <v>5</v>
      </c>
      <c r="J1" s="718"/>
      <c r="K1" s="718"/>
      <c r="L1" s="718"/>
      <c r="M1" s="729" t="s">
        <v>6</v>
      </c>
      <c r="N1" s="729"/>
      <c r="O1" s="729"/>
      <c r="P1" s="729"/>
      <c r="Q1" s="729"/>
      <c r="R1" s="729"/>
      <c r="S1" s="729"/>
      <c r="T1" s="729"/>
      <c r="U1" s="729"/>
      <c r="V1" s="729"/>
      <c r="W1" s="729"/>
      <c r="X1" s="718" t="s">
        <v>7</v>
      </c>
      <c r="Y1" s="718"/>
      <c r="Z1" s="718"/>
      <c r="AA1" s="733" t="s">
        <v>670</v>
      </c>
      <c r="AB1" s="733"/>
      <c r="AC1" s="733"/>
      <c r="AD1" s="733"/>
      <c r="AE1" s="733"/>
      <c r="AF1" s="733"/>
      <c r="AG1" s="733"/>
      <c r="AH1" s="733"/>
      <c r="AI1" s="733"/>
      <c r="AJ1" s="733"/>
      <c r="AK1" s="707" t="s">
        <v>8</v>
      </c>
      <c r="AL1" s="707"/>
      <c r="AM1" s="707"/>
      <c r="AN1" s="709" t="s">
        <v>298</v>
      </c>
      <c r="AO1" s="709"/>
      <c r="AP1" s="709"/>
      <c r="AQ1" s="707" t="s">
        <v>9</v>
      </c>
      <c r="AR1" s="707"/>
      <c r="AS1" s="707"/>
      <c r="AT1" s="710">
        <f>AL7</f>
        <v>46125</v>
      </c>
      <c r="AU1" s="710"/>
      <c r="AV1" s="710"/>
      <c r="AW1" s="710"/>
      <c r="AX1" s="714" t="s">
        <v>10</v>
      </c>
      <c r="AY1" s="715"/>
      <c r="AZ1" s="715"/>
      <c r="BA1" s="716"/>
    </row>
    <row r="2" spans="1:53">
      <c r="A2" s="717" t="s">
        <v>16</v>
      </c>
      <c r="B2" s="717"/>
      <c r="C2" s="717"/>
      <c r="D2" s="717"/>
      <c r="E2" s="717"/>
      <c r="F2" s="717"/>
      <c r="G2" s="717"/>
      <c r="H2" s="717"/>
      <c r="I2" s="718" t="s">
        <v>11</v>
      </c>
      <c r="J2" s="718"/>
      <c r="K2" s="718"/>
      <c r="L2" s="718"/>
      <c r="M2" s="719" t="s">
        <v>29</v>
      </c>
      <c r="N2" s="720"/>
      <c r="O2" s="720"/>
      <c r="P2" s="720"/>
      <c r="Q2" s="720"/>
      <c r="R2" s="720"/>
      <c r="S2" s="720"/>
      <c r="T2" s="720"/>
      <c r="U2" s="720"/>
      <c r="V2" s="720"/>
      <c r="W2" s="721"/>
      <c r="X2" s="718"/>
      <c r="Y2" s="718"/>
      <c r="Z2" s="718"/>
      <c r="AA2" s="733"/>
      <c r="AB2" s="733"/>
      <c r="AC2" s="733"/>
      <c r="AD2" s="733"/>
      <c r="AE2" s="733"/>
      <c r="AF2" s="733"/>
      <c r="AG2" s="733"/>
      <c r="AH2" s="733"/>
      <c r="AI2" s="733"/>
      <c r="AJ2" s="733"/>
      <c r="AK2" s="707" t="s">
        <v>12</v>
      </c>
      <c r="AL2" s="707"/>
      <c r="AM2" s="707"/>
      <c r="AN2" s="709" t="s">
        <v>298</v>
      </c>
      <c r="AO2" s="709"/>
      <c r="AP2" s="709"/>
      <c r="AQ2" s="707" t="s">
        <v>13</v>
      </c>
      <c r="AR2" s="707"/>
      <c r="AS2" s="707"/>
      <c r="AT2" s="710">
        <v>46134</v>
      </c>
      <c r="AU2" s="710"/>
      <c r="AV2" s="710"/>
      <c r="AW2" s="710"/>
      <c r="AX2" s="722" t="s">
        <v>31</v>
      </c>
      <c r="AY2" s="723"/>
      <c r="AZ2" s="723"/>
      <c r="BA2" s="724"/>
    </row>
    <row r="3" spans="1:53" ht="12" customHeight="1">
      <c r="A3" s="728" t="s">
        <v>26</v>
      </c>
      <c r="B3" s="728"/>
      <c r="C3" s="728"/>
      <c r="D3" s="728"/>
      <c r="E3" s="728"/>
      <c r="F3" s="728"/>
      <c r="G3" s="728"/>
      <c r="H3" s="728"/>
      <c r="I3" s="718" t="s">
        <v>14</v>
      </c>
      <c r="J3" s="718"/>
      <c r="K3" s="718"/>
      <c r="L3" s="718"/>
      <c r="M3" s="729"/>
      <c r="N3" s="729"/>
      <c r="O3" s="729"/>
      <c r="P3" s="729"/>
      <c r="Q3" s="729"/>
      <c r="R3" s="729"/>
      <c r="S3" s="729"/>
      <c r="T3" s="729"/>
      <c r="U3" s="729"/>
      <c r="V3" s="729"/>
      <c r="W3" s="729"/>
      <c r="X3" s="718" t="s">
        <v>27</v>
      </c>
      <c r="Y3" s="718"/>
      <c r="Z3" s="718"/>
      <c r="AA3" s="730" t="s">
        <v>622</v>
      </c>
      <c r="AB3" s="730"/>
      <c r="AC3" s="730"/>
      <c r="AD3" s="730"/>
      <c r="AE3" s="730"/>
      <c r="AF3" s="730"/>
      <c r="AG3" s="730"/>
      <c r="AH3" s="730"/>
      <c r="AI3" s="730"/>
      <c r="AJ3" s="730"/>
      <c r="AK3" s="730"/>
      <c r="AL3" s="730"/>
      <c r="AM3" s="730"/>
      <c r="AN3" s="730"/>
      <c r="AO3" s="730"/>
      <c r="AP3" s="730"/>
      <c r="AQ3" s="707" t="s">
        <v>15</v>
      </c>
      <c r="AR3" s="707"/>
      <c r="AS3" s="707"/>
      <c r="AT3" s="708" t="str">
        <f ca="1">INDIRECT("A" &amp; COUNTA(A7:A39) + 6)</f>
        <v>r1.2</v>
      </c>
      <c r="AU3" s="708"/>
      <c r="AV3" s="708"/>
      <c r="AW3" s="708"/>
      <c r="AX3" s="725"/>
      <c r="AY3" s="726"/>
      <c r="AZ3" s="726"/>
      <c r="BA3" s="727"/>
    </row>
    <row r="4" spans="1:53" ht="5.9" customHeight="1"/>
    <row r="5" spans="1:53" ht="14">
      <c r="A5" s="732" t="s">
        <v>25</v>
      </c>
      <c r="B5" s="732"/>
      <c r="C5" s="732"/>
      <c r="D5" s="732"/>
      <c r="E5" s="732"/>
      <c r="F5" s="732"/>
      <c r="G5" s="732"/>
      <c r="H5" s="732"/>
      <c r="I5" s="732"/>
      <c r="J5" s="732"/>
      <c r="K5" s="732"/>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row>
    <row r="6" spans="1:53">
      <c r="A6" s="711" t="s">
        <v>24</v>
      </c>
      <c r="B6" s="712"/>
      <c r="C6" s="713" t="s">
        <v>17</v>
      </c>
      <c r="D6" s="713"/>
      <c r="E6" s="713"/>
      <c r="F6" s="713"/>
      <c r="G6" s="713"/>
      <c r="H6" s="713"/>
      <c r="I6" s="713"/>
      <c r="J6" s="713"/>
      <c r="K6" s="713"/>
      <c r="L6" s="713"/>
      <c r="M6" s="713"/>
      <c r="N6" s="713"/>
      <c r="O6" s="713"/>
      <c r="P6" s="713"/>
      <c r="Q6" s="713" t="s">
        <v>18</v>
      </c>
      <c r="R6" s="713"/>
      <c r="S6" s="713"/>
      <c r="T6" s="713"/>
      <c r="U6" s="713"/>
      <c r="V6" s="713"/>
      <c r="W6" s="713"/>
      <c r="X6" s="713"/>
      <c r="Y6" s="713"/>
      <c r="Z6" s="713"/>
      <c r="AA6" s="713"/>
      <c r="AB6" s="713"/>
      <c r="AC6" s="713"/>
      <c r="AD6" s="713"/>
      <c r="AE6" s="713"/>
      <c r="AF6" s="713"/>
      <c r="AG6" s="713"/>
      <c r="AH6" s="713"/>
      <c r="AI6" s="713"/>
      <c r="AJ6" s="713"/>
      <c r="AK6" s="713"/>
      <c r="AL6" s="713" t="s">
        <v>19</v>
      </c>
      <c r="AM6" s="713"/>
      <c r="AN6" s="713"/>
      <c r="AO6" s="713"/>
      <c r="AP6" s="713" t="s">
        <v>20</v>
      </c>
      <c r="AQ6" s="713"/>
      <c r="AR6" s="713"/>
      <c r="AS6" s="713" t="s">
        <v>21</v>
      </c>
      <c r="AT6" s="713"/>
      <c r="AU6" s="713"/>
      <c r="AV6" s="713" t="s">
        <v>22</v>
      </c>
      <c r="AW6" s="713"/>
      <c r="AX6" s="713"/>
      <c r="AY6" s="713"/>
      <c r="AZ6" s="713"/>
      <c r="BA6" s="713"/>
    </row>
    <row r="7" spans="1:53">
      <c r="A7" s="736" t="s">
        <v>258</v>
      </c>
      <c r="B7" s="736"/>
      <c r="C7" s="739" t="s">
        <v>23</v>
      </c>
      <c r="D7" s="739"/>
      <c r="E7" s="739"/>
      <c r="F7" s="739"/>
      <c r="G7" s="739"/>
      <c r="H7" s="739"/>
      <c r="I7" s="739"/>
      <c r="J7" s="739"/>
      <c r="K7" s="739"/>
      <c r="L7" s="739"/>
      <c r="M7" s="739"/>
      <c r="N7" s="739"/>
      <c r="O7" s="739"/>
      <c r="P7" s="739"/>
      <c r="Q7" s="739"/>
      <c r="R7" s="739"/>
      <c r="S7" s="739"/>
      <c r="T7" s="739"/>
      <c r="U7" s="739"/>
      <c r="V7" s="739"/>
      <c r="W7" s="739"/>
      <c r="X7" s="739"/>
      <c r="Y7" s="739"/>
      <c r="Z7" s="739"/>
      <c r="AA7" s="739"/>
      <c r="AB7" s="739"/>
      <c r="AC7" s="739"/>
      <c r="AD7" s="739"/>
      <c r="AE7" s="739"/>
      <c r="AF7" s="739"/>
      <c r="AG7" s="739"/>
      <c r="AH7" s="739"/>
      <c r="AI7" s="739"/>
      <c r="AJ7" s="739"/>
      <c r="AK7" s="739"/>
      <c r="AL7" s="747">
        <v>46125</v>
      </c>
      <c r="AM7" s="748"/>
      <c r="AN7" s="748"/>
      <c r="AO7" s="748"/>
      <c r="AP7" s="739" t="s">
        <v>298</v>
      </c>
      <c r="AQ7" s="739"/>
      <c r="AR7" s="739"/>
      <c r="AS7" s="739"/>
      <c r="AT7" s="739"/>
      <c r="AU7" s="739"/>
      <c r="AV7" s="739"/>
      <c r="AW7" s="739"/>
      <c r="AX7" s="739"/>
      <c r="AY7" s="739"/>
      <c r="AZ7" s="739"/>
      <c r="BA7" s="739"/>
    </row>
    <row r="8" spans="1:53" ht="25" customHeight="1">
      <c r="A8" s="734" t="s">
        <v>619</v>
      </c>
      <c r="B8" s="735"/>
      <c r="C8" s="740" t="s">
        <v>667</v>
      </c>
      <c r="D8" s="740"/>
      <c r="E8" s="740"/>
      <c r="F8" s="740"/>
      <c r="G8" s="740"/>
      <c r="H8" s="740"/>
      <c r="I8" s="740"/>
      <c r="J8" s="740"/>
      <c r="K8" s="740"/>
      <c r="L8" s="740"/>
      <c r="M8" s="740"/>
      <c r="N8" s="740"/>
      <c r="O8" s="740"/>
      <c r="P8" s="740"/>
      <c r="Q8" s="742" t="s">
        <v>621</v>
      </c>
      <c r="R8" s="743"/>
      <c r="S8" s="743"/>
      <c r="T8" s="743"/>
      <c r="U8" s="743"/>
      <c r="V8" s="743"/>
      <c r="W8" s="743"/>
      <c r="X8" s="743"/>
      <c r="Y8" s="743"/>
      <c r="Z8" s="743"/>
      <c r="AA8" s="743"/>
      <c r="AB8" s="743"/>
      <c r="AC8" s="743"/>
      <c r="AD8" s="743"/>
      <c r="AE8" s="743"/>
      <c r="AF8" s="743"/>
      <c r="AG8" s="743"/>
      <c r="AH8" s="743"/>
      <c r="AI8" s="743"/>
      <c r="AJ8" s="743"/>
      <c r="AK8" s="744"/>
      <c r="AL8" s="749">
        <v>46134</v>
      </c>
      <c r="AM8" s="750"/>
      <c r="AN8" s="750"/>
      <c r="AO8" s="751"/>
      <c r="AP8" s="739" t="s">
        <v>620</v>
      </c>
      <c r="AQ8" s="739"/>
      <c r="AR8" s="739"/>
      <c r="AS8" s="739"/>
      <c r="AT8" s="739"/>
      <c r="AU8" s="739"/>
      <c r="AV8" s="739"/>
      <c r="AW8" s="739"/>
      <c r="AX8" s="739"/>
      <c r="AY8" s="739"/>
      <c r="AZ8" s="739"/>
      <c r="BA8" s="739"/>
    </row>
    <row r="9" spans="1:53">
      <c r="A9" s="734" t="s">
        <v>666</v>
      </c>
      <c r="B9" s="735"/>
      <c r="C9" s="740" t="s">
        <v>668</v>
      </c>
      <c r="D9" s="740"/>
      <c r="E9" s="740"/>
      <c r="F9" s="740"/>
      <c r="G9" s="740"/>
      <c r="H9" s="740"/>
      <c r="I9" s="740"/>
      <c r="J9" s="740"/>
      <c r="K9" s="740"/>
      <c r="L9" s="740"/>
      <c r="M9" s="740"/>
      <c r="N9" s="740"/>
      <c r="O9" s="740"/>
      <c r="P9" s="740"/>
      <c r="Q9" s="742" t="s">
        <v>669</v>
      </c>
      <c r="R9" s="743"/>
      <c r="S9" s="743"/>
      <c r="T9" s="743"/>
      <c r="U9" s="743"/>
      <c r="V9" s="743"/>
      <c r="W9" s="743"/>
      <c r="X9" s="743"/>
      <c r="Y9" s="743"/>
      <c r="Z9" s="743"/>
      <c r="AA9" s="743"/>
      <c r="AB9" s="743"/>
      <c r="AC9" s="743"/>
      <c r="AD9" s="743"/>
      <c r="AE9" s="743"/>
      <c r="AF9" s="743"/>
      <c r="AG9" s="743"/>
      <c r="AH9" s="743"/>
      <c r="AI9" s="743"/>
      <c r="AJ9" s="743"/>
      <c r="AK9" s="744"/>
      <c r="AL9" s="749">
        <v>46157</v>
      </c>
      <c r="AM9" s="750"/>
      <c r="AN9" s="750"/>
      <c r="AO9" s="751"/>
      <c r="AP9" s="739" t="s">
        <v>298</v>
      </c>
      <c r="AQ9" s="739"/>
      <c r="AR9" s="739"/>
      <c r="AS9" s="739"/>
      <c r="AT9" s="739"/>
      <c r="AU9" s="739"/>
      <c r="AV9" s="739"/>
      <c r="AW9" s="739"/>
      <c r="AX9" s="739"/>
      <c r="AY9" s="739"/>
      <c r="AZ9" s="739"/>
      <c r="BA9" s="739"/>
    </row>
    <row r="10" spans="1:53">
      <c r="A10" s="736"/>
      <c r="B10" s="736"/>
      <c r="C10" s="739"/>
      <c r="D10" s="739"/>
      <c r="E10" s="739"/>
      <c r="F10" s="739"/>
      <c r="G10" s="739"/>
      <c r="H10" s="739"/>
      <c r="I10" s="739"/>
      <c r="J10" s="739"/>
      <c r="K10" s="739"/>
      <c r="L10" s="739"/>
      <c r="M10" s="739"/>
      <c r="N10" s="739"/>
      <c r="O10" s="739"/>
      <c r="P10" s="739"/>
      <c r="Q10" s="740"/>
      <c r="R10" s="739"/>
      <c r="S10" s="739"/>
      <c r="T10" s="739"/>
      <c r="U10" s="739"/>
      <c r="V10" s="739"/>
      <c r="W10" s="739"/>
      <c r="X10" s="739"/>
      <c r="Y10" s="739"/>
      <c r="Z10" s="739"/>
      <c r="AA10" s="739"/>
      <c r="AB10" s="739"/>
      <c r="AC10" s="739"/>
      <c r="AD10" s="739"/>
      <c r="AE10" s="739"/>
      <c r="AF10" s="739"/>
      <c r="AG10" s="739"/>
      <c r="AH10" s="739"/>
      <c r="AI10" s="739"/>
      <c r="AJ10" s="739"/>
      <c r="AK10" s="739"/>
      <c r="AL10" s="746"/>
      <c r="AM10" s="736"/>
      <c r="AN10" s="736"/>
      <c r="AO10" s="736"/>
      <c r="AP10" s="739"/>
      <c r="AQ10" s="739"/>
      <c r="AR10" s="739"/>
      <c r="AS10" s="739"/>
      <c r="AT10" s="739"/>
      <c r="AU10" s="739"/>
      <c r="AV10" s="739"/>
      <c r="AW10" s="739"/>
      <c r="AX10" s="739"/>
      <c r="AY10" s="739"/>
      <c r="AZ10" s="739"/>
      <c r="BA10" s="739"/>
    </row>
    <row r="11" spans="1:53">
      <c r="A11" s="736"/>
      <c r="B11" s="736"/>
      <c r="C11" s="740"/>
      <c r="D11" s="739"/>
      <c r="E11" s="739"/>
      <c r="F11" s="739"/>
      <c r="G11" s="739"/>
      <c r="H11" s="739"/>
      <c r="I11" s="739"/>
      <c r="J11" s="739"/>
      <c r="K11" s="739"/>
      <c r="L11" s="739"/>
      <c r="M11" s="739"/>
      <c r="N11" s="739"/>
      <c r="O11" s="739"/>
      <c r="P11" s="739"/>
      <c r="Q11" s="740"/>
      <c r="R11" s="739"/>
      <c r="S11" s="739"/>
      <c r="T11" s="739"/>
      <c r="U11" s="739"/>
      <c r="V11" s="739"/>
      <c r="W11" s="739"/>
      <c r="X11" s="739"/>
      <c r="Y11" s="739"/>
      <c r="Z11" s="739"/>
      <c r="AA11" s="739"/>
      <c r="AB11" s="739"/>
      <c r="AC11" s="739"/>
      <c r="AD11" s="739"/>
      <c r="AE11" s="739"/>
      <c r="AF11" s="739"/>
      <c r="AG11" s="739"/>
      <c r="AH11" s="739"/>
      <c r="AI11" s="739"/>
      <c r="AJ11" s="739"/>
      <c r="AK11" s="739"/>
      <c r="AL11" s="746"/>
      <c r="AM11" s="736"/>
      <c r="AN11" s="736"/>
      <c r="AO11" s="736"/>
      <c r="AP11" s="739"/>
      <c r="AQ11" s="739"/>
      <c r="AR11" s="739"/>
      <c r="AS11" s="739"/>
      <c r="AT11" s="739"/>
      <c r="AU11" s="739"/>
      <c r="AV11" s="739"/>
      <c r="AW11" s="739"/>
      <c r="AX11" s="739"/>
      <c r="AY11" s="739"/>
      <c r="AZ11" s="739"/>
      <c r="BA11" s="739"/>
    </row>
    <row r="12" spans="1:53">
      <c r="A12" s="736"/>
      <c r="B12" s="736"/>
      <c r="C12" s="739"/>
      <c r="D12" s="739"/>
      <c r="E12" s="739"/>
      <c r="F12" s="739"/>
      <c r="G12" s="739"/>
      <c r="H12" s="739"/>
      <c r="I12" s="739"/>
      <c r="J12" s="739"/>
      <c r="K12" s="739"/>
      <c r="L12" s="739"/>
      <c r="M12" s="739"/>
      <c r="N12" s="739"/>
      <c r="O12" s="739"/>
      <c r="P12" s="739"/>
      <c r="Q12" s="739"/>
      <c r="R12" s="739"/>
      <c r="S12" s="739"/>
      <c r="T12" s="739"/>
      <c r="U12" s="739"/>
      <c r="V12" s="739"/>
      <c r="W12" s="739"/>
      <c r="X12" s="739"/>
      <c r="Y12" s="739"/>
      <c r="Z12" s="739"/>
      <c r="AA12" s="739"/>
      <c r="AB12" s="739"/>
      <c r="AC12" s="739"/>
      <c r="AD12" s="739"/>
      <c r="AE12" s="739"/>
      <c r="AF12" s="739"/>
      <c r="AG12" s="739"/>
      <c r="AH12" s="739"/>
      <c r="AI12" s="739"/>
      <c r="AJ12" s="739"/>
      <c r="AK12" s="739"/>
      <c r="AL12" s="746"/>
      <c r="AM12" s="736"/>
      <c r="AN12" s="736"/>
      <c r="AO12" s="736"/>
      <c r="AP12" s="739"/>
      <c r="AQ12" s="739"/>
      <c r="AR12" s="739"/>
      <c r="AS12" s="739"/>
      <c r="AT12" s="739"/>
      <c r="AU12" s="739"/>
      <c r="AV12" s="739"/>
      <c r="AW12" s="739"/>
      <c r="AX12" s="739"/>
      <c r="AY12" s="739"/>
      <c r="AZ12" s="739"/>
      <c r="BA12" s="739"/>
    </row>
    <row r="13" spans="1:53">
      <c r="A13" s="738"/>
      <c r="B13" s="738"/>
      <c r="C13" s="741"/>
      <c r="D13" s="741"/>
      <c r="E13" s="741"/>
      <c r="F13" s="741"/>
      <c r="G13" s="741"/>
      <c r="H13" s="741"/>
      <c r="I13" s="741"/>
      <c r="J13" s="741"/>
      <c r="K13" s="741"/>
      <c r="L13" s="741"/>
      <c r="M13" s="741"/>
      <c r="N13" s="741"/>
      <c r="O13" s="741"/>
      <c r="P13" s="741"/>
      <c r="Q13" s="740"/>
      <c r="R13" s="739"/>
      <c r="S13" s="739"/>
      <c r="T13" s="739"/>
      <c r="U13" s="739"/>
      <c r="V13" s="739"/>
      <c r="W13" s="739"/>
      <c r="X13" s="739"/>
      <c r="Y13" s="739"/>
      <c r="Z13" s="739"/>
      <c r="AA13" s="739"/>
      <c r="AB13" s="739"/>
      <c r="AC13" s="739"/>
      <c r="AD13" s="739"/>
      <c r="AE13" s="739"/>
      <c r="AF13" s="739"/>
      <c r="AG13" s="739"/>
      <c r="AH13" s="739"/>
      <c r="AI13" s="739"/>
      <c r="AJ13" s="739"/>
      <c r="AK13" s="739"/>
      <c r="AL13" s="752"/>
      <c r="AM13" s="738"/>
      <c r="AN13" s="738"/>
      <c r="AO13" s="738"/>
      <c r="AP13" s="739"/>
      <c r="AQ13" s="739"/>
      <c r="AR13" s="739"/>
      <c r="AS13" s="741"/>
      <c r="AT13" s="741"/>
      <c r="AU13" s="741"/>
      <c r="AV13" s="741"/>
      <c r="AW13" s="741"/>
      <c r="AX13" s="741"/>
      <c r="AY13" s="741"/>
      <c r="AZ13" s="741"/>
      <c r="BA13" s="741"/>
    </row>
    <row r="14" spans="1:53">
      <c r="A14" s="736"/>
      <c r="B14" s="736"/>
      <c r="C14" s="739"/>
      <c r="D14" s="739"/>
      <c r="E14" s="739"/>
      <c r="F14" s="739"/>
      <c r="G14" s="739"/>
      <c r="H14" s="739"/>
      <c r="I14" s="739"/>
      <c r="J14" s="739"/>
      <c r="K14" s="739"/>
      <c r="L14" s="739"/>
      <c r="M14" s="739"/>
      <c r="N14" s="739"/>
      <c r="O14" s="739"/>
      <c r="P14" s="739"/>
      <c r="Q14" s="740"/>
      <c r="R14" s="739"/>
      <c r="S14" s="739"/>
      <c r="T14" s="739"/>
      <c r="U14" s="739"/>
      <c r="V14" s="739"/>
      <c r="W14" s="739"/>
      <c r="X14" s="739"/>
      <c r="Y14" s="739"/>
      <c r="Z14" s="739"/>
      <c r="AA14" s="739"/>
      <c r="AB14" s="739"/>
      <c r="AC14" s="739"/>
      <c r="AD14" s="739"/>
      <c r="AE14" s="739"/>
      <c r="AF14" s="739"/>
      <c r="AG14" s="739"/>
      <c r="AH14" s="739"/>
      <c r="AI14" s="739"/>
      <c r="AJ14" s="739"/>
      <c r="AK14" s="739"/>
      <c r="AL14" s="746"/>
      <c r="AM14" s="736"/>
      <c r="AN14" s="736"/>
      <c r="AO14" s="736"/>
      <c r="AP14" s="739"/>
      <c r="AQ14" s="739"/>
      <c r="AR14" s="739"/>
      <c r="AS14" s="739"/>
      <c r="AT14" s="739"/>
      <c r="AU14" s="739"/>
      <c r="AV14" s="739"/>
      <c r="AW14" s="739"/>
      <c r="AX14" s="739"/>
      <c r="AY14" s="739"/>
      <c r="AZ14" s="739"/>
      <c r="BA14" s="739"/>
    </row>
    <row r="15" spans="1:53">
      <c r="A15" s="736"/>
      <c r="B15" s="736"/>
      <c r="C15" s="739"/>
      <c r="D15" s="739"/>
      <c r="E15" s="739"/>
      <c r="F15" s="739"/>
      <c r="G15" s="739"/>
      <c r="H15" s="739"/>
      <c r="I15" s="739"/>
      <c r="J15" s="739"/>
      <c r="K15" s="739"/>
      <c r="L15" s="739"/>
      <c r="M15" s="739"/>
      <c r="N15" s="739"/>
      <c r="O15" s="739"/>
      <c r="P15" s="739"/>
      <c r="Q15" s="740"/>
      <c r="R15" s="739"/>
      <c r="S15" s="739"/>
      <c r="T15" s="739"/>
      <c r="U15" s="739"/>
      <c r="V15" s="739"/>
      <c r="W15" s="739"/>
      <c r="X15" s="739"/>
      <c r="Y15" s="739"/>
      <c r="Z15" s="739"/>
      <c r="AA15" s="739"/>
      <c r="AB15" s="739"/>
      <c r="AC15" s="739"/>
      <c r="AD15" s="739"/>
      <c r="AE15" s="739"/>
      <c r="AF15" s="739"/>
      <c r="AG15" s="739"/>
      <c r="AH15" s="739"/>
      <c r="AI15" s="739"/>
      <c r="AJ15" s="739"/>
      <c r="AK15" s="739"/>
      <c r="AL15" s="746"/>
      <c r="AM15" s="736"/>
      <c r="AN15" s="736"/>
      <c r="AO15" s="736"/>
      <c r="AP15" s="739"/>
      <c r="AQ15" s="739"/>
      <c r="AR15" s="739"/>
      <c r="AS15" s="739"/>
      <c r="AT15" s="739"/>
      <c r="AU15" s="739"/>
      <c r="AV15" s="739"/>
      <c r="AW15" s="739"/>
      <c r="AX15" s="739"/>
      <c r="AY15" s="739"/>
      <c r="AZ15" s="739"/>
      <c r="BA15" s="739"/>
    </row>
    <row r="16" spans="1:53">
      <c r="A16" s="736"/>
      <c r="B16" s="736"/>
      <c r="C16" s="739"/>
      <c r="D16" s="739"/>
      <c r="E16" s="739"/>
      <c r="F16" s="739"/>
      <c r="G16" s="739"/>
      <c r="H16" s="739"/>
      <c r="I16" s="739"/>
      <c r="J16" s="739"/>
      <c r="K16" s="739"/>
      <c r="L16" s="739"/>
      <c r="M16" s="739"/>
      <c r="N16" s="739"/>
      <c r="O16" s="739"/>
      <c r="P16" s="739"/>
      <c r="Q16" s="740"/>
      <c r="R16" s="739"/>
      <c r="S16" s="739"/>
      <c r="T16" s="739"/>
      <c r="U16" s="739"/>
      <c r="V16" s="739"/>
      <c r="W16" s="739"/>
      <c r="X16" s="739"/>
      <c r="Y16" s="739"/>
      <c r="Z16" s="739"/>
      <c r="AA16" s="739"/>
      <c r="AB16" s="739"/>
      <c r="AC16" s="739"/>
      <c r="AD16" s="739"/>
      <c r="AE16" s="739"/>
      <c r="AF16" s="739"/>
      <c r="AG16" s="739"/>
      <c r="AH16" s="739"/>
      <c r="AI16" s="739"/>
      <c r="AJ16" s="739"/>
      <c r="AK16" s="739"/>
      <c r="AL16" s="746"/>
      <c r="AM16" s="736"/>
      <c r="AN16" s="736"/>
      <c r="AO16" s="736"/>
      <c r="AP16" s="739"/>
      <c r="AQ16" s="739"/>
      <c r="AR16" s="739"/>
      <c r="AS16" s="739"/>
      <c r="AT16" s="739"/>
      <c r="AU16" s="739"/>
      <c r="AV16" s="739"/>
      <c r="AW16" s="739"/>
      <c r="AX16" s="739"/>
      <c r="AY16" s="739"/>
      <c r="AZ16" s="739"/>
      <c r="BA16" s="739"/>
    </row>
    <row r="17" spans="1:53">
      <c r="A17" s="737"/>
      <c r="B17" s="737"/>
      <c r="C17" s="739"/>
      <c r="D17" s="739"/>
      <c r="E17" s="739"/>
      <c r="F17" s="739"/>
      <c r="G17" s="739"/>
      <c r="H17" s="739"/>
      <c r="I17" s="739"/>
      <c r="J17" s="739"/>
      <c r="K17" s="739"/>
      <c r="L17" s="739"/>
      <c r="M17" s="739"/>
      <c r="N17" s="739"/>
      <c r="O17" s="739"/>
      <c r="P17" s="739"/>
      <c r="Q17" s="739"/>
      <c r="R17" s="745"/>
      <c r="S17" s="745"/>
      <c r="T17" s="745"/>
      <c r="U17" s="745"/>
      <c r="V17" s="745"/>
      <c r="W17" s="745"/>
      <c r="X17" s="745"/>
      <c r="Y17" s="745"/>
      <c r="Z17" s="745"/>
      <c r="AA17" s="745"/>
      <c r="AB17" s="745"/>
      <c r="AC17" s="745"/>
      <c r="AD17" s="745"/>
      <c r="AE17" s="745"/>
      <c r="AF17" s="745"/>
      <c r="AG17" s="745"/>
      <c r="AH17" s="745"/>
      <c r="AI17" s="745"/>
      <c r="AJ17" s="745"/>
      <c r="AK17" s="745"/>
      <c r="AL17" s="746"/>
      <c r="AM17" s="736"/>
      <c r="AN17" s="736"/>
      <c r="AO17" s="736"/>
      <c r="AP17" s="739"/>
      <c r="AQ17" s="745"/>
      <c r="AR17" s="745"/>
      <c r="AS17" s="745"/>
      <c r="AT17" s="745"/>
      <c r="AU17" s="745"/>
      <c r="AV17" s="745"/>
      <c r="AW17" s="745"/>
      <c r="AX17" s="745"/>
      <c r="AY17" s="745"/>
      <c r="AZ17" s="745"/>
      <c r="BA17" s="745"/>
    </row>
    <row r="18" spans="1:53">
      <c r="A18" s="737"/>
      <c r="B18" s="737"/>
      <c r="C18" s="739"/>
      <c r="D18" s="739"/>
      <c r="E18" s="739"/>
      <c r="F18" s="739"/>
      <c r="G18" s="739"/>
      <c r="H18" s="739"/>
      <c r="I18" s="739"/>
      <c r="J18" s="739"/>
      <c r="K18" s="739"/>
      <c r="L18" s="739"/>
      <c r="M18" s="739"/>
      <c r="N18" s="739"/>
      <c r="O18" s="739"/>
      <c r="P18" s="739"/>
      <c r="Q18" s="739"/>
      <c r="R18" s="745"/>
      <c r="S18" s="745"/>
      <c r="T18" s="745"/>
      <c r="U18" s="745"/>
      <c r="V18" s="745"/>
      <c r="W18" s="745"/>
      <c r="X18" s="745"/>
      <c r="Y18" s="745"/>
      <c r="Z18" s="745"/>
      <c r="AA18" s="745"/>
      <c r="AB18" s="745"/>
      <c r="AC18" s="745"/>
      <c r="AD18" s="745"/>
      <c r="AE18" s="745"/>
      <c r="AF18" s="745"/>
      <c r="AG18" s="745"/>
      <c r="AH18" s="745"/>
      <c r="AI18" s="745"/>
      <c r="AJ18" s="745"/>
      <c r="AK18" s="745"/>
      <c r="AL18" s="746"/>
      <c r="AM18" s="736"/>
      <c r="AN18" s="736"/>
      <c r="AO18" s="736"/>
      <c r="AP18" s="739"/>
      <c r="AQ18" s="745"/>
      <c r="AR18" s="745"/>
      <c r="AS18" s="745"/>
      <c r="AT18" s="745"/>
      <c r="AU18" s="745"/>
      <c r="AV18" s="745"/>
      <c r="AW18" s="745"/>
      <c r="AX18" s="745"/>
      <c r="AY18" s="745"/>
      <c r="AZ18" s="745"/>
      <c r="BA18" s="745"/>
    </row>
    <row r="19" spans="1:53">
      <c r="A19" s="736"/>
      <c r="B19" s="736"/>
      <c r="C19" s="739"/>
      <c r="D19" s="739"/>
      <c r="E19" s="739"/>
      <c r="F19" s="739"/>
      <c r="G19" s="739"/>
      <c r="H19" s="739"/>
      <c r="I19" s="739"/>
      <c r="J19" s="739"/>
      <c r="K19" s="739"/>
      <c r="L19" s="739"/>
      <c r="M19" s="739"/>
      <c r="N19" s="739"/>
      <c r="O19" s="739"/>
      <c r="P19" s="739"/>
      <c r="Q19" s="739"/>
      <c r="R19" s="739"/>
      <c r="S19" s="739"/>
      <c r="T19" s="739"/>
      <c r="U19" s="739"/>
      <c r="V19" s="739"/>
      <c r="W19" s="739"/>
      <c r="X19" s="739"/>
      <c r="Y19" s="739"/>
      <c r="Z19" s="739"/>
      <c r="AA19" s="739"/>
      <c r="AB19" s="739"/>
      <c r="AC19" s="739"/>
      <c r="AD19" s="739"/>
      <c r="AE19" s="739"/>
      <c r="AF19" s="739"/>
      <c r="AG19" s="739"/>
      <c r="AH19" s="739"/>
      <c r="AI19" s="739"/>
      <c r="AJ19" s="739"/>
      <c r="AK19" s="739"/>
      <c r="AL19" s="746"/>
      <c r="AM19" s="746"/>
      <c r="AN19" s="746"/>
      <c r="AO19" s="746"/>
      <c r="AP19" s="739"/>
      <c r="AQ19" s="739"/>
      <c r="AR19" s="739"/>
      <c r="AS19" s="739"/>
      <c r="AT19" s="739"/>
      <c r="AU19" s="739"/>
      <c r="AV19" s="739"/>
      <c r="AW19" s="739"/>
      <c r="AX19" s="739"/>
      <c r="AY19" s="739"/>
      <c r="AZ19" s="739"/>
      <c r="BA19" s="739"/>
    </row>
    <row r="20" spans="1:53">
      <c r="A20" s="736"/>
      <c r="B20" s="736"/>
      <c r="C20" s="739"/>
      <c r="D20" s="739"/>
      <c r="E20" s="739"/>
      <c r="F20" s="739"/>
      <c r="G20" s="739"/>
      <c r="H20" s="739"/>
      <c r="I20" s="739"/>
      <c r="J20" s="739"/>
      <c r="K20" s="739"/>
      <c r="L20" s="739"/>
      <c r="M20" s="739"/>
      <c r="N20" s="739"/>
      <c r="O20" s="739"/>
      <c r="P20" s="739"/>
      <c r="Q20" s="739"/>
      <c r="R20" s="739"/>
      <c r="S20" s="739"/>
      <c r="T20" s="739"/>
      <c r="U20" s="739"/>
      <c r="V20" s="739"/>
      <c r="W20" s="739"/>
      <c r="X20" s="739"/>
      <c r="Y20" s="739"/>
      <c r="Z20" s="739"/>
      <c r="AA20" s="739"/>
      <c r="AB20" s="739"/>
      <c r="AC20" s="739"/>
      <c r="AD20" s="739"/>
      <c r="AE20" s="739"/>
      <c r="AF20" s="739"/>
      <c r="AG20" s="739"/>
      <c r="AH20" s="739"/>
      <c r="AI20" s="739"/>
      <c r="AJ20" s="739"/>
      <c r="AK20" s="739"/>
      <c r="AL20" s="746"/>
      <c r="AM20" s="746"/>
      <c r="AN20" s="746"/>
      <c r="AO20" s="746"/>
      <c r="AP20" s="739"/>
      <c r="AQ20" s="739"/>
      <c r="AR20" s="739"/>
      <c r="AS20" s="739"/>
      <c r="AT20" s="739"/>
      <c r="AU20" s="739"/>
      <c r="AV20" s="739"/>
      <c r="AW20" s="739"/>
      <c r="AX20" s="739"/>
      <c r="AY20" s="739"/>
      <c r="AZ20" s="739"/>
      <c r="BA20" s="739"/>
    </row>
    <row r="21" spans="1:53" ht="13.5" customHeight="1">
      <c r="A21" s="736"/>
      <c r="B21" s="736"/>
      <c r="C21" s="739"/>
      <c r="D21" s="739"/>
      <c r="E21" s="739"/>
      <c r="F21" s="739"/>
      <c r="G21" s="739"/>
      <c r="H21" s="739"/>
      <c r="I21" s="739"/>
      <c r="J21" s="739"/>
      <c r="K21" s="739"/>
      <c r="L21" s="739"/>
      <c r="M21" s="739"/>
      <c r="N21" s="739"/>
      <c r="O21" s="739"/>
      <c r="P21" s="739"/>
      <c r="Q21" s="739"/>
      <c r="R21" s="745"/>
      <c r="S21" s="745"/>
      <c r="T21" s="745"/>
      <c r="U21" s="745"/>
      <c r="V21" s="745"/>
      <c r="W21" s="745"/>
      <c r="X21" s="745"/>
      <c r="Y21" s="745"/>
      <c r="Z21" s="745"/>
      <c r="AA21" s="745"/>
      <c r="AB21" s="745"/>
      <c r="AC21" s="745"/>
      <c r="AD21" s="745"/>
      <c r="AE21" s="745"/>
      <c r="AF21" s="745"/>
      <c r="AG21" s="745"/>
      <c r="AH21" s="745"/>
      <c r="AI21" s="745"/>
      <c r="AJ21" s="745"/>
      <c r="AK21" s="745"/>
      <c r="AL21" s="746"/>
      <c r="AM21" s="746"/>
      <c r="AN21" s="746"/>
      <c r="AO21" s="746"/>
      <c r="AP21" s="739"/>
      <c r="AQ21" s="739"/>
      <c r="AR21" s="739"/>
      <c r="AS21" s="739"/>
      <c r="AT21" s="739"/>
      <c r="AU21" s="739"/>
      <c r="AV21" s="739"/>
      <c r="AW21" s="739"/>
      <c r="AX21" s="739"/>
      <c r="AY21" s="739"/>
      <c r="AZ21" s="739"/>
      <c r="BA21" s="739"/>
    </row>
    <row r="22" spans="1:53">
      <c r="A22" s="736"/>
      <c r="B22" s="736"/>
      <c r="C22" s="739"/>
      <c r="D22" s="739"/>
      <c r="E22" s="739"/>
      <c r="F22" s="739"/>
      <c r="G22" s="739"/>
      <c r="H22" s="739"/>
      <c r="I22" s="739"/>
      <c r="J22" s="739"/>
      <c r="K22" s="739"/>
      <c r="L22" s="739"/>
      <c r="M22" s="739"/>
      <c r="N22" s="739"/>
      <c r="O22" s="739"/>
      <c r="P22" s="739"/>
      <c r="Q22" s="739"/>
      <c r="R22" s="739"/>
      <c r="S22" s="739"/>
      <c r="T22" s="739"/>
      <c r="U22" s="739"/>
      <c r="V22" s="739"/>
      <c r="W22" s="739"/>
      <c r="X22" s="739"/>
      <c r="Y22" s="739"/>
      <c r="Z22" s="739"/>
      <c r="AA22" s="739"/>
      <c r="AB22" s="739"/>
      <c r="AC22" s="739"/>
      <c r="AD22" s="739"/>
      <c r="AE22" s="739"/>
      <c r="AF22" s="739"/>
      <c r="AG22" s="739"/>
      <c r="AH22" s="739"/>
      <c r="AI22" s="739"/>
      <c r="AJ22" s="739"/>
      <c r="AK22" s="739"/>
      <c r="AL22" s="746"/>
      <c r="AM22" s="746"/>
      <c r="AN22" s="746"/>
      <c r="AO22" s="746"/>
      <c r="AP22" s="739"/>
      <c r="AQ22" s="739"/>
      <c r="AR22" s="739"/>
      <c r="AS22" s="739"/>
      <c r="AT22" s="739"/>
      <c r="AU22" s="739"/>
      <c r="AV22" s="739"/>
      <c r="AW22" s="739"/>
      <c r="AX22" s="739"/>
      <c r="AY22" s="739"/>
      <c r="AZ22" s="739"/>
      <c r="BA22" s="739"/>
    </row>
    <row r="23" spans="1:53">
      <c r="A23" s="736"/>
      <c r="B23" s="736"/>
      <c r="C23" s="739"/>
      <c r="D23" s="739"/>
      <c r="E23" s="739"/>
      <c r="F23" s="739"/>
      <c r="G23" s="739"/>
      <c r="H23" s="739"/>
      <c r="I23" s="739"/>
      <c r="J23" s="739"/>
      <c r="K23" s="739"/>
      <c r="L23" s="739"/>
      <c r="M23" s="739"/>
      <c r="N23" s="739"/>
      <c r="O23" s="739"/>
      <c r="P23" s="739"/>
      <c r="Q23" s="739"/>
      <c r="R23" s="745"/>
      <c r="S23" s="745"/>
      <c r="T23" s="745"/>
      <c r="U23" s="745"/>
      <c r="V23" s="745"/>
      <c r="W23" s="745"/>
      <c r="X23" s="745"/>
      <c r="Y23" s="745"/>
      <c r="Z23" s="745"/>
      <c r="AA23" s="745"/>
      <c r="AB23" s="745"/>
      <c r="AC23" s="745"/>
      <c r="AD23" s="745"/>
      <c r="AE23" s="745"/>
      <c r="AF23" s="745"/>
      <c r="AG23" s="745"/>
      <c r="AH23" s="745"/>
      <c r="AI23" s="745"/>
      <c r="AJ23" s="745"/>
      <c r="AK23" s="745"/>
      <c r="AL23" s="746"/>
      <c r="AM23" s="746"/>
      <c r="AN23" s="746"/>
      <c r="AO23" s="746"/>
      <c r="AP23" s="739"/>
      <c r="AQ23" s="739"/>
      <c r="AR23" s="739"/>
      <c r="AS23" s="739"/>
      <c r="AT23" s="739"/>
      <c r="AU23" s="739"/>
      <c r="AV23" s="739"/>
      <c r="AW23" s="739"/>
      <c r="AX23" s="739"/>
      <c r="AY23" s="739"/>
      <c r="AZ23" s="739"/>
      <c r="BA23" s="739"/>
    </row>
    <row r="24" spans="1:53">
      <c r="A24" s="736"/>
      <c r="B24" s="736"/>
      <c r="C24" s="739"/>
      <c r="D24" s="739"/>
      <c r="E24" s="739"/>
      <c r="F24" s="739"/>
      <c r="G24" s="739"/>
      <c r="H24" s="739"/>
      <c r="I24" s="739"/>
      <c r="J24" s="739"/>
      <c r="K24" s="739"/>
      <c r="L24" s="739"/>
      <c r="M24" s="739"/>
      <c r="N24" s="739"/>
      <c r="O24" s="739"/>
      <c r="P24" s="739"/>
      <c r="Q24" s="739"/>
      <c r="R24" s="739"/>
      <c r="S24" s="739"/>
      <c r="T24" s="739"/>
      <c r="U24" s="739"/>
      <c r="V24" s="739"/>
      <c r="W24" s="739"/>
      <c r="X24" s="739"/>
      <c r="Y24" s="739"/>
      <c r="Z24" s="739"/>
      <c r="AA24" s="739"/>
      <c r="AB24" s="739"/>
      <c r="AC24" s="739"/>
      <c r="AD24" s="739"/>
      <c r="AE24" s="739"/>
      <c r="AF24" s="739"/>
      <c r="AG24" s="739"/>
      <c r="AH24" s="739"/>
      <c r="AI24" s="739"/>
      <c r="AJ24" s="739"/>
      <c r="AK24" s="739"/>
      <c r="AL24" s="746"/>
      <c r="AM24" s="746"/>
      <c r="AN24" s="746"/>
      <c r="AO24" s="746"/>
      <c r="AP24" s="739"/>
      <c r="AQ24" s="739"/>
      <c r="AR24" s="739"/>
      <c r="AS24" s="739"/>
      <c r="AT24" s="739"/>
      <c r="AU24" s="739"/>
      <c r="AV24" s="739"/>
      <c r="AW24" s="739"/>
      <c r="AX24" s="739"/>
      <c r="AY24" s="739"/>
      <c r="AZ24" s="739"/>
      <c r="BA24" s="739"/>
    </row>
    <row r="25" spans="1:53">
      <c r="A25" s="736"/>
      <c r="B25" s="736"/>
      <c r="C25" s="739"/>
      <c r="D25" s="739"/>
      <c r="E25" s="739"/>
      <c r="F25" s="739"/>
      <c r="G25" s="739"/>
      <c r="H25" s="739"/>
      <c r="I25" s="739"/>
      <c r="J25" s="739"/>
      <c r="K25" s="739"/>
      <c r="L25" s="739"/>
      <c r="M25" s="739"/>
      <c r="N25" s="739"/>
      <c r="O25" s="739"/>
      <c r="P25" s="739"/>
      <c r="Q25" s="739"/>
      <c r="R25" s="739"/>
      <c r="S25" s="739"/>
      <c r="T25" s="739"/>
      <c r="U25" s="739"/>
      <c r="V25" s="739"/>
      <c r="W25" s="739"/>
      <c r="X25" s="739"/>
      <c r="Y25" s="739"/>
      <c r="Z25" s="739"/>
      <c r="AA25" s="739"/>
      <c r="AB25" s="739"/>
      <c r="AC25" s="739"/>
      <c r="AD25" s="739"/>
      <c r="AE25" s="739"/>
      <c r="AF25" s="739"/>
      <c r="AG25" s="739"/>
      <c r="AH25" s="739"/>
      <c r="AI25" s="739"/>
      <c r="AJ25" s="739"/>
      <c r="AK25" s="739"/>
      <c r="AL25" s="746"/>
      <c r="AM25" s="736"/>
      <c r="AN25" s="736"/>
      <c r="AO25" s="736"/>
      <c r="AP25" s="739"/>
      <c r="AQ25" s="739"/>
      <c r="AR25" s="739"/>
      <c r="AS25" s="739"/>
      <c r="AT25" s="739"/>
      <c r="AU25" s="739"/>
      <c r="AV25" s="739"/>
      <c r="AW25" s="739"/>
      <c r="AX25" s="739"/>
      <c r="AY25" s="739"/>
      <c r="AZ25" s="739"/>
      <c r="BA25" s="739"/>
    </row>
    <row r="26" spans="1:53">
      <c r="A26" s="736"/>
      <c r="B26" s="736"/>
      <c r="C26" s="739"/>
      <c r="D26" s="739"/>
      <c r="E26" s="739"/>
      <c r="F26" s="739"/>
      <c r="G26" s="739"/>
      <c r="H26" s="739"/>
      <c r="I26" s="739"/>
      <c r="J26" s="739"/>
      <c r="K26" s="739"/>
      <c r="L26" s="739"/>
      <c r="M26" s="739"/>
      <c r="N26" s="739"/>
      <c r="O26" s="739"/>
      <c r="P26" s="739"/>
      <c r="Q26" s="739"/>
      <c r="R26" s="739"/>
      <c r="S26" s="739"/>
      <c r="T26" s="739"/>
      <c r="U26" s="739"/>
      <c r="V26" s="739"/>
      <c r="W26" s="739"/>
      <c r="X26" s="739"/>
      <c r="Y26" s="739"/>
      <c r="Z26" s="739"/>
      <c r="AA26" s="739"/>
      <c r="AB26" s="739"/>
      <c r="AC26" s="739"/>
      <c r="AD26" s="739"/>
      <c r="AE26" s="739"/>
      <c r="AF26" s="739"/>
      <c r="AG26" s="739"/>
      <c r="AH26" s="739"/>
      <c r="AI26" s="739"/>
      <c r="AJ26" s="739"/>
      <c r="AK26" s="739"/>
      <c r="AL26" s="746"/>
      <c r="AM26" s="736"/>
      <c r="AN26" s="736"/>
      <c r="AO26" s="736"/>
      <c r="AP26" s="739"/>
      <c r="AQ26" s="739"/>
      <c r="AR26" s="739"/>
      <c r="AS26" s="739"/>
      <c r="AT26" s="739"/>
      <c r="AU26" s="739"/>
      <c r="AV26" s="739"/>
      <c r="AW26" s="739"/>
      <c r="AX26" s="739"/>
      <c r="AY26" s="739"/>
      <c r="AZ26" s="739"/>
      <c r="BA26" s="739"/>
    </row>
    <row r="27" spans="1:53">
      <c r="A27" s="736"/>
      <c r="B27" s="736"/>
      <c r="C27" s="739"/>
      <c r="D27" s="739"/>
      <c r="E27" s="739"/>
      <c r="F27" s="739"/>
      <c r="G27" s="739"/>
      <c r="H27" s="739"/>
      <c r="I27" s="739"/>
      <c r="J27" s="739"/>
      <c r="K27" s="739"/>
      <c r="L27" s="739"/>
      <c r="M27" s="739"/>
      <c r="N27" s="739"/>
      <c r="O27" s="739"/>
      <c r="P27" s="739"/>
      <c r="Q27" s="739"/>
      <c r="R27" s="739"/>
      <c r="S27" s="739"/>
      <c r="T27" s="739"/>
      <c r="U27" s="739"/>
      <c r="V27" s="739"/>
      <c r="W27" s="739"/>
      <c r="X27" s="739"/>
      <c r="Y27" s="739"/>
      <c r="Z27" s="739"/>
      <c r="AA27" s="739"/>
      <c r="AB27" s="739"/>
      <c r="AC27" s="739"/>
      <c r="AD27" s="739"/>
      <c r="AE27" s="739"/>
      <c r="AF27" s="739"/>
      <c r="AG27" s="739"/>
      <c r="AH27" s="739"/>
      <c r="AI27" s="739"/>
      <c r="AJ27" s="739"/>
      <c r="AK27" s="739"/>
      <c r="AL27" s="746"/>
      <c r="AM27" s="736"/>
      <c r="AN27" s="736"/>
      <c r="AO27" s="736"/>
      <c r="AP27" s="739"/>
      <c r="AQ27" s="739"/>
      <c r="AR27" s="739"/>
      <c r="AS27" s="739"/>
      <c r="AT27" s="739"/>
      <c r="AU27" s="739"/>
      <c r="AV27" s="739"/>
      <c r="AW27" s="739"/>
      <c r="AX27" s="739"/>
      <c r="AY27" s="739"/>
      <c r="AZ27" s="739"/>
      <c r="BA27" s="739"/>
    </row>
    <row r="28" spans="1:53">
      <c r="A28" s="736"/>
      <c r="B28" s="736"/>
      <c r="C28" s="739"/>
      <c r="D28" s="739"/>
      <c r="E28" s="739"/>
      <c r="F28" s="739"/>
      <c r="G28" s="739"/>
      <c r="H28" s="739"/>
      <c r="I28" s="739"/>
      <c r="J28" s="739"/>
      <c r="K28" s="739"/>
      <c r="L28" s="739"/>
      <c r="M28" s="739"/>
      <c r="N28" s="739"/>
      <c r="O28" s="739"/>
      <c r="P28" s="739"/>
      <c r="Q28" s="739"/>
      <c r="R28" s="739"/>
      <c r="S28" s="739"/>
      <c r="T28" s="739"/>
      <c r="U28" s="739"/>
      <c r="V28" s="739"/>
      <c r="W28" s="739"/>
      <c r="X28" s="739"/>
      <c r="Y28" s="739"/>
      <c r="Z28" s="739"/>
      <c r="AA28" s="739"/>
      <c r="AB28" s="739"/>
      <c r="AC28" s="739"/>
      <c r="AD28" s="739"/>
      <c r="AE28" s="739"/>
      <c r="AF28" s="739"/>
      <c r="AG28" s="739"/>
      <c r="AH28" s="739"/>
      <c r="AI28" s="739"/>
      <c r="AJ28" s="739"/>
      <c r="AK28" s="739"/>
      <c r="AL28" s="746"/>
      <c r="AM28" s="736"/>
      <c r="AN28" s="736"/>
      <c r="AO28" s="736"/>
      <c r="AP28" s="739"/>
      <c r="AQ28" s="739"/>
      <c r="AR28" s="739"/>
      <c r="AS28" s="739"/>
      <c r="AT28" s="739"/>
      <c r="AU28" s="739"/>
      <c r="AV28" s="739"/>
      <c r="AW28" s="739"/>
      <c r="AX28" s="739"/>
      <c r="AY28" s="739"/>
      <c r="AZ28" s="739"/>
      <c r="BA28" s="739"/>
    </row>
    <row r="29" spans="1:53">
      <c r="A29" s="736"/>
      <c r="B29" s="736"/>
      <c r="C29" s="739"/>
      <c r="D29" s="739"/>
      <c r="E29" s="739"/>
      <c r="F29" s="739"/>
      <c r="G29" s="739"/>
      <c r="H29" s="739"/>
      <c r="I29" s="739"/>
      <c r="J29" s="739"/>
      <c r="K29" s="739"/>
      <c r="L29" s="739"/>
      <c r="M29" s="739"/>
      <c r="N29" s="739"/>
      <c r="O29" s="739"/>
      <c r="P29" s="739"/>
      <c r="Q29" s="739"/>
      <c r="R29" s="739"/>
      <c r="S29" s="739"/>
      <c r="T29" s="739"/>
      <c r="U29" s="739"/>
      <c r="V29" s="739"/>
      <c r="W29" s="739"/>
      <c r="X29" s="739"/>
      <c r="Y29" s="739"/>
      <c r="Z29" s="739"/>
      <c r="AA29" s="739"/>
      <c r="AB29" s="739"/>
      <c r="AC29" s="739"/>
      <c r="AD29" s="739"/>
      <c r="AE29" s="739"/>
      <c r="AF29" s="739"/>
      <c r="AG29" s="739"/>
      <c r="AH29" s="739"/>
      <c r="AI29" s="739"/>
      <c r="AJ29" s="739"/>
      <c r="AK29" s="739"/>
      <c r="AL29" s="746"/>
      <c r="AM29" s="736"/>
      <c r="AN29" s="736"/>
      <c r="AO29" s="736"/>
      <c r="AP29" s="739"/>
      <c r="AQ29" s="739"/>
      <c r="AR29" s="739"/>
      <c r="AS29" s="739"/>
      <c r="AT29" s="739"/>
      <c r="AU29" s="739"/>
      <c r="AV29" s="739"/>
      <c r="AW29" s="739"/>
      <c r="AX29" s="739"/>
      <c r="AY29" s="739"/>
      <c r="AZ29" s="739"/>
      <c r="BA29" s="739"/>
    </row>
    <row r="30" spans="1:53">
      <c r="A30" s="736"/>
      <c r="B30" s="736"/>
      <c r="C30" s="739"/>
      <c r="D30" s="739"/>
      <c r="E30" s="739"/>
      <c r="F30" s="739"/>
      <c r="G30" s="739"/>
      <c r="H30" s="739"/>
      <c r="I30" s="739"/>
      <c r="J30" s="739"/>
      <c r="K30" s="739"/>
      <c r="L30" s="739"/>
      <c r="M30" s="739"/>
      <c r="N30" s="739"/>
      <c r="O30" s="739"/>
      <c r="P30" s="739"/>
      <c r="Q30" s="739"/>
      <c r="R30" s="739"/>
      <c r="S30" s="739"/>
      <c r="T30" s="739"/>
      <c r="U30" s="739"/>
      <c r="V30" s="739"/>
      <c r="W30" s="739"/>
      <c r="X30" s="739"/>
      <c r="Y30" s="739"/>
      <c r="Z30" s="739"/>
      <c r="AA30" s="739"/>
      <c r="AB30" s="739"/>
      <c r="AC30" s="739"/>
      <c r="AD30" s="739"/>
      <c r="AE30" s="739"/>
      <c r="AF30" s="739"/>
      <c r="AG30" s="739"/>
      <c r="AH30" s="739"/>
      <c r="AI30" s="739"/>
      <c r="AJ30" s="739"/>
      <c r="AK30" s="739"/>
      <c r="AL30" s="736"/>
      <c r="AM30" s="736"/>
      <c r="AN30" s="736"/>
      <c r="AO30" s="736"/>
      <c r="AP30" s="739"/>
      <c r="AQ30" s="739"/>
      <c r="AR30" s="739"/>
      <c r="AS30" s="739"/>
      <c r="AT30" s="739"/>
      <c r="AU30" s="739"/>
      <c r="AV30" s="739"/>
      <c r="AW30" s="739"/>
      <c r="AX30" s="739"/>
      <c r="AY30" s="739"/>
      <c r="AZ30" s="739"/>
      <c r="BA30" s="739"/>
    </row>
    <row r="31" spans="1:53">
      <c r="A31" s="736"/>
      <c r="B31" s="736"/>
      <c r="C31" s="739"/>
      <c r="D31" s="739"/>
      <c r="E31" s="739"/>
      <c r="F31" s="739"/>
      <c r="G31" s="739"/>
      <c r="H31" s="739"/>
      <c r="I31" s="739"/>
      <c r="J31" s="739"/>
      <c r="K31" s="739"/>
      <c r="L31" s="739"/>
      <c r="M31" s="739"/>
      <c r="N31" s="739"/>
      <c r="O31" s="739"/>
      <c r="P31" s="739"/>
      <c r="Q31" s="739"/>
      <c r="R31" s="739"/>
      <c r="S31" s="739"/>
      <c r="T31" s="739"/>
      <c r="U31" s="739"/>
      <c r="V31" s="739"/>
      <c r="W31" s="739"/>
      <c r="X31" s="739"/>
      <c r="Y31" s="739"/>
      <c r="Z31" s="739"/>
      <c r="AA31" s="739"/>
      <c r="AB31" s="739"/>
      <c r="AC31" s="739"/>
      <c r="AD31" s="739"/>
      <c r="AE31" s="739"/>
      <c r="AF31" s="739"/>
      <c r="AG31" s="739"/>
      <c r="AH31" s="739"/>
      <c r="AI31" s="739"/>
      <c r="AJ31" s="739"/>
      <c r="AK31" s="739"/>
      <c r="AL31" s="736"/>
      <c r="AM31" s="736"/>
      <c r="AN31" s="736"/>
      <c r="AO31" s="736"/>
      <c r="AP31" s="739"/>
      <c r="AQ31" s="739"/>
      <c r="AR31" s="739"/>
      <c r="AS31" s="739"/>
      <c r="AT31" s="739"/>
      <c r="AU31" s="739"/>
      <c r="AV31" s="739"/>
      <c r="AW31" s="739"/>
      <c r="AX31" s="739"/>
      <c r="AY31" s="739"/>
      <c r="AZ31" s="739"/>
      <c r="BA31" s="739"/>
    </row>
    <row r="32" spans="1:53">
      <c r="A32" s="736"/>
      <c r="B32" s="736"/>
      <c r="C32" s="739"/>
      <c r="D32" s="739"/>
      <c r="E32" s="739"/>
      <c r="F32" s="739"/>
      <c r="G32" s="739"/>
      <c r="H32" s="739"/>
      <c r="I32" s="739"/>
      <c r="J32" s="739"/>
      <c r="K32" s="739"/>
      <c r="L32" s="739"/>
      <c r="M32" s="739"/>
      <c r="N32" s="739"/>
      <c r="O32" s="739"/>
      <c r="P32" s="739"/>
      <c r="Q32" s="739"/>
      <c r="R32" s="739"/>
      <c r="S32" s="739"/>
      <c r="T32" s="739"/>
      <c r="U32" s="739"/>
      <c r="V32" s="739"/>
      <c r="W32" s="739"/>
      <c r="X32" s="739"/>
      <c r="Y32" s="739"/>
      <c r="Z32" s="739"/>
      <c r="AA32" s="739"/>
      <c r="AB32" s="739"/>
      <c r="AC32" s="739"/>
      <c r="AD32" s="739"/>
      <c r="AE32" s="739"/>
      <c r="AF32" s="739"/>
      <c r="AG32" s="739"/>
      <c r="AH32" s="739"/>
      <c r="AI32" s="739"/>
      <c r="AJ32" s="739"/>
      <c r="AK32" s="739"/>
      <c r="AL32" s="736"/>
      <c r="AM32" s="736"/>
      <c r="AN32" s="736"/>
      <c r="AO32" s="736"/>
      <c r="AP32" s="739"/>
      <c r="AQ32" s="739"/>
      <c r="AR32" s="739"/>
      <c r="AS32" s="739"/>
      <c r="AT32" s="739"/>
      <c r="AU32" s="739"/>
      <c r="AV32" s="739"/>
      <c r="AW32" s="739"/>
      <c r="AX32" s="739"/>
      <c r="AY32" s="739"/>
      <c r="AZ32" s="739"/>
      <c r="BA32" s="739"/>
    </row>
    <row r="33" spans="1:53">
      <c r="A33" s="736"/>
      <c r="B33" s="736"/>
      <c r="C33" s="739"/>
      <c r="D33" s="739"/>
      <c r="E33" s="739"/>
      <c r="F33" s="739"/>
      <c r="G33" s="739"/>
      <c r="H33" s="739"/>
      <c r="I33" s="739"/>
      <c r="J33" s="739"/>
      <c r="K33" s="739"/>
      <c r="L33" s="739"/>
      <c r="M33" s="739"/>
      <c r="N33" s="739"/>
      <c r="O33" s="739"/>
      <c r="P33" s="739"/>
      <c r="Q33" s="739"/>
      <c r="R33" s="739"/>
      <c r="S33" s="739"/>
      <c r="T33" s="739"/>
      <c r="U33" s="739"/>
      <c r="V33" s="739"/>
      <c r="W33" s="739"/>
      <c r="X33" s="739"/>
      <c r="Y33" s="739"/>
      <c r="Z33" s="739"/>
      <c r="AA33" s="739"/>
      <c r="AB33" s="739"/>
      <c r="AC33" s="739"/>
      <c r="AD33" s="739"/>
      <c r="AE33" s="739"/>
      <c r="AF33" s="739"/>
      <c r="AG33" s="739"/>
      <c r="AH33" s="739"/>
      <c r="AI33" s="739"/>
      <c r="AJ33" s="739"/>
      <c r="AK33" s="739"/>
      <c r="AL33" s="736"/>
      <c r="AM33" s="736"/>
      <c r="AN33" s="736"/>
      <c r="AO33" s="736"/>
      <c r="AP33" s="739"/>
      <c r="AQ33" s="739"/>
      <c r="AR33" s="739"/>
      <c r="AS33" s="739"/>
      <c r="AT33" s="739"/>
      <c r="AU33" s="739"/>
      <c r="AV33" s="739"/>
      <c r="AW33" s="739"/>
      <c r="AX33" s="739"/>
      <c r="AY33" s="739"/>
      <c r="AZ33" s="739"/>
      <c r="BA33" s="739"/>
    </row>
    <row r="34" spans="1:53">
      <c r="A34" s="736"/>
      <c r="B34" s="736"/>
      <c r="C34" s="739"/>
      <c r="D34" s="739"/>
      <c r="E34" s="739"/>
      <c r="F34" s="739"/>
      <c r="G34" s="739"/>
      <c r="H34" s="739"/>
      <c r="I34" s="739"/>
      <c r="J34" s="739"/>
      <c r="K34" s="739"/>
      <c r="L34" s="739"/>
      <c r="M34" s="739"/>
      <c r="N34" s="739"/>
      <c r="O34" s="739"/>
      <c r="P34" s="739"/>
      <c r="Q34" s="739"/>
      <c r="R34" s="739"/>
      <c r="S34" s="739"/>
      <c r="T34" s="739"/>
      <c r="U34" s="739"/>
      <c r="V34" s="739"/>
      <c r="W34" s="739"/>
      <c r="X34" s="739"/>
      <c r="Y34" s="739"/>
      <c r="Z34" s="739"/>
      <c r="AA34" s="739"/>
      <c r="AB34" s="739"/>
      <c r="AC34" s="739"/>
      <c r="AD34" s="739"/>
      <c r="AE34" s="739"/>
      <c r="AF34" s="739"/>
      <c r="AG34" s="739"/>
      <c r="AH34" s="739"/>
      <c r="AI34" s="739"/>
      <c r="AJ34" s="739"/>
      <c r="AK34" s="739"/>
      <c r="AL34" s="736"/>
      <c r="AM34" s="736"/>
      <c r="AN34" s="736"/>
      <c r="AO34" s="736"/>
      <c r="AP34" s="739"/>
      <c r="AQ34" s="739"/>
      <c r="AR34" s="739"/>
      <c r="AS34" s="739"/>
      <c r="AT34" s="739"/>
      <c r="AU34" s="739"/>
      <c r="AV34" s="739"/>
      <c r="AW34" s="739"/>
      <c r="AX34" s="739"/>
      <c r="AY34" s="739"/>
      <c r="AZ34" s="739"/>
      <c r="BA34" s="739"/>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50"/>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F1467-9C75-407F-8966-48AB7D73028F}">
  <dimension ref="A1:DX212"/>
  <sheetViews>
    <sheetView showGridLines="0" topLeftCell="A5" zoomScale="90" zoomScaleNormal="90" zoomScaleSheetLayoutView="100" workbookViewId="0">
      <pane ySplit="2" topLeftCell="A1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2"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72">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72"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化学物質データ画面(日本語)</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72" ht="5.9" customHeight="1"/>
    <row r="5" spans="1:72"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379</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301</v>
      </c>
      <c r="BF7" s="575"/>
      <c r="BG7" s="575"/>
      <c r="BH7" s="594"/>
      <c r="BI7" s="593"/>
      <c r="BJ7" s="593"/>
      <c r="BK7" s="593"/>
      <c r="BL7" s="593"/>
      <c r="BM7" s="593"/>
      <c r="BN7" s="593"/>
      <c r="BO7" s="593"/>
      <c r="BP7" s="593"/>
      <c r="BQ7" s="593"/>
      <c r="BR7" s="593"/>
      <c r="BS7" s="592"/>
      <c r="BT7" s="592"/>
    </row>
    <row r="8" spans="1:72"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394</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558"/>
      <c r="I9" s="559"/>
      <c r="J9" s="559"/>
      <c r="K9" s="559"/>
      <c r="L9" s="559"/>
      <c r="M9" s="559"/>
      <c r="N9" s="559"/>
      <c r="O9" s="559"/>
      <c r="P9" s="559"/>
      <c r="Q9" s="559"/>
      <c r="R9" s="559"/>
      <c r="S9" s="559"/>
      <c r="T9" s="560"/>
      <c r="U9" s="560"/>
      <c r="V9" s="560"/>
      <c r="W9" s="558" t="s">
        <v>300</v>
      </c>
      <c r="X9" s="558"/>
      <c r="Y9" s="558"/>
      <c r="Z9" s="560"/>
      <c r="AA9" s="560"/>
      <c r="AB9" s="562"/>
      <c r="AC9" s="560"/>
      <c r="AD9" s="563"/>
      <c r="AE9" s="563"/>
      <c r="AF9" s="563"/>
      <c r="AG9" s="563"/>
      <c r="AH9" s="563"/>
      <c r="AI9" s="559"/>
      <c r="AJ9" s="560"/>
      <c r="AK9" s="560"/>
      <c r="AL9" s="560"/>
      <c r="AM9" s="560"/>
      <c r="AN9" s="564"/>
      <c r="AO9" s="561"/>
      <c r="AP9" s="561"/>
      <c r="AQ9" s="560"/>
      <c r="AR9" s="560"/>
      <c r="AS9" s="560"/>
      <c r="AT9" s="547"/>
      <c r="AU9" s="545"/>
      <c r="AV9" s="548"/>
      <c r="AW9" s="548"/>
      <c r="AX9" s="548"/>
      <c r="AY9" s="542"/>
      <c r="AZ9" s="543"/>
      <c r="BA9" s="543"/>
      <c r="BB9" s="536"/>
      <c r="BC9" s="537"/>
      <c r="BD9" s="538"/>
      <c r="BE9" s="592"/>
      <c r="BF9" s="592"/>
      <c r="BG9" s="595" t="s">
        <v>395</v>
      </c>
      <c r="BH9" s="592"/>
      <c r="BI9" s="592"/>
      <c r="BJ9" s="592"/>
      <c r="BK9" s="592"/>
      <c r="BL9" s="592"/>
      <c r="BM9" s="592"/>
      <c r="BN9" s="592"/>
      <c r="BO9" s="592"/>
      <c r="BP9" s="592"/>
      <c r="BQ9" s="592"/>
      <c r="BR9" s="592"/>
      <c r="BS9" s="592"/>
      <c r="BT9" s="592"/>
    </row>
    <row r="10" spans="1:72" ht="12.5" customHeight="1">
      <c r="A10" s="540"/>
      <c r="B10" s="566"/>
      <c r="C10" s="568"/>
      <c r="D10" s="568"/>
      <c r="E10" s="568"/>
      <c r="F10" s="568"/>
      <c r="G10" s="568"/>
      <c r="H10" s="602" t="s">
        <v>601</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396</v>
      </c>
      <c r="BG11" s="595"/>
      <c r="BH11" s="592"/>
      <c r="BI11" s="592"/>
      <c r="BJ11" s="592"/>
      <c r="BK11" s="592"/>
      <c r="BL11" s="592"/>
      <c r="BM11" s="592"/>
      <c r="BN11" s="592"/>
      <c r="BO11" s="592"/>
      <c r="BP11" s="592"/>
      <c r="BQ11" s="592"/>
      <c r="BR11" s="592"/>
      <c r="BS11" s="592"/>
      <c r="BT11" s="592"/>
    </row>
    <row r="12" spans="1:72" ht="12.5"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397</v>
      </c>
      <c r="BH12" s="592"/>
      <c r="BI12" s="592"/>
      <c r="BJ12" s="592"/>
      <c r="BK12" s="592"/>
      <c r="BL12" s="592"/>
      <c r="BM12" s="592"/>
      <c r="BN12" s="592"/>
      <c r="BO12" s="592"/>
      <c r="BP12" s="592"/>
      <c r="BQ12" s="592"/>
      <c r="BR12" s="592"/>
      <c r="BS12" s="592"/>
      <c r="BT12" s="592"/>
    </row>
    <row r="13" spans="1:72" ht="12.5" customHeight="1">
      <c r="A13" s="540"/>
      <c r="B13" s="566"/>
      <c r="C13" s="565"/>
      <c r="D13" s="567"/>
      <c r="E13" s="567"/>
      <c r="F13" s="567"/>
      <c r="G13" s="565"/>
      <c r="H13" s="603"/>
      <c r="I13" s="618" t="s">
        <v>380</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398</v>
      </c>
      <c r="BI13" s="592"/>
      <c r="BJ13" s="592"/>
      <c r="BK13" s="592"/>
      <c r="BL13" s="592"/>
      <c r="BM13" s="592"/>
      <c r="BN13" s="592"/>
      <c r="BO13" s="592"/>
      <c r="BP13" s="592"/>
      <c r="BQ13" s="592"/>
      <c r="BR13" s="592"/>
      <c r="BS13" s="592"/>
      <c r="BT13" s="592"/>
    </row>
    <row r="14" spans="1:72" ht="12.5" customHeight="1">
      <c r="A14" s="540"/>
      <c r="B14" s="566"/>
      <c r="C14" s="571"/>
      <c r="D14" s="567"/>
      <c r="E14" s="567"/>
      <c r="F14" s="567"/>
      <c r="G14" s="569"/>
      <c r="H14" s="603"/>
      <c r="I14" s="696" t="s">
        <v>602</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399</v>
      </c>
      <c r="BI14" s="592"/>
      <c r="BJ14" s="592"/>
      <c r="BK14" s="592"/>
      <c r="BL14" s="592"/>
      <c r="BM14" s="592"/>
      <c r="BN14" s="592"/>
      <c r="BO14" s="592"/>
      <c r="BP14" s="592"/>
      <c r="BQ14" s="592"/>
      <c r="BR14" s="592"/>
      <c r="BS14" s="592"/>
      <c r="BT14" s="592"/>
    </row>
    <row r="15" spans="1:72" ht="12.5"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5"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400</v>
      </c>
      <c r="BG16" s="592"/>
      <c r="BH16" s="592"/>
      <c r="BI16" s="592"/>
      <c r="BJ16" s="592"/>
      <c r="BK16" s="592"/>
      <c r="BL16" s="592"/>
      <c r="BM16" s="592"/>
      <c r="BN16" s="592"/>
      <c r="BO16" s="592"/>
      <c r="BP16" s="592"/>
      <c r="BQ16" s="592"/>
      <c r="BR16" s="592"/>
      <c r="BS16" s="592"/>
      <c r="BT16" s="592"/>
    </row>
    <row r="17" spans="1:72" ht="12.5"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401</v>
      </c>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9"/>
      <c r="I18" s="633" t="s">
        <v>299</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402</v>
      </c>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9"/>
      <c r="I19" s="619" t="s">
        <v>603</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403</v>
      </c>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2"/>
      <c r="I20" s="627"/>
      <c r="J20" s="625"/>
      <c r="K20" s="627"/>
      <c r="L20" s="625"/>
      <c r="M20" s="625"/>
      <c r="N20" s="625"/>
      <c r="O20" s="625"/>
      <c r="P20" s="625"/>
      <c r="Q20" s="625"/>
      <c r="R20" s="619" t="s">
        <v>381</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2"/>
      <c r="I21" s="627"/>
      <c r="J21" s="625"/>
      <c r="K21" s="627"/>
      <c r="L21" s="625"/>
      <c r="M21" s="625"/>
      <c r="N21" s="625"/>
      <c r="O21" s="625"/>
      <c r="P21" s="625"/>
      <c r="Q21" s="625"/>
      <c r="R21" s="697" t="s">
        <v>604</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431</v>
      </c>
      <c r="BH21" s="592"/>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404</v>
      </c>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405</v>
      </c>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3"/>
      <c r="I24" s="617" t="s">
        <v>382</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406</v>
      </c>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3"/>
      <c r="I25" s="603" t="s">
        <v>605</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432</v>
      </c>
      <c r="BH26" s="592"/>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402</v>
      </c>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407</v>
      </c>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425</v>
      </c>
      <c r="BJ29" s="592" t="s">
        <v>426</v>
      </c>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425</v>
      </c>
      <c r="BJ30" s="592" t="s">
        <v>427</v>
      </c>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425</v>
      </c>
      <c r="BJ31" s="592" t="s">
        <v>428</v>
      </c>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425</v>
      </c>
      <c r="BJ32" s="592" t="s">
        <v>429</v>
      </c>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6"/>
      <c r="I33" s="611"/>
      <c r="J33" s="609"/>
      <c r="K33" s="611"/>
      <c r="L33" s="609"/>
      <c r="M33" s="609"/>
      <c r="N33" s="609"/>
      <c r="O33" s="609"/>
      <c r="P33" s="609"/>
      <c r="Q33" s="609"/>
      <c r="R33" s="634" t="s">
        <v>383</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408</v>
      </c>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6"/>
      <c r="I34" s="611"/>
      <c r="J34" s="609"/>
      <c r="K34" s="611"/>
      <c r="L34" s="609"/>
      <c r="M34" s="609"/>
      <c r="N34" s="609"/>
      <c r="O34" s="609"/>
      <c r="P34" s="609"/>
      <c r="Q34" s="609"/>
      <c r="R34" s="634" t="s">
        <v>606</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409</v>
      </c>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6"/>
      <c r="I35" s="611"/>
      <c r="J35" s="609"/>
      <c r="K35" s="611"/>
      <c r="L35" s="609"/>
      <c r="M35" s="609"/>
      <c r="N35" s="609"/>
      <c r="O35" s="609"/>
      <c r="P35" s="609"/>
      <c r="Q35" s="609"/>
      <c r="R35" s="634" t="s">
        <v>384</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410</v>
      </c>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6"/>
      <c r="I36" s="611"/>
      <c r="J36" s="609"/>
      <c r="K36" s="611"/>
      <c r="L36" s="609"/>
      <c r="M36" s="609"/>
      <c r="N36" s="609"/>
      <c r="O36" s="609"/>
      <c r="P36" s="609"/>
      <c r="Q36" s="609"/>
      <c r="R36" s="634" t="s">
        <v>607</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411</v>
      </c>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430</v>
      </c>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9"/>
      <c r="I38" s="636" t="s">
        <v>385</v>
      </c>
      <c r="J38" s="619"/>
      <c r="K38" s="619"/>
      <c r="L38" s="619"/>
      <c r="M38" s="619"/>
      <c r="N38" s="619"/>
      <c r="O38" s="619"/>
      <c r="P38" s="619"/>
      <c r="Q38" s="619"/>
      <c r="R38" s="619"/>
      <c r="S38" s="637" t="s">
        <v>386</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412</v>
      </c>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2"/>
      <c r="I39" s="698" t="s">
        <v>608</v>
      </c>
      <c r="J39" s="625"/>
      <c r="K39" s="627"/>
      <c r="L39" s="625"/>
      <c r="M39" s="625"/>
      <c r="N39" s="625"/>
      <c r="O39" s="625"/>
      <c r="P39" s="625"/>
      <c r="Q39" s="625"/>
      <c r="R39" s="625"/>
      <c r="S39" s="699" t="s">
        <v>609</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9"/>
      <c r="I40" s="625"/>
      <c r="J40" s="626"/>
      <c r="K40" s="625"/>
      <c r="L40" s="625"/>
      <c r="M40" s="625"/>
      <c r="N40" s="625"/>
      <c r="O40" s="625"/>
      <c r="P40" s="625"/>
      <c r="Q40" s="625"/>
      <c r="R40" s="619"/>
      <c r="S40" s="637" t="s">
        <v>387</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433</v>
      </c>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2"/>
      <c r="I41" s="698"/>
      <c r="J41" s="625"/>
      <c r="K41" s="627"/>
      <c r="L41" s="625"/>
      <c r="M41" s="625"/>
      <c r="N41" s="625"/>
      <c r="O41" s="625"/>
      <c r="P41" s="625"/>
      <c r="Q41" s="625"/>
      <c r="R41" s="625"/>
      <c r="S41" s="699" t="s">
        <v>610</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413</v>
      </c>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2"/>
      <c r="I42" s="627"/>
      <c r="J42" s="625"/>
      <c r="K42" s="627"/>
      <c r="L42" s="625"/>
      <c r="M42" s="625"/>
      <c r="N42" s="625"/>
      <c r="O42" s="625"/>
      <c r="P42" s="625"/>
      <c r="Q42" s="625"/>
      <c r="R42" s="619"/>
      <c r="S42" s="637" t="s">
        <v>388</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414</v>
      </c>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2"/>
      <c r="I43" s="698"/>
      <c r="J43" s="625"/>
      <c r="K43" s="627"/>
      <c r="L43" s="625"/>
      <c r="M43" s="625"/>
      <c r="N43" s="625"/>
      <c r="O43" s="625"/>
      <c r="P43" s="625"/>
      <c r="Q43" s="625"/>
      <c r="R43" s="625"/>
      <c r="S43" s="699" t="s">
        <v>611</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2"/>
      <c r="I44" s="627"/>
      <c r="J44" s="625"/>
      <c r="K44" s="627"/>
      <c r="L44" s="625"/>
      <c r="M44" s="625"/>
      <c r="N44" s="625"/>
      <c r="O44" s="625"/>
      <c r="P44" s="625"/>
      <c r="Q44" s="625"/>
      <c r="R44" s="619"/>
      <c r="S44" s="637" t="s">
        <v>389</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434</v>
      </c>
      <c r="BH44" s="592"/>
      <c r="BI44" s="592"/>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2"/>
      <c r="I45" s="698"/>
      <c r="J45" s="625"/>
      <c r="K45" s="627"/>
      <c r="L45" s="625"/>
      <c r="M45" s="625"/>
      <c r="N45" s="625"/>
      <c r="O45" s="625"/>
      <c r="P45" s="625"/>
      <c r="Q45" s="625"/>
      <c r="R45" s="625"/>
      <c r="S45" s="699" t="s">
        <v>612</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415</v>
      </c>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2"/>
      <c r="I46" s="627"/>
      <c r="J46" s="625"/>
      <c r="K46" s="627"/>
      <c r="L46" s="625"/>
      <c r="M46" s="625"/>
      <c r="N46" s="625"/>
      <c r="O46" s="625"/>
      <c r="P46" s="625"/>
      <c r="Q46" s="625"/>
      <c r="R46" s="619"/>
      <c r="S46" s="637" t="s">
        <v>390</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t="s">
        <v>416</v>
      </c>
      <c r="BI46" s="592"/>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92"/>
      <c r="BH47" s="592" t="s">
        <v>417</v>
      </c>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2"/>
      <c r="I48" s="627"/>
      <c r="J48" s="625"/>
      <c r="K48" s="627"/>
      <c r="L48" s="625"/>
      <c r="M48" s="625"/>
      <c r="N48" s="625"/>
      <c r="O48" s="625"/>
      <c r="P48" s="625"/>
      <c r="Q48" s="625"/>
      <c r="R48" s="619"/>
      <c r="S48" s="637" t="s">
        <v>391</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t="s">
        <v>435</v>
      </c>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2"/>
      <c r="I50" s="627"/>
      <c r="J50" s="625"/>
      <c r="K50" s="627"/>
      <c r="L50" s="625"/>
      <c r="M50" s="625"/>
      <c r="N50" s="625"/>
      <c r="O50" s="625"/>
      <c r="P50" s="625"/>
      <c r="Q50" s="625"/>
      <c r="R50" s="619"/>
      <c r="S50" s="637" t="s">
        <v>392</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t="s">
        <v>418</v>
      </c>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2"/>
      <c r="I51" s="627"/>
      <c r="J51" s="625"/>
      <c r="K51" s="627"/>
      <c r="L51" s="625"/>
      <c r="M51" s="625"/>
      <c r="N51" s="625"/>
      <c r="O51" s="625"/>
      <c r="P51" s="625"/>
      <c r="Q51" s="625"/>
      <c r="R51" s="625"/>
      <c r="S51" s="700" t="s">
        <v>613</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5"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t="s">
        <v>436</v>
      </c>
      <c r="BH52" s="592"/>
      <c r="BI52" s="592"/>
      <c r="BJ52" s="592"/>
      <c r="BK52" s="592"/>
      <c r="BL52" s="592"/>
      <c r="BM52" s="592"/>
      <c r="BN52" s="592"/>
      <c r="BO52" s="592"/>
      <c r="BP52" s="592"/>
      <c r="BQ52" s="592"/>
      <c r="BR52" s="592"/>
      <c r="BS52" s="592"/>
      <c r="BT52" s="592"/>
    </row>
    <row r="53" spans="1:72" s="591" customFormat="1" ht="12.5" customHeight="1">
      <c r="A53" s="540"/>
      <c r="B53" s="541"/>
      <c r="C53" s="565"/>
      <c r="D53" s="565"/>
      <c r="E53" s="565"/>
      <c r="F53" s="565"/>
      <c r="G53" s="565"/>
      <c r="H53" s="603"/>
      <c r="I53" s="603"/>
      <c r="J53" s="603"/>
      <c r="K53" s="603"/>
      <c r="L53" s="603"/>
      <c r="M53" s="603"/>
      <c r="N53" s="603"/>
      <c r="O53" s="603"/>
      <c r="P53" s="603"/>
      <c r="Q53" s="603"/>
      <c r="R53" s="603"/>
      <c r="S53" s="603"/>
      <c r="T53" s="604"/>
      <c r="U53" s="604"/>
      <c r="V53" s="604"/>
      <c r="W53" s="604"/>
      <c r="X53" s="605"/>
      <c r="Y53" s="604"/>
      <c r="Z53" s="604"/>
      <c r="AA53" s="604"/>
      <c r="AB53" s="606"/>
      <c r="AC53" s="604"/>
      <c r="AD53" s="607"/>
      <c r="AE53" s="607"/>
      <c r="AF53" s="607"/>
      <c r="AG53" s="607"/>
      <c r="AH53" s="607"/>
      <c r="AI53" s="603"/>
      <c r="AJ53" s="604"/>
      <c r="AK53" s="604"/>
      <c r="AL53" s="604"/>
      <c r="AM53" s="604"/>
      <c r="AN53" s="608"/>
      <c r="AO53" s="605"/>
      <c r="AP53" s="605"/>
      <c r="AQ53" s="604"/>
      <c r="AR53" s="604"/>
      <c r="AS53" s="604"/>
      <c r="AT53" s="565"/>
      <c r="AU53" s="565"/>
      <c r="AV53" s="565"/>
      <c r="AW53" s="565"/>
      <c r="AX53" s="565"/>
      <c r="AY53" s="565"/>
      <c r="AZ53" s="543"/>
      <c r="BA53" s="543"/>
      <c r="BB53" s="536"/>
      <c r="BC53" s="537"/>
      <c r="BD53" s="538"/>
      <c r="BE53" s="592"/>
      <c r="BF53" s="592"/>
      <c r="BG53" s="592"/>
      <c r="BH53" s="592" t="s">
        <v>420</v>
      </c>
      <c r="BI53" s="592"/>
      <c r="BJ53" s="592"/>
      <c r="BK53" s="592"/>
      <c r="BL53" s="592"/>
      <c r="BM53" s="592"/>
      <c r="BN53" s="592"/>
      <c r="BO53" s="592"/>
      <c r="BP53" s="592"/>
      <c r="BQ53" s="592"/>
      <c r="BR53" s="592"/>
      <c r="BS53" s="592"/>
      <c r="BT53" s="592"/>
    </row>
    <row r="54" spans="1:72" s="591" customFormat="1" ht="12.5" customHeight="1">
      <c r="A54" s="540"/>
      <c r="B54" s="566"/>
      <c r="C54" s="565"/>
      <c r="D54" s="565"/>
      <c r="E54" s="565"/>
      <c r="F54" s="565"/>
      <c r="G54" s="565"/>
      <c r="H54" s="603"/>
      <c r="I54" s="638" t="s">
        <v>617</v>
      </c>
      <c r="J54" s="603"/>
      <c r="K54" s="603"/>
      <c r="L54" s="603"/>
      <c r="M54" s="603"/>
      <c r="N54" s="603"/>
      <c r="O54" s="603"/>
      <c r="P54" s="603"/>
      <c r="Q54" s="603"/>
      <c r="R54" s="603"/>
      <c r="S54" s="603"/>
      <c r="T54" s="604"/>
      <c r="U54" s="604"/>
      <c r="V54" s="604"/>
      <c r="W54" s="604"/>
      <c r="X54" s="605"/>
      <c r="Y54" s="604"/>
      <c r="Z54" s="603"/>
      <c r="AA54" s="603"/>
      <c r="AB54" s="603"/>
      <c r="AC54" s="603"/>
      <c r="AD54" s="603"/>
      <c r="AE54" s="603"/>
      <c r="AF54" s="603"/>
      <c r="AG54" s="603"/>
      <c r="AH54" s="603"/>
      <c r="AI54" s="603"/>
      <c r="AJ54" s="603"/>
      <c r="AK54" s="603"/>
      <c r="AL54" s="603"/>
      <c r="AM54" s="603"/>
      <c r="AN54" s="603"/>
      <c r="AO54" s="603"/>
      <c r="AP54" s="603"/>
      <c r="AQ54" s="603"/>
      <c r="AR54" s="603"/>
      <c r="AS54" s="603"/>
      <c r="AT54" s="565"/>
      <c r="AU54" s="565"/>
      <c r="AV54" s="565"/>
      <c r="AW54" s="565"/>
      <c r="AX54" s="565"/>
      <c r="AY54" s="565"/>
      <c r="AZ54" s="570"/>
      <c r="BA54" s="570"/>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3"/>
      <c r="I55" s="638" t="s">
        <v>614</v>
      </c>
      <c r="J55" s="610"/>
      <c r="K55" s="609"/>
      <c r="L55" s="609"/>
      <c r="M55" s="609"/>
      <c r="N55" s="609"/>
      <c r="O55" s="609"/>
      <c r="P55" s="609"/>
      <c r="Q55" s="609"/>
      <c r="R55" s="609"/>
      <c r="S55" s="609"/>
      <c r="T55" s="609"/>
      <c r="U55" s="609"/>
      <c r="V55" s="609"/>
      <c r="W55" s="609"/>
      <c r="X55" s="611"/>
      <c r="Y55" s="603"/>
      <c r="Z55" s="603"/>
      <c r="AA55" s="612"/>
      <c r="AB55" s="603"/>
      <c r="AC55" s="613"/>
      <c r="AD55" s="613"/>
      <c r="AE55" s="614"/>
      <c r="AF55" s="613"/>
      <c r="AG55" s="614"/>
      <c r="AH55" s="613"/>
      <c r="AI55" s="615"/>
      <c r="AJ55" s="613"/>
      <c r="AK55" s="614"/>
      <c r="AL55" s="614"/>
      <c r="AM55" s="614"/>
      <c r="AN55" s="614"/>
      <c r="AO55" s="614"/>
      <c r="AP55" s="614"/>
      <c r="AQ55" s="614"/>
      <c r="AR55" s="614"/>
      <c r="AS55" s="614"/>
      <c r="AT55" s="565"/>
      <c r="AU55" s="565"/>
      <c r="AV55" s="565"/>
      <c r="AW55" s="565"/>
      <c r="AX55" s="565"/>
      <c r="AY55" s="565"/>
      <c r="AZ55" s="570"/>
      <c r="BA55" s="570"/>
      <c r="BB55" s="536"/>
      <c r="BC55" s="537"/>
      <c r="BD55" s="538"/>
      <c r="BE55" s="592"/>
      <c r="BF55" s="592"/>
      <c r="BG55" s="592"/>
      <c r="BH55" s="592" t="s">
        <v>421</v>
      </c>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16"/>
      <c r="I56" s="639" t="s">
        <v>616</v>
      </c>
      <c r="J56" s="609"/>
      <c r="K56" s="611"/>
      <c r="L56" s="609"/>
      <c r="M56" s="609"/>
      <c r="N56" s="609"/>
      <c r="O56" s="609"/>
      <c r="P56" s="609"/>
      <c r="Q56" s="609"/>
      <c r="R56" s="609"/>
      <c r="S56" s="609"/>
      <c r="T56" s="609"/>
      <c r="U56" s="609"/>
      <c r="V56" s="609"/>
      <c r="W56" s="609"/>
      <c r="X56" s="611"/>
      <c r="Y56" s="603"/>
      <c r="Z56" s="612"/>
      <c r="AA56" s="603"/>
      <c r="AB56" s="612"/>
      <c r="AC56" s="603"/>
      <c r="AD56" s="613"/>
      <c r="AE56" s="613"/>
      <c r="AF56" s="614"/>
      <c r="AG56" s="613"/>
      <c r="AH56" s="613"/>
      <c r="AI56" s="615"/>
      <c r="AJ56" s="613"/>
      <c r="AK56" s="614"/>
      <c r="AL56" s="614"/>
      <c r="AM56" s="614"/>
      <c r="AN56" s="614"/>
      <c r="AO56" s="614"/>
      <c r="AP56" s="614"/>
      <c r="AQ56" s="614"/>
      <c r="AR56" s="614"/>
      <c r="AS56" s="603"/>
      <c r="AT56" s="565"/>
      <c r="AU56" s="565"/>
      <c r="AV56" s="565"/>
      <c r="AW56" s="565"/>
      <c r="AX56" s="565"/>
      <c r="AY56" s="565"/>
      <c r="AZ56" s="570"/>
      <c r="BA56" s="570"/>
      <c r="BB56" s="536"/>
      <c r="BC56" s="537"/>
      <c r="BD56" s="538"/>
      <c r="BE56" s="592"/>
      <c r="BF56" s="592"/>
      <c r="BG56" s="592"/>
      <c r="BH56" s="592"/>
      <c r="BI56" s="592" t="s">
        <v>422</v>
      </c>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6"/>
      <c r="I57" s="639" t="s">
        <v>615</v>
      </c>
      <c r="J57" s="609"/>
      <c r="K57" s="611"/>
      <c r="L57" s="609"/>
      <c r="M57" s="609"/>
      <c r="N57" s="609"/>
      <c r="O57" s="609"/>
      <c r="P57" s="609"/>
      <c r="Q57" s="609"/>
      <c r="R57" s="609"/>
      <c r="S57" s="609"/>
      <c r="T57" s="609"/>
      <c r="U57" s="609"/>
      <c r="V57" s="609"/>
      <c r="W57" s="609"/>
      <c r="X57" s="611"/>
      <c r="Y57" s="603"/>
      <c r="Z57" s="614"/>
      <c r="AA57" s="614"/>
      <c r="AB57" s="614"/>
      <c r="AC57" s="614"/>
      <c r="AD57" s="614"/>
      <c r="AE57" s="614"/>
      <c r="AF57" s="614"/>
      <c r="AG57" s="614"/>
      <c r="AH57" s="614"/>
      <c r="AI57" s="614"/>
      <c r="AJ57" s="614"/>
      <c r="AK57" s="614"/>
      <c r="AL57" s="614"/>
      <c r="AM57" s="603"/>
      <c r="AN57" s="603"/>
      <c r="AO57" s="603"/>
      <c r="AP57" s="603"/>
      <c r="AQ57" s="603"/>
      <c r="AR57" s="603"/>
      <c r="AS57" s="603"/>
      <c r="AT57" s="565"/>
      <c r="AU57" s="565"/>
      <c r="AV57" s="565"/>
      <c r="AW57" s="565"/>
      <c r="AX57" s="565"/>
      <c r="AY57" s="565"/>
      <c r="AZ57" s="570"/>
      <c r="BA57" s="570"/>
      <c r="BB57" s="536"/>
      <c r="BC57" s="537"/>
      <c r="BD57" s="538"/>
      <c r="BE57" s="592"/>
      <c r="BF57" s="592"/>
      <c r="BG57" s="595"/>
      <c r="BH57" s="592" t="s">
        <v>423</v>
      </c>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6"/>
      <c r="I58" s="611"/>
      <c r="J58" s="609"/>
      <c r="K58" s="611"/>
      <c r="L58" s="609"/>
      <c r="M58" s="609"/>
      <c r="N58" s="609"/>
      <c r="O58" s="609"/>
      <c r="P58" s="609"/>
      <c r="Q58" s="609"/>
      <c r="R58" s="609"/>
      <c r="S58" s="609"/>
      <c r="T58" s="609"/>
      <c r="U58" s="609"/>
      <c r="V58" s="609"/>
      <c r="W58" s="609"/>
      <c r="X58" s="611"/>
      <c r="Y58" s="603"/>
      <c r="Z58" s="612"/>
      <c r="AA58" s="603"/>
      <c r="AB58" s="612"/>
      <c r="AC58" s="603"/>
      <c r="AD58" s="613"/>
      <c r="AE58" s="613"/>
      <c r="AF58" s="614"/>
      <c r="AG58" s="613"/>
      <c r="AH58" s="613"/>
      <c r="AI58" s="615"/>
      <c r="AJ58" s="613"/>
      <c r="AK58" s="614"/>
      <c r="AL58" s="614"/>
      <c r="AM58" s="614"/>
      <c r="AN58" s="614"/>
      <c r="AO58" s="614"/>
      <c r="AP58" s="614"/>
      <c r="AQ58" s="614"/>
      <c r="AR58" s="614"/>
      <c r="AS58" s="603"/>
      <c r="AT58" s="565"/>
      <c r="AU58" s="565"/>
      <c r="AV58" s="565"/>
      <c r="AW58" s="565"/>
      <c r="AX58" s="565"/>
      <c r="AY58" s="565"/>
      <c r="AZ58" s="570"/>
      <c r="BA58" s="570"/>
      <c r="BB58" s="536"/>
      <c r="BC58" s="537"/>
      <c r="BD58" s="538"/>
      <c r="BE58" s="592"/>
      <c r="BF58" s="592"/>
      <c r="BG58" s="592"/>
      <c r="BH58" s="592"/>
      <c r="BI58" s="592" t="s">
        <v>424</v>
      </c>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4"/>
      <c r="AA59" s="614"/>
      <c r="AB59" s="614"/>
      <c r="AC59" s="614"/>
      <c r="AD59" s="614"/>
      <c r="AE59" s="614"/>
      <c r="AF59" s="614"/>
      <c r="AG59" s="614"/>
      <c r="AH59" s="614"/>
      <c r="AI59" s="614"/>
      <c r="AJ59" s="614"/>
      <c r="AK59" s="614"/>
      <c r="AL59" s="614"/>
      <c r="AM59" s="603"/>
      <c r="AN59" s="603"/>
      <c r="AO59" s="603"/>
      <c r="AP59" s="603"/>
      <c r="AQ59" s="603"/>
      <c r="AR59" s="603"/>
      <c r="AS59" s="603"/>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5" customHeight="1">
      <c r="A60" s="540"/>
      <c r="B60" s="566"/>
      <c r="C60" s="565"/>
      <c r="D60" s="565"/>
      <c r="E60" s="565"/>
      <c r="F60" s="565"/>
      <c r="G60" s="565"/>
      <c r="H60" s="578"/>
      <c r="I60" s="578"/>
      <c r="J60" s="578"/>
      <c r="K60" s="578"/>
      <c r="L60" s="578"/>
      <c r="M60" s="578"/>
      <c r="N60" s="578"/>
      <c r="O60" s="578"/>
      <c r="P60" s="578"/>
      <c r="Q60" s="578"/>
      <c r="R60" s="578"/>
      <c r="S60" s="578"/>
      <c r="T60" s="578"/>
      <c r="U60" s="578"/>
      <c r="V60" s="578"/>
      <c r="W60" s="578"/>
      <c r="X60" s="578"/>
      <c r="Y60" s="578"/>
      <c r="Z60" s="578"/>
      <c r="AA60" s="578"/>
      <c r="AB60" s="578"/>
      <c r="AC60" s="578"/>
      <c r="AD60" s="578"/>
      <c r="AE60" s="578"/>
      <c r="AF60" s="578"/>
      <c r="AG60" s="578"/>
      <c r="AH60" s="578"/>
      <c r="AI60" s="578"/>
      <c r="AJ60" s="578"/>
      <c r="AK60" s="578"/>
      <c r="AL60" s="578"/>
      <c r="AM60" s="578"/>
      <c r="AN60" s="578"/>
      <c r="AO60" s="578"/>
      <c r="AP60" s="578"/>
      <c r="AQ60" s="578"/>
      <c r="AR60" s="578"/>
      <c r="AS60" s="579"/>
      <c r="AT60" s="572"/>
      <c r="AU60" s="565"/>
      <c r="AV60" s="569"/>
      <c r="AW60" s="569"/>
      <c r="AX60" s="569"/>
      <c r="AY60" s="565"/>
      <c r="AZ60" s="570"/>
      <c r="BA60" s="570"/>
      <c r="BB60" s="553"/>
      <c r="BC60" s="554"/>
      <c r="BD60" s="539"/>
      <c r="BE60" s="592"/>
      <c r="BF60" s="592"/>
      <c r="BG60" s="592"/>
      <c r="BH60" s="592"/>
      <c r="BI60" s="592"/>
      <c r="BJ60" s="592"/>
      <c r="BK60" s="592"/>
      <c r="BL60" s="592"/>
      <c r="BM60" s="592"/>
      <c r="BN60" s="592"/>
      <c r="BO60" s="592"/>
      <c r="BP60" s="592"/>
      <c r="BQ60" s="592"/>
      <c r="BR60" s="592"/>
      <c r="BS60" s="592"/>
      <c r="BT60" s="592"/>
    </row>
    <row r="61" spans="1:72" s="591" customFormat="1" ht="12.5" customHeight="1">
      <c r="A61" s="540"/>
      <c r="B61" s="566"/>
      <c r="C61" s="565"/>
      <c r="D61" s="569"/>
      <c r="E61" s="569"/>
      <c r="F61" s="569"/>
      <c r="G61" s="569"/>
      <c r="H61" s="632"/>
      <c r="I61" s="627"/>
      <c r="J61" s="625"/>
      <c r="K61" s="627"/>
      <c r="L61" s="625"/>
      <c r="M61" s="625"/>
      <c r="N61" s="625"/>
      <c r="O61" s="625"/>
      <c r="P61" s="625"/>
      <c r="Q61" s="625"/>
      <c r="R61" s="625"/>
      <c r="S61" s="625"/>
      <c r="T61" s="625"/>
      <c r="U61" s="625"/>
      <c r="V61" s="625"/>
      <c r="W61" s="625"/>
      <c r="X61" s="627"/>
      <c r="Y61" s="619"/>
      <c r="Z61" s="630"/>
      <c r="AA61" s="630"/>
      <c r="AB61" s="630"/>
      <c r="AC61" s="630"/>
      <c r="AD61" s="630"/>
      <c r="AE61" s="630"/>
      <c r="AF61" s="630"/>
      <c r="AG61" s="630"/>
      <c r="AH61" s="630"/>
      <c r="AI61" s="630"/>
      <c r="AJ61" s="630"/>
      <c r="AK61" s="630"/>
      <c r="AL61" s="630"/>
      <c r="AM61" s="619"/>
      <c r="AN61" s="619"/>
      <c r="AO61" s="619"/>
      <c r="AP61" s="619"/>
      <c r="AQ61" s="619"/>
      <c r="AR61" s="619"/>
      <c r="AS61" s="619"/>
      <c r="AT61" s="565"/>
      <c r="AU61" s="565"/>
      <c r="AV61" s="565"/>
      <c r="AW61" s="565"/>
      <c r="AX61" s="569"/>
      <c r="AY61" s="565"/>
      <c r="AZ61" s="570"/>
      <c r="BA61" s="570"/>
      <c r="BB61" s="536"/>
      <c r="BC61" s="537"/>
      <c r="BD61" s="538"/>
      <c r="BE61" s="592"/>
      <c r="BF61" s="592"/>
      <c r="BG61" s="592"/>
      <c r="BH61" s="592"/>
      <c r="BI61" s="592"/>
      <c r="BJ61" s="592"/>
      <c r="BK61" s="592"/>
      <c r="BL61" s="592"/>
      <c r="BM61" s="592"/>
      <c r="BN61" s="592"/>
      <c r="BO61" s="592"/>
      <c r="BP61" s="592"/>
      <c r="BQ61" s="592"/>
      <c r="BR61" s="592"/>
      <c r="BS61" s="592"/>
      <c r="BT61" s="592"/>
    </row>
    <row r="62" spans="1:72" s="591" customFormat="1" ht="12.5" customHeight="1">
      <c r="A62" s="540"/>
      <c r="B62" s="566"/>
      <c r="C62" s="565"/>
      <c r="D62" s="569"/>
      <c r="E62" s="569"/>
      <c r="F62" s="569"/>
      <c r="G62" s="569"/>
      <c r="H62" s="632"/>
      <c r="I62" s="627"/>
      <c r="J62" s="625"/>
      <c r="K62" s="627"/>
      <c r="L62" s="625"/>
      <c r="M62" s="625"/>
      <c r="N62" s="625"/>
      <c r="O62" s="625"/>
      <c r="P62" s="625"/>
      <c r="Q62" s="625"/>
      <c r="R62" s="625"/>
      <c r="S62" s="625"/>
      <c r="T62" s="625"/>
      <c r="U62" s="625"/>
      <c r="V62" s="625"/>
      <c r="W62" s="625"/>
      <c r="X62" s="627"/>
      <c r="Y62" s="619"/>
      <c r="Z62" s="630"/>
      <c r="AA62" s="630"/>
      <c r="AB62" s="630"/>
      <c r="AC62" s="630"/>
      <c r="AD62" s="630"/>
      <c r="AE62" s="630"/>
      <c r="AF62" s="630"/>
      <c r="AG62" s="630"/>
      <c r="AH62" s="630"/>
      <c r="AI62" s="630"/>
      <c r="AJ62" s="630"/>
      <c r="AK62" s="630"/>
      <c r="AL62" s="630"/>
      <c r="AM62" s="619"/>
      <c r="AN62" s="619"/>
      <c r="AO62" s="619"/>
      <c r="AP62" s="619"/>
      <c r="AQ62" s="619"/>
      <c r="AR62" s="619"/>
      <c r="AS62" s="619"/>
      <c r="AT62" s="565"/>
      <c r="AU62" s="565"/>
      <c r="AV62" s="565"/>
      <c r="AW62" s="565"/>
      <c r="AX62" s="569"/>
      <c r="AY62" s="565"/>
      <c r="AZ62" s="570"/>
      <c r="BA62" s="570"/>
      <c r="BB62" s="536"/>
      <c r="BC62" s="537"/>
      <c r="BD62" s="538"/>
      <c r="BE62" s="592"/>
      <c r="BF62" s="592"/>
      <c r="BG62" s="592"/>
      <c r="BH62" s="592"/>
      <c r="BI62" s="592"/>
      <c r="BJ62" s="592"/>
      <c r="BK62" s="592"/>
      <c r="BL62" s="592"/>
      <c r="BM62" s="592"/>
      <c r="BN62" s="592"/>
      <c r="BO62" s="592"/>
      <c r="BP62" s="592"/>
      <c r="BQ62" s="592"/>
      <c r="BR62" s="592"/>
      <c r="BS62" s="592"/>
      <c r="BT62" s="592"/>
    </row>
    <row r="63" spans="1:72" s="591" customFormat="1" ht="12.5" customHeight="1">
      <c r="A63" s="540"/>
      <c r="B63" s="566"/>
      <c r="C63" s="565"/>
      <c r="D63" s="569"/>
      <c r="E63" s="569"/>
      <c r="F63" s="569"/>
      <c r="G63" s="569"/>
      <c r="H63" s="632"/>
      <c r="I63" s="627"/>
      <c r="J63" s="625"/>
      <c r="K63" s="627"/>
      <c r="L63" s="625"/>
      <c r="M63" s="625"/>
      <c r="N63" s="625"/>
      <c r="O63" s="625"/>
      <c r="P63" s="625"/>
      <c r="Q63" s="625"/>
      <c r="R63" s="63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2"/>
      <c r="I64" s="627"/>
      <c r="J64" s="625"/>
      <c r="K64" s="627"/>
      <c r="L64" s="625"/>
      <c r="M64" s="625"/>
      <c r="N64" s="625"/>
      <c r="O64" s="625"/>
      <c r="P64" s="625"/>
      <c r="Q64" s="625"/>
      <c r="R64" s="63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2"/>
      <c r="I65" s="627"/>
      <c r="J65" s="625"/>
      <c r="K65" s="627"/>
      <c r="L65" s="625"/>
      <c r="M65" s="625"/>
      <c r="N65" s="625"/>
      <c r="O65" s="625"/>
      <c r="P65" s="625"/>
      <c r="Q65" s="625"/>
      <c r="R65" s="62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5" customHeight="1">
      <c r="A66" s="540"/>
      <c r="B66" s="566"/>
      <c r="C66" s="565"/>
      <c r="D66" s="565"/>
      <c r="E66" s="565"/>
      <c r="F66" s="565"/>
      <c r="G66" s="565"/>
      <c r="H66" s="578"/>
      <c r="I66" s="578"/>
      <c r="J66" s="578"/>
      <c r="K66" s="578"/>
      <c r="L66" s="578"/>
      <c r="M66" s="578"/>
      <c r="N66" s="578"/>
      <c r="O66" s="578"/>
      <c r="P66" s="578"/>
      <c r="Q66" s="578"/>
      <c r="R66" s="578"/>
      <c r="S66" s="578"/>
      <c r="T66" s="578"/>
      <c r="U66" s="578"/>
      <c r="V66" s="578"/>
      <c r="W66" s="578"/>
      <c r="X66" s="578"/>
      <c r="Y66" s="578"/>
      <c r="Z66" s="578"/>
      <c r="AA66" s="578"/>
      <c r="AB66" s="578"/>
      <c r="AC66" s="578"/>
      <c r="AD66" s="578"/>
      <c r="AE66" s="578"/>
      <c r="AF66" s="578"/>
      <c r="AG66" s="578"/>
      <c r="AH66" s="578"/>
      <c r="AI66" s="578"/>
      <c r="AJ66" s="578"/>
      <c r="AK66" s="578"/>
      <c r="AL66" s="578"/>
      <c r="AM66" s="578"/>
      <c r="AN66" s="578"/>
      <c r="AO66" s="578"/>
      <c r="AP66" s="578"/>
      <c r="AQ66" s="578"/>
      <c r="AR66" s="578"/>
      <c r="AS66" s="579"/>
      <c r="AT66" s="572"/>
      <c r="AU66" s="565"/>
      <c r="AV66" s="569"/>
      <c r="AW66" s="569"/>
      <c r="AX66" s="569"/>
      <c r="AY66" s="565"/>
      <c r="AZ66" s="570"/>
      <c r="BA66" s="570"/>
      <c r="BB66" s="553"/>
      <c r="BC66" s="554"/>
      <c r="BD66" s="539"/>
      <c r="BE66" s="592"/>
      <c r="BF66" s="592"/>
      <c r="BG66" s="592"/>
      <c r="BH66" s="592"/>
      <c r="BI66" s="592"/>
      <c r="BJ66" s="592"/>
      <c r="BK66" s="592"/>
      <c r="BL66" s="592"/>
      <c r="BM66" s="592"/>
      <c r="BN66" s="592"/>
      <c r="BO66" s="592"/>
      <c r="BP66" s="592"/>
      <c r="BQ66" s="592"/>
      <c r="BR66" s="592"/>
      <c r="BS66" s="592"/>
      <c r="BT66" s="592"/>
    </row>
    <row r="67" spans="1:72" s="591" customFormat="1" ht="15">
      <c r="A67" s="556"/>
      <c r="B67" s="694"/>
      <c r="C67" s="597"/>
      <c r="D67" s="597"/>
      <c r="E67" s="597"/>
      <c r="F67" s="597"/>
      <c r="G67" s="597"/>
      <c r="H67" s="597"/>
      <c r="I67" s="597"/>
      <c r="J67" s="597"/>
      <c r="K67" s="597"/>
      <c r="L67" s="597"/>
      <c r="M67" s="597"/>
      <c r="N67" s="597"/>
      <c r="O67" s="597"/>
      <c r="P67" s="597"/>
      <c r="Q67" s="597"/>
      <c r="R67" s="597"/>
      <c r="S67" s="598"/>
      <c r="T67" s="598"/>
      <c r="U67" s="598"/>
      <c r="V67" s="598"/>
      <c r="W67" s="597"/>
      <c r="X67" s="597"/>
      <c r="Y67" s="598"/>
      <c r="Z67" s="598"/>
      <c r="AA67" s="597"/>
      <c r="AB67" s="597"/>
      <c r="AC67" s="597"/>
      <c r="AD67" s="598"/>
      <c r="AE67" s="598"/>
      <c r="AF67" s="598"/>
      <c r="AG67" s="598"/>
      <c r="AH67" s="598"/>
      <c r="AI67" s="598"/>
      <c r="AJ67" s="598"/>
      <c r="AK67" s="598"/>
      <c r="AL67" s="598"/>
      <c r="AM67" s="598"/>
      <c r="AN67" s="598"/>
      <c r="AO67" s="598"/>
      <c r="AP67" s="598"/>
      <c r="AQ67" s="598"/>
      <c r="AR67" s="598"/>
      <c r="AS67" s="598"/>
      <c r="AT67" s="598"/>
      <c r="AU67" s="598"/>
      <c r="AV67" s="598"/>
      <c r="AW67" s="598"/>
      <c r="AX67" s="598"/>
      <c r="AY67" s="596"/>
      <c r="AZ67" s="577"/>
      <c r="BA67" s="577"/>
      <c r="BB67" s="599"/>
      <c r="BC67" s="554"/>
      <c r="BD67" s="555"/>
      <c r="BE67" s="592"/>
      <c r="BF67" s="592"/>
      <c r="BG67" s="592"/>
      <c r="BH67" s="592"/>
      <c r="BI67" s="592"/>
      <c r="BJ67" s="592"/>
      <c r="BK67" s="592"/>
      <c r="BL67" s="592"/>
      <c r="BM67" s="592"/>
      <c r="BN67" s="592"/>
      <c r="BO67" s="592"/>
      <c r="BP67" s="592"/>
      <c r="BQ67" s="592"/>
      <c r="BR67" s="592"/>
      <c r="BS67" s="592"/>
      <c r="BT67" s="592"/>
    </row>
    <row r="68" spans="1:72" s="591" customFormat="1" ht="15">
      <c r="A68" s="539"/>
      <c r="B68" s="539"/>
      <c r="C68" s="539"/>
      <c r="D68" s="539"/>
      <c r="E68" s="539"/>
      <c r="F68" s="539"/>
      <c r="G68" s="539"/>
      <c r="H68" s="539"/>
      <c r="I68" s="539"/>
      <c r="J68" s="539"/>
      <c r="K68" s="539"/>
      <c r="L68" s="539"/>
      <c r="M68" s="539"/>
      <c r="N68" s="539"/>
      <c r="O68" s="539"/>
      <c r="P68" s="539"/>
      <c r="Q68" s="539"/>
      <c r="R68" s="539"/>
      <c r="S68" s="557"/>
      <c r="T68" s="557"/>
      <c r="U68" s="557"/>
      <c r="V68" s="557"/>
      <c r="W68" s="539"/>
      <c r="X68" s="539"/>
      <c r="Y68" s="557"/>
      <c r="Z68" s="557"/>
      <c r="AA68" s="539"/>
      <c r="AB68" s="539"/>
      <c r="AC68" s="539"/>
      <c r="AD68" s="557"/>
      <c r="AE68" s="557"/>
      <c r="AF68" s="557"/>
      <c r="AG68" s="557"/>
      <c r="AH68" s="557"/>
      <c r="AI68" s="557"/>
      <c r="AJ68" s="557"/>
      <c r="AK68" s="557"/>
      <c r="AL68" s="557"/>
      <c r="AM68" s="557"/>
      <c r="AN68" s="557"/>
      <c r="AO68" s="557"/>
      <c r="AP68" s="557"/>
      <c r="AQ68" s="557"/>
      <c r="AR68" s="557"/>
      <c r="AS68" s="557"/>
      <c r="AT68" s="557"/>
      <c r="AU68" s="557"/>
      <c r="AV68" s="557"/>
      <c r="AW68" s="557"/>
      <c r="AX68" s="557"/>
      <c r="AY68" s="557"/>
      <c r="AZ68" s="557"/>
      <c r="BA68" s="557"/>
      <c r="BB68" s="557"/>
      <c r="BC68" s="557"/>
      <c r="BD68" s="555"/>
      <c r="BE68" s="592"/>
      <c r="BF68" s="592"/>
      <c r="BG68" s="592"/>
      <c r="BH68" s="592"/>
      <c r="BI68" s="592"/>
      <c r="BJ68" s="592"/>
      <c r="BK68" s="592"/>
      <c r="BL68" s="592"/>
      <c r="BM68" s="592"/>
      <c r="BN68" s="592"/>
      <c r="BO68" s="592"/>
      <c r="BP68" s="592"/>
      <c r="BQ68" s="592"/>
      <c r="BR68" s="592"/>
      <c r="BS68" s="592"/>
      <c r="BT68" s="592"/>
    </row>
    <row r="69" spans="1:72" s="591" customFormat="1" ht="15">
      <c r="A69" s="539"/>
      <c r="B69" s="539"/>
      <c r="C69" s="539"/>
      <c r="D69" s="539"/>
      <c r="E69" s="539"/>
      <c r="F69" s="539"/>
      <c r="G69" s="539"/>
      <c r="H69" s="539"/>
      <c r="I69" s="539"/>
      <c r="J69" s="539"/>
      <c r="K69" s="539"/>
      <c r="L69" s="539"/>
      <c r="M69" s="539"/>
      <c r="N69" s="539"/>
      <c r="O69" s="539"/>
      <c r="P69" s="539"/>
      <c r="Q69" s="539"/>
      <c r="R69" s="539"/>
      <c r="S69" s="557"/>
      <c r="T69" s="557"/>
      <c r="U69" s="557"/>
      <c r="V69" s="557"/>
      <c r="W69" s="539"/>
      <c r="X69" s="539"/>
      <c r="Y69" s="557"/>
      <c r="Z69" s="557"/>
      <c r="AA69" s="539"/>
      <c r="AB69" s="539"/>
      <c r="AC69" s="539"/>
      <c r="AD69" s="557"/>
      <c r="AE69" s="557"/>
      <c r="AF69" s="557"/>
      <c r="AG69" s="557"/>
      <c r="AH69" s="557"/>
      <c r="AI69" s="557"/>
      <c r="AJ69" s="557"/>
      <c r="AK69" s="557"/>
      <c r="AL69" s="557"/>
      <c r="AM69" s="557"/>
      <c r="AN69" s="557"/>
      <c r="AO69" s="557"/>
      <c r="AP69" s="557"/>
      <c r="AQ69" s="557"/>
      <c r="AR69" s="557"/>
      <c r="AS69" s="557"/>
      <c r="AT69" s="557"/>
      <c r="AU69" s="557"/>
      <c r="AV69" s="557"/>
      <c r="AW69" s="557"/>
      <c r="AX69" s="557"/>
      <c r="AY69" s="557"/>
      <c r="AZ69" s="557"/>
      <c r="BA69" s="557"/>
      <c r="BB69" s="557"/>
      <c r="BC69" s="557"/>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92"/>
      <c r="BH71" s="592"/>
      <c r="BI71" s="592"/>
      <c r="BJ71" s="592"/>
      <c r="BK71" s="592"/>
      <c r="BL71" s="592"/>
      <c r="BM71" s="592"/>
      <c r="BN71" s="592"/>
      <c r="BO71" s="592"/>
      <c r="BP71" s="592"/>
      <c r="BQ71" s="592"/>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92"/>
      <c r="BG72" s="592"/>
      <c r="BH72" s="592"/>
      <c r="BI72" s="592"/>
      <c r="BJ72" s="592"/>
      <c r="BK72" s="592"/>
      <c r="BL72" s="592"/>
      <c r="BM72" s="592"/>
      <c r="BN72" s="592"/>
      <c r="BO72" s="592"/>
      <c r="BP72" s="592"/>
      <c r="BQ72" s="592"/>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2"/>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92"/>
      <c r="BG74" s="592"/>
      <c r="BH74" s="592"/>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2"/>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92"/>
      <c r="BH76" s="592"/>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92"/>
      <c r="BH77" s="592"/>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2"/>
      <c r="BG78" s="592"/>
      <c r="BH78" s="592"/>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592"/>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92"/>
      <c r="BH82" s="592"/>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2"/>
      <c r="BG83" s="592"/>
      <c r="BH83" s="592"/>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92"/>
      <c r="BH86" s="592"/>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2"/>
      <c r="BG87" s="592"/>
      <c r="BH87" s="592"/>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92"/>
      <c r="BH98" s="592"/>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2"/>
      <c r="BG99" s="592"/>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92"/>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92"/>
      <c r="BH108" s="592"/>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2"/>
      <c r="BG109" s="592"/>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2"/>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sheetData>
  <mergeCells count="27">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4"/>
  <sheetViews>
    <sheetView showGridLines="0" topLeftCell="A5" zoomScale="90" zoomScaleNormal="9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128" width="2.6328125" style="591" customWidth="1"/>
    <col min="129" max="16384" width="9" style="35"/>
  </cols>
  <sheetData>
    <row r="1" spans="1:72"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72">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72"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化学物質データ申請画面(日英併記)</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72" ht="5.9" customHeight="1"/>
    <row r="5" spans="1:72"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72"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72" ht="21" customHeight="1">
      <c r="A7" s="540"/>
      <c r="B7" s="585"/>
      <c r="C7" s="590" t="s">
        <v>379</v>
      </c>
      <c r="D7" s="586"/>
      <c r="E7" s="587"/>
      <c r="F7" s="587"/>
      <c r="G7" s="587"/>
      <c r="H7" s="581"/>
      <c r="I7" s="581"/>
      <c r="J7" s="695"/>
      <c r="K7" s="695"/>
      <c r="L7" s="695"/>
      <c r="M7" s="695"/>
      <c r="N7" s="584"/>
      <c r="O7" s="583"/>
      <c r="P7" s="584"/>
      <c r="Q7" s="581"/>
      <c r="R7" s="581"/>
      <c r="S7" s="581"/>
      <c r="T7" s="582"/>
      <c r="U7" s="582"/>
      <c r="V7" s="582"/>
      <c r="W7" s="582"/>
      <c r="X7" s="582"/>
      <c r="Y7" s="583"/>
      <c r="Z7" s="582"/>
      <c r="AA7" s="581"/>
      <c r="AB7" s="583"/>
      <c r="AC7" s="582"/>
      <c r="AD7" s="581"/>
      <c r="AE7" s="583"/>
      <c r="AF7" s="581"/>
      <c r="AG7" s="581"/>
      <c r="AH7" s="583"/>
      <c r="AI7" s="581"/>
      <c r="AJ7" s="581"/>
      <c r="AK7" s="588"/>
      <c r="AL7" s="581"/>
      <c r="AM7" s="581"/>
      <c r="AN7" s="581"/>
      <c r="AO7" s="581"/>
      <c r="AP7" s="581"/>
      <c r="AQ7" s="581"/>
      <c r="AR7" s="581"/>
      <c r="AS7" s="581"/>
      <c r="AT7" s="587"/>
      <c r="AU7" s="587"/>
      <c r="AV7" s="587"/>
      <c r="AW7" s="587"/>
      <c r="AX7" s="587"/>
      <c r="AY7" s="587"/>
      <c r="AZ7" s="589"/>
      <c r="BA7" s="570"/>
      <c r="BB7" s="553"/>
      <c r="BC7" s="554"/>
      <c r="BD7" s="538"/>
      <c r="BE7" s="592" t="s">
        <v>301</v>
      </c>
      <c r="BF7" s="575"/>
      <c r="BG7" s="575"/>
      <c r="BH7" s="594"/>
      <c r="BI7" s="593"/>
      <c r="BJ7" s="593"/>
      <c r="BK7" s="593"/>
      <c r="BL7" s="593"/>
      <c r="BM7" s="593"/>
      <c r="BN7" s="593"/>
      <c r="BO7" s="593"/>
      <c r="BP7" s="593"/>
      <c r="BQ7" s="593"/>
      <c r="BR7" s="593"/>
      <c r="BS7" s="592"/>
      <c r="BT7" s="592"/>
    </row>
    <row r="8" spans="1:72" ht="12.5" customHeight="1">
      <c r="A8" s="540"/>
      <c r="B8" s="566"/>
      <c r="C8" s="574"/>
      <c r="D8" s="575"/>
      <c r="E8" s="569"/>
      <c r="F8" s="569"/>
      <c r="G8" s="569"/>
      <c r="H8" s="578"/>
      <c r="I8" s="578"/>
      <c r="J8" s="578"/>
      <c r="K8" s="578"/>
      <c r="L8" s="578"/>
      <c r="M8" s="578"/>
      <c r="N8" s="578"/>
      <c r="O8" s="578"/>
      <c r="P8" s="578"/>
      <c r="Q8" s="578"/>
      <c r="R8" s="578"/>
      <c r="S8" s="578"/>
      <c r="T8" s="578"/>
      <c r="U8" s="578"/>
      <c r="V8" s="578"/>
      <c r="W8" s="578"/>
      <c r="X8" s="578"/>
      <c r="Y8" s="578"/>
      <c r="Z8" s="578"/>
      <c r="AA8" s="578"/>
      <c r="AB8" s="578"/>
      <c r="AC8" s="578"/>
      <c r="AD8" s="578"/>
      <c r="AE8" s="578"/>
      <c r="AF8" s="578"/>
      <c r="AG8" s="578"/>
      <c r="AH8" s="578"/>
      <c r="AI8" s="578"/>
      <c r="AJ8" s="578"/>
      <c r="AK8" s="578"/>
      <c r="AL8" s="578"/>
      <c r="AM8" s="578"/>
      <c r="AN8" s="578"/>
      <c r="AO8" s="578"/>
      <c r="AP8" s="578"/>
      <c r="AQ8" s="578"/>
      <c r="AR8" s="578"/>
      <c r="AS8" s="580"/>
      <c r="AT8" s="576"/>
      <c r="AU8" s="576"/>
      <c r="AV8" s="576"/>
      <c r="AW8" s="576"/>
      <c r="AX8" s="576"/>
      <c r="AY8" s="576"/>
      <c r="AZ8" s="570"/>
      <c r="BA8" s="570"/>
      <c r="BB8" s="553"/>
      <c r="BC8" s="554"/>
      <c r="BD8" s="538"/>
      <c r="BE8" s="575"/>
      <c r="BF8" s="575" t="s">
        <v>636</v>
      </c>
      <c r="BG8" s="575"/>
      <c r="BH8" s="594"/>
      <c r="BI8" s="575"/>
      <c r="BJ8" s="593"/>
      <c r="BK8" s="593"/>
      <c r="BL8" s="593"/>
      <c r="BM8" s="593"/>
      <c r="BN8" s="593"/>
      <c r="BO8" s="593"/>
      <c r="BP8" s="593"/>
      <c r="BQ8" s="592"/>
      <c r="BR8" s="592"/>
      <c r="BS8" s="592"/>
      <c r="BT8" s="592"/>
    </row>
    <row r="9" spans="1:72" ht="24" customHeight="1">
      <c r="A9" s="540"/>
      <c r="B9" s="541"/>
      <c r="C9" s="544"/>
      <c r="D9" s="544"/>
      <c r="E9" s="544"/>
      <c r="F9" s="542"/>
      <c r="G9" s="542"/>
      <c r="H9" s="759" t="s">
        <v>665</v>
      </c>
      <c r="I9" s="759"/>
      <c r="J9" s="759"/>
      <c r="K9" s="759"/>
      <c r="L9" s="759"/>
      <c r="M9" s="759"/>
      <c r="N9" s="759"/>
      <c r="O9" s="759"/>
      <c r="P9" s="759"/>
      <c r="Q9" s="759"/>
      <c r="R9" s="759"/>
      <c r="S9" s="759"/>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547"/>
      <c r="AU9" s="545"/>
      <c r="AV9" s="548"/>
      <c r="AW9" s="548"/>
      <c r="AX9" s="548"/>
      <c r="AY9" s="542"/>
      <c r="AZ9" s="543"/>
      <c r="BA9" s="543"/>
      <c r="BB9" s="536"/>
      <c r="BC9" s="537"/>
      <c r="BD9" s="538"/>
      <c r="BE9" s="592"/>
      <c r="BF9" s="592"/>
      <c r="BG9" s="595" t="s">
        <v>637</v>
      </c>
      <c r="BH9" s="592"/>
      <c r="BI9" s="592"/>
      <c r="BJ9" s="592"/>
      <c r="BK9" s="592"/>
      <c r="BL9" s="592"/>
      <c r="BM9" s="592"/>
      <c r="BN9" s="592"/>
      <c r="BO9" s="592"/>
      <c r="BP9" s="592"/>
      <c r="BQ9" s="592"/>
      <c r="BR9" s="592"/>
      <c r="BS9" s="592"/>
      <c r="BT9" s="592"/>
    </row>
    <row r="10" spans="1:72" ht="12.5" customHeight="1">
      <c r="A10" s="540"/>
      <c r="B10" s="566"/>
      <c r="C10" s="568"/>
      <c r="D10" s="568"/>
      <c r="E10" s="568"/>
      <c r="F10" s="568"/>
      <c r="G10" s="568"/>
      <c r="H10" s="602" t="s">
        <v>601</v>
      </c>
      <c r="I10" s="568"/>
      <c r="J10" s="568"/>
      <c r="K10" s="568"/>
      <c r="L10" s="568"/>
      <c r="M10" s="568"/>
      <c r="N10" s="568"/>
      <c r="O10" s="568"/>
      <c r="P10" s="568"/>
      <c r="Q10" s="568"/>
      <c r="R10" s="568"/>
      <c r="S10" s="568"/>
      <c r="T10" s="568"/>
      <c r="U10" s="568"/>
      <c r="V10" s="568"/>
      <c r="W10" s="568"/>
      <c r="X10" s="568"/>
      <c r="Y10" s="568"/>
      <c r="Z10" s="568"/>
      <c r="AA10" s="568"/>
      <c r="AB10" s="568"/>
      <c r="AC10" s="568"/>
      <c r="AD10" s="568"/>
      <c r="AE10" s="568"/>
      <c r="AF10" s="568"/>
      <c r="AG10" s="568"/>
      <c r="AH10" s="568"/>
      <c r="AI10" s="568"/>
      <c r="AJ10" s="568"/>
      <c r="AK10" s="568"/>
      <c r="AL10" s="568"/>
      <c r="AM10" s="568"/>
      <c r="AN10" s="568"/>
      <c r="AO10" s="568"/>
      <c r="AP10" s="568"/>
      <c r="AQ10" s="568"/>
      <c r="AR10" s="568"/>
      <c r="AS10" s="568"/>
      <c r="AT10" s="568"/>
      <c r="AU10" s="568"/>
      <c r="AV10" s="568"/>
      <c r="AW10" s="568"/>
      <c r="AX10" s="568"/>
      <c r="AY10" s="568"/>
      <c r="AZ10" s="570"/>
      <c r="BA10" s="570"/>
      <c r="BB10" s="553"/>
      <c r="BC10" s="554"/>
      <c r="BD10" s="538"/>
      <c r="BE10" s="575"/>
      <c r="BF10" s="592"/>
      <c r="BG10" s="592"/>
      <c r="BH10" s="592"/>
      <c r="BI10" s="592"/>
      <c r="BJ10" s="592"/>
      <c r="BK10" s="592"/>
      <c r="BL10" s="592"/>
      <c r="BM10" s="592"/>
      <c r="BN10" s="592"/>
      <c r="BO10" s="592"/>
      <c r="BP10" s="592"/>
      <c r="BQ10" s="592"/>
      <c r="BR10" s="592"/>
      <c r="BS10" s="592"/>
      <c r="BT10" s="592"/>
    </row>
    <row r="11" spans="1:72" ht="12" customHeight="1">
      <c r="A11" s="540"/>
      <c r="B11" s="549"/>
      <c r="C11" s="550"/>
      <c r="D11" s="538"/>
      <c r="E11" s="538"/>
      <c r="F11" s="538"/>
      <c r="G11" s="538"/>
      <c r="H11" s="551"/>
      <c r="I11" s="546"/>
      <c r="J11" s="545"/>
      <c r="K11" s="546"/>
      <c r="L11" s="545"/>
      <c r="M11" s="552"/>
      <c r="N11" s="552"/>
      <c r="O11" s="548"/>
      <c r="P11" s="552"/>
      <c r="Q11" s="548"/>
      <c r="R11" s="552"/>
      <c r="S11" s="539"/>
      <c r="T11" s="538"/>
      <c r="U11" s="538"/>
      <c r="V11" s="538"/>
      <c r="W11" s="538"/>
      <c r="X11" s="538"/>
      <c r="Y11" s="551"/>
      <c r="Z11" s="546"/>
      <c r="AA11" s="545"/>
      <c r="AB11" s="546"/>
      <c r="AC11" s="545"/>
      <c r="AD11" s="552"/>
      <c r="AE11" s="552"/>
      <c r="AF11" s="548"/>
      <c r="AG11" s="552"/>
      <c r="AH11" s="552"/>
      <c r="AI11" s="547"/>
      <c r="AJ11" s="552"/>
      <c r="AK11" s="548"/>
      <c r="AL11" s="538"/>
      <c r="AM11" s="538"/>
      <c r="AN11" s="538"/>
      <c r="AO11" s="538"/>
      <c r="AP11" s="538"/>
      <c r="AQ11" s="538"/>
      <c r="AR11" s="538"/>
      <c r="AS11" s="545"/>
      <c r="AT11" s="547"/>
      <c r="AU11" s="545"/>
      <c r="AV11" s="548"/>
      <c r="AW11" s="548"/>
      <c r="AX11" s="548"/>
      <c r="AY11" s="542"/>
      <c r="AZ11" s="543"/>
      <c r="BA11" s="543"/>
      <c r="BB11" s="536"/>
      <c r="BC11" s="537"/>
      <c r="BD11" s="538"/>
      <c r="BE11" s="592"/>
      <c r="BF11" s="592" t="s">
        <v>396</v>
      </c>
      <c r="BG11" s="595"/>
      <c r="BH11" s="592"/>
      <c r="BI11" s="592"/>
      <c r="BJ11" s="592"/>
      <c r="BK11" s="592"/>
      <c r="BL11" s="592"/>
      <c r="BM11" s="592"/>
      <c r="BN11" s="592"/>
      <c r="BO11" s="592"/>
      <c r="BP11" s="592"/>
      <c r="BQ11" s="592"/>
      <c r="BR11" s="592"/>
      <c r="BS11" s="592"/>
      <c r="BT11" s="592"/>
    </row>
    <row r="12" spans="1:72" ht="12.5" customHeight="1">
      <c r="A12" s="540"/>
      <c r="B12" s="541"/>
      <c r="C12" s="538"/>
      <c r="D12" s="538"/>
      <c r="E12" s="538"/>
      <c r="F12" s="539"/>
      <c r="G12" s="544"/>
      <c r="H12" s="603"/>
      <c r="I12" s="603"/>
      <c r="J12" s="603"/>
      <c r="K12" s="603"/>
      <c r="L12" s="603"/>
      <c r="M12" s="603"/>
      <c r="N12" s="603"/>
      <c r="O12" s="603"/>
      <c r="P12" s="603"/>
      <c r="Q12" s="603"/>
      <c r="R12" s="603"/>
      <c r="S12" s="603"/>
      <c r="T12" s="604"/>
      <c r="U12" s="604"/>
      <c r="V12" s="604"/>
      <c r="W12" s="604"/>
      <c r="X12" s="605"/>
      <c r="Y12" s="604"/>
      <c r="Z12" s="604"/>
      <c r="AA12" s="604"/>
      <c r="AB12" s="606"/>
      <c r="AC12" s="604"/>
      <c r="AD12" s="607"/>
      <c r="AE12" s="607"/>
      <c r="AF12" s="607"/>
      <c r="AG12" s="607"/>
      <c r="AH12" s="607"/>
      <c r="AI12" s="603"/>
      <c r="AJ12" s="604"/>
      <c r="AK12" s="604"/>
      <c r="AL12" s="604"/>
      <c r="AM12" s="604"/>
      <c r="AN12" s="608"/>
      <c r="AO12" s="605"/>
      <c r="AP12" s="605"/>
      <c r="AQ12" s="604"/>
      <c r="AR12" s="604"/>
      <c r="AS12" s="604"/>
      <c r="AT12" s="547"/>
      <c r="AU12" s="545"/>
      <c r="AV12" s="548"/>
      <c r="AW12" s="548"/>
      <c r="AX12" s="548"/>
      <c r="AY12" s="542"/>
      <c r="AZ12" s="543"/>
      <c r="BA12" s="543"/>
      <c r="BB12" s="536"/>
      <c r="BC12" s="537"/>
      <c r="BD12" s="538"/>
      <c r="BE12" s="592"/>
      <c r="BF12" s="575"/>
      <c r="BG12" s="575" t="s">
        <v>397</v>
      </c>
      <c r="BH12" s="592"/>
      <c r="BI12" s="592"/>
      <c r="BJ12" s="592"/>
      <c r="BK12" s="592"/>
      <c r="BL12" s="592"/>
      <c r="BM12" s="592"/>
      <c r="BN12" s="592"/>
      <c r="BO12" s="592"/>
      <c r="BP12" s="592"/>
      <c r="BQ12" s="592"/>
      <c r="BR12" s="592"/>
      <c r="BS12" s="592"/>
      <c r="BT12" s="592"/>
    </row>
    <row r="13" spans="1:72" ht="12.5" customHeight="1">
      <c r="A13" s="540"/>
      <c r="B13" s="566"/>
      <c r="C13" s="565"/>
      <c r="D13" s="567"/>
      <c r="E13" s="567"/>
      <c r="F13" s="567"/>
      <c r="G13" s="565"/>
      <c r="H13" s="603"/>
      <c r="I13" s="618" t="s">
        <v>380</v>
      </c>
      <c r="J13" s="603"/>
      <c r="K13" s="603"/>
      <c r="L13" s="603"/>
      <c r="M13" s="603"/>
      <c r="N13" s="603"/>
      <c r="O13" s="603"/>
      <c r="P13" s="603"/>
      <c r="Q13" s="603"/>
      <c r="R13" s="603"/>
      <c r="S13" s="603"/>
      <c r="T13" s="604"/>
      <c r="U13" s="604"/>
      <c r="V13" s="604"/>
      <c r="W13" s="604"/>
      <c r="X13" s="605"/>
      <c r="Y13" s="604"/>
      <c r="Z13" s="603"/>
      <c r="AA13" s="603"/>
      <c r="AB13" s="603"/>
      <c r="AC13" s="603"/>
      <c r="AD13" s="603"/>
      <c r="AE13" s="603"/>
      <c r="AF13" s="603"/>
      <c r="AG13" s="603"/>
      <c r="AH13" s="603"/>
      <c r="AI13" s="603"/>
      <c r="AJ13" s="603"/>
      <c r="AK13" s="603"/>
      <c r="AL13" s="603"/>
      <c r="AM13" s="603"/>
      <c r="AN13" s="603"/>
      <c r="AO13" s="603"/>
      <c r="AP13" s="603"/>
      <c r="AQ13" s="603"/>
      <c r="AR13" s="603"/>
      <c r="AS13" s="603"/>
      <c r="AT13" s="565"/>
      <c r="AU13" s="565"/>
      <c r="AV13" s="565"/>
      <c r="AW13" s="565"/>
      <c r="AX13" s="569"/>
      <c r="AY13" s="565"/>
      <c r="AZ13" s="570"/>
      <c r="BA13" s="570"/>
      <c r="BB13" s="536"/>
      <c r="BC13" s="537"/>
      <c r="BD13" s="538"/>
      <c r="BE13" s="592"/>
      <c r="BF13" s="575"/>
      <c r="BG13" s="575"/>
      <c r="BH13" s="592" t="s">
        <v>638</v>
      </c>
      <c r="BI13" s="592"/>
      <c r="BJ13" s="592"/>
      <c r="BK13" s="592"/>
      <c r="BL13" s="592"/>
      <c r="BM13" s="592"/>
      <c r="BN13" s="592"/>
      <c r="BO13" s="592"/>
      <c r="BP13" s="592"/>
      <c r="BQ13" s="592"/>
      <c r="BR13" s="592"/>
      <c r="BS13" s="592"/>
      <c r="BT13" s="592"/>
    </row>
    <row r="14" spans="1:72" ht="12.5" customHeight="1">
      <c r="A14" s="540"/>
      <c r="B14" s="566"/>
      <c r="C14" s="571"/>
      <c r="D14" s="567"/>
      <c r="E14" s="567"/>
      <c r="F14" s="567"/>
      <c r="G14" s="569"/>
      <c r="H14" s="603"/>
      <c r="I14" s="696" t="s">
        <v>623</v>
      </c>
      <c r="J14" s="610"/>
      <c r="K14" s="609"/>
      <c r="L14" s="609"/>
      <c r="M14" s="609"/>
      <c r="N14" s="609"/>
      <c r="O14" s="609"/>
      <c r="P14" s="609"/>
      <c r="Q14" s="609"/>
      <c r="R14" s="609"/>
      <c r="S14" s="609"/>
      <c r="T14" s="609"/>
      <c r="U14" s="609"/>
      <c r="V14" s="609"/>
      <c r="W14" s="609"/>
      <c r="X14" s="611"/>
      <c r="Y14" s="603"/>
      <c r="Z14" s="603"/>
      <c r="AA14" s="612"/>
      <c r="AB14" s="603"/>
      <c r="AC14" s="613"/>
      <c r="AD14" s="613"/>
      <c r="AE14" s="614"/>
      <c r="AF14" s="613"/>
      <c r="AG14" s="614"/>
      <c r="AH14" s="613"/>
      <c r="AI14" s="615"/>
      <c r="AJ14" s="613"/>
      <c r="AK14" s="614"/>
      <c r="AL14" s="614"/>
      <c r="AM14" s="614"/>
      <c r="AN14" s="614"/>
      <c r="AO14" s="614"/>
      <c r="AP14" s="614"/>
      <c r="AQ14" s="614"/>
      <c r="AR14" s="614"/>
      <c r="AS14" s="614"/>
      <c r="AT14" s="569"/>
      <c r="AU14" s="569"/>
      <c r="AV14" s="569"/>
      <c r="AW14" s="569"/>
      <c r="AX14" s="569"/>
      <c r="AY14" s="565"/>
      <c r="AZ14" s="570"/>
      <c r="BA14" s="570"/>
      <c r="BB14" s="536"/>
      <c r="BC14" s="537"/>
      <c r="BD14" s="538"/>
      <c r="BE14" s="595"/>
      <c r="BF14" s="575"/>
      <c r="BG14" s="575"/>
      <c r="BH14" s="592" t="s">
        <v>639</v>
      </c>
      <c r="BI14" s="592"/>
      <c r="BJ14" s="592"/>
      <c r="BK14" s="592"/>
      <c r="BL14" s="592"/>
      <c r="BM14" s="592"/>
      <c r="BN14" s="592"/>
      <c r="BO14" s="592"/>
      <c r="BP14" s="592"/>
      <c r="BQ14" s="592"/>
      <c r="BR14" s="592"/>
      <c r="BS14" s="592"/>
      <c r="BT14" s="592"/>
    </row>
    <row r="15" spans="1:72" ht="12.5" customHeight="1">
      <c r="A15" s="540"/>
      <c r="B15" s="566"/>
      <c r="C15" s="573"/>
      <c r="D15" s="569"/>
      <c r="E15" s="569"/>
      <c r="F15" s="569"/>
      <c r="G15" s="569"/>
      <c r="H15" s="616"/>
      <c r="I15" s="611"/>
      <c r="J15" s="609"/>
      <c r="K15" s="611"/>
      <c r="L15" s="609"/>
      <c r="M15" s="609"/>
      <c r="N15" s="609"/>
      <c r="O15" s="609"/>
      <c r="P15" s="609"/>
      <c r="Q15" s="609"/>
      <c r="R15" s="609"/>
      <c r="S15" s="609"/>
      <c r="T15" s="609"/>
      <c r="U15" s="609"/>
      <c r="V15" s="609"/>
      <c r="W15" s="609"/>
      <c r="X15" s="611"/>
      <c r="Y15" s="603"/>
      <c r="Z15" s="612"/>
      <c r="AA15" s="603"/>
      <c r="AB15" s="612"/>
      <c r="AC15" s="603"/>
      <c r="AD15" s="613"/>
      <c r="AE15" s="613"/>
      <c r="AF15" s="614"/>
      <c r="AG15" s="613"/>
      <c r="AH15" s="613"/>
      <c r="AI15" s="615"/>
      <c r="AJ15" s="613"/>
      <c r="AK15" s="614"/>
      <c r="AL15" s="614"/>
      <c r="AM15" s="614"/>
      <c r="AN15" s="614"/>
      <c r="AO15" s="614"/>
      <c r="AP15" s="614"/>
      <c r="AQ15" s="614"/>
      <c r="AR15" s="614"/>
      <c r="AS15" s="603"/>
      <c r="AT15" s="572"/>
      <c r="AU15" s="565"/>
      <c r="AV15" s="569"/>
      <c r="AW15" s="569"/>
      <c r="AX15" s="569"/>
      <c r="AY15" s="565"/>
      <c r="AZ15" s="570"/>
      <c r="BA15" s="570"/>
      <c r="BB15" s="536"/>
      <c r="BC15" s="537"/>
      <c r="BD15" s="538"/>
      <c r="BE15" s="592"/>
      <c r="BF15" s="592"/>
      <c r="BG15" s="592"/>
      <c r="BH15" s="592"/>
      <c r="BI15" s="592"/>
      <c r="BJ15" s="592"/>
      <c r="BK15" s="592"/>
      <c r="BL15" s="592"/>
      <c r="BM15" s="592"/>
      <c r="BN15" s="592"/>
      <c r="BO15" s="592"/>
      <c r="BP15" s="592"/>
      <c r="BQ15" s="592"/>
      <c r="BR15" s="592"/>
      <c r="BS15" s="592"/>
      <c r="BT15" s="592"/>
    </row>
    <row r="16" spans="1:72" ht="12.5" customHeight="1">
      <c r="A16" s="540"/>
      <c r="B16" s="566"/>
      <c r="C16" s="565"/>
      <c r="D16" s="569"/>
      <c r="E16" s="569"/>
      <c r="F16" s="569"/>
      <c r="G16" s="569"/>
      <c r="H16" s="616"/>
      <c r="I16" s="611"/>
      <c r="J16" s="609"/>
      <c r="K16" s="611"/>
      <c r="L16" s="609"/>
      <c r="M16" s="609"/>
      <c r="N16" s="609"/>
      <c r="O16" s="609"/>
      <c r="P16" s="609"/>
      <c r="Q16" s="609"/>
      <c r="R16" s="609"/>
      <c r="S16" s="609"/>
      <c r="T16" s="609"/>
      <c r="U16" s="609"/>
      <c r="V16" s="609"/>
      <c r="W16" s="609"/>
      <c r="X16" s="611"/>
      <c r="Y16" s="603"/>
      <c r="Z16" s="614"/>
      <c r="AA16" s="614"/>
      <c r="AB16" s="614"/>
      <c r="AC16" s="614"/>
      <c r="AD16" s="614"/>
      <c r="AE16" s="614"/>
      <c r="AF16" s="614"/>
      <c r="AG16" s="614"/>
      <c r="AH16" s="614"/>
      <c r="AI16" s="614"/>
      <c r="AJ16" s="614"/>
      <c r="AK16" s="614"/>
      <c r="AL16" s="614"/>
      <c r="AM16" s="603"/>
      <c r="AN16" s="603"/>
      <c r="AO16" s="603"/>
      <c r="AP16" s="603"/>
      <c r="AQ16" s="603"/>
      <c r="AR16" s="603"/>
      <c r="AS16" s="603"/>
      <c r="AT16" s="565"/>
      <c r="AU16" s="565"/>
      <c r="AV16" s="565"/>
      <c r="AW16" s="565"/>
      <c r="AX16" s="569"/>
      <c r="AY16" s="565"/>
      <c r="AZ16" s="570"/>
      <c r="BA16" s="570"/>
      <c r="BB16" s="536"/>
      <c r="BC16" s="537"/>
      <c r="BD16" s="538"/>
      <c r="BE16" s="592"/>
      <c r="BF16" s="592" t="s">
        <v>640</v>
      </c>
      <c r="BG16" s="592"/>
      <c r="BH16" s="592"/>
      <c r="BI16" s="592"/>
      <c r="BJ16" s="592"/>
      <c r="BK16" s="592"/>
      <c r="BL16" s="592"/>
      <c r="BM16" s="592"/>
      <c r="BN16" s="592"/>
      <c r="BO16" s="592"/>
      <c r="BP16" s="592"/>
      <c r="BQ16" s="592"/>
      <c r="BR16" s="592"/>
      <c r="BS16" s="592"/>
      <c r="BT16" s="592"/>
    </row>
    <row r="17" spans="1:72" ht="12.5" customHeight="1">
      <c r="A17" s="540"/>
      <c r="B17" s="541"/>
      <c r="C17" s="538"/>
      <c r="D17" s="538"/>
      <c r="E17" s="538"/>
      <c r="F17" s="539"/>
      <c r="G17" s="544"/>
      <c r="H17" s="619"/>
      <c r="I17" s="619"/>
      <c r="J17" s="619"/>
      <c r="K17" s="619"/>
      <c r="L17" s="619"/>
      <c r="M17" s="619"/>
      <c r="N17" s="619"/>
      <c r="O17" s="619"/>
      <c r="P17" s="619"/>
      <c r="Q17" s="619"/>
      <c r="R17" s="619"/>
      <c r="S17" s="619"/>
      <c r="T17" s="620"/>
      <c r="U17" s="620"/>
      <c r="V17" s="620"/>
      <c r="W17" s="620"/>
      <c r="X17" s="621"/>
      <c r="Y17" s="620"/>
      <c r="Z17" s="620"/>
      <c r="AA17" s="620"/>
      <c r="AB17" s="622"/>
      <c r="AC17" s="620"/>
      <c r="AD17" s="623"/>
      <c r="AE17" s="623"/>
      <c r="AF17" s="623"/>
      <c r="AG17" s="623"/>
      <c r="AH17" s="623"/>
      <c r="AI17" s="619"/>
      <c r="AJ17" s="620"/>
      <c r="AK17" s="620"/>
      <c r="AL17" s="620"/>
      <c r="AM17" s="620"/>
      <c r="AN17" s="624"/>
      <c r="AO17" s="621"/>
      <c r="AP17" s="621"/>
      <c r="AQ17" s="620"/>
      <c r="AR17" s="620"/>
      <c r="AS17" s="620"/>
      <c r="AT17" s="547"/>
      <c r="AU17" s="545"/>
      <c r="AV17" s="548"/>
      <c r="AW17" s="548"/>
      <c r="AX17" s="548"/>
      <c r="AY17" s="542"/>
      <c r="AZ17" s="543"/>
      <c r="BA17" s="543"/>
      <c r="BB17" s="536"/>
      <c r="BC17" s="537"/>
      <c r="BD17" s="538"/>
      <c r="BE17" s="592"/>
      <c r="BF17" s="592"/>
      <c r="BG17" s="640" t="s">
        <v>401</v>
      </c>
      <c r="BH17" s="592"/>
      <c r="BI17" s="592"/>
      <c r="BJ17" s="592"/>
      <c r="BK17" s="592"/>
      <c r="BL17" s="592"/>
      <c r="BM17" s="592"/>
      <c r="BN17" s="592"/>
      <c r="BO17" s="592"/>
      <c r="BP17" s="592"/>
      <c r="BQ17" s="592"/>
      <c r="BR17" s="592"/>
      <c r="BS17" s="592"/>
      <c r="BT17" s="592"/>
    </row>
    <row r="18" spans="1:72" ht="12.5" customHeight="1">
      <c r="A18" s="540"/>
      <c r="B18" s="566"/>
      <c r="C18" s="565"/>
      <c r="D18" s="567"/>
      <c r="E18" s="567"/>
      <c r="F18" s="567"/>
      <c r="G18" s="565"/>
      <c r="H18" s="619"/>
      <c r="I18" s="633" t="s">
        <v>299</v>
      </c>
      <c r="J18" s="619"/>
      <c r="K18" s="619"/>
      <c r="L18" s="619"/>
      <c r="M18" s="619"/>
      <c r="N18" s="619"/>
      <c r="O18" s="619"/>
      <c r="P18" s="619"/>
      <c r="Q18" s="619"/>
      <c r="R18" s="619"/>
      <c r="S18" s="619"/>
      <c r="T18" s="620"/>
      <c r="U18" s="620"/>
      <c r="V18" s="620"/>
      <c r="W18" s="620"/>
      <c r="X18" s="621"/>
      <c r="Y18" s="620"/>
      <c r="Z18" s="619"/>
      <c r="AA18" s="619"/>
      <c r="AB18" s="619"/>
      <c r="AC18" s="619"/>
      <c r="AD18" s="619"/>
      <c r="AE18" s="619"/>
      <c r="AF18" s="619"/>
      <c r="AG18" s="619"/>
      <c r="AH18" s="619"/>
      <c r="AI18" s="619"/>
      <c r="AJ18" s="619"/>
      <c r="AK18" s="619"/>
      <c r="AL18" s="619"/>
      <c r="AM18" s="619"/>
      <c r="AN18" s="619"/>
      <c r="AO18" s="619"/>
      <c r="AP18" s="619"/>
      <c r="AQ18" s="619"/>
      <c r="AR18" s="619"/>
      <c r="AS18" s="619"/>
      <c r="AT18" s="565"/>
      <c r="AU18" s="565"/>
      <c r="AV18" s="565"/>
      <c r="AW18" s="565"/>
      <c r="AX18" s="569"/>
      <c r="AY18" s="565"/>
      <c r="AZ18" s="570"/>
      <c r="BA18" s="570"/>
      <c r="BB18" s="536"/>
      <c r="BC18" s="537"/>
      <c r="BD18" s="538"/>
      <c r="BE18" s="592"/>
      <c r="BF18" s="575"/>
      <c r="BG18" s="575"/>
      <c r="BH18" s="592" t="s">
        <v>641</v>
      </c>
      <c r="BI18" s="592"/>
      <c r="BJ18" s="592"/>
      <c r="BK18" s="592"/>
      <c r="BL18" s="592"/>
      <c r="BM18" s="592"/>
      <c r="BN18" s="592"/>
      <c r="BO18" s="592"/>
      <c r="BP18" s="592"/>
      <c r="BQ18" s="592"/>
      <c r="BR18" s="592"/>
      <c r="BS18" s="592"/>
      <c r="BT18" s="592"/>
    </row>
    <row r="19" spans="1:72" ht="12.5" customHeight="1">
      <c r="A19" s="540"/>
      <c r="B19" s="566"/>
      <c r="C19" s="571"/>
      <c r="D19" s="567"/>
      <c r="E19" s="567"/>
      <c r="F19" s="567"/>
      <c r="G19" s="569"/>
      <c r="H19" s="619"/>
      <c r="I19" s="619" t="s">
        <v>624</v>
      </c>
      <c r="J19" s="626"/>
      <c r="K19" s="625"/>
      <c r="L19" s="625"/>
      <c r="M19" s="625"/>
      <c r="N19" s="625"/>
      <c r="O19" s="625"/>
      <c r="P19" s="625"/>
      <c r="Q19" s="625"/>
      <c r="R19" s="625"/>
      <c r="S19" s="625"/>
      <c r="T19" s="625"/>
      <c r="U19" s="625"/>
      <c r="V19" s="625"/>
      <c r="W19" s="625"/>
      <c r="X19" s="627"/>
      <c r="Y19" s="619"/>
      <c r="Z19" s="619"/>
      <c r="AA19" s="628"/>
      <c r="AB19" s="619"/>
      <c r="AC19" s="629"/>
      <c r="AD19" s="629"/>
      <c r="AE19" s="630"/>
      <c r="AF19" s="629"/>
      <c r="AG19" s="630"/>
      <c r="AH19" s="629"/>
      <c r="AI19" s="631"/>
      <c r="AJ19" s="629"/>
      <c r="AK19" s="630"/>
      <c r="AL19" s="630"/>
      <c r="AM19" s="630"/>
      <c r="AN19" s="630"/>
      <c r="AO19" s="630"/>
      <c r="AP19" s="630"/>
      <c r="AQ19" s="630"/>
      <c r="AR19" s="630"/>
      <c r="AS19" s="630"/>
      <c r="AT19" s="569"/>
      <c r="AU19" s="569"/>
      <c r="AV19" s="569"/>
      <c r="AW19" s="569"/>
      <c r="AX19" s="569"/>
      <c r="AY19" s="565"/>
      <c r="AZ19" s="570"/>
      <c r="BA19" s="570"/>
      <c r="BB19" s="536"/>
      <c r="BC19" s="537"/>
      <c r="BD19" s="538"/>
      <c r="BE19" s="595"/>
      <c r="BF19" s="575"/>
      <c r="BG19" s="575"/>
      <c r="BH19" s="592" t="s">
        <v>642</v>
      </c>
      <c r="BI19" s="592"/>
      <c r="BJ19" s="592"/>
      <c r="BK19" s="592"/>
      <c r="BL19" s="592"/>
      <c r="BM19" s="592"/>
      <c r="BN19" s="592"/>
      <c r="BO19" s="592"/>
      <c r="BP19" s="592"/>
      <c r="BQ19" s="592"/>
      <c r="BR19" s="592"/>
      <c r="BS19" s="592"/>
      <c r="BT19" s="592"/>
    </row>
    <row r="20" spans="1:72" s="591" customFormat="1" ht="12.5" customHeight="1">
      <c r="A20" s="540"/>
      <c r="B20" s="566"/>
      <c r="C20" s="573"/>
      <c r="D20" s="569"/>
      <c r="E20" s="569"/>
      <c r="F20" s="569"/>
      <c r="G20" s="569"/>
      <c r="H20" s="632"/>
      <c r="I20" s="627"/>
      <c r="J20" s="625"/>
      <c r="K20" s="627"/>
      <c r="L20" s="625"/>
      <c r="M20" s="625"/>
      <c r="N20" s="625"/>
      <c r="O20" s="625"/>
      <c r="P20" s="625"/>
      <c r="Q20" s="625"/>
      <c r="R20" s="619" t="s">
        <v>381</v>
      </c>
      <c r="S20" s="625"/>
      <c r="T20" s="625"/>
      <c r="U20" s="625"/>
      <c r="V20" s="625"/>
      <c r="W20" s="625"/>
      <c r="X20" s="627"/>
      <c r="Y20" s="619"/>
      <c r="Z20" s="628"/>
      <c r="AA20" s="619"/>
      <c r="AB20" s="628"/>
      <c r="AC20" s="619"/>
      <c r="AD20" s="629"/>
      <c r="AE20" s="629"/>
      <c r="AF20" s="630"/>
      <c r="AG20" s="629"/>
      <c r="AH20" s="629"/>
      <c r="AI20" s="631"/>
      <c r="AJ20" s="629"/>
      <c r="AK20" s="630"/>
      <c r="AL20" s="630"/>
      <c r="AM20" s="630"/>
      <c r="AN20" s="630"/>
      <c r="AO20" s="630"/>
      <c r="AP20" s="630"/>
      <c r="AQ20" s="630"/>
      <c r="AR20" s="630"/>
      <c r="AS20" s="619"/>
      <c r="AT20" s="572"/>
      <c r="AU20" s="565"/>
      <c r="AV20" s="569"/>
      <c r="AW20" s="569"/>
      <c r="AX20" s="569"/>
      <c r="AY20" s="565"/>
      <c r="AZ20" s="570"/>
      <c r="BA20" s="570"/>
      <c r="BB20" s="536"/>
      <c r="BC20" s="537"/>
      <c r="BD20" s="538"/>
      <c r="BE20" s="592"/>
      <c r="BF20" s="592"/>
      <c r="BG20" s="592"/>
      <c r="BH20" s="592"/>
      <c r="BI20" s="592"/>
      <c r="BJ20" s="592"/>
      <c r="BK20" s="592"/>
      <c r="BL20" s="592"/>
      <c r="BM20" s="592"/>
      <c r="BN20" s="592"/>
      <c r="BO20" s="592"/>
      <c r="BP20" s="592"/>
      <c r="BQ20" s="592"/>
      <c r="BR20" s="592"/>
      <c r="BS20" s="592"/>
      <c r="BT20" s="592"/>
    </row>
    <row r="21" spans="1:72" s="591" customFormat="1" ht="12.5" customHeight="1">
      <c r="A21" s="540"/>
      <c r="B21" s="566"/>
      <c r="C21" s="565"/>
      <c r="D21" s="569"/>
      <c r="E21" s="569"/>
      <c r="F21" s="569"/>
      <c r="G21" s="569"/>
      <c r="H21" s="632"/>
      <c r="I21" s="627"/>
      <c r="J21" s="625"/>
      <c r="K21" s="627"/>
      <c r="L21" s="625"/>
      <c r="M21" s="625"/>
      <c r="N21" s="625"/>
      <c r="O21" s="625"/>
      <c r="P21" s="625"/>
      <c r="Q21" s="625"/>
      <c r="R21" s="697" t="s">
        <v>625</v>
      </c>
      <c r="S21" s="625"/>
      <c r="T21" s="625"/>
      <c r="U21" s="625"/>
      <c r="V21" s="625"/>
      <c r="W21" s="625"/>
      <c r="X21" s="627"/>
      <c r="Y21" s="619"/>
      <c r="Z21" s="630"/>
      <c r="AA21" s="630"/>
      <c r="AB21" s="630"/>
      <c r="AC21" s="630"/>
      <c r="AD21" s="630"/>
      <c r="AE21" s="630"/>
      <c r="AF21" s="630"/>
      <c r="AG21" s="630"/>
      <c r="AH21" s="630"/>
      <c r="AI21" s="630"/>
      <c r="AJ21" s="630"/>
      <c r="AK21" s="630"/>
      <c r="AL21" s="630"/>
      <c r="AM21" s="619"/>
      <c r="AN21" s="619"/>
      <c r="AO21" s="619"/>
      <c r="AP21" s="619"/>
      <c r="AQ21" s="619"/>
      <c r="AR21" s="619"/>
      <c r="AS21" s="619"/>
      <c r="AT21" s="565"/>
      <c r="AU21" s="565"/>
      <c r="AV21" s="565"/>
      <c r="AW21" s="565"/>
      <c r="AX21" s="569"/>
      <c r="AY21" s="565"/>
      <c r="AZ21" s="570"/>
      <c r="BA21" s="570"/>
      <c r="BB21" s="536"/>
      <c r="BC21" s="537"/>
      <c r="BD21" s="538"/>
      <c r="BE21" s="592"/>
      <c r="BF21" s="592"/>
      <c r="BG21" s="592" t="s">
        <v>431</v>
      </c>
      <c r="BH21" s="592"/>
      <c r="BI21" s="592"/>
      <c r="BJ21" s="592"/>
      <c r="BK21" s="592"/>
      <c r="BL21" s="592"/>
      <c r="BM21" s="592"/>
      <c r="BN21" s="592"/>
      <c r="BO21" s="592"/>
      <c r="BP21" s="592"/>
      <c r="BQ21" s="592"/>
      <c r="BR21" s="592"/>
      <c r="BS21" s="592"/>
      <c r="BT21" s="592"/>
    </row>
    <row r="22" spans="1:72" s="591" customFormat="1" ht="12.5" customHeight="1">
      <c r="A22" s="540"/>
      <c r="B22" s="566"/>
      <c r="C22" s="565"/>
      <c r="D22" s="569"/>
      <c r="E22" s="569"/>
      <c r="F22" s="569"/>
      <c r="G22" s="569"/>
      <c r="H22" s="632"/>
      <c r="I22" s="627"/>
      <c r="J22" s="625"/>
      <c r="K22" s="627"/>
      <c r="L22" s="625"/>
      <c r="M22" s="625"/>
      <c r="N22" s="625"/>
      <c r="O22" s="625"/>
      <c r="P22" s="625"/>
      <c r="Q22" s="625"/>
      <c r="R22" s="635"/>
      <c r="S22" s="625"/>
      <c r="T22" s="625"/>
      <c r="U22" s="625"/>
      <c r="V22" s="625"/>
      <c r="W22" s="625"/>
      <c r="X22" s="627"/>
      <c r="Y22" s="619"/>
      <c r="Z22" s="630"/>
      <c r="AA22" s="630"/>
      <c r="AB22" s="630"/>
      <c r="AC22" s="630"/>
      <c r="AD22" s="630"/>
      <c r="AE22" s="630"/>
      <c r="AF22" s="630"/>
      <c r="AG22" s="630"/>
      <c r="AH22" s="630"/>
      <c r="AI22" s="630"/>
      <c r="AJ22" s="630"/>
      <c r="AK22" s="630"/>
      <c r="AL22" s="630"/>
      <c r="AM22" s="619"/>
      <c r="AN22" s="619"/>
      <c r="AO22" s="619"/>
      <c r="AP22" s="619"/>
      <c r="AQ22" s="619"/>
      <c r="AR22" s="619"/>
      <c r="AS22" s="619"/>
      <c r="AT22" s="565"/>
      <c r="AU22" s="565"/>
      <c r="AV22" s="565"/>
      <c r="AW22" s="565"/>
      <c r="AX22" s="569"/>
      <c r="AY22" s="565"/>
      <c r="AZ22" s="570"/>
      <c r="BA22" s="570"/>
      <c r="BB22" s="536"/>
      <c r="BC22" s="537"/>
      <c r="BD22" s="538"/>
      <c r="BE22" s="592"/>
      <c r="BF22" s="575"/>
      <c r="BG22" s="575"/>
      <c r="BH22" s="592" t="s">
        <v>643</v>
      </c>
      <c r="BI22" s="592"/>
      <c r="BJ22" s="592"/>
      <c r="BK22" s="592"/>
      <c r="BL22" s="592"/>
      <c r="BM22" s="592"/>
      <c r="BN22" s="592"/>
      <c r="BO22" s="592"/>
      <c r="BP22" s="592"/>
      <c r="BQ22" s="592"/>
      <c r="BR22" s="592"/>
      <c r="BS22" s="592"/>
      <c r="BT22" s="592"/>
    </row>
    <row r="23" spans="1:72" s="591" customFormat="1" ht="12.5" customHeight="1">
      <c r="A23" s="540"/>
      <c r="B23" s="541"/>
      <c r="C23" s="538"/>
      <c r="D23" s="538"/>
      <c r="E23" s="538"/>
      <c r="F23" s="539"/>
      <c r="G23" s="544"/>
      <c r="H23" s="603"/>
      <c r="I23" s="603"/>
      <c r="J23" s="603"/>
      <c r="K23" s="603"/>
      <c r="L23" s="603"/>
      <c r="M23" s="603"/>
      <c r="N23" s="603"/>
      <c r="O23" s="603"/>
      <c r="P23" s="603"/>
      <c r="Q23" s="603"/>
      <c r="R23" s="603"/>
      <c r="S23" s="603"/>
      <c r="T23" s="604"/>
      <c r="U23" s="604"/>
      <c r="V23" s="604"/>
      <c r="W23" s="604"/>
      <c r="X23" s="605"/>
      <c r="Y23" s="604"/>
      <c r="Z23" s="604"/>
      <c r="AA23" s="604"/>
      <c r="AB23" s="606"/>
      <c r="AC23" s="604"/>
      <c r="AD23" s="607"/>
      <c r="AE23" s="607"/>
      <c r="AF23" s="607"/>
      <c r="AG23" s="607"/>
      <c r="AH23" s="607"/>
      <c r="AI23" s="603"/>
      <c r="AJ23" s="604"/>
      <c r="AK23" s="604"/>
      <c r="AL23" s="604"/>
      <c r="AM23" s="604"/>
      <c r="AN23" s="608"/>
      <c r="AO23" s="605"/>
      <c r="AP23" s="605"/>
      <c r="AQ23" s="604"/>
      <c r="AR23" s="604"/>
      <c r="AS23" s="604"/>
      <c r="AT23" s="547"/>
      <c r="AU23" s="545"/>
      <c r="AV23" s="548"/>
      <c r="AW23" s="548"/>
      <c r="AX23" s="548"/>
      <c r="AY23" s="542"/>
      <c r="AZ23" s="543"/>
      <c r="BA23" s="543"/>
      <c r="BB23" s="536"/>
      <c r="BC23" s="537"/>
      <c r="BD23" s="538"/>
      <c r="BE23" s="595"/>
      <c r="BF23" s="575"/>
      <c r="BG23" s="575"/>
      <c r="BH23" s="592" t="s">
        <v>644</v>
      </c>
      <c r="BI23" s="592"/>
      <c r="BJ23" s="592"/>
      <c r="BK23" s="592"/>
      <c r="BL23" s="592"/>
      <c r="BM23" s="592"/>
      <c r="BN23" s="592"/>
      <c r="BO23" s="592"/>
      <c r="BP23" s="592"/>
      <c r="BQ23" s="592"/>
      <c r="BR23" s="592"/>
      <c r="BS23" s="592"/>
      <c r="BT23" s="592"/>
    </row>
    <row r="24" spans="1:72" s="591" customFormat="1" ht="12.5" customHeight="1">
      <c r="A24" s="540"/>
      <c r="B24" s="566"/>
      <c r="C24" s="565"/>
      <c r="D24" s="567"/>
      <c r="E24" s="567"/>
      <c r="F24" s="567"/>
      <c r="G24" s="565"/>
      <c r="H24" s="603"/>
      <c r="I24" s="617" t="s">
        <v>382</v>
      </c>
      <c r="J24" s="603"/>
      <c r="K24" s="603"/>
      <c r="L24" s="603"/>
      <c r="M24" s="603"/>
      <c r="N24" s="603"/>
      <c r="O24" s="603"/>
      <c r="P24" s="603"/>
      <c r="Q24" s="603"/>
      <c r="R24" s="603"/>
      <c r="S24" s="603"/>
      <c r="T24" s="604"/>
      <c r="U24" s="604"/>
      <c r="V24" s="604"/>
      <c r="W24" s="604"/>
      <c r="X24" s="605"/>
      <c r="Y24" s="604"/>
      <c r="Z24" s="603"/>
      <c r="AA24" s="603"/>
      <c r="AB24" s="603"/>
      <c r="AC24" s="603"/>
      <c r="AD24" s="603"/>
      <c r="AE24" s="603"/>
      <c r="AF24" s="603"/>
      <c r="AG24" s="603"/>
      <c r="AH24" s="603"/>
      <c r="AI24" s="603"/>
      <c r="AJ24" s="603"/>
      <c r="AK24" s="603"/>
      <c r="AL24" s="603"/>
      <c r="AM24" s="603"/>
      <c r="AN24" s="603"/>
      <c r="AO24" s="603"/>
      <c r="AP24" s="603"/>
      <c r="AQ24" s="603"/>
      <c r="AR24" s="603"/>
      <c r="AS24" s="603"/>
      <c r="AT24" s="565"/>
      <c r="AU24" s="565"/>
      <c r="AV24" s="565"/>
      <c r="AW24" s="565"/>
      <c r="AX24" s="569"/>
      <c r="AY24" s="565"/>
      <c r="AZ24" s="570"/>
      <c r="BA24" s="570"/>
      <c r="BB24" s="536"/>
      <c r="BC24" s="537"/>
      <c r="BD24" s="538"/>
      <c r="BE24" s="592"/>
      <c r="BF24" s="592"/>
      <c r="BG24" s="592"/>
      <c r="BH24" s="592" t="s">
        <v>645</v>
      </c>
      <c r="BI24" s="592"/>
      <c r="BJ24" s="592"/>
      <c r="BK24" s="592"/>
      <c r="BL24" s="592"/>
      <c r="BM24" s="592"/>
      <c r="BN24" s="592"/>
      <c r="BO24" s="592"/>
      <c r="BP24" s="592"/>
      <c r="BQ24" s="592"/>
      <c r="BR24" s="592"/>
      <c r="BS24" s="592"/>
      <c r="BT24" s="592"/>
    </row>
    <row r="25" spans="1:72" s="591" customFormat="1" ht="12.5" customHeight="1">
      <c r="A25" s="540"/>
      <c r="B25" s="566"/>
      <c r="C25" s="571"/>
      <c r="D25" s="567"/>
      <c r="E25" s="567"/>
      <c r="F25" s="567"/>
      <c r="G25" s="569"/>
      <c r="H25" s="603"/>
      <c r="I25" s="603" t="s">
        <v>605</v>
      </c>
      <c r="J25" s="610"/>
      <c r="K25" s="609"/>
      <c r="L25" s="609"/>
      <c r="M25" s="609"/>
      <c r="N25" s="609"/>
      <c r="O25" s="609"/>
      <c r="P25" s="609"/>
      <c r="Q25" s="609"/>
      <c r="R25" s="609"/>
      <c r="S25" s="609"/>
      <c r="T25" s="609"/>
      <c r="U25" s="609"/>
      <c r="V25" s="609"/>
      <c r="W25" s="609"/>
      <c r="X25" s="611"/>
      <c r="Y25" s="603"/>
      <c r="Z25" s="603"/>
      <c r="AA25" s="612"/>
      <c r="AB25" s="603"/>
      <c r="AC25" s="613"/>
      <c r="AD25" s="613"/>
      <c r="AE25" s="614"/>
      <c r="AF25" s="613"/>
      <c r="AG25" s="614"/>
      <c r="AH25" s="613"/>
      <c r="AI25" s="615"/>
      <c r="AJ25" s="613"/>
      <c r="AK25" s="614"/>
      <c r="AL25" s="614"/>
      <c r="AM25" s="614"/>
      <c r="AN25" s="614"/>
      <c r="AO25" s="614"/>
      <c r="AP25" s="614"/>
      <c r="AQ25" s="614"/>
      <c r="AR25" s="614"/>
      <c r="AS25" s="614"/>
      <c r="AT25" s="569"/>
      <c r="AU25" s="569"/>
      <c r="AV25" s="569"/>
      <c r="AW25" s="569"/>
      <c r="AX25" s="569"/>
      <c r="AY25" s="565"/>
      <c r="AZ25" s="570"/>
      <c r="BA25" s="570"/>
      <c r="BB25" s="536"/>
      <c r="BC25" s="537"/>
      <c r="BD25" s="538"/>
      <c r="BE25" s="592"/>
      <c r="BF25" s="592"/>
      <c r="BG25" s="592"/>
      <c r="BH25" s="592"/>
      <c r="BI25" s="592"/>
      <c r="BJ25" s="592"/>
      <c r="BK25" s="592"/>
      <c r="BL25" s="592"/>
      <c r="BM25" s="592"/>
      <c r="BN25" s="592"/>
      <c r="BO25" s="592"/>
      <c r="BP25" s="592"/>
      <c r="BQ25" s="592"/>
      <c r="BR25" s="592"/>
      <c r="BS25" s="592"/>
      <c r="BT25" s="592"/>
    </row>
    <row r="26" spans="1:72" s="591" customFormat="1" ht="12.5" customHeight="1">
      <c r="A26" s="540"/>
      <c r="B26" s="566"/>
      <c r="C26" s="573"/>
      <c r="D26" s="569"/>
      <c r="E26" s="569"/>
      <c r="F26" s="569"/>
      <c r="G26" s="569"/>
      <c r="H26" s="616"/>
      <c r="I26" s="611"/>
      <c r="J26" s="609"/>
      <c r="K26" s="611"/>
      <c r="L26" s="609"/>
      <c r="M26" s="609"/>
      <c r="N26" s="609"/>
      <c r="O26" s="609"/>
      <c r="P26" s="609"/>
      <c r="Q26" s="609"/>
      <c r="R26" s="609"/>
      <c r="S26" s="609"/>
      <c r="T26" s="609"/>
      <c r="U26" s="609"/>
      <c r="V26" s="609"/>
      <c r="W26" s="609"/>
      <c r="X26" s="611"/>
      <c r="Y26" s="603"/>
      <c r="Z26" s="612"/>
      <c r="AA26" s="603"/>
      <c r="AB26" s="612"/>
      <c r="AC26" s="603"/>
      <c r="AD26" s="613"/>
      <c r="AE26" s="613"/>
      <c r="AF26" s="614"/>
      <c r="AG26" s="613"/>
      <c r="AH26" s="613"/>
      <c r="AI26" s="615"/>
      <c r="AJ26" s="613"/>
      <c r="AK26" s="614"/>
      <c r="AL26" s="614"/>
      <c r="AM26" s="614"/>
      <c r="AN26" s="614"/>
      <c r="AO26" s="614"/>
      <c r="AP26" s="614"/>
      <c r="AQ26" s="614"/>
      <c r="AR26" s="614"/>
      <c r="AS26" s="603"/>
      <c r="AT26" s="572"/>
      <c r="AU26" s="565"/>
      <c r="AV26" s="569"/>
      <c r="AW26" s="569"/>
      <c r="AX26" s="569"/>
      <c r="AY26" s="565"/>
      <c r="AZ26" s="570"/>
      <c r="BA26" s="570"/>
      <c r="BB26" s="536"/>
      <c r="BC26" s="537"/>
      <c r="BD26" s="538"/>
      <c r="BE26" s="592"/>
      <c r="BF26" s="592"/>
      <c r="BG26" s="592" t="s">
        <v>646</v>
      </c>
      <c r="BH26" s="592"/>
      <c r="BI26" s="592"/>
      <c r="BJ26" s="592"/>
      <c r="BK26" s="592"/>
      <c r="BL26" s="592"/>
      <c r="BM26" s="592"/>
      <c r="BN26" s="592"/>
      <c r="BO26" s="592"/>
      <c r="BP26" s="592"/>
      <c r="BQ26" s="592"/>
      <c r="BR26" s="592"/>
      <c r="BS26" s="592"/>
      <c r="BT26" s="592"/>
    </row>
    <row r="27" spans="1:72" s="591" customFormat="1" ht="12.5" customHeight="1">
      <c r="A27" s="540"/>
      <c r="B27" s="566"/>
      <c r="C27" s="565"/>
      <c r="D27" s="569"/>
      <c r="E27" s="569"/>
      <c r="F27" s="569"/>
      <c r="G27" s="569"/>
      <c r="H27" s="616"/>
      <c r="I27" s="611"/>
      <c r="J27" s="609"/>
      <c r="K27" s="611"/>
      <c r="L27" s="609"/>
      <c r="M27" s="609"/>
      <c r="N27" s="609"/>
      <c r="O27" s="609"/>
      <c r="P27" s="609"/>
      <c r="Q27" s="609"/>
      <c r="R27" s="609"/>
      <c r="S27" s="609"/>
      <c r="T27" s="609"/>
      <c r="U27" s="609"/>
      <c r="V27" s="609"/>
      <c r="W27" s="609"/>
      <c r="X27" s="611"/>
      <c r="Y27" s="603"/>
      <c r="Z27" s="614"/>
      <c r="AA27" s="614"/>
      <c r="AB27" s="614"/>
      <c r="AC27" s="614"/>
      <c r="AD27" s="614"/>
      <c r="AE27" s="614"/>
      <c r="AF27" s="614"/>
      <c r="AG27" s="614"/>
      <c r="AH27" s="614"/>
      <c r="AI27" s="614"/>
      <c r="AJ27" s="614"/>
      <c r="AK27" s="614"/>
      <c r="AL27" s="614"/>
      <c r="AM27" s="603"/>
      <c r="AN27" s="603"/>
      <c r="AO27" s="603"/>
      <c r="AP27" s="603"/>
      <c r="AQ27" s="603"/>
      <c r="AR27" s="603"/>
      <c r="AS27" s="603"/>
      <c r="AT27" s="565"/>
      <c r="AU27" s="565"/>
      <c r="AV27" s="565"/>
      <c r="AW27" s="565"/>
      <c r="AX27" s="569"/>
      <c r="AY27" s="565"/>
      <c r="AZ27" s="570"/>
      <c r="BA27" s="570"/>
      <c r="BB27" s="536"/>
      <c r="BC27" s="537"/>
      <c r="BD27" s="538"/>
      <c r="BE27" s="592"/>
      <c r="BF27" s="592"/>
      <c r="BG27" s="592"/>
      <c r="BH27" s="592" t="s">
        <v>641</v>
      </c>
      <c r="BI27" s="592"/>
      <c r="BJ27" s="592"/>
      <c r="BK27" s="592"/>
      <c r="BL27" s="592"/>
      <c r="BM27" s="592"/>
      <c r="BN27" s="592"/>
      <c r="BO27" s="592"/>
      <c r="BP27" s="592"/>
      <c r="BQ27" s="592"/>
      <c r="BR27" s="592"/>
      <c r="BS27" s="592"/>
      <c r="BT27" s="592"/>
    </row>
    <row r="28" spans="1:72" s="591" customFormat="1" ht="12.5" customHeight="1">
      <c r="A28" s="540"/>
      <c r="B28" s="566"/>
      <c r="C28" s="565"/>
      <c r="D28" s="569"/>
      <c r="E28" s="569"/>
      <c r="F28" s="569"/>
      <c r="G28" s="569"/>
      <c r="H28" s="616"/>
      <c r="I28" s="611"/>
      <c r="J28" s="609"/>
      <c r="K28" s="611"/>
      <c r="L28" s="609"/>
      <c r="M28" s="609"/>
      <c r="N28" s="609"/>
      <c r="O28" s="609"/>
      <c r="P28" s="609"/>
      <c r="Q28" s="609"/>
      <c r="R28" s="609"/>
      <c r="S28" s="609"/>
      <c r="T28" s="609"/>
      <c r="U28" s="609"/>
      <c r="V28" s="609"/>
      <c r="W28" s="609"/>
      <c r="X28" s="611"/>
      <c r="Y28" s="603"/>
      <c r="Z28" s="614"/>
      <c r="AA28" s="614"/>
      <c r="AB28" s="614"/>
      <c r="AC28" s="614"/>
      <c r="AD28" s="614"/>
      <c r="AE28" s="614"/>
      <c r="AF28" s="614"/>
      <c r="AG28" s="614"/>
      <c r="AH28" s="614"/>
      <c r="AI28" s="614"/>
      <c r="AJ28" s="614"/>
      <c r="AK28" s="614"/>
      <c r="AL28" s="614"/>
      <c r="AM28" s="603"/>
      <c r="AN28" s="603"/>
      <c r="AO28" s="603"/>
      <c r="AP28" s="603"/>
      <c r="AQ28" s="603"/>
      <c r="AR28" s="603"/>
      <c r="AS28" s="603"/>
      <c r="AT28" s="565"/>
      <c r="AU28" s="565"/>
      <c r="AV28" s="565"/>
      <c r="AW28" s="565"/>
      <c r="AX28" s="569"/>
      <c r="AY28" s="565"/>
      <c r="AZ28" s="570"/>
      <c r="BA28" s="570"/>
      <c r="BB28" s="536"/>
      <c r="BC28" s="537"/>
      <c r="BD28" s="538"/>
      <c r="BE28" s="592"/>
      <c r="BF28" s="592"/>
      <c r="BG28" s="592"/>
      <c r="BH28" s="592" t="s">
        <v>647</v>
      </c>
      <c r="BI28" s="592"/>
      <c r="BJ28" s="592"/>
      <c r="BK28" s="592"/>
      <c r="BL28" s="592"/>
      <c r="BM28" s="592"/>
      <c r="BN28" s="592"/>
      <c r="BO28" s="592"/>
      <c r="BP28" s="592"/>
      <c r="BQ28" s="592"/>
      <c r="BR28" s="592"/>
      <c r="BS28" s="592"/>
      <c r="BT28" s="592"/>
    </row>
    <row r="29" spans="1:72" s="591" customFormat="1" ht="12.5" customHeight="1">
      <c r="A29" s="540"/>
      <c r="B29" s="566"/>
      <c r="C29" s="565"/>
      <c r="D29" s="569"/>
      <c r="E29" s="569"/>
      <c r="F29" s="569"/>
      <c r="G29" s="569"/>
      <c r="H29" s="616"/>
      <c r="I29" s="611"/>
      <c r="J29" s="609"/>
      <c r="K29" s="611"/>
      <c r="L29" s="609"/>
      <c r="M29" s="609"/>
      <c r="N29" s="609"/>
      <c r="O29" s="609"/>
      <c r="P29" s="609"/>
      <c r="Q29" s="609"/>
      <c r="R29" s="609"/>
      <c r="S29" s="609"/>
      <c r="T29" s="609"/>
      <c r="U29" s="609"/>
      <c r="V29" s="609"/>
      <c r="W29" s="609"/>
      <c r="X29" s="611"/>
      <c r="Y29" s="603"/>
      <c r="Z29" s="614"/>
      <c r="AA29" s="614"/>
      <c r="AB29" s="614"/>
      <c r="AC29" s="614"/>
      <c r="AD29" s="614"/>
      <c r="AE29" s="614"/>
      <c r="AF29" s="614"/>
      <c r="AG29" s="614"/>
      <c r="AH29" s="614"/>
      <c r="AI29" s="614"/>
      <c r="AJ29" s="614"/>
      <c r="AK29" s="614"/>
      <c r="AL29" s="614"/>
      <c r="AM29" s="603"/>
      <c r="AN29" s="603"/>
      <c r="AO29" s="603"/>
      <c r="AP29" s="603"/>
      <c r="AQ29" s="603"/>
      <c r="AR29" s="603"/>
      <c r="AS29" s="603"/>
      <c r="AT29" s="565"/>
      <c r="AU29" s="565"/>
      <c r="AV29" s="565"/>
      <c r="AW29" s="565"/>
      <c r="AX29" s="569"/>
      <c r="AY29" s="565"/>
      <c r="AZ29" s="570"/>
      <c r="BA29" s="570"/>
      <c r="BB29" s="536"/>
      <c r="BC29" s="537"/>
      <c r="BD29" s="538"/>
      <c r="BE29" s="592"/>
      <c r="BF29" s="592"/>
      <c r="BG29" s="592"/>
      <c r="BH29" s="592"/>
      <c r="BI29" s="592" t="s">
        <v>425</v>
      </c>
      <c r="BJ29" s="592" t="s">
        <v>426</v>
      </c>
      <c r="BK29" s="592"/>
      <c r="BL29" s="592"/>
      <c r="BM29" s="592"/>
      <c r="BN29" s="592"/>
      <c r="BO29" s="592"/>
      <c r="BP29" s="592"/>
      <c r="BQ29" s="592"/>
      <c r="BR29" s="592"/>
      <c r="BS29" s="592"/>
      <c r="BT29" s="592"/>
    </row>
    <row r="30" spans="1:72" s="591" customFormat="1" ht="12.5" customHeight="1">
      <c r="A30" s="540"/>
      <c r="B30" s="566"/>
      <c r="C30" s="565"/>
      <c r="D30" s="569"/>
      <c r="E30" s="569"/>
      <c r="F30" s="569"/>
      <c r="G30" s="569"/>
      <c r="H30" s="616"/>
      <c r="I30" s="611"/>
      <c r="J30" s="609"/>
      <c r="K30" s="611"/>
      <c r="L30" s="609"/>
      <c r="M30" s="609"/>
      <c r="N30" s="609"/>
      <c r="O30" s="609"/>
      <c r="P30" s="609"/>
      <c r="Q30" s="609"/>
      <c r="R30" s="609"/>
      <c r="S30" s="609"/>
      <c r="T30" s="609"/>
      <c r="U30" s="609"/>
      <c r="V30" s="609"/>
      <c r="W30" s="609"/>
      <c r="X30" s="611"/>
      <c r="Y30" s="603"/>
      <c r="Z30" s="614"/>
      <c r="AA30" s="614"/>
      <c r="AB30" s="614"/>
      <c r="AC30" s="614"/>
      <c r="AD30" s="614"/>
      <c r="AE30" s="614"/>
      <c r="AF30" s="614"/>
      <c r="AG30" s="614"/>
      <c r="AH30" s="614"/>
      <c r="AI30" s="614"/>
      <c r="AJ30" s="614"/>
      <c r="AK30" s="614"/>
      <c r="AL30" s="614"/>
      <c r="AM30" s="603"/>
      <c r="AN30" s="603"/>
      <c r="AO30" s="603"/>
      <c r="AP30" s="603"/>
      <c r="AQ30" s="603"/>
      <c r="AR30" s="603"/>
      <c r="AS30" s="603"/>
      <c r="AT30" s="565"/>
      <c r="AU30" s="565"/>
      <c r="AV30" s="565"/>
      <c r="AW30" s="565"/>
      <c r="AX30" s="569"/>
      <c r="AY30" s="565"/>
      <c r="AZ30" s="570"/>
      <c r="BA30" s="570"/>
      <c r="BB30" s="536"/>
      <c r="BC30" s="537"/>
      <c r="BD30" s="538"/>
      <c r="BE30" s="592"/>
      <c r="BF30" s="592"/>
      <c r="BG30" s="592"/>
      <c r="BH30" s="592"/>
      <c r="BI30" s="592" t="s">
        <v>425</v>
      </c>
      <c r="BJ30" s="592" t="s">
        <v>427</v>
      </c>
      <c r="BK30" s="592"/>
      <c r="BL30" s="592"/>
      <c r="BM30" s="592"/>
      <c r="BN30" s="592"/>
      <c r="BO30" s="592"/>
      <c r="BP30" s="592"/>
      <c r="BQ30" s="592"/>
      <c r="BR30" s="592"/>
      <c r="BS30" s="592"/>
      <c r="BT30" s="592"/>
    </row>
    <row r="31" spans="1:72" s="591" customFormat="1" ht="12.5" customHeight="1">
      <c r="A31" s="540"/>
      <c r="B31" s="566"/>
      <c r="C31" s="565"/>
      <c r="D31" s="569"/>
      <c r="E31" s="569"/>
      <c r="F31" s="569"/>
      <c r="G31" s="569"/>
      <c r="H31" s="616"/>
      <c r="I31" s="611"/>
      <c r="J31" s="609"/>
      <c r="K31" s="611"/>
      <c r="L31" s="609"/>
      <c r="M31" s="609"/>
      <c r="N31" s="609"/>
      <c r="O31" s="609"/>
      <c r="P31" s="609"/>
      <c r="Q31" s="609"/>
      <c r="R31" s="609"/>
      <c r="S31" s="609"/>
      <c r="T31" s="609"/>
      <c r="U31" s="609"/>
      <c r="V31" s="609"/>
      <c r="W31" s="609"/>
      <c r="X31" s="611"/>
      <c r="Y31" s="603"/>
      <c r="Z31" s="614"/>
      <c r="AA31" s="614"/>
      <c r="AB31" s="614"/>
      <c r="AC31" s="614"/>
      <c r="AD31" s="614"/>
      <c r="AE31" s="614"/>
      <c r="AF31" s="614"/>
      <c r="AG31" s="614"/>
      <c r="AH31" s="614"/>
      <c r="AI31" s="614"/>
      <c r="AJ31" s="614"/>
      <c r="AK31" s="614"/>
      <c r="AL31" s="614"/>
      <c r="AM31" s="603"/>
      <c r="AN31" s="603"/>
      <c r="AO31" s="603"/>
      <c r="AP31" s="603"/>
      <c r="AQ31" s="603"/>
      <c r="AR31" s="603"/>
      <c r="AS31" s="603"/>
      <c r="AT31" s="565"/>
      <c r="AU31" s="565"/>
      <c r="AV31" s="565"/>
      <c r="AW31" s="565"/>
      <c r="AX31" s="569"/>
      <c r="AY31" s="565"/>
      <c r="AZ31" s="570"/>
      <c r="BA31" s="570"/>
      <c r="BB31" s="536"/>
      <c r="BC31" s="537"/>
      <c r="BD31" s="538"/>
      <c r="BE31" s="592"/>
      <c r="BF31" s="592"/>
      <c r="BG31" s="592"/>
      <c r="BH31" s="592"/>
      <c r="BI31" s="592" t="s">
        <v>425</v>
      </c>
      <c r="BJ31" s="592" t="s">
        <v>428</v>
      </c>
      <c r="BK31" s="592"/>
      <c r="BL31" s="592"/>
      <c r="BM31" s="592"/>
      <c r="BN31" s="592"/>
      <c r="BO31" s="592"/>
      <c r="BP31" s="592"/>
      <c r="BQ31" s="592"/>
      <c r="BR31" s="592"/>
      <c r="BS31" s="592"/>
      <c r="BT31" s="592"/>
    </row>
    <row r="32" spans="1:72" s="591" customFormat="1" ht="12.5" customHeight="1">
      <c r="A32" s="540"/>
      <c r="B32" s="566"/>
      <c r="C32" s="565"/>
      <c r="D32" s="569"/>
      <c r="E32" s="569"/>
      <c r="F32" s="569"/>
      <c r="G32" s="569"/>
      <c r="H32" s="616"/>
      <c r="I32" s="611"/>
      <c r="J32" s="609"/>
      <c r="K32" s="611"/>
      <c r="L32" s="609"/>
      <c r="M32" s="609"/>
      <c r="N32" s="609"/>
      <c r="O32" s="609"/>
      <c r="P32" s="609"/>
      <c r="Q32" s="609"/>
      <c r="R32" s="609"/>
      <c r="S32" s="609"/>
      <c r="T32" s="609"/>
      <c r="U32" s="609"/>
      <c r="V32" s="609"/>
      <c r="W32" s="609"/>
      <c r="X32" s="611"/>
      <c r="Y32" s="603"/>
      <c r="Z32" s="614"/>
      <c r="AA32" s="614"/>
      <c r="AB32" s="614"/>
      <c r="AC32" s="614"/>
      <c r="AD32" s="614"/>
      <c r="AE32" s="614"/>
      <c r="AF32" s="614"/>
      <c r="AG32" s="614"/>
      <c r="AH32" s="614"/>
      <c r="AI32" s="614"/>
      <c r="AJ32" s="614"/>
      <c r="AK32" s="614"/>
      <c r="AL32" s="614"/>
      <c r="AM32" s="603"/>
      <c r="AN32" s="603"/>
      <c r="AO32" s="603"/>
      <c r="AP32" s="603"/>
      <c r="AQ32" s="603"/>
      <c r="AR32" s="603"/>
      <c r="AS32" s="603"/>
      <c r="AT32" s="565"/>
      <c r="AU32" s="565"/>
      <c r="AV32" s="565"/>
      <c r="AW32" s="565"/>
      <c r="AX32" s="569"/>
      <c r="AY32" s="565"/>
      <c r="AZ32" s="570"/>
      <c r="BA32" s="570"/>
      <c r="BB32" s="536"/>
      <c r="BC32" s="537"/>
      <c r="BD32" s="538"/>
      <c r="BE32" s="592"/>
      <c r="BF32" s="592"/>
      <c r="BG32" s="592"/>
      <c r="BH32" s="592"/>
      <c r="BI32" s="592" t="s">
        <v>425</v>
      </c>
      <c r="BJ32" s="592" t="s">
        <v>429</v>
      </c>
      <c r="BK32" s="592"/>
      <c r="BL32" s="592"/>
      <c r="BM32" s="592"/>
      <c r="BN32" s="592"/>
      <c r="BO32" s="592"/>
      <c r="BP32" s="592"/>
      <c r="BQ32" s="592"/>
      <c r="BR32" s="592"/>
      <c r="BS32" s="592"/>
      <c r="BT32" s="592"/>
    </row>
    <row r="33" spans="1:72" s="591" customFormat="1" ht="12.5" customHeight="1">
      <c r="A33" s="540"/>
      <c r="B33" s="566"/>
      <c r="C33" s="565"/>
      <c r="D33" s="569"/>
      <c r="E33" s="569"/>
      <c r="F33" s="569"/>
      <c r="G33" s="569"/>
      <c r="H33" s="616"/>
      <c r="I33" s="611"/>
      <c r="J33" s="609"/>
      <c r="K33" s="611"/>
      <c r="L33" s="609"/>
      <c r="M33" s="609"/>
      <c r="N33" s="609"/>
      <c r="O33" s="609"/>
      <c r="P33" s="609"/>
      <c r="Q33" s="609"/>
      <c r="R33" s="634" t="s">
        <v>383</v>
      </c>
      <c r="S33" s="609"/>
      <c r="T33" s="609"/>
      <c r="U33" s="609"/>
      <c r="V33" s="609"/>
      <c r="W33" s="609"/>
      <c r="X33" s="611"/>
      <c r="Y33" s="603"/>
      <c r="Z33" s="614"/>
      <c r="AA33" s="614"/>
      <c r="AB33" s="614"/>
      <c r="AC33" s="614"/>
      <c r="AD33" s="614"/>
      <c r="AE33" s="614"/>
      <c r="AF33" s="614"/>
      <c r="AG33" s="614"/>
      <c r="AH33" s="614"/>
      <c r="AI33" s="614"/>
      <c r="AJ33" s="614"/>
      <c r="AK33" s="614"/>
      <c r="AL33" s="614"/>
      <c r="AM33" s="603"/>
      <c r="AN33" s="603"/>
      <c r="AO33" s="603"/>
      <c r="AP33" s="603"/>
      <c r="AQ33" s="603"/>
      <c r="AR33" s="603"/>
      <c r="AS33" s="603"/>
      <c r="AT33" s="565"/>
      <c r="AU33" s="565"/>
      <c r="AV33" s="565"/>
      <c r="AW33" s="565"/>
      <c r="AX33" s="569"/>
      <c r="AY33" s="565"/>
      <c r="AZ33" s="570"/>
      <c r="BA33" s="570"/>
      <c r="BB33" s="536"/>
      <c r="BC33" s="537"/>
      <c r="BD33" s="538"/>
      <c r="BE33" s="592"/>
      <c r="BF33" s="592"/>
      <c r="BG33" s="592"/>
      <c r="BH33" s="592" t="s">
        <v>648</v>
      </c>
      <c r="BI33" s="592"/>
      <c r="BJ33" s="592"/>
      <c r="BK33" s="592"/>
      <c r="BL33" s="592"/>
      <c r="BM33" s="592"/>
      <c r="BN33" s="592"/>
      <c r="BO33" s="592"/>
      <c r="BP33" s="592"/>
      <c r="BQ33" s="592"/>
      <c r="BR33" s="592"/>
      <c r="BS33" s="592"/>
      <c r="BT33" s="592"/>
    </row>
    <row r="34" spans="1:72" s="591" customFormat="1" ht="12.5" customHeight="1">
      <c r="A34" s="540"/>
      <c r="B34" s="566"/>
      <c r="C34" s="565"/>
      <c r="D34" s="569"/>
      <c r="E34" s="569"/>
      <c r="F34" s="569"/>
      <c r="G34" s="569"/>
      <c r="H34" s="616"/>
      <c r="I34" s="611"/>
      <c r="J34" s="609"/>
      <c r="K34" s="611"/>
      <c r="L34" s="609"/>
      <c r="M34" s="609"/>
      <c r="N34" s="609"/>
      <c r="O34" s="609"/>
      <c r="P34" s="609"/>
      <c r="Q34" s="609"/>
      <c r="R34" s="634" t="s">
        <v>626</v>
      </c>
      <c r="S34" s="609"/>
      <c r="T34" s="609"/>
      <c r="U34" s="609"/>
      <c r="V34" s="609"/>
      <c r="W34" s="609"/>
      <c r="X34" s="611"/>
      <c r="Y34" s="603"/>
      <c r="Z34" s="614"/>
      <c r="AA34" s="614"/>
      <c r="AB34" s="614"/>
      <c r="AC34" s="614"/>
      <c r="AD34" s="614"/>
      <c r="AE34" s="614"/>
      <c r="AF34" s="614"/>
      <c r="AG34" s="614"/>
      <c r="AH34" s="614"/>
      <c r="AI34" s="614"/>
      <c r="AJ34" s="614"/>
      <c r="AK34" s="614"/>
      <c r="AL34" s="614"/>
      <c r="AM34" s="603"/>
      <c r="AN34" s="603"/>
      <c r="AO34" s="603"/>
      <c r="AP34" s="603"/>
      <c r="AQ34" s="603"/>
      <c r="AR34" s="603"/>
      <c r="AS34" s="603"/>
      <c r="AT34" s="565"/>
      <c r="AU34" s="565"/>
      <c r="AV34" s="565"/>
      <c r="AW34" s="565"/>
      <c r="AX34" s="569"/>
      <c r="AY34" s="565"/>
      <c r="AZ34" s="570"/>
      <c r="BA34" s="570"/>
      <c r="BB34" s="536"/>
      <c r="BC34" s="537"/>
      <c r="BD34" s="538"/>
      <c r="BE34" s="592"/>
      <c r="BF34" s="575"/>
      <c r="BG34" s="575"/>
      <c r="BH34" s="592" t="s">
        <v>649</v>
      </c>
      <c r="BI34" s="592"/>
      <c r="BJ34" s="592"/>
      <c r="BK34" s="592"/>
      <c r="BL34" s="592"/>
      <c r="BM34" s="592"/>
      <c r="BN34" s="592"/>
      <c r="BO34" s="592"/>
      <c r="BP34" s="592"/>
      <c r="BQ34" s="592"/>
      <c r="BR34" s="592"/>
      <c r="BS34" s="592"/>
      <c r="BT34" s="592"/>
    </row>
    <row r="35" spans="1:72" s="591" customFormat="1" ht="12.5" customHeight="1">
      <c r="A35" s="540"/>
      <c r="B35" s="566"/>
      <c r="C35" s="565"/>
      <c r="D35" s="569"/>
      <c r="E35" s="569"/>
      <c r="F35" s="569"/>
      <c r="G35" s="569"/>
      <c r="H35" s="616"/>
      <c r="I35" s="611"/>
      <c r="J35" s="609"/>
      <c r="K35" s="611"/>
      <c r="L35" s="609"/>
      <c r="M35" s="609"/>
      <c r="N35" s="609"/>
      <c r="O35" s="609"/>
      <c r="P35" s="609"/>
      <c r="Q35" s="609"/>
      <c r="R35" s="634" t="s">
        <v>384</v>
      </c>
      <c r="S35" s="609"/>
      <c r="T35" s="609"/>
      <c r="U35" s="609"/>
      <c r="V35" s="609"/>
      <c r="W35" s="609"/>
      <c r="X35" s="611"/>
      <c r="Y35" s="603"/>
      <c r="Z35" s="614"/>
      <c r="AA35" s="614"/>
      <c r="AB35" s="614"/>
      <c r="AC35" s="614"/>
      <c r="AD35" s="614"/>
      <c r="AE35" s="614"/>
      <c r="AF35" s="614"/>
      <c r="AG35" s="614"/>
      <c r="AH35" s="614"/>
      <c r="AI35" s="614"/>
      <c r="AJ35" s="614"/>
      <c r="AK35" s="614"/>
      <c r="AL35" s="614"/>
      <c r="AM35" s="603"/>
      <c r="AN35" s="603"/>
      <c r="AO35" s="603"/>
      <c r="AP35" s="603"/>
      <c r="AQ35" s="603"/>
      <c r="AR35" s="603"/>
      <c r="AS35" s="603"/>
      <c r="AT35" s="565"/>
      <c r="AU35" s="565"/>
      <c r="AV35" s="565"/>
      <c r="AW35" s="565"/>
      <c r="AX35" s="569"/>
      <c r="AY35" s="565"/>
      <c r="AZ35" s="570"/>
      <c r="BA35" s="570"/>
      <c r="BB35" s="536"/>
      <c r="BC35" s="537"/>
      <c r="BD35" s="538"/>
      <c r="BE35" s="595"/>
      <c r="BF35" s="575"/>
      <c r="BG35" s="592"/>
      <c r="BH35" s="592" t="s">
        <v>410</v>
      </c>
      <c r="BI35" s="592"/>
      <c r="BJ35" s="592"/>
      <c r="BK35" s="592"/>
      <c r="BL35" s="592"/>
      <c r="BM35" s="592"/>
      <c r="BN35" s="592"/>
      <c r="BO35" s="592"/>
      <c r="BP35" s="592"/>
      <c r="BQ35" s="592"/>
      <c r="BR35" s="592"/>
      <c r="BS35" s="592"/>
      <c r="BT35" s="592"/>
    </row>
    <row r="36" spans="1:72" s="591" customFormat="1" ht="12.5" customHeight="1">
      <c r="A36" s="540"/>
      <c r="B36" s="566"/>
      <c r="C36" s="565"/>
      <c r="D36" s="569"/>
      <c r="E36" s="569"/>
      <c r="F36" s="569"/>
      <c r="G36" s="569"/>
      <c r="H36" s="616"/>
      <c r="I36" s="611"/>
      <c r="J36" s="609"/>
      <c r="K36" s="611"/>
      <c r="L36" s="609"/>
      <c r="M36" s="609"/>
      <c r="N36" s="609"/>
      <c r="O36" s="609"/>
      <c r="P36" s="609"/>
      <c r="Q36" s="609"/>
      <c r="R36" s="634" t="s">
        <v>627</v>
      </c>
      <c r="S36" s="609"/>
      <c r="T36" s="609"/>
      <c r="U36" s="609"/>
      <c r="V36" s="609"/>
      <c r="W36" s="609"/>
      <c r="X36" s="611"/>
      <c r="Y36" s="603"/>
      <c r="Z36" s="614"/>
      <c r="AA36" s="614"/>
      <c r="AB36" s="614"/>
      <c r="AC36" s="614"/>
      <c r="AD36" s="614"/>
      <c r="AE36" s="614"/>
      <c r="AF36" s="614"/>
      <c r="AG36" s="614"/>
      <c r="AH36" s="614"/>
      <c r="AI36" s="614"/>
      <c r="AJ36" s="614"/>
      <c r="AK36" s="614"/>
      <c r="AL36" s="614"/>
      <c r="AM36" s="603"/>
      <c r="AN36" s="603"/>
      <c r="AO36" s="603"/>
      <c r="AP36" s="603"/>
      <c r="AQ36" s="603"/>
      <c r="AR36" s="603"/>
      <c r="AS36" s="603"/>
      <c r="AT36" s="565"/>
      <c r="AU36" s="565"/>
      <c r="AV36" s="565"/>
      <c r="AW36" s="565"/>
      <c r="AX36" s="569"/>
      <c r="AY36" s="565"/>
      <c r="AZ36" s="570"/>
      <c r="BA36" s="570"/>
      <c r="BB36" s="536"/>
      <c r="BC36" s="537"/>
      <c r="BD36" s="538"/>
      <c r="BE36" s="592"/>
      <c r="BF36" s="592"/>
      <c r="BG36" s="592"/>
      <c r="BH36" s="592" t="s">
        <v>650</v>
      </c>
      <c r="BI36" s="592"/>
      <c r="BJ36" s="592"/>
      <c r="BK36" s="592"/>
      <c r="BL36" s="592"/>
      <c r="BM36" s="592"/>
      <c r="BN36" s="592"/>
      <c r="BO36" s="592"/>
      <c r="BP36" s="592"/>
      <c r="BQ36" s="592"/>
      <c r="BR36" s="592"/>
      <c r="BS36" s="592"/>
      <c r="BT36" s="592"/>
    </row>
    <row r="37" spans="1:72" s="591" customFormat="1" ht="12.5" customHeight="1">
      <c r="A37" s="540"/>
      <c r="B37" s="541"/>
      <c r="C37" s="538"/>
      <c r="D37" s="538"/>
      <c r="E37" s="538"/>
      <c r="F37" s="539"/>
      <c r="G37" s="544"/>
      <c r="H37" s="619"/>
      <c r="I37" s="619"/>
      <c r="J37" s="619"/>
      <c r="K37" s="619"/>
      <c r="L37" s="619"/>
      <c r="M37" s="619"/>
      <c r="N37" s="619"/>
      <c r="O37" s="619"/>
      <c r="P37" s="619"/>
      <c r="Q37" s="619"/>
      <c r="R37" s="619"/>
      <c r="S37" s="619"/>
      <c r="T37" s="620"/>
      <c r="U37" s="620"/>
      <c r="V37" s="620"/>
      <c r="W37" s="620"/>
      <c r="X37" s="621"/>
      <c r="Y37" s="620"/>
      <c r="Z37" s="620"/>
      <c r="AA37" s="620"/>
      <c r="AB37" s="622"/>
      <c r="AC37" s="620"/>
      <c r="AD37" s="623"/>
      <c r="AE37" s="623"/>
      <c r="AF37" s="623"/>
      <c r="AG37" s="623"/>
      <c r="AH37" s="623"/>
      <c r="AI37" s="619"/>
      <c r="AJ37" s="620"/>
      <c r="AK37" s="620"/>
      <c r="AL37" s="620"/>
      <c r="AM37" s="620"/>
      <c r="AN37" s="624"/>
      <c r="AO37" s="621"/>
      <c r="AP37" s="621"/>
      <c r="AQ37" s="620"/>
      <c r="AR37" s="620"/>
      <c r="AS37" s="620"/>
      <c r="AT37" s="547"/>
      <c r="AU37" s="545"/>
      <c r="AV37" s="548"/>
      <c r="AW37" s="548"/>
      <c r="AX37" s="548"/>
      <c r="AY37" s="542"/>
      <c r="AZ37" s="543"/>
      <c r="BA37" s="543"/>
      <c r="BB37" s="536"/>
      <c r="BC37" s="537"/>
      <c r="BD37" s="538"/>
      <c r="BE37" s="592"/>
      <c r="BF37" s="592"/>
      <c r="BG37" s="592"/>
      <c r="BH37" s="592" t="s">
        <v>430</v>
      </c>
      <c r="BI37" s="592"/>
      <c r="BJ37" s="592"/>
      <c r="BK37" s="592"/>
      <c r="BL37" s="592"/>
      <c r="BM37" s="592"/>
      <c r="BN37" s="592"/>
      <c r="BO37" s="592"/>
      <c r="BP37" s="592"/>
      <c r="BQ37" s="592"/>
      <c r="BR37" s="592"/>
      <c r="BS37" s="592"/>
      <c r="BT37" s="592"/>
    </row>
    <row r="38" spans="1:72" s="591" customFormat="1" ht="12.5" customHeight="1">
      <c r="A38" s="540"/>
      <c r="B38" s="566"/>
      <c r="C38" s="565"/>
      <c r="D38" s="567"/>
      <c r="E38" s="567"/>
      <c r="F38" s="567"/>
      <c r="G38" s="565"/>
      <c r="H38" s="619"/>
      <c r="I38" s="636" t="s">
        <v>385</v>
      </c>
      <c r="J38" s="619"/>
      <c r="K38" s="619"/>
      <c r="L38" s="619"/>
      <c r="M38" s="619"/>
      <c r="N38" s="619"/>
      <c r="O38" s="619"/>
      <c r="P38" s="619"/>
      <c r="Q38" s="619"/>
      <c r="R38" s="619"/>
      <c r="S38" s="637" t="s">
        <v>386</v>
      </c>
      <c r="T38" s="620"/>
      <c r="U38" s="620"/>
      <c r="V38" s="620"/>
      <c r="W38" s="620"/>
      <c r="X38" s="621"/>
      <c r="Y38" s="620"/>
      <c r="Z38" s="619"/>
      <c r="AA38" s="619"/>
      <c r="AB38" s="619"/>
      <c r="AC38" s="619"/>
      <c r="AD38" s="619"/>
      <c r="AE38" s="619"/>
      <c r="AF38" s="619"/>
      <c r="AG38" s="619"/>
      <c r="AH38" s="619"/>
      <c r="AI38" s="619"/>
      <c r="AJ38" s="619"/>
      <c r="AK38" s="619"/>
      <c r="AL38" s="619"/>
      <c r="AM38" s="619"/>
      <c r="AN38" s="619"/>
      <c r="AO38" s="619"/>
      <c r="AP38" s="619"/>
      <c r="AQ38" s="619"/>
      <c r="AR38" s="619"/>
      <c r="AS38" s="619"/>
      <c r="AT38" s="565"/>
      <c r="AU38" s="565"/>
      <c r="AV38" s="565"/>
      <c r="AW38" s="565"/>
      <c r="AX38" s="569"/>
      <c r="AY38" s="565"/>
      <c r="AZ38" s="570"/>
      <c r="BA38" s="570"/>
      <c r="BB38" s="536"/>
      <c r="BC38" s="537"/>
      <c r="BD38" s="538"/>
      <c r="BE38" s="592"/>
      <c r="BF38" s="592"/>
      <c r="BG38" s="592"/>
      <c r="BH38" s="592" t="s">
        <v>651</v>
      </c>
      <c r="BI38" s="592"/>
      <c r="BJ38" s="592"/>
      <c r="BK38" s="592"/>
      <c r="BL38" s="592"/>
      <c r="BM38" s="592"/>
      <c r="BN38" s="592"/>
      <c r="BO38" s="592"/>
      <c r="BP38" s="592"/>
      <c r="BQ38" s="592"/>
      <c r="BR38" s="592"/>
      <c r="BS38" s="592"/>
      <c r="BT38" s="592"/>
    </row>
    <row r="39" spans="1:72" s="591" customFormat="1" ht="12.5" customHeight="1">
      <c r="A39" s="540"/>
      <c r="B39" s="566"/>
      <c r="C39" s="565"/>
      <c r="D39" s="569"/>
      <c r="E39" s="569"/>
      <c r="F39" s="569"/>
      <c r="G39" s="569"/>
      <c r="H39" s="632"/>
      <c r="I39" s="698" t="s">
        <v>628</v>
      </c>
      <c r="J39" s="625"/>
      <c r="K39" s="627"/>
      <c r="L39" s="625"/>
      <c r="M39" s="625"/>
      <c r="N39" s="625"/>
      <c r="O39" s="625"/>
      <c r="P39" s="625"/>
      <c r="Q39" s="625"/>
      <c r="R39" s="625"/>
      <c r="S39" s="699" t="s">
        <v>629</v>
      </c>
      <c r="T39" s="625"/>
      <c r="U39" s="625"/>
      <c r="V39" s="625"/>
      <c r="W39" s="625"/>
      <c r="X39" s="627"/>
      <c r="Y39" s="619"/>
      <c r="Z39" s="630"/>
      <c r="AA39" s="630"/>
      <c r="AB39" s="630"/>
      <c r="AC39" s="630"/>
      <c r="AD39" s="630"/>
      <c r="AE39" s="630"/>
      <c r="AF39" s="630"/>
      <c r="AG39" s="630"/>
      <c r="AH39" s="630"/>
      <c r="AI39" s="630"/>
      <c r="AJ39" s="630"/>
      <c r="AK39" s="630"/>
      <c r="AL39" s="630"/>
      <c r="AM39" s="619"/>
      <c r="AN39" s="619"/>
      <c r="AO39" s="619"/>
      <c r="AP39" s="619"/>
      <c r="AQ39" s="619"/>
      <c r="AR39" s="619"/>
      <c r="AS39" s="619"/>
      <c r="AT39" s="565"/>
      <c r="AU39" s="565"/>
      <c r="AV39" s="565"/>
      <c r="AW39" s="565"/>
      <c r="AX39" s="569"/>
      <c r="AY39" s="565"/>
      <c r="AZ39" s="570"/>
      <c r="BA39" s="570"/>
      <c r="BB39" s="536"/>
      <c r="BC39" s="537"/>
      <c r="BD39" s="538"/>
      <c r="BE39" s="592"/>
      <c r="BF39" s="592"/>
      <c r="BG39" s="592"/>
      <c r="BH39" s="592"/>
      <c r="BI39" s="592"/>
      <c r="BJ39" s="592"/>
      <c r="BK39" s="592"/>
      <c r="BL39" s="592"/>
      <c r="BM39" s="592"/>
      <c r="BN39" s="592"/>
      <c r="BO39" s="592"/>
      <c r="BP39" s="592"/>
      <c r="BQ39" s="592"/>
      <c r="BR39" s="592"/>
      <c r="BS39" s="592"/>
      <c r="BT39" s="592"/>
    </row>
    <row r="40" spans="1:72" s="591" customFormat="1" ht="12.5" customHeight="1">
      <c r="A40" s="540"/>
      <c r="B40" s="566"/>
      <c r="C40" s="571"/>
      <c r="D40" s="567"/>
      <c r="E40" s="567"/>
      <c r="F40" s="567"/>
      <c r="G40" s="569"/>
      <c r="H40" s="619"/>
      <c r="I40" s="625"/>
      <c r="J40" s="626"/>
      <c r="K40" s="625"/>
      <c r="L40" s="625"/>
      <c r="M40" s="625"/>
      <c r="N40" s="625"/>
      <c r="O40" s="625"/>
      <c r="P40" s="625"/>
      <c r="Q40" s="625"/>
      <c r="R40" s="619"/>
      <c r="S40" s="637" t="s">
        <v>387</v>
      </c>
      <c r="T40" s="625"/>
      <c r="U40" s="625"/>
      <c r="V40" s="625"/>
      <c r="W40" s="625"/>
      <c r="X40" s="627"/>
      <c r="Y40" s="619"/>
      <c r="Z40" s="619"/>
      <c r="AA40" s="628"/>
      <c r="AB40" s="619"/>
      <c r="AC40" s="629"/>
      <c r="AD40" s="629"/>
      <c r="AE40" s="630"/>
      <c r="AF40" s="629"/>
      <c r="AG40" s="630"/>
      <c r="AH40" s="629"/>
      <c r="AI40" s="631"/>
      <c r="AJ40" s="629"/>
      <c r="AK40" s="630"/>
      <c r="AL40" s="630"/>
      <c r="AM40" s="630"/>
      <c r="AN40" s="630"/>
      <c r="AO40" s="630"/>
      <c r="AP40" s="630"/>
      <c r="AQ40" s="630"/>
      <c r="AR40" s="630"/>
      <c r="AS40" s="630"/>
      <c r="AT40" s="569"/>
      <c r="AU40" s="569"/>
      <c r="AV40" s="569"/>
      <c r="AW40" s="569"/>
      <c r="AX40" s="569"/>
      <c r="AY40" s="565"/>
      <c r="AZ40" s="570"/>
      <c r="BA40" s="570"/>
      <c r="BB40" s="536"/>
      <c r="BC40" s="537"/>
      <c r="BD40" s="538"/>
      <c r="BE40" s="592"/>
      <c r="BF40" s="592"/>
      <c r="BG40" s="592" t="s">
        <v>652</v>
      </c>
      <c r="BH40" s="592"/>
      <c r="BI40" s="592"/>
      <c r="BJ40" s="592"/>
      <c r="BK40" s="592"/>
      <c r="BL40" s="592"/>
      <c r="BM40" s="592"/>
      <c r="BN40" s="592"/>
      <c r="BO40" s="592"/>
      <c r="BP40" s="592"/>
      <c r="BQ40" s="592"/>
      <c r="BR40" s="592"/>
      <c r="BS40" s="592"/>
      <c r="BT40" s="592"/>
    </row>
    <row r="41" spans="1:72" s="591" customFormat="1" ht="12.5" customHeight="1">
      <c r="A41" s="540"/>
      <c r="B41" s="566"/>
      <c r="C41" s="565"/>
      <c r="D41" s="569"/>
      <c r="E41" s="569"/>
      <c r="F41" s="569"/>
      <c r="G41" s="569"/>
      <c r="H41" s="632"/>
      <c r="I41" s="698"/>
      <c r="J41" s="625"/>
      <c r="K41" s="627"/>
      <c r="L41" s="625"/>
      <c r="M41" s="625"/>
      <c r="N41" s="625"/>
      <c r="O41" s="625"/>
      <c r="P41" s="625"/>
      <c r="Q41" s="625"/>
      <c r="R41" s="625"/>
      <c r="S41" s="699" t="s">
        <v>630</v>
      </c>
      <c r="T41" s="625"/>
      <c r="U41" s="625"/>
      <c r="V41" s="625"/>
      <c r="W41" s="625"/>
      <c r="X41" s="627"/>
      <c r="Y41" s="619"/>
      <c r="Z41" s="630"/>
      <c r="AA41" s="630"/>
      <c r="AB41" s="630"/>
      <c r="AC41" s="630"/>
      <c r="AD41" s="630"/>
      <c r="AE41" s="630"/>
      <c r="AF41" s="630"/>
      <c r="AG41" s="630"/>
      <c r="AH41" s="630"/>
      <c r="AI41" s="630"/>
      <c r="AJ41" s="630"/>
      <c r="AK41" s="630"/>
      <c r="AL41" s="630"/>
      <c r="AM41" s="619"/>
      <c r="AN41" s="619"/>
      <c r="AO41" s="619"/>
      <c r="AP41" s="619"/>
      <c r="AQ41" s="619"/>
      <c r="AR41" s="619"/>
      <c r="AS41" s="619"/>
      <c r="AT41" s="565"/>
      <c r="AU41" s="565"/>
      <c r="AV41" s="565"/>
      <c r="AW41" s="565"/>
      <c r="AX41" s="569"/>
      <c r="AY41" s="565"/>
      <c r="AZ41" s="570"/>
      <c r="BA41" s="570"/>
      <c r="BB41" s="536"/>
      <c r="BC41" s="537"/>
      <c r="BD41" s="538"/>
      <c r="BE41" s="592"/>
      <c r="BF41" s="592"/>
      <c r="BG41" s="592"/>
      <c r="BH41" s="592" t="s">
        <v>653</v>
      </c>
      <c r="BI41" s="592"/>
      <c r="BJ41" s="592"/>
      <c r="BK41" s="592"/>
      <c r="BL41" s="592"/>
      <c r="BM41" s="592"/>
      <c r="BN41" s="592"/>
      <c r="BO41" s="592"/>
      <c r="BP41" s="592"/>
      <c r="BQ41" s="592"/>
      <c r="BR41" s="592"/>
      <c r="BS41" s="592"/>
      <c r="BT41" s="592"/>
    </row>
    <row r="42" spans="1:72" s="591" customFormat="1" ht="12.5" customHeight="1">
      <c r="A42" s="540"/>
      <c r="B42" s="566"/>
      <c r="C42" s="573"/>
      <c r="D42" s="569"/>
      <c r="E42" s="569"/>
      <c r="F42" s="569"/>
      <c r="G42" s="569"/>
      <c r="H42" s="632"/>
      <c r="I42" s="627"/>
      <c r="J42" s="625"/>
      <c r="K42" s="627"/>
      <c r="L42" s="625"/>
      <c r="M42" s="625"/>
      <c r="N42" s="625"/>
      <c r="O42" s="625"/>
      <c r="P42" s="625"/>
      <c r="Q42" s="625"/>
      <c r="R42" s="619"/>
      <c r="S42" s="637" t="s">
        <v>388</v>
      </c>
      <c r="T42" s="625"/>
      <c r="U42" s="625"/>
      <c r="V42" s="35"/>
      <c r="W42" s="625"/>
      <c r="X42" s="627"/>
      <c r="Y42" s="619"/>
      <c r="Z42" s="628"/>
      <c r="AA42" s="619"/>
      <c r="AB42" s="628"/>
      <c r="AC42" s="619"/>
      <c r="AD42" s="629"/>
      <c r="AE42" s="629"/>
      <c r="AF42" s="630"/>
      <c r="AG42" s="629"/>
      <c r="AH42" s="629"/>
      <c r="AI42" s="631"/>
      <c r="AJ42" s="629"/>
      <c r="AK42" s="630"/>
      <c r="AL42" s="630"/>
      <c r="AM42" s="630"/>
      <c r="AN42" s="630"/>
      <c r="AO42" s="630"/>
      <c r="AP42" s="630"/>
      <c r="AQ42" s="630"/>
      <c r="AR42" s="630"/>
      <c r="AS42" s="619"/>
      <c r="AT42" s="572"/>
      <c r="AU42" s="565"/>
      <c r="AV42" s="569"/>
      <c r="AW42" s="569"/>
      <c r="AX42" s="569"/>
      <c r="AY42" s="565"/>
      <c r="AZ42" s="570"/>
      <c r="BA42" s="570"/>
      <c r="BB42" s="536"/>
      <c r="BC42" s="537"/>
      <c r="BD42" s="538"/>
      <c r="BE42" s="592"/>
      <c r="BF42" s="592"/>
      <c r="BG42" s="592"/>
      <c r="BH42" s="592" t="s">
        <v>654</v>
      </c>
      <c r="BI42" s="592"/>
      <c r="BJ42" s="592"/>
      <c r="BK42" s="592"/>
      <c r="BL42" s="592"/>
      <c r="BM42" s="592"/>
      <c r="BN42" s="592"/>
      <c r="BO42" s="592"/>
      <c r="BP42" s="592"/>
      <c r="BQ42" s="592"/>
      <c r="BR42" s="592"/>
      <c r="BS42" s="592"/>
      <c r="BT42" s="592"/>
    </row>
    <row r="43" spans="1:72" s="591" customFormat="1" ht="12.5" customHeight="1">
      <c r="A43" s="540"/>
      <c r="B43" s="566"/>
      <c r="C43" s="565"/>
      <c r="D43" s="569"/>
      <c r="E43" s="569"/>
      <c r="F43" s="569"/>
      <c r="G43" s="569"/>
      <c r="H43" s="632"/>
      <c r="I43" s="698"/>
      <c r="J43" s="625"/>
      <c r="K43" s="627"/>
      <c r="L43" s="625"/>
      <c r="M43" s="625"/>
      <c r="N43" s="625"/>
      <c r="O43" s="625"/>
      <c r="P43" s="625"/>
      <c r="Q43" s="625"/>
      <c r="R43" s="625"/>
      <c r="S43" s="699" t="s">
        <v>631</v>
      </c>
      <c r="T43" s="625"/>
      <c r="U43" s="625"/>
      <c r="V43" s="625"/>
      <c r="W43" s="625"/>
      <c r="X43" s="627"/>
      <c r="Y43" s="619"/>
      <c r="Z43" s="630"/>
      <c r="AA43" s="630"/>
      <c r="AB43" s="630"/>
      <c r="AC43" s="630"/>
      <c r="AD43" s="630"/>
      <c r="AE43" s="630"/>
      <c r="AF43" s="630"/>
      <c r="AG43" s="630"/>
      <c r="AH43" s="630"/>
      <c r="AI43" s="630"/>
      <c r="AJ43" s="630"/>
      <c r="AK43" s="630"/>
      <c r="AL43" s="630"/>
      <c r="AM43" s="619"/>
      <c r="AN43" s="619"/>
      <c r="AO43" s="619"/>
      <c r="AP43" s="619"/>
      <c r="AQ43" s="619"/>
      <c r="AR43" s="619"/>
      <c r="AS43" s="619"/>
      <c r="AT43" s="565"/>
      <c r="AU43" s="565"/>
      <c r="AV43" s="565"/>
      <c r="AW43" s="565"/>
      <c r="AX43" s="569"/>
      <c r="AY43" s="565"/>
      <c r="AZ43" s="570"/>
      <c r="BA43" s="570"/>
      <c r="BB43" s="536"/>
      <c r="BC43" s="537"/>
      <c r="BD43" s="538"/>
      <c r="BE43" s="592"/>
      <c r="BF43" s="592"/>
      <c r="BG43" s="575"/>
      <c r="BH43" s="592"/>
      <c r="BI43" s="592"/>
      <c r="BJ43" s="592"/>
      <c r="BK43" s="592"/>
      <c r="BL43" s="592"/>
      <c r="BM43" s="592"/>
      <c r="BN43" s="592"/>
      <c r="BO43" s="592"/>
      <c r="BP43" s="592"/>
      <c r="BQ43" s="592"/>
      <c r="BR43" s="592"/>
      <c r="BS43" s="592"/>
      <c r="BT43" s="592"/>
    </row>
    <row r="44" spans="1:72" s="591" customFormat="1" ht="12.5" customHeight="1">
      <c r="A44" s="540"/>
      <c r="B44" s="566"/>
      <c r="C44" s="565"/>
      <c r="D44" s="569"/>
      <c r="E44" s="569"/>
      <c r="F44" s="569"/>
      <c r="G44" s="569"/>
      <c r="H44" s="632"/>
      <c r="I44" s="627"/>
      <c r="J44" s="625"/>
      <c r="K44" s="627"/>
      <c r="L44" s="625"/>
      <c r="M44" s="625"/>
      <c r="N44" s="625"/>
      <c r="O44" s="625"/>
      <c r="P44" s="625"/>
      <c r="Q44" s="625"/>
      <c r="R44" s="619"/>
      <c r="S44" s="637" t="s">
        <v>389</v>
      </c>
      <c r="T44" s="625"/>
      <c r="U44" s="625"/>
      <c r="V44" s="625"/>
      <c r="W44" s="625"/>
      <c r="X44" s="627"/>
      <c r="Y44" s="619"/>
      <c r="Z44" s="630"/>
      <c r="AA44" s="630"/>
      <c r="AB44" s="630"/>
      <c r="AC44" s="630"/>
      <c r="AD44" s="630"/>
      <c r="AE44" s="630"/>
      <c r="AF44" s="630"/>
      <c r="AG44" s="630"/>
      <c r="AH44" s="630"/>
      <c r="AI44" s="630"/>
      <c r="AJ44" s="630"/>
      <c r="AK44" s="630"/>
      <c r="AL44" s="630"/>
      <c r="AM44" s="619"/>
      <c r="AN44" s="619"/>
      <c r="AO44" s="619"/>
      <c r="AP44" s="619"/>
      <c r="AQ44" s="619"/>
      <c r="AR44" s="619"/>
      <c r="AS44" s="619"/>
      <c r="AT44" s="565"/>
      <c r="AU44" s="565"/>
      <c r="AV44" s="565"/>
      <c r="AW44" s="565"/>
      <c r="AX44" s="569"/>
      <c r="AY44" s="565"/>
      <c r="AZ44" s="570"/>
      <c r="BA44" s="570"/>
      <c r="BB44" s="536"/>
      <c r="BC44" s="537"/>
      <c r="BD44" s="538"/>
      <c r="BE44" s="592"/>
      <c r="BF44" s="575"/>
      <c r="BG44" s="575" t="s">
        <v>655</v>
      </c>
      <c r="BH44" s="592"/>
      <c r="BI44" s="592"/>
      <c r="BJ44" s="592"/>
      <c r="BK44" s="592"/>
      <c r="BL44" s="592"/>
      <c r="BM44" s="592"/>
      <c r="BN44" s="592"/>
      <c r="BO44" s="592"/>
      <c r="BP44" s="592"/>
      <c r="BQ44" s="592"/>
      <c r="BR44" s="592"/>
      <c r="BS44" s="592"/>
      <c r="BT44" s="592"/>
    </row>
    <row r="45" spans="1:72" s="591" customFormat="1" ht="12.5" customHeight="1">
      <c r="A45" s="540"/>
      <c r="B45" s="566"/>
      <c r="C45" s="565"/>
      <c r="D45" s="569"/>
      <c r="E45" s="569"/>
      <c r="F45" s="569"/>
      <c r="G45" s="569"/>
      <c r="H45" s="632"/>
      <c r="I45" s="698"/>
      <c r="J45" s="625"/>
      <c r="K45" s="627"/>
      <c r="L45" s="625"/>
      <c r="M45" s="625"/>
      <c r="N45" s="625"/>
      <c r="O45" s="625"/>
      <c r="P45" s="625"/>
      <c r="Q45" s="625"/>
      <c r="R45" s="625"/>
      <c r="S45" s="699" t="s">
        <v>632</v>
      </c>
      <c r="T45" s="625"/>
      <c r="U45" s="625"/>
      <c r="V45" s="625"/>
      <c r="W45" s="625"/>
      <c r="X45" s="627"/>
      <c r="Y45" s="619"/>
      <c r="Z45" s="630"/>
      <c r="AA45" s="630"/>
      <c r="AB45" s="630"/>
      <c r="AC45" s="630"/>
      <c r="AD45" s="630"/>
      <c r="AE45" s="630"/>
      <c r="AF45" s="630"/>
      <c r="AG45" s="630"/>
      <c r="AH45" s="630"/>
      <c r="AI45" s="630"/>
      <c r="AJ45" s="630"/>
      <c r="AK45" s="630"/>
      <c r="AL45" s="630"/>
      <c r="AM45" s="619"/>
      <c r="AN45" s="619"/>
      <c r="AO45" s="619"/>
      <c r="AP45" s="619"/>
      <c r="AQ45" s="619"/>
      <c r="AR45" s="619"/>
      <c r="AS45" s="619"/>
      <c r="AT45" s="565"/>
      <c r="AU45" s="565"/>
      <c r="AV45" s="565"/>
      <c r="AW45" s="565"/>
      <c r="AX45" s="569"/>
      <c r="AY45" s="565"/>
      <c r="AZ45" s="570"/>
      <c r="BA45" s="570"/>
      <c r="BB45" s="536"/>
      <c r="BC45" s="537"/>
      <c r="BD45" s="538"/>
      <c r="BE45" s="595"/>
      <c r="BF45" s="575"/>
      <c r="BG45" s="592"/>
      <c r="BH45" s="592" t="s">
        <v>656</v>
      </c>
      <c r="BI45" s="592"/>
      <c r="BJ45" s="592"/>
      <c r="BK45" s="592"/>
      <c r="BL45" s="592"/>
      <c r="BM45" s="592"/>
      <c r="BN45" s="592"/>
      <c r="BO45" s="592"/>
      <c r="BP45" s="592"/>
      <c r="BQ45" s="592"/>
      <c r="BR45" s="592"/>
      <c r="BS45" s="592"/>
      <c r="BT45" s="592"/>
    </row>
    <row r="46" spans="1:72" s="591" customFormat="1" ht="12.5" customHeight="1">
      <c r="A46" s="540"/>
      <c r="B46" s="566"/>
      <c r="C46" s="565"/>
      <c r="D46" s="569"/>
      <c r="E46" s="569"/>
      <c r="F46" s="569"/>
      <c r="G46" s="569"/>
      <c r="H46" s="632"/>
      <c r="I46" s="627"/>
      <c r="J46" s="625"/>
      <c r="K46" s="627"/>
      <c r="L46" s="625"/>
      <c r="M46" s="625"/>
      <c r="N46" s="625"/>
      <c r="O46" s="625"/>
      <c r="P46" s="625"/>
      <c r="Q46" s="625"/>
      <c r="R46" s="619"/>
      <c r="S46" s="637" t="s">
        <v>390</v>
      </c>
      <c r="T46" s="625"/>
      <c r="U46" s="625"/>
      <c r="V46" s="625"/>
      <c r="W46" s="625"/>
      <c r="X46" s="627"/>
      <c r="Y46" s="619"/>
      <c r="Z46" s="630"/>
      <c r="AA46" s="630"/>
      <c r="AB46" s="630"/>
      <c r="AC46" s="630"/>
      <c r="AD46" s="630"/>
      <c r="AE46" s="630"/>
      <c r="AF46" s="630"/>
      <c r="AG46" s="630"/>
      <c r="AH46" s="630"/>
      <c r="AI46" s="630"/>
      <c r="AJ46" s="630"/>
      <c r="AK46" s="630"/>
      <c r="AL46" s="630"/>
      <c r="AM46" s="619"/>
      <c r="AN46" s="619"/>
      <c r="AO46" s="619"/>
      <c r="AP46" s="619"/>
      <c r="AQ46" s="619"/>
      <c r="AR46" s="619"/>
      <c r="AS46" s="619"/>
      <c r="AT46" s="565"/>
      <c r="AU46" s="565"/>
      <c r="AV46" s="565"/>
      <c r="AW46" s="565"/>
      <c r="AX46" s="569"/>
      <c r="AY46" s="565"/>
      <c r="AZ46" s="570"/>
      <c r="BA46" s="570"/>
      <c r="BB46" s="536"/>
      <c r="BC46" s="537"/>
      <c r="BD46" s="538"/>
      <c r="BE46" s="592"/>
      <c r="BF46" s="592"/>
      <c r="BG46" s="592"/>
      <c r="BH46" s="592"/>
      <c r="BI46" s="592"/>
      <c r="BJ46" s="592"/>
      <c r="BK46" s="592"/>
      <c r="BL46" s="592"/>
      <c r="BM46" s="592"/>
      <c r="BN46" s="592"/>
      <c r="BO46" s="592"/>
      <c r="BP46" s="592"/>
      <c r="BQ46" s="592"/>
      <c r="BR46" s="592"/>
      <c r="BS46" s="592"/>
      <c r="BT46" s="592"/>
    </row>
    <row r="47" spans="1:72" s="591" customFormat="1" ht="12.5" customHeight="1">
      <c r="A47" s="540"/>
      <c r="B47" s="566"/>
      <c r="C47" s="565"/>
      <c r="D47" s="569"/>
      <c r="E47" s="569"/>
      <c r="F47" s="569"/>
      <c r="G47" s="569"/>
      <c r="H47" s="632"/>
      <c r="I47" s="698"/>
      <c r="J47" s="625"/>
      <c r="K47" s="627"/>
      <c r="L47" s="625"/>
      <c r="M47" s="625"/>
      <c r="N47" s="625"/>
      <c r="O47" s="625"/>
      <c r="P47" s="625"/>
      <c r="Q47" s="625"/>
      <c r="R47" s="625"/>
      <c r="S47" s="699"/>
      <c r="T47" s="625"/>
      <c r="U47" s="625"/>
      <c r="V47" s="625"/>
      <c r="W47" s="625"/>
      <c r="X47" s="627"/>
      <c r="Y47" s="619"/>
      <c r="Z47" s="630"/>
      <c r="AA47" s="630"/>
      <c r="AB47" s="630"/>
      <c r="AC47" s="630"/>
      <c r="AD47" s="630"/>
      <c r="AE47" s="630"/>
      <c r="AF47" s="630"/>
      <c r="AG47" s="630"/>
      <c r="AH47" s="630"/>
      <c r="AI47" s="630"/>
      <c r="AJ47" s="630"/>
      <c r="AK47" s="630"/>
      <c r="AL47" s="630"/>
      <c r="AM47" s="619"/>
      <c r="AN47" s="619"/>
      <c r="AO47" s="619"/>
      <c r="AP47" s="619"/>
      <c r="AQ47" s="619"/>
      <c r="AR47" s="619"/>
      <c r="AS47" s="619"/>
      <c r="AT47" s="565"/>
      <c r="AU47" s="565"/>
      <c r="AV47" s="565"/>
      <c r="AW47" s="565"/>
      <c r="AX47" s="569"/>
      <c r="AY47" s="565"/>
      <c r="AZ47" s="570"/>
      <c r="BA47" s="570"/>
      <c r="BB47" s="536"/>
      <c r="BC47" s="537"/>
      <c r="BD47" s="538"/>
      <c r="BE47" s="592"/>
      <c r="BF47" s="592"/>
      <c r="BG47" s="575" t="s">
        <v>618</v>
      </c>
      <c r="BH47" s="592"/>
      <c r="BI47" s="592"/>
      <c r="BJ47" s="592"/>
      <c r="BK47" s="592"/>
      <c r="BL47" s="592"/>
      <c r="BM47" s="592"/>
      <c r="BN47" s="592"/>
      <c r="BO47" s="592"/>
      <c r="BP47" s="592"/>
      <c r="BQ47" s="592"/>
      <c r="BR47" s="592"/>
      <c r="BS47" s="592"/>
      <c r="BT47" s="592"/>
    </row>
    <row r="48" spans="1:72" s="591" customFormat="1" ht="12.5" customHeight="1">
      <c r="A48" s="540"/>
      <c r="B48" s="566"/>
      <c r="C48" s="565"/>
      <c r="D48" s="569"/>
      <c r="E48" s="569"/>
      <c r="F48" s="569"/>
      <c r="G48" s="569"/>
      <c r="H48" s="632"/>
      <c r="I48" s="627"/>
      <c r="J48" s="625"/>
      <c r="K48" s="627"/>
      <c r="L48" s="625"/>
      <c r="M48" s="625"/>
      <c r="N48" s="625"/>
      <c r="O48" s="625"/>
      <c r="P48" s="625"/>
      <c r="Q48" s="625"/>
      <c r="R48" s="619"/>
      <c r="S48" s="637" t="s">
        <v>391</v>
      </c>
      <c r="T48" s="625"/>
      <c r="U48" s="625"/>
      <c r="V48" s="625"/>
      <c r="W48" s="625"/>
      <c r="X48" s="627"/>
      <c r="Y48" s="619"/>
      <c r="Z48" s="630"/>
      <c r="AA48" s="630"/>
      <c r="AB48" s="630"/>
      <c r="AC48" s="630"/>
      <c r="AD48" s="630"/>
      <c r="AE48" s="630"/>
      <c r="AF48" s="630"/>
      <c r="AG48" s="630"/>
      <c r="AH48" s="630"/>
      <c r="AI48" s="630"/>
      <c r="AJ48" s="630"/>
      <c r="AK48" s="630"/>
      <c r="AL48" s="630"/>
      <c r="AM48" s="619"/>
      <c r="AN48" s="619"/>
      <c r="AO48" s="619"/>
      <c r="AP48" s="619"/>
      <c r="AQ48" s="619"/>
      <c r="AR48" s="619"/>
      <c r="AS48" s="619"/>
      <c r="AT48" s="565"/>
      <c r="AU48" s="565"/>
      <c r="AV48" s="565"/>
      <c r="AW48" s="565"/>
      <c r="AX48" s="569"/>
      <c r="AY48" s="565"/>
      <c r="AZ48" s="570"/>
      <c r="BA48" s="570"/>
      <c r="BB48" s="536"/>
      <c r="BC48" s="537"/>
      <c r="BD48" s="538"/>
      <c r="BE48" s="592"/>
      <c r="BF48" s="592"/>
      <c r="BG48" s="592"/>
      <c r="BH48" s="592"/>
      <c r="BI48" s="592"/>
      <c r="BJ48" s="592"/>
      <c r="BK48" s="592"/>
      <c r="BL48" s="592"/>
      <c r="BM48" s="592"/>
      <c r="BN48" s="592"/>
      <c r="BO48" s="592"/>
      <c r="BP48" s="592"/>
      <c r="BQ48" s="592"/>
      <c r="BR48" s="592"/>
      <c r="BS48" s="592"/>
      <c r="BT48" s="592"/>
    </row>
    <row r="49" spans="1:72" s="591" customFormat="1" ht="12.5" customHeight="1">
      <c r="A49" s="540"/>
      <c r="B49" s="566"/>
      <c r="C49" s="565"/>
      <c r="D49" s="569"/>
      <c r="E49" s="569"/>
      <c r="F49" s="569"/>
      <c r="G49" s="569"/>
      <c r="H49" s="632"/>
      <c r="I49" s="698"/>
      <c r="J49" s="625"/>
      <c r="K49" s="627"/>
      <c r="L49" s="625"/>
      <c r="M49" s="625"/>
      <c r="N49" s="625"/>
      <c r="O49" s="625"/>
      <c r="P49" s="625"/>
      <c r="Q49" s="625"/>
      <c r="R49" s="625"/>
      <c r="S49" s="699"/>
      <c r="T49" s="625"/>
      <c r="U49" s="625"/>
      <c r="V49" s="625"/>
      <c r="W49" s="625"/>
      <c r="X49" s="627"/>
      <c r="Y49" s="619"/>
      <c r="Z49" s="630"/>
      <c r="AA49" s="630"/>
      <c r="AB49" s="630"/>
      <c r="AC49" s="630"/>
      <c r="AD49" s="630"/>
      <c r="AE49" s="630"/>
      <c r="AF49" s="630"/>
      <c r="AG49" s="630"/>
      <c r="AH49" s="630"/>
      <c r="AI49" s="630"/>
      <c r="AJ49" s="630"/>
      <c r="AK49" s="630"/>
      <c r="AL49" s="630"/>
      <c r="AM49" s="619"/>
      <c r="AN49" s="619"/>
      <c r="AO49" s="619"/>
      <c r="AP49" s="619"/>
      <c r="AQ49" s="619"/>
      <c r="AR49" s="619"/>
      <c r="AS49" s="619"/>
      <c r="AT49" s="565"/>
      <c r="AU49" s="565"/>
      <c r="AV49" s="565"/>
      <c r="AW49" s="565"/>
      <c r="AX49" s="569"/>
      <c r="AY49" s="565"/>
      <c r="AZ49" s="570"/>
      <c r="BA49" s="570"/>
      <c r="BB49" s="536"/>
      <c r="BC49" s="537"/>
      <c r="BD49" s="538"/>
      <c r="BE49" s="592"/>
      <c r="BF49" s="592"/>
      <c r="BG49" s="592" t="s">
        <v>663</v>
      </c>
      <c r="BH49" s="592"/>
      <c r="BI49" s="592"/>
      <c r="BJ49" s="592"/>
      <c r="BK49" s="592"/>
      <c r="BL49" s="592"/>
      <c r="BM49" s="592"/>
      <c r="BN49" s="592"/>
      <c r="BO49" s="592"/>
      <c r="BP49" s="592"/>
      <c r="BQ49" s="592"/>
      <c r="BR49" s="592"/>
      <c r="BS49" s="592"/>
      <c r="BT49" s="592"/>
    </row>
    <row r="50" spans="1:72" s="591" customFormat="1" ht="12.5" customHeight="1">
      <c r="A50" s="540"/>
      <c r="B50" s="566"/>
      <c r="C50" s="565"/>
      <c r="D50" s="569"/>
      <c r="E50" s="569"/>
      <c r="F50" s="569"/>
      <c r="G50" s="569"/>
      <c r="H50" s="632"/>
      <c r="I50" s="627"/>
      <c r="J50" s="625"/>
      <c r="K50" s="627"/>
      <c r="L50" s="625"/>
      <c r="M50" s="625"/>
      <c r="N50" s="625"/>
      <c r="O50" s="625"/>
      <c r="P50" s="625"/>
      <c r="Q50" s="625"/>
      <c r="R50" s="619"/>
      <c r="S50" s="637" t="s">
        <v>392</v>
      </c>
      <c r="T50" s="625"/>
      <c r="U50" s="625"/>
      <c r="V50" s="625"/>
      <c r="W50" s="625"/>
      <c r="X50" s="627"/>
      <c r="Y50" s="619"/>
      <c r="Z50" s="630"/>
      <c r="AA50" s="630"/>
      <c r="AB50" s="630"/>
      <c r="AC50" s="630"/>
      <c r="AD50" s="630"/>
      <c r="AE50" s="630"/>
      <c r="AF50" s="630"/>
      <c r="AG50" s="630"/>
      <c r="AH50" s="630"/>
      <c r="AI50" s="630"/>
      <c r="AJ50" s="630"/>
      <c r="AK50" s="630"/>
      <c r="AL50" s="630"/>
      <c r="AM50" s="619"/>
      <c r="AN50" s="619"/>
      <c r="AO50" s="619"/>
      <c r="AP50" s="619"/>
      <c r="AQ50" s="619"/>
      <c r="AR50" s="619"/>
      <c r="AS50" s="619"/>
      <c r="AT50" s="565"/>
      <c r="AU50" s="565"/>
      <c r="AV50" s="565"/>
      <c r="AW50" s="565"/>
      <c r="AX50" s="569"/>
      <c r="AY50" s="565"/>
      <c r="AZ50" s="570"/>
      <c r="BA50" s="570"/>
      <c r="BB50" s="536"/>
      <c r="BC50" s="537"/>
      <c r="BD50" s="538"/>
      <c r="BE50" s="592"/>
      <c r="BF50" s="592"/>
      <c r="BG50" s="592"/>
      <c r="BH50" s="592" t="s">
        <v>657</v>
      </c>
      <c r="BI50" s="592"/>
      <c r="BJ50" s="592"/>
      <c r="BK50" s="592"/>
      <c r="BL50" s="592"/>
      <c r="BM50" s="592"/>
      <c r="BN50" s="592"/>
      <c r="BO50" s="592"/>
      <c r="BP50" s="592"/>
      <c r="BQ50" s="592"/>
      <c r="BR50" s="592"/>
      <c r="BS50" s="592"/>
      <c r="BT50" s="592"/>
    </row>
    <row r="51" spans="1:72" s="591" customFormat="1" ht="12.5" customHeight="1">
      <c r="A51" s="540"/>
      <c r="B51" s="566"/>
      <c r="C51" s="565"/>
      <c r="D51" s="569"/>
      <c r="E51" s="569"/>
      <c r="F51" s="569"/>
      <c r="G51" s="569"/>
      <c r="H51" s="632"/>
      <c r="I51" s="627"/>
      <c r="J51" s="625"/>
      <c r="K51" s="627"/>
      <c r="L51" s="625"/>
      <c r="M51" s="625"/>
      <c r="N51" s="625"/>
      <c r="O51" s="625"/>
      <c r="P51" s="625"/>
      <c r="Q51" s="625"/>
      <c r="R51" s="625"/>
      <c r="S51" s="700" t="s">
        <v>613</v>
      </c>
      <c r="T51" s="625"/>
      <c r="U51" s="625"/>
      <c r="V51" s="625"/>
      <c r="W51" s="625"/>
      <c r="X51" s="627"/>
      <c r="Y51" s="619"/>
      <c r="Z51" s="630"/>
      <c r="AA51" s="630"/>
      <c r="AB51" s="630"/>
      <c r="AC51" s="630"/>
      <c r="AD51" s="630"/>
      <c r="AE51" s="630"/>
      <c r="AF51" s="630"/>
      <c r="AG51" s="630"/>
      <c r="AH51" s="630"/>
      <c r="AI51" s="630"/>
      <c r="AJ51" s="630"/>
      <c r="AK51" s="630"/>
      <c r="AL51" s="630"/>
      <c r="AM51" s="619"/>
      <c r="AN51" s="619"/>
      <c r="AO51" s="619"/>
      <c r="AP51" s="619"/>
      <c r="AQ51" s="619"/>
      <c r="AR51" s="619"/>
      <c r="AS51" s="619"/>
      <c r="AT51" s="565"/>
      <c r="AU51" s="565"/>
      <c r="AV51" s="565"/>
      <c r="AW51" s="565"/>
      <c r="AX51" s="569"/>
      <c r="AY51" s="565"/>
      <c r="AZ51" s="570"/>
      <c r="BA51" s="570"/>
      <c r="BB51" s="536"/>
      <c r="BC51" s="537"/>
      <c r="BD51" s="538"/>
      <c r="BE51" s="592"/>
      <c r="BF51" s="592"/>
      <c r="BG51" s="592"/>
      <c r="BH51" s="592"/>
      <c r="BI51" s="592"/>
      <c r="BJ51" s="592"/>
      <c r="BK51" s="592"/>
      <c r="BL51" s="592"/>
      <c r="BM51" s="592"/>
      <c r="BN51" s="592"/>
      <c r="BO51" s="592"/>
      <c r="BP51" s="592"/>
      <c r="BQ51" s="592"/>
      <c r="BR51" s="592"/>
      <c r="BS51" s="592"/>
      <c r="BT51" s="592"/>
    </row>
    <row r="52" spans="1:72" s="591" customFormat="1" ht="12.5" customHeight="1">
      <c r="A52" s="540"/>
      <c r="B52" s="566"/>
      <c r="C52" s="565"/>
      <c r="D52" s="569"/>
      <c r="E52" s="569"/>
      <c r="F52" s="569"/>
      <c r="G52" s="569"/>
      <c r="H52" s="632"/>
      <c r="I52" s="627"/>
      <c r="J52" s="625"/>
      <c r="K52" s="627"/>
      <c r="L52" s="625"/>
      <c r="M52" s="625"/>
      <c r="N52" s="625"/>
      <c r="O52" s="625"/>
      <c r="P52" s="625"/>
      <c r="Q52" s="625"/>
      <c r="R52" s="635"/>
      <c r="S52" s="625"/>
      <c r="T52" s="625"/>
      <c r="U52" s="625"/>
      <c r="V52" s="625"/>
      <c r="W52" s="625"/>
      <c r="X52" s="627"/>
      <c r="Y52" s="619"/>
      <c r="Z52" s="630"/>
      <c r="AA52" s="630"/>
      <c r="AB52" s="630"/>
      <c r="AC52" s="630"/>
      <c r="AD52" s="630"/>
      <c r="AE52" s="630"/>
      <c r="AF52" s="630"/>
      <c r="AG52" s="630"/>
      <c r="AH52" s="630"/>
      <c r="AI52" s="630"/>
      <c r="AJ52" s="630"/>
      <c r="AK52" s="630"/>
      <c r="AL52" s="630"/>
      <c r="AM52" s="619"/>
      <c r="AN52" s="619"/>
      <c r="AO52" s="619"/>
      <c r="AP52" s="619"/>
      <c r="AQ52" s="619"/>
      <c r="AR52" s="619"/>
      <c r="AS52" s="619"/>
      <c r="AT52" s="565"/>
      <c r="AU52" s="565"/>
      <c r="AV52" s="565"/>
      <c r="AW52" s="565"/>
      <c r="AX52" s="569"/>
      <c r="AY52" s="565"/>
      <c r="AZ52" s="570"/>
      <c r="BA52" s="570"/>
      <c r="BB52" s="536"/>
      <c r="BC52" s="537"/>
      <c r="BD52" s="538"/>
      <c r="BE52" s="592"/>
      <c r="BF52" s="592"/>
      <c r="BG52" s="592" t="s">
        <v>664</v>
      </c>
      <c r="BH52" s="592"/>
      <c r="BI52" s="592"/>
      <c r="BJ52" s="592"/>
      <c r="BK52" s="592"/>
      <c r="BL52" s="592"/>
      <c r="BM52" s="592"/>
      <c r="BN52" s="592"/>
      <c r="BO52" s="592"/>
      <c r="BP52" s="592"/>
      <c r="BQ52" s="592"/>
      <c r="BR52" s="592"/>
      <c r="BS52" s="592"/>
      <c r="BT52" s="592"/>
    </row>
    <row r="53" spans="1:72" s="591" customFormat="1" ht="12.5" customHeight="1">
      <c r="A53" s="540"/>
      <c r="B53" s="566"/>
      <c r="C53" s="565"/>
      <c r="D53" s="569"/>
      <c r="E53" s="569"/>
      <c r="F53" s="569"/>
      <c r="G53" s="569"/>
      <c r="H53" s="632"/>
      <c r="I53" s="627"/>
      <c r="J53" s="625"/>
      <c r="K53" s="627"/>
      <c r="L53" s="625"/>
      <c r="M53" s="625"/>
      <c r="N53" s="625"/>
      <c r="O53" s="625"/>
      <c r="P53" s="625"/>
      <c r="Q53" s="625"/>
      <c r="R53" s="635"/>
      <c r="S53" s="625"/>
      <c r="T53" s="625"/>
      <c r="U53" s="625"/>
      <c r="V53" s="625"/>
      <c r="W53" s="625"/>
      <c r="X53" s="627"/>
      <c r="Y53" s="619"/>
      <c r="Z53" s="630"/>
      <c r="AA53" s="630"/>
      <c r="AB53" s="630"/>
      <c r="AC53" s="630"/>
      <c r="AD53" s="630"/>
      <c r="AE53" s="630"/>
      <c r="AF53" s="630"/>
      <c r="AG53" s="630"/>
      <c r="AH53" s="630"/>
      <c r="AI53" s="630"/>
      <c r="AJ53" s="630"/>
      <c r="AK53" s="630"/>
      <c r="AL53" s="630"/>
      <c r="AM53" s="619"/>
      <c r="AN53" s="619"/>
      <c r="AO53" s="619"/>
      <c r="AP53" s="619"/>
      <c r="AQ53" s="619"/>
      <c r="AR53" s="619"/>
      <c r="AS53" s="619"/>
      <c r="AT53" s="565"/>
      <c r="AU53" s="565"/>
      <c r="AV53" s="565"/>
      <c r="AW53" s="565"/>
      <c r="AX53" s="569"/>
      <c r="AY53" s="565"/>
      <c r="AZ53" s="570"/>
      <c r="BA53" s="570"/>
      <c r="BB53" s="536"/>
      <c r="BC53" s="537"/>
      <c r="BD53" s="538"/>
      <c r="BE53" s="592"/>
      <c r="BF53" s="592"/>
      <c r="BG53" s="592"/>
      <c r="BH53" s="592" t="s">
        <v>658</v>
      </c>
      <c r="BI53" s="592"/>
      <c r="BJ53" s="592"/>
      <c r="BK53" s="592"/>
      <c r="BL53" s="592"/>
      <c r="BM53" s="592"/>
      <c r="BN53" s="592"/>
      <c r="BO53" s="592"/>
      <c r="BP53" s="592"/>
      <c r="BQ53" s="592"/>
      <c r="BR53" s="592"/>
      <c r="BS53" s="592"/>
      <c r="BT53" s="592"/>
    </row>
    <row r="54" spans="1:72" s="591" customFormat="1" ht="12.5" customHeight="1">
      <c r="A54" s="540"/>
      <c r="B54" s="541"/>
      <c r="C54" s="565"/>
      <c r="D54" s="565"/>
      <c r="E54" s="565"/>
      <c r="F54" s="565"/>
      <c r="G54" s="565"/>
      <c r="H54" s="603"/>
      <c r="I54" s="603"/>
      <c r="J54" s="603"/>
      <c r="K54" s="603"/>
      <c r="L54" s="603"/>
      <c r="M54" s="603"/>
      <c r="N54" s="603"/>
      <c r="O54" s="603"/>
      <c r="P54" s="603"/>
      <c r="Q54" s="603"/>
      <c r="R54" s="603"/>
      <c r="S54" s="603"/>
      <c r="T54" s="604"/>
      <c r="U54" s="604"/>
      <c r="V54" s="604"/>
      <c r="W54" s="604"/>
      <c r="X54" s="605"/>
      <c r="Y54" s="604"/>
      <c r="Z54" s="604"/>
      <c r="AA54" s="604"/>
      <c r="AB54" s="606"/>
      <c r="AC54" s="604"/>
      <c r="AD54" s="607"/>
      <c r="AE54" s="607"/>
      <c r="AF54" s="607"/>
      <c r="AG54" s="607"/>
      <c r="AH54" s="607"/>
      <c r="AI54" s="603"/>
      <c r="AJ54" s="604"/>
      <c r="AK54" s="604"/>
      <c r="AL54" s="604"/>
      <c r="AM54" s="604"/>
      <c r="AN54" s="608"/>
      <c r="AO54" s="605"/>
      <c r="AP54" s="605"/>
      <c r="AQ54" s="604"/>
      <c r="AR54" s="604"/>
      <c r="AS54" s="604"/>
      <c r="AT54" s="565"/>
      <c r="AU54" s="565"/>
      <c r="AV54" s="565"/>
      <c r="AW54" s="565"/>
      <c r="AX54" s="565"/>
      <c r="AY54" s="565"/>
      <c r="AZ54" s="543"/>
      <c r="BA54" s="543"/>
      <c r="BB54" s="536"/>
      <c r="BC54" s="537"/>
      <c r="BD54" s="538"/>
      <c r="BE54" s="592"/>
      <c r="BF54" s="592"/>
      <c r="BG54" s="592"/>
      <c r="BH54" s="592"/>
      <c r="BI54" s="592"/>
      <c r="BJ54" s="592"/>
      <c r="BK54" s="592"/>
      <c r="BL54" s="592"/>
      <c r="BM54" s="592"/>
      <c r="BN54" s="592"/>
      <c r="BO54" s="592"/>
      <c r="BP54" s="592"/>
      <c r="BQ54" s="592"/>
      <c r="BR54" s="592"/>
      <c r="BS54" s="592"/>
      <c r="BT54" s="592"/>
    </row>
    <row r="55" spans="1:72" s="591" customFormat="1" ht="12.5" customHeight="1">
      <c r="A55" s="540"/>
      <c r="B55" s="566"/>
      <c r="C55" s="565"/>
      <c r="D55" s="565"/>
      <c r="E55" s="565"/>
      <c r="F55" s="565"/>
      <c r="G55" s="565"/>
      <c r="H55" s="603"/>
      <c r="I55" s="638" t="s">
        <v>633</v>
      </c>
      <c r="J55" s="603"/>
      <c r="K55" s="603"/>
      <c r="L55" s="603"/>
      <c r="M55" s="603"/>
      <c r="N55" s="603"/>
      <c r="O55" s="603"/>
      <c r="P55" s="603"/>
      <c r="Q55" s="603"/>
      <c r="R55" s="603"/>
      <c r="S55" s="603"/>
      <c r="T55" s="604"/>
      <c r="U55" s="604"/>
      <c r="V55" s="604"/>
      <c r="W55" s="604"/>
      <c r="X55" s="605"/>
      <c r="Y55" s="604"/>
      <c r="Z55" s="603"/>
      <c r="AA55" s="603"/>
      <c r="AB55" s="603"/>
      <c r="AC55" s="603"/>
      <c r="AD55" s="603"/>
      <c r="AE55" s="603"/>
      <c r="AF55" s="603"/>
      <c r="AG55" s="603"/>
      <c r="AH55" s="603"/>
      <c r="AI55" s="603"/>
      <c r="AJ55" s="603"/>
      <c r="AK55" s="603"/>
      <c r="AL55" s="603"/>
      <c r="AM55" s="603"/>
      <c r="AN55" s="603"/>
      <c r="AO55" s="603"/>
      <c r="AP55" s="603"/>
      <c r="AQ55" s="603"/>
      <c r="AR55" s="603"/>
      <c r="AS55" s="603"/>
      <c r="AT55" s="565"/>
      <c r="AU55" s="565"/>
      <c r="AV55" s="565"/>
      <c r="AW55" s="565"/>
      <c r="AX55" s="565"/>
      <c r="AY55" s="565"/>
      <c r="AZ55" s="570"/>
      <c r="BA55" s="570"/>
      <c r="BB55" s="536"/>
      <c r="BC55" s="537"/>
      <c r="BD55" s="538"/>
      <c r="BE55" s="592"/>
      <c r="BF55" s="592"/>
      <c r="BG55" s="592"/>
      <c r="BH55" s="592" t="s">
        <v>659</v>
      </c>
      <c r="BI55" s="592"/>
      <c r="BJ55" s="592"/>
      <c r="BK55" s="592"/>
      <c r="BL55" s="592"/>
      <c r="BM55" s="592"/>
      <c r="BN55" s="592"/>
      <c r="BO55" s="592"/>
      <c r="BP55" s="592"/>
      <c r="BQ55" s="592"/>
      <c r="BR55" s="592"/>
      <c r="BS55" s="592"/>
      <c r="BT55" s="592"/>
    </row>
    <row r="56" spans="1:72" s="591" customFormat="1" ht="12.5" customHeight="1">
      <c r="A56" s="540"/>
      <c r="B56" s="566"/>
      <c r="C56" s="565"/>
      <c r="D56" s="565"/>
      <c r="E56" s="565"/>
      <c r="F56" s="565"/>
      <c r="G56" s="565"/>
      <c r="H56" s="603"/>
      <c r="I56" s="638" t="s">
        <v>634</v>
      </c>
      <c r="J56" s="610"/>
      <c r="K56" s="609"/>
      <c r="L56" s="609"/>
      <c r="M56" s="609"/>
      <c r="N56" s="609"/>
      <c r="O56" s="609"/>
      <c r="P56" s="609"/>
      <c r="Q56" s="609"/>
      <c r="R56" s="609"/>
      <c r="S56" s="609"/>
      <c r="T56" s="609"/>
      <c r="U56" s="609"/>
      <c r="V56" s="609"/>
      <c r="W56" s="609"/>
      <c r="X56" s="611"/>
      <c r="Y56" s="603"/>
      <c r="Z56" s="603"/>
      <c r="AA56" s="612"/>
      <c r="AB56" s="603"/>
      <c r="AC56" s="613"/>
      <c r="AD56" s="613"/>
      <c r="AE56" s="614"/>
      <c r="AF56" s="613"/>
      <c r="AG56" s="614"/>
      <c r="AH56" s="613"/>
      <c r="AI56" s="615"/>
      <c r="AJ56" s="613"/>
      <c r="AK56" s="614"/>
      <c r="AL56" s="614"/>
      <c r="AM56" s="614"/>
      <c r="AN56" s="614"/>
      <c r="AO56" s="614"/>
      <c r="AP56" s="614"/>
      <c r="AQ56" s="614"/>
      <c r="AR56" s="614"/>
      <c r="AS56" s="614"/>
      <c r="AT56" s="565"/>
      <c r="AU56" s="565"/>
      <c r="AV56" s="565"/>
      <c r="AW56" s="565"/>
      <c r="AX56" s="565"/>
      <c r="AY56" s="565"/>
      <c r="AZ56" s="570"/>
      <c r="BA56" s="570"/>
      <c r="BB56" s="536"/>
      <c r="BC56" s="537"/>
      <c r="BD56" s="538"/>
      <c r="BE56" s="592"/>
      <c r="BF56" s="592"/>
      <c r="BG56" s="592"/>
      <c r="BH56" s="592"/>
      <c r="BI56" s="592" t="s">
        <v>660</v>
      </c>
      <c r="BJ56" s="592"/>
      <c r="BK56" s="592"/>
      <c r="BL56" s="592"/>
      <c r="BM56" s="592"/>
      <c r="BN56" s="592"/>
      <c r="BO56" s="592"/>
      <c r="BP56" s="592"/>
      <c r="BQ56" s="592"/>
      <c r="BR56" s="592"/>
      <c r="BS56" s="592"/>
      <c r="BT56" s="592"/>
    </row>
    <row r="57" spans="1:72" s="591" customFormat="1" ht="12.5" customHeight="1">
      <c r="A57" s="540"/>
      <c r="B57" s="566"/>
      <c r="C57" s="565"/>
      <c r="D57" s="565"/>
      <c r="E57" s="565"/>
      <c r="F57" s="565"/>
      <c r="G57" s="565"/>
      <c r="H57" s="616"/>
      <c r="I57" s="639" t="s">
        <v>393</v>
      </c>
      <c r="J57" s="609"/>
      <c r="K57" s="611"/>
      <c r="L57" s="609"/>
      <c r="M57" s="609"/>
      <c r="N57" s="609"/>
      <c r="O57" s="609"/>
      <c r="P57" s="609"/>
      <c r="Q57" s="609"/>
      <c r="R57" s="609"/>
      <c r="S57" s="609"/>
      <c r="T57" s="609"/>
      <c r="U57" s="609"/>
      <c r="V57" s="609"/>
      <c r="W57" s="609"/>
      <c r="X57" s="611"/>
      <c r="Y57" s="603"/>
      <c r="Z57" s="612"/>
      <c r="AA57" s="603"/>
      <c r="AB57" s="612"/>
      <c r="AC57" s="603"/>
      <c r="AD57" s="613"/>
      <c r="AE57" s="613"/>
      <c r="AF57" s="614"/>
      <c r="AG57" s="613"/>
      <c r="AH57" s="613"/>
      <c r="AI57" s="615"/>
      <c r="AJ57" s="613"/>
      <c r="AK57" s="614"/>
      <c r="AL57" s="614"/>
      <c r="AM57" s="614"/>
      <c r="AN57" s="614"/>
      <c r="AO57" s="614"/>
      <c r="AP57" s="614"/>
      <c r="AQ57" s="614"/>
      <c r="AR57" s="614"/>
      <c r="AS57" s="603"/>
      <c r="AT57" s="565"/>
      <c r="AU57" s="565"/>
      <c r="AV57" s="565"/>
      <c r="AW57" s="565"/>
      <c r="AX57" s="565"/>
      <c r="AY57" s="565"/>
      <c r="AZ57" s="570"/>
      <c r="BA57" s="570"/>
      <c r="BB57" s="536"/>
      <c r="BC57" s="537"/>
      <c r="BD57" s="538"/>
      <c r="BE57" s="592"/>
      <c r="BF57" s="592"/>
      <c r="BG57" s="595"/>
      <c r="BH57" s="592" t="s">
        <v>661</v>
      </c>
      <c r="BI57" s="592"/>
      <c r="BJ57" s="592"/>
      <c r="BK57" s="592"/>
      <c r="BL57" s="592"/>
      <c r="BM57" s="592"/>
      <c r="BN57" s="592"/>
      <c r="BO57" s="592"/>
      <c r="BP57" s="592"/>
      <c r="BQ57" s="592"/>
      <c r="BR57" s="592"/>
      <c r="BS57" s="592"/>
      <c r="BT57" s="592"/>
    </row>
    <row r="58" spans="1:72" s="591" customFormat="1" ht="12.5" customHeight="1">
      <c r="A58" s="540"/>
      <c r="B58" s="566"/>
      <c r="C58" s="565"/>
      <c r="D58" s="565"/>
      <c r="E58" s="565"/>
      <c r="F58" s="565"/>
      <c r="G58" s="565"/>
      <c r="H58" s="616"/>
      <c r="I58" s="639" t="s">
        <v>635</v>
      </c>
      <c r="J58" s="609"/>
      <c r="K58" s="611"/>
      <c r="L58" s="609"/>
      <c r="M58" s="609"/>
      <c r="N58" s="609"/>
      <c r="O58" s="609"/>
      <c r="P58" s="609"/>
      <c r="Q58" s="609"/>
      <c r="R58" s="609"/>
      <c r="S58" s="609"/>
      <c r="T58" s="609"/>
      <c r="U58" s="609"/>
      <c r="V58" s="609"/>
      <c r="W58" s="609"/>
      <c r="X58" s="611"/>
      <c r="Y58" s="603"/>
      <c r="Z58" s="614"/>
      <c r="AA58" s="614"/>
      <c r="AB58" s="614"/>
      <c r="AC58" s="614"/>
      <c r="AD58" s="614"/>
      <c r="AE58" s="614"/>
      <c r="AF58" s="614"/>
      <c r="AG58" s="614"/>
      <c r="AH58" s="614"/>
      <c r="AI58" s="614"/>
      <c r="AJ58" s="614"/>
      <c r="AK58" s="614"/>
      <c r="AL58" s="614"/>
      <c r="AM58" s="603"/>
      <c r="AN58" s="603"/>
      <c r="AO58" s="603"/>
      <c r="AP58" s="603"/>
      <c r="AQ58" s="603"/>
      <c r="AR58" s="603"/>
      <c r="AS58" s="603"/>
      <c r="AT58" s="565"/>
      <c r="AU58" s="565"/>
      <c r="AV58" s="565"/>
      <c r="AW58" s="565"/>
      <c r="AX58" s="565"/>
      <c r="AY58" s="565"/>
      <c r="AZ58" s="570"/>
      <c r="BA58" s="570"/>
      <c r="BB58" s="536"/>
      <c r="BC58" s="537"/>
      <c r="BD58" s="538"/>
      <c r="BE58" s="592"/>
      <c r="BF58" s="592"/>
      <c r="BG58" s="592"/>
      <c r="BH58" s="592"/>
      <c r="BI58" s="592" t="s">
        <v>662</v>
      </c>
      <c r="BJ58" s="592"/>
      <c r="BK58" s="592"/>
      <c r="BL58" s="592"/>
      <c r="BM58" s="592"/>
      <c r="BN58" s="592"/>
      <c r="BO58" s="592"/>
      <c r="BP58" s="592"/>
      <c r="BQ58" s="592"/>
      <c r="BR58" s="592"/>
      <c r="BS58" s="592"/>
      <c r="BT58" s="592"/>
    </row>
    <row r="59" spans="1:72" s="591" customFormat="1" ht="12.5" customHeight="1">
      <c r="A59" s="540"/>
      <c r="B59" s="566"/>
      <c r="C59" s="565"/>
      <c r="D59" s="565"/>
      <c r="E59" s="565"/>
      <c r="F59" s="565"/>
      <c r="G59" s="565"/>
      <c r="H59" s="616"/>
      <c r="I59" s="611"/>
      <c r="J59" s="609"/>
      <c r="K59" s="611"/>
      <c r="L59" s="609"/>
      <c r="M59" s="609"/>
      <c r="N59" s="609"/>
      <c r="O59" s="609"/>
      <c r="P59" s="609"/>
      <c r="Q59" s="609"/>
      <c r="R59" s="609"/>
      <c r="S59" s="609"/>
      <c r="T59" s="609"/>
      <c r="U59" s="609"/>
      <c r="V59" s="609"/>
      <c r="W59" s="609"/>
      <c r="X59" s="611"/>
      <c r="Y59" s="603"/>
      <c r="Z59" s="612"/>
      <c r="AA59" s="603"/>
      <c r="AB59" s="612"/>
      <c r="AC59" s="603"/>
      <c r="AD59" s="613"/>
      <c r="AE59" s="613"/>
      <c r="AF59" s="614"/>
      <c r="AG59" s="613"/>
      <c r="AH59" s="613"/>
      <c r="AI59" s="615"/>
      <c r="AJ59" s="613"/>
      <c r="AK59" s="614"/>
      <c r="AL59" s="614"/>
      <c r="AM59" s="614"/>
      <c r="AN59" s="614"/>
      <c r="AO59" s="614"/>
      <c r="AP59" s="614"/>
      <c r="AQ59" s="614"/>
      <c r="AR59" s="614"/>
      <c r="AS59" s="603"/>
      <c r="AT59" s="565"/>
      <c r="AU59" s="565"/>
      <c r="AV59" s="565"/>
      <c r="AW59" s="565"/>
      <c r="AX59" s="565"/>
      <c r="AY59" s="565"/>
      <c r="AZ59" s="570"/>
      <c r="BA59" s="570"/>
      <c r="BB59" s="536"/>
      <c r="BC59" s="537"/>
      <c r="BD59" s="538"/>
      <c r="BE59" s="592"/>
      <c r="BF59" s="592"/>
      <c r="BG59" s="592"/>
      <c r="BH59" s="592"/>
      <c r="BI59" s="592"/>
      <c r="BJ59" s="592"/>
      <c r="BK59" s="592"/>
      <c r="BL59" s="592"/>
      <c r="BM59" s="592"/>
      <c r="BN59" s="592"/>
      <c r="BO59" s="592"/>
      <c r="BP59" s="592"/>
      <c r="BQ59" s="592"/>
      <c r="BR59" s="592"/>
      <c r="BS59" s="592"/>
      <c r="BT59" s="592"/>
    </row>
    <row r="60" spans="1:72" s="591" customFormat="1" ht="12.5" customHeight="1">
      <c r="A60" s="540"/>
      <c r="B60" s="566"/>
      <c r="C60" s="565"/>
      <c r="D60" s="565"/>
      <c r="E60" s="565"/>
      <c r="F60" s="565"/>
      <c r="G60" s="565"/>
      <c r="H60" s="616"/>
      <c r="I60" s="611"/>
      <c r="J60" s="609"/>
      <c r="K60" s="611"/>
      <c r="L60" s="609"/>
      <c r="M60" s="609"/>
      <c r="N60" s="609"/>
      <c r="O60" s="609"/>
      <c r="P60" s="609"/>
      <c r="Q60" s="609"/>
      <c r="R60" s="609"/>
      <c r="S60" s="609"/>
      <c r="T60" s="609"/>
      <c r="U60" s="609"/>
      <c r="V60" s="609"/>
      <c r="W60" s="609"/>
      <c r="X60" s="611"/>
      <c r="Y60" s="603"/>
      <c r="Z60" s="614"/>
      <c r="AA60" s="614"/>
      <c r="AB60" s="614"/>
      <c r="AC60" s="614"/>
      <c r="AD60" s="614"/>
      <c r="AE60" s="614"/>
      <c r="AF60" s="614"/>
      <c r="AG60" s="614"/>
      <c r="AH60" s="614"/>
      <c r="AI60" s="614"/>
      <c r="AJ60" s="614"/>
      <c r="AK60" s="614"/>
      <c r="AL60" s="614"/>
      <c r="AM60" s="603"/>
      <c r="AN60" s="603"/>
      <c r="AO60" s="603"/>
      <c r="AP60" s="603"/>
      <c r="AQ60" s="603"/>
      <c r="AR60" s="603"/>
      <c r="AS60" s="603"/>
      <c r="AT60" s="565"/>
      <c r="AU60" s="565"/>
      <c r="AV60" s="565"/>
      <c r="AW60" s="565"/>
      <c r="AX60" s="565"/>
      <c r="AY60" s="565"/>
      <c r="AZ60" s="570"/>
      <c r="BA60" s="570"/>
      <c r="BB60" s="536"/>
      <c r="BC60" s="537"/>
      <c r="BD60" s="538"/>
      <c r="BE60" s="592"/>
      <c r="BF60" s="592"/>
      <c r="BG60" s="592"/>
      <c r="BH60" s="592"/>
      <c r="BI60" s="592"/>
      <c r="BJ60" s="592"/>
      <c r="BK60" s="592"/>
      <c r="BL60" s="592"/>
      <c r="BM60" s="592"/>
      <c r="BN60" s="592"/>
      <c r="BO60" s="592"/>
      <c r="BP60" s="592"/>
      <c r="BQ60" s="592"/>
      <c r="BR60" s="592"/>
      <c r="BS60" s="592"/>
      <c r="BT60" s="592"/>
    </row>
    <row r="61" spans="1:72" s="591" customFormat="1" ht="12.5" customHeight="1">
      <c r="A61" s="540"/>
      <c r="B61" s="566"/>
      <c r="C61" s="565"/>
      <c r="D61" s="565"/>
      <c r="E61" s="565"/>
      <c r="F61" s="565"/>
      <c r="G61" s="565"/>
      <c r="H61" s="578"/>
      <c r="I61" s="578"/>
      <c r="J61" s="578"/>
      <c r="K61" s="578"/>
      <c r="L61" s="578"/>
      <c r="M61" s="578"/>
      <c r="N61" s="578"/>
      <c r="O61" s="578"/>
      <c r="P61" s="578"/>
      <c r="Q61" s="578"/>
      <c r="R61" s="578"/>
      <c r="S61" s="578"/>
      <c r="T61" s="578"/>
      <c r="U61" s="578"/>
      <c r="V61" s="578"/>
      <c r="W61" s="578"/>
      <c r="X61" s="578"/>
      <c r="Y61" s="578"/>
      <c r="Z61" s="578"/>
      <c r="AA61" s="578"/>
      <c r="AB61" s="578"/>
      <c r="AC61" s="578"/>
      <c r="AD61" s="578"/>
      <c r="AE61" s="578"/>
      <c r="AF61" s="578"/>
      <c r="AG61" s="578"/>
      <c r="AH61" s="578"/>
      <c r="AI61" s="578"/>
      <c r="AJ61" s="578"/>
      <c r="AK61" s="578"/>
      <c r="AL61" s="578"/>
      <c r="AM61" s="578"/>
      <c r="AN61" s="578"/>
      <c r="AO61" s="578"/>
      <c r="AP61" s="578"/>
      <c r="AQ61" s="578"/>
      <c r="AR61" s="578"/>
      <c r="AS61" s="579"/>
      <c r="AT61" s="572"/>
      <c r="AU61" s="565"/>
      <c r="AV61" s="569"/>
      <c r="AW61" s="569"/>
      <c r="AX61" s="569"/>
      <c r="AY61" s="565"/>
      <c r="AZ61" s="570"/>
      <c r="BA61" s="570"/>
      <c r="BB61" s="553"/>
      <c r="BC61" s="554"/>
      <c r="BD61" s="539"/>
      <c r="BE61" s="592"/>
      <c r="BF61" s="592"/>
      <c r="BG61" s="592"/>
      <c r="BH61" s="592"/>
      <c r="BI61" s="592"/>
      <c r="BJ61" s="592"/>
      <c r="BK61" s="592"/>
      <c r="BL61" s="592"/>
      <c r="BM61" s="592"/>
      <c r="BN61" s="592"/>
      <c r="BO61" s="592"/>
      <c r="BP61" s="592"/>
      <c r="BQ61" s="592"/>
      <c r="BR61" s="592"/>
      <c r="BS61" s="592"/>
      <c r="BT61" s="592"/>
    </row>
    <row r="62" spans="1:72" s="591" customFormat="1" ht="12.5" customHeight="1">
      <c r="A62" s="540"/>
      <c r="B62" s="566"/>
      <c r="C62" s="565"/>
      <c r="D62" s="565"/>
      <c r="E62" s="565"/>
      <c r="F62" s="565"/>
      <c r="G62" s="565"/>
      <c r="H62" s="578"/>
      <c r="I62" s="578"/>
      <c r="J62" s="578"/>
      <c r="K62" s="578"/>
      <c r="L62" s="578"/>
      <c r="M62" s="578"/>
      <c r="N62" s="578"/>
      <c r="O62" s="578"/>
      <c r="P62" s="578"/>
      <c r="Q62" s="578"/>
      <c r="R62" s="578"/>
      <c r="S62" s="578"/>
      <c r="T62" s="578"/>
      <c r="U62" s="578"/>
      <c r="V62" s="578"/>
      <c r="W62" s="578"/>
      <c r="X62" s="578"/>
      <c r="Y62" s="578"/>
      <c r="Z62" s="578"/>
      <c r="AA62" s="578"/>
      <c r="AB62" s="578"/>
      <c r="AC62" s="578"/>
      <c r="AD62" s="578"/>
      <c r="AE62" s="578"/>
      <c r="AF62" s="578"/>
      <c r="AG62" s="578"/>
      <c r="AH62" s="578"/>
      <c r="AI62" s="578"/>
      <c r="AJ62" s="578"/>
      <c r="AK62" s="578"/>
      <c r="AL62" s="578"/>
      <c r="AM62" s="578"/>
      <c r="AN62" s="578"/>
      <c r="AO62" s="578"/>
      <c r="AP62" s="578"/>
      <c r="AQ62" s="578"/>
      <c r="AR62" s="578"/>
      <c r="AS62" s="579"/>
      <c r="AT62" s="572"/>
      <c r="AU62" s="565"/>
      <c r="AV62" s="569"/>
      <c r="AW62" s="569"/>
      <c r="AX62" s="569"/>
      <c r="AY62" s="565"/>
      <c r="AZ62" s="570"/>
      <c r="BA62" s="570"/>
      <c r="BB62" s="553"/>
      <c r="BC62" s="554"/>
      <c r="BD62" s="539"/>
      <c r="BE62" s="592"/>
      <c r="BF62" s="592"/>
      <c r="BG62" s="592"/>
      <c r="BH62" s="592"/>
      <c r="BI62" s="592"/>
      <c r="BJ62" s="592"/>
      <c r="BK62" s="592"/>
      <c r="BL62" s="592"/>
      <c r="BM62" s="592"/>
      <c r="BN62" s="592"/>
      <c r="BO62" s="592"/>
      <c r="BP62" s="592"/>
      <c r="BQ62" s="592"/>
      <c r="BR62" s="592"/>
      <c r="BS62" s="592"/>
      <c r="BT62" s="592"/>
    </row>
    <row r="63" spans="1:72" s="591" customFormat="1" ht="12.5" customHeight="1">
      <c r="A63" s="540"/>
      <c r="B63" s="566"/>
      <c r="C63" s="565"/>
      <c r="D63" s="569"/>
      <c r="E63" s="569"/>
      <c r="F63" s="569"/>
      <c r="G63" s="569"/>
      <c r="H63" s="632"/>
      <c r="I63" s="627"/>
      <c r="J63" s="625"/>
      <c r="K63" s="627"/>
      <c r="L63" s="625"/>
      <c r="M63" s="625"/>
      <c r="N63" s="625"/>
      <c r="O63" s="625"/>
      <c r="P63" s="625"/>
      <c r="Q63" s="625"/>
      <c r="R63" s="625"/>
      <c r="S63" s="625"/>
      <c r="T63" s="625"/>
      <c r="U63" s="625"/>
      <c r="V63" s="625"/>
      <c r="W63" s="625"/>
      <c r="X63" s="627"/>
      <c r="Y63" s="619"/>
      <c r="Z63" s="630"/>
      <c r="AA63" s="630"/>
      <c r="AB63" s="630"/>
      <c r="AC63" s="630"/>
      <c r="AD63" s="630"/>
      <c r="AE63" s="630"/>
      <c r="AF63" s="630"/>
      <c r="AG63" s="630"/>
      <c r="AH63" s="630"/>
      <c r="AI63" s="630"/>
      <c r="AJ63" s="630"/>
      <c r="AK63" s="630"/>
      <c r="AL63" s="630"/>
      <c r="AM63" s="619"/>
      <c r="AN63" s="619"/>
      <c r="AO63" s="619"/>
      <c r="AP63" s="619"/>
      <c r="AQ63" s="619"/>
      <c r="AR63" s="619"/>
      <c r="AS63" s="619"/>
      <c r="AT63" s="565"/>
      <c r="AU63" s="565"/>
      <c r="AV63" s="565"/>
      <c r="AW63" s="565"/>
      <c r="AX63" s="569"/>
      <c r="AY63" s="565"/>
      <c r="AZ63" s="570"/>
      <c r="BA63" s="570"/>
      <c r="BB63" s="536"/>
      <c r="BC63" s="537"/>
      <c r="BD63" s="538"/>
      <c r="BE63" s="592"/>
      <c r="BF63" s="592"/>
      <c r="BG63" s="592"/>
      <c r="BH63" s="592"/>
      <c r="BI63" s="592"/>
      <c r="BJ63" s="592"/>
      <c r="BK63" s="592"/>
      <c r="BL63" s="592"/>
      <c r="BM63" s="592"/>
      <c r="BN63" s="592"/>
      <c r="BO63" s="592"/>
      <c r="BP63" s="592"/>
      <c r="BQ63" s="592"/>
      <c r="BR63" s="592"/>
      <c r="BS63" s="592"/>
      <c r="BT63" s="592"/>
    </row>
    <row r="64" spans="1:72" s="591" customFormat="1" ht="12.5" customHeight="1">
      <c r="A64" s="540"/>
      <c r="B64" s="566"/>
      <c r="C64" s="565"/>
      <c r="D64" s="569"/>
      <c r="E64" s="569"/>
      <c r="F64" s="569"/>
      <c r="G64" s="569"/>
      <c r="H64" s="632"/>
      <c r="I64" s="627"/>
      <c r="J64" s="625"/>
      <c r="K64" s="627"/>
      <c r="L64" s="625"/>
      <c r="M64" s="625"/>
      <c r="N64" s="625"/>
      <c r="O64" s="625"/>
      <c r="P64" s="625"/>
      <c r="Q64" s="625"/>
      <c r="R64" s="625"/>
      <c r="S64" s="625"/>
      <c r="T64" s="625"/>
      <c r="U64" s="625"/>
      <c r="V64" s="625"/>
      <c r="W64" s="625"/>
      <c r="X64" s="627"/>
      <c r="Y64" s="619"/>
      <c r="Z64" s="630"/>
      <c r="AA64" s="630"/>
      <c r="AB64" s="630"/>
      <c r="AC64" s="630"/>
      <c r="AD64" s="630"/>
      <c r="AE64" s="630"/>
      <c r="AF64" s="630"/>
      <c r="AG64" s="630"/>
      <c r="AH64" s="630"/>
      <c r="AI64" s="630"/>
      <c r="AJ64" s="630"/>
      <c r="AK64" s="630"/>
      <c r="AL64" s="630"/>
      <c r="AM64" s="619"/>
      <c r="AN64" s="619"/>
      <c r="AO64" s="619"/>
      <c r="AP64" s="619"/>
      <c r="AQ64" s="619"/>
      <c r="AR64" s="619"/>
      <c r="AS64" s="619"/>
      <c r="AT64" s="565"/>
      <c r="AU64" s="565"/>
      <c r="AV64" s="565"/>
      <c r="AW64" s="565"/>
      <c r="AX64" s="569"/>
      <c r="AY64" s="565"/>
      <c r="AZ64" s="570"/>
      <c r="BA64" s="570"/>
      <c r="BB64" s="536"/>
      <c r="BC64" s="537"/>
      <c r="BD64" s="538"/>
      <c r="BE64" s="592"/>
      <c r="BF64" s="592"/>
      <c r="BG64" s="592"/>
      <c r="BH64" s="592"/>
      <c r="BI64" s="592"/>
      <c r="BJ64" s="592"/>
      <c r="BK64" s="592"/>
      <c r="BL64" s="592"/>
      <c r="BM64" s="592"/>
      <c r="BN64" s="592"/>
      <c r="BO64" s="592"/>
      <c r="BP64" s="592"/>
      <c r="BQ64" s="592"/>
      <c r="BR64" s="592"/>
      <c r="BS64" s="592"/>
      <c r="BT64" s="592"/>
    </row>
    <row r="65" spans="1:72" s="591" customFormat="1" ht="12.5" customHeight="1">
      <c r="A65" s="540"/>
      <c r="B65" s="566"/>
      <c r="C65" s="565"/>
      <c r="D65" s="569"/>
      <c r="E65" s="569"/>
      <c r="F65" s="569"/>
      <c r="G65" s="569"/>
      <c r="H65" s="632"/>
      <c r="I65" s="627"/>
      <c r="J65" s="625"/>
      <c r="K65" s="627"/>
      <c r="L65" s="625"/>
      <c r="M65" s="625"/>
      <c r="N65" s="625"/>
      <c r="O65" s="625"/>
      <c r="P65" s="625"/>
      <c r="Q65" s="625"/>
      <c r="R65" s="635"/>
      <c r="S65" s="625"/>
      <c r="T65" s="625"/>
      <c r="U65" s="625"/>
      <c r="V65" s="625"/>
      <c r="W65" s="625"/>
      <c r="X65" s="627"/>
      <c r="Y65" s="619"/>
      <c r="Z65" s="630"/>
      <c r="AA65" s="630"/>
      <c r="AB65" s="630"/>
      <c r="AC65" s="630"/>
      <c r="AD65" s="630"/>
      <c r="AE65" s="630"/>
      <c r="AF65" s="630"/>
      <c r="AG65" s="630"/>
      <c r="AH65" s="630"/>
      <c r="AI65" s="630"/>
      <c r="AJ65" s="630"/>
      <c r="AK65" s="630"/>
      <c r="AL65" s="630"/>
      <c r="AM65" s="619"/>
      <c r="AN65" s="619"/>
      <c r="AO65" s="619"/>
      <c r="AP65" s="619"/>
      <c r="AQ65" s="619"/>
      <c r="AR65" s="619"/>
      <c r="AS65" s="619"/>
      <c r="AT65" s="565"/>
      <c r="AU65" s="565"/>
      <c r="AV65" s="565"/>
      <c r="AW65" s="565"/>
      <c r="AX65" s="569"/>
      <c r="AY65" s="565"/>
      <c r="AZ65" s="570"/>
      <c r="BA65" s="570"/>
      <c r="BB65" s="536"/>
      <c r="BC65" s="537"/>
      <c r="BD65" s="538"/>
      <c r="BE65" s="592"/>
      <c r="BF65" s="592"/>
      <c r="BG65" s="592"/>
      <c r="BH65" s="592"/>
      <c r="BI65" s="592"/>
      <c r="BJ65" s="592"/>
      <c r="BK65" s="592"/>
      <c r="BL65" s="592"/>
      <c r="BM65" s="592"/>
      <c r="BN65" s="592"/>
      <c r="BO65" s="592"/>
      <c r="BP65" s="592"/>
      <c r="BQ65" s="592"/>
      <c r="BR65" s="592"/>
      <c r="BS65" s="592"/>
      <c r="BT65" s="592"/>
    </row>
    <row r="66" spans="1:72" s="591" customFormat="1" ht="12.5" customHeight="1">
      <c r="A66" s="540"/>
      <c r="B66" s="566"/>
      <c r="C66" s="565"/>
      <c r="D66" s="569"/>
      <c r="E66" s="569"/>
      <c r="F66" s="569"/>
      <c r="G66" s="569"/>
      <c r="H66" s="632"/>
      <c r="I66" s="627"/>
      <c r="J66" s="625"/>
      <c r="K66" s="627"/>
      <c r="L66" s="625"/>
      <c r="M66" s="625"/>
      <c r="N66" s="625"/>
      <c r="O66" s="625"/>
      <c r="P66" s="625"/>
      <c r="Q66" s="625"/>
      <c r="R66" s="635"/>
      <c r="S66" s="625"/>
      <c r="T66" s="625"/>
      <c r="U66" s="625"/>
      <c r="V66" s="625"/>
      <c r="W66" s="625"/>
      <c r="X66" s="627"/>
      <c r="Y66" s="619"/>
      <c r="Z66" s="630"/>
      <c r="AA66" s="630"/>
      <c r="AB66" s="630"/>
      <c r="AC66" s="630"/>
      <c r="AD66" s="630"/>
      <c r="AE66" s="630"/>
      <c r="AF66" s="630"/>
      <c r="AG66" s="630"/>
      <c r="AH66" s="630"/>
      <c r="AI66" s="630"/>
      <c r="AJ66" s="630"/>
      <c r="AK66" s="630"/>
      <c r="AL66" s="630"/>
      <c r="AM66" s="619"/>
      <c r="AN66" s="619"/>
      <c r="AO66" s="619"/>
      <c r="AP66" s="619"/>
      <c r="AQ66" s="619"/>
      <c r="AR66" s="619"/>
      <c r="AS66" s="619"/>
      <c r="AT66" s="565"/>
      <c r="AU66" s="565"/>
      <c r="AV66" s="565"/>
      <c r="AW66" s="565"/>
      <c r="AX66" s="569"/>
      <c r="AY66" s="565"/>
      <c r="AZ66" s="570"/>
      <c r="BA66" s="570"/>
      <c r="BB66" s="536"/>
      <c r="BC66" s="537"/>
      <c r="BD66" s="538"/>
      <c r="BE66" s="592"/>
      <c r="BF66" s="592"/>
      <c r="BG66" s="592"/>
      <c r="BH66" s="592"/>
      <c r="BI66" s="592"/>
      <c r="BJ66" s="592"/>
      <c r="BK66" s="592"/>
      <c r="BL66" s="592"/>
      <c r="BM66" s="592"/>
      <c r="BN66" s="592"/>
      <c r="BO66" s="592"/>
      <c r="BP66" s="592"/>
      <c r="BQ66" s="592"/>
      <c r="BR66" s="592"/>
      <c r="BS66" s="592"/>
      <c r="BT66" s="592"/>
    </row>
    <row r="67" spans="1:72" s="591" customFormat="1" ht="12.5" customHeight="1">
      <c r="A67" s="540"/>
      <c r="B67" s="566"/>
      <c r="C67" s="565"/>
      <c r="D67" s="569"/>
      <c r="E67" s="569"/>
      <c r="F67" s="569"/>
      <c r="G67" s="569"/>
      <c r="H67" s="632"/>
      <c r="I67" s="627"/>
      <c r="J67" s="625"/>
      <c r="K67" s="627"/>
      <c r="L67" s="625"/>
      <c r="M67" s="625"/>
      <c r="N67" s="625"/>
      <c r="O67" s="625"/>
      <c r="P67" s="625"/>
      <c r="Q67" s="625"/>
      <c r="R67" s="625"/>
      <c r="S67" s="625"/>
      <c r="T67" s="625"/>
      <c r="U67" s="625"/>
      <c r="V67" s="625"/>
      <c r="W67" s="625"/>
      <c r="X67" s="627"/>
      <c r="Y67" s="619"/>
      <c r="Z67" s="630"/>
      <c r="AA67" s="630"/>
      <c r="AB67" s="630"/>
      <c r="AC67" s="630"/>
      <c r="AD67" s="630"/>
      <c r="AE67" s="630"/>
      <c r="AF67" s="630"/>
      <c r="AG67" s="630"/>
      <c r="AH67" s="630"/>
      <c r="AI67" s="630"/>
      <c r="AJ67" s="630"/>
      <c r="AK67" s="630"/>
      <c r="AL67" s="630"/>
      <c r="AM67" s="619"/>
      <c r="AN67" s="619"/>
      <c r="AO67" s="619"/>
      <c r="AP67" s="619"/>
      <c r="AQ67" s="619"/>
      <c r="AR67" s="619"/>
      <c r="AS67" s="619"/>
      <c r="AT67" s="565"/>
      <c r="AU67" s="565"/>
      <c r="AV67" s="565"/>
      <c r="AW67" s="565"/>
      <c r="AX67" s="569"/>
      <c r="AY67" s="565"/>
      <c r="AZ67" s="570"/>
      <c r="BA67" s="570"/>
      <c r="BB67" s="536"/>
      <c r="BC67" s="537"/>
      <c r="BD67" s="538"/>
      <c r="BE67" s="592"/>
      <c r="BF67" s="592"/>
      <c r="BG67" s="592"/>
      <c r="BH67" s="592"/>
      <c r="BI67" s="592"/>
      <c r="BJ67" s="592"/>
      <c r="BK67" s="592"/>
      <c r="BL67" s="592"/>
      <c r="BM67" s="592"/>
      <c r="BN67" s="592"/>
      <c r="BO67" s="592"/>
      <c r="BP67" s="592"/>
      <c r="BQ67" s="592"/>
      <c r="BR67" s="592"/>
      <c r="BS67" s="592"/>
      <c r="BT67" s="592"/>
    </row>
    <row r="68" spans="1:72" s="591" customFormat="1" ht="12.5" customHeight="1">
      <c r="A68" s="540"/>
      <c r="B68" s="566"/>
      <c r="C68" s="565"/>
      <c r="D68" s="565"/>
      <c r="E68" s="565"/>
      <c r="F68" s="565"/>
      <c r="G68" s="565"/>
      <c r="H68" s="578"/>
      <c r="I68" s="578"/>
      <c r="J68" s="578"/>
      <c r="K68" s="578"/>
      <c r="L68" s="578"/>
      <c r="M68" s="578"/>
      <c r="N68" s="578"/>
      <c r="O68" s="578"/>
      <c r="P68" s="578"/>
      <c r="Q68" s="578"/>
      <c r="R68" s="578"/>
      <c r="S68" s="578"/>
      <c r="T68" s="578"/>
      <c r="U68" s="578"/>
      <c r="V68" s="578"/>
      <c r="W68" s="578"/>
      <c r="X68" s="578"/>
      <c r="Y68" s="578"/>
      <c r="Z68" s="578"/>
      <c r="AA68" s="578"/>
      <c r="AB68" s="578"/>
      <c r="AC68" s="578"/>
      <c r="AD68" s="578"/>
      <c r="AE68" s="578"/>
      <c r="AF68" s="578"/>
      <c r="AG68" s="578"/>
      <c r="AH68" s="578"/>
      <c r="AI68" s="578"/>
      <c r="AJ68" s="578"/>
      <c r="AK68" s="578"/>
      <c r="AL68" s="578"/>
      <c r="AM68" s="578"/>
      <c r="AN68" s="578"/>
      <c r="AO68" s="578"/>
      <c r="AP68" s="578"/>
      <c r="AQ68" s="578"/>
      <c r="AR68" s="578"/>
      <c r="AS68" s="579"/>
      <c r="AT68" s="572"/>
      <c r="AU68" s="565"/>
      <c r="AV68" s="569"/>
      <c r="AW68" s="569"/>
      <c r="AX68" s="569"/>
      <c r="AY68" s="565"/>
      <c r="AZ68" s="570"/>
      <c r="BA68" s="570"/>
      <c r="BB68" s="553"/>
      <c r="BC68" s="554"/>
      <c r="BD68" s="539"/>
      <c r="BE68" s="592"/>
      <c r="BF68" s="592"/>
      <c r="BG68" s="592"/>
      <c r="BH68" s="592"/>
      <c r="BI68" s="592"/>
      <c r="BJ68" s="592"/>
      <c r="BK68" s="592"/>
      <c r="BL68" s="592"/>
      <c r="BM68" s="592"/>
      <c r="BN68" s="592"/>
      <c r="BO68" s="592"/>
      <c r="BP68" s="592"/>
      <c r="BQ68" s="592"/>
      <c r="BR68" s="592"/>
      <c r="BS68" s="592"/>
      <c r="BT68" s="592"/>
    </row>
    <row r="69" spans="1:72" s="591" customFormat="1" ht="15">
      <c r="A69" s="556"/>
      <c r="B69" s="694"/>
      <c r="C69" s="597"/>
      <c r="D69" s="597"/>
      <c r="E69" s="597"/>
      <c r="F69" s="597"/>
      <c r="G69" s="597"/>
      <c r="H69" s="597"/>
      <c r="I69" s="597"/>
      <c r="J69" s="597"/>
      <c r="K69" s="597"/>
      <c r="L69" s="597"/>
      <c r="M69" s="597"/>
      <c r="N69" s="597"/>
      <c r="O69" s="597"/>
      <c r="P69" s="597"/>
      <c r="Q69" s="597"/>
      <c r="R69" s="597"/>
      <c r="S69" s="598"/>
      <c r="T69" s="598"/>
      <c r="U69" s="598"/>
      <c r="V69" s="598"/>
      <c r="W69" s="597"/>
      <c r="X69" s="597"/>
      <c r="Y69" s="598"/>
      <c r="Z69" s="598"/>
      <c r="AA69" s="597"/>
      <c r="AB69" s="597"/>
      <c r="AC69" s="597"/>
      <c r="AD69" s="598"/>
      <c r="AE69" s="598"/>
      <c r="AF69" s="598"/>
      <c r="AG69" s="598"/>
      <c r="AH69" s="598"/>
      <c r="AI69" s="598"/>
      <c r="AJ69" s="598"/>
      <c r="AK69" s="598"/>
      <c r="AL69" s="598"/>
      <c r="AM69" s="598"/>
      <c r="AN69" s="598"/>
      <c r="AO69" s="598"/>
      <c r="AP69" s="598"/>
      <c r="AQ69" s="598"/>
      <c r="AR69" s="598"/>
      <c r="AS69" s="598"/>
      <c r="AT69" s="598"/>
      <c r="AU69" s="598"/>
      <c r="AV69" s="598"/>
      <c r="AW69" s="598"/>
      <c r="AX69" s="598"/>
      <c r="AY69" s="596"/>
      <c r="AZ69" s="577"/>
      <c r="BA69" s="577"/>
      <c r="BB69" s="599"/>
      <c r="BC69" s="554"/>
      <c r="BD69" s="555"/>
      <c r="BE69" s="592"/>
      <c r="BF69" s="592"/>
      <c r="BG69" s="592"/>
      <c r="BH69" s="592"/>
      <c r="BI69" s="592"/>
      <c r="BJ69" s="592"/>
      <c r="BK69" s="592"/>
      <c r="BL69" s="592"/>
      <c r="BM69" s="592"/>
      <c r="BN69" s="592"/>
      <c r="BO69" s="592"/>
      <c r="BP69" s="592"/>
      <c r="BQ69" s="592"/>
      <c r="BR69" s="592"/>
      <c r="BS69" s="592"/>
      <c r="BT69" s="592"/>
    </row>
    <row r="70" spans="1:72" s="591" customFormat="1" ht="15">
      <c r="A70" s="539"/>
      <c r="B70" s="539"/>
      <c r="C70" s="539"/>
      <c r="D70" s="539"/>
      <c r="E70" s="539"/>
      <c r="F70" s="539"/>
      <c r="G70" s="539"/>
      <c r="H70" s="539"/>
      <c r="I70" s="539"/>
      <c r="J70" s="539"/>
      <c r="K70" s="539"/>
      <c r="L70" s="539"/>
      <c r="M70" s="539"/>
      <c r="N70" s="539"/>
      <c r="O70" s="539"/>
      <c r="P70" s="539"/>
      <c r="Q70" s="539"/>
      <c r="R70" s="539"/>
      <c r="S70" s="557"/>
      <c r="T70" s="557"/>
      <c r="U70" s="557"/>
      <c r="V70" s="557"/>
      <c r="W70" s="539"/>
      <c r="X70" s="539"/>
      <c r="Y70" s="557"/>
      <c r="Z70" s="557"/>
      <c r="AA70" s="539"/>
      <c r="AB70" s="539"/>
      <c r="AC70" s="539"/>
      <c r="AD70" s="557"/>
      <c r="AE70" s="557"/>
      <c r="AF70" s="557"/>
      <c r="AG70" s="557"/>
      <c r="AH70" s="557"/>
      <c r="AI70" s="557"/>
      <c r="AJ70" s="557"/>
      <c r="AK70" s="557"/>
      <c r="AL70" s="557"/>
      <c r="AM70" s="557"/>
      <c r="AN70" s="557"/>
      <c r="AO70" s="557"/>
      <c r="AP70" s="557"/>
      <c r="AQ70" s="557"/>
      <c r="AR70" s="557"/>
      <c r="AS70" s="557"/>
      <c r="AT70" s="557"/>
      <c r="AU70" s="557"/>
      <c r="AV70" s="557"/>
      <c r="AW70" s="557"/>
      <c r="AX70" s="557"/>
      <c r="AY70" s="557"/>
      <c r="AZ70" s="557"/>
      <c r="BA70" s="557"/>
      <c r="BB70" s="557"/>
      <c r="BC70" s="557"/>
      <c r="BD70" s="555"/>
      <c r="BE70" s="592"/>
      <c r="BF70" s="592"/>
      <c r="BG70" s="592"/>
      <c r="BH70" s="592"/>
      <c r="BI70" s="592"/>
      <c r="BJ70" s="592"/>
      <c r="BK70" s="592"/>
      <c r="BL70" s="592"/>
      <c r="BM70" s="592"/>
      <c r="BN70" s="592"/>
      <c r="BO70" s="592"/>
      <c r="BP70" s="592"/>
      <c r="BQ70" s="592"/>
      <c r="BR70" s="592"/>
      <c r="BS70" s="592"/>
      <c r="BT70" s="592"/>
    </row>
    <row r="71" spans="1:72" s="591" customFormat="1" ht="15">
      <c r="A71" s="539"/>
      <c r="B71" s="539"/>
      <c r="C71" s="539"/>
      <c r="D71" s="539"/>
      <c r="E71" s="539"/>
      <c r="F71" s="539"/>
      <c r="G71" s="539"/>
      <c r="H71" s="539"/>
      <c r="I71" s="539"/>
      <c r="J71" s="539"/>
      <c r="K71" s="539"/>
      <c r="L71" s="539"/>
      <c r="M71" s="539"/>
      <c r="N71" s="539"/>
      <c r="O71" s="539"/>
      <c r="P71" s="539"/>
      <c r="Q71" s="539"/>
      <c r="R71" s="539"/>
      <c r="S71" s="557"/>
      <c r="T71" s="557"/>
      <c r="U71" s="557"/>
      <c r="V71" s="557"/>
      <c r="W71" s="539"/>
      <c r="X71" s="539"/>
      <c r="Y71" s="557"/>
      <c r="Z71" s="557"/>
      <c r="AA71" s="539"/>
      <c r="AB71" s="539"/>
      <c r="AC71" s="539"/>
      <c r="AD71" s="557"/>
      <c r="AE71" s="557"/>
      <c r="AF71" s="557"/>
      <c r="AG71" s="557"/>
      <c r="AH71" s="557"/>
      <c r="AI71" s="557"/>
      <c r="AJ71" s="557"/>
      <c r="AK71" s="557"/>
      <c r="AL71" s="557"/>
      <c r="AM71" s="557"/>
      <c r="AN71" s="557"/>
      <c r="AO71" s="557"/>
      <c r="AP71" s="557"/>
      <c r="AQ71" s="557"/>
      <c r="AR71" s="557"/>
      <c r="AS71" s="557"/>
      <c r="AT71" s="557"/>
      <c r="AU71" s="557"/>
      <c r="AV71" s="557"/>
      <c r="AW71" s="557"/>
      <c r="AX71" s="557"/>
      <c r="AY71" s="557"/>
      <c r="AZ71" s="557"/>
      <c r="BA71" s="557"/>
      <c r="BB71" s="557"/>
      <c r="BC71" s="557"/>
      <c r="BD71" s="555"/>
      <c r="BE71" s="592"/>
      <c r="BF71" s="592"/>
      <c r="BG71" s="575"/>
      <c r="BH71" s="575"/>
      <c r="BI71" s="594"/>
      <c r="BJ71" s="593"/>
      <c r="BK71" s="593"/>
      <c r="BL71" s="593"/>
      <c r="BM71" s="593"/>
      <c r="BN71" s="593"/>
      <c r="BO71" s="593"/>
      <c r="BP71" s="593"/>
      <c r="BQ71" s="593"/>
      <c r="BR71" s="592"/>
      <c r="BS71" s="592"/>
      <c r="BT71" s="592"/>
    </row>
    <row r="72" spans="1:72" s="591" customFormat="1" ht="15">
      <c r="A72" s="539"/>
      <c r="B72" s="539"/>
      <c r="C72" s="539"/>
      <c r="D72" s="539"/>
      <c r="E72" s="539"/>
      <c r="F72" s="539"/>
      <c r="G72" s="539"/>
      <c r="H72" s="539"/>
      <c r="I72" s="539"/>
      <c r="J72" s="539"/>
      <c r="K72" s="539"/>
      <c r="L72" s="539"/>
      <c r="M72" s="539"/>
      <c r="N72" s="539"/>
      <c r="O72" s="539"/>
      <c r="P72" s="539"/>
      <c r="Q72" s="539"/>
      <c r="R72" s="539"/>
      <c r="S72" s="557"/>
      <c r="T72" s="557"/>
      <c r="U72" s="557"/>
      <c r="V72" s="557"/>
      <c r="W72" s="539"/>
      <c r="X72" s="539"/>
      <c r="Y72" s="557"/>
      <c r="Z72" s="557"/>
      <c r="AA72" s="539"/>
      <c r="AB72" s="539"/>
      <c r="AC72" s="539"/>
      <c r="AD72" s="557"/>
      <c r="AE72" s="557"/>
      <c r="AF72" s="557"/>
      <c r="AG72" s="557"/>
      <c r="AH72" s="557"/>
      <c r="AI72" s="557"/>
      <c r="AJ72" s="557"/>
      <c r="AK72" s="557"/>
      <c r="AL72" s="557"/>
      <c r="AM72" s="557"/>
      <c r="AN72" s="557"/>
      <c r="AO72" s="557"/>
      <c r="AP72" s="557"/>
      <c r="AQ72" s="557"/>
      <c r="AR72" s="557"/>
      <c r="AS72" s="557"/>
      <c r="AT72" s="557"/>
      <c r="AU72" s="557"/>
      <c r="AV72" s="557"/>
      <c r="AW72" s="557"/>
      <c r="AX72" s="557"/>
      <c r="AY72" s="557"/>
      <c r="AZ72" s="557"/>
      <c r="BA72" s="557"/>
      <c r="BB72" s="557"/>
      <c r="BC72" s="557"/>
      <c r="BD72" s="555"/>
      <c r="BE72" s="592"/>
      <c r="BF72" s="575"/>
      <c r="BG72" s="575"/>
      <c r="BH72" s="575"/>
      <c r="BI72" s="594"/>
      <c r="BJ72" s="575"/>
      <c r="BK72" s="593"/>
      <c r="BL72" s="593"/>
      <c r="BM72" s="593"/>
      <c r="BN72" s="593"/>
      <c r="BO72" s="593"/>
      <c r="BP72" s="593"/>
      <c r="BQ72" s="593"/>
      <c r="BR72" s="592"/>
      <c r="BS72" s="592"/>
      <c r="BT72" s="592"/>
    </row>
    <row r="73" spans="1:72" s="591" customFormat="1" ht="15">
      <c r="A73" s="539"/>
      <c r="B73" s="539"/>
      <c r="C73" s="539"/>
      <c r="D73" s="539"/>
      <c r="E73" s="539"/>
      <c r="F73" s="539"/>
      <c r="G73" s="539"/>
      <c r="H73" s="539"/>
      <c r="I73" s="539"/>
      <c r="J73" s="539"/>
      <c r="K73" s="539"/>
      <c r="L73" s="539"/>
      <c r="M73" s="539"/>
      <c r="N73" s="539"/>
      <c r="O73" s="539"/>
      <c r="P73" s="539"/>
      <c r="Q73" s="539"/>
      <c r="R73" s="539"/>
      <c r="S73" s="557"/>
      <c r="T73" s="557"/>
      <c r="U73" s="557"/>
      <c r="V73" s="557"/>
      <c r="W73" s="539"/>
      <c r="X73" s="539"/>
      <c r="Y73" s="557"/>
      <c r="Z73" s="557"/>
      <c r="AA73" s="539"/>
      <c r="AB73" s="539"/>
      <c r="AC73" s="539"/>
      <c r="AD73" s="557"/>
      <c r="AE73" s="557"/>
      <c r="AF73" s="557"/>
      <c r="AG73" s="557"/>
      <c r="AH73" s="557"/>
      <c r="AI73" s="557"/>
      <c r="AJ73" s="557"/>
      <c r="AK73" s="557"/>
      <c r="AL73" s="557"/>
      <c r="AM73" s="557"/>
      <c r="AN73" s="557"/>
      <c r="AO73" s="557"/>
      <c r="AP73" s="557"/>
      <c r="AQ73" s="557"/>
      <c r="AR73" s="557"/>
      <c r="AS73" s="557"/>
      <c r="AT73" s="557"/>
      <c r="AU73" s="557"/>
      <c r="AV73" s="557"/>
      <c r="AW73" s="557"/>
      <c r="AX73" s="557"/>
      <c r="AY73" s="557"/>
      <c r="AZ73" s="557"/>
      <c r="BA73" s="557"/>
      <c r="BB73" s="557"/>
      <c r="BC73" s="557"/>
      <c r="BD73" s="555"/>
      <c r="BE73" s="592"/>
      <c r="BF73" s="592"/>
      <c r="BG73" s="592"/>
      <c r="BH73" s="595"/>
      <c r="BI73" s="592"/>
      <c r="BJ73" s="592"/>
      <c r="BK73" s="592"/>
      <c r="BL73" s="592"/>
      <c r="BM73" s="592"/>
      <c r="BN73" s="592"/>
      <c r="BO73" s="592"/>
      <c r="BP73" s="592"/>
      <c r="BQ73" s="592"/>
      <c r="BR73" s="592"/>
      <c r="BS73" s="592"/>
      <c r="BT73" s="592"/>
    </row>
    <row r="74" spans="1:72" s="591" customFormat="1" ht="15">
      <c r="A74" s="539"/>
      <c r="B74" s="539"/>
      <c r="C74" s="539"/>
      <c r="D74" s="539"/>
      <c r="E74" s="539"/>
      <c r="F74" s="539"/>
      <c r="G74" s="539"/>
      <c r="H74" s="539"/>
      <c r="I74" s="539"/>
      <c r="J74" s="539"/>
      <c r="K74" s="539"/>
      <c r="L74" s="539"/>
      <c r="M74" s="539"/>
      <c r="N74" s="539"/>
      <c r="O74" s="539"/>
      <c r="P74" s="539"/>
      <c r="Q74" s="539"/>
      <c r="R74" s="539"/>
      <c r="S74" s="557"/>
      <c r="T74" s="557"/>
      <c r="U74" s="557"/>
      <c r="V74" s="557"/>
      <c r="W74" s="539"/>
      <c r="X74" s="539"/>
      <c r="Y74" s="557"/>
      <c r="Z74" s="557"/>
      <c r="AA74" s="539"/>
      <c r="AB74" s="539"/>
      <c r="AC74" s="539"/>
      <c r="AD74" s="557"/>
      <c r="AE74" s="557"/>
      <c r="AF74" s="557"/>
      <c r="AG74" s="557"/>
      <c r="AH74" s="557"/>
      <c r="AI74" s="557"/>
      <c r="AJ74" s="557"/>
      <c r="AK74" s="557"/>
      <c r="AL74" s="557"/>
      <c r="AM74" s="557"/>
      <c r="AN74" s="557"/>
      <c r="AO74" s="557"/>
      <c r="AP74" s="557"/>
      <c r="AQ74" s="557"/>
      <c r="AR74" s="557"/>
      <c r="AS74" s="557"/>
      <c r="AT74" s="557"/>
      <c r="AU74" s="557"/>
      <c r="AV74" s="557"/>
      <c r="AW74" s="557"/>
      <c r="AX74" s="557"/>
      <c r="AY74" s="557"/>
      <c r="AZ74" s="557"/>
      <c r="BA74" s="557"/>
      <c r="BB74" s="557"/>
      <c r="BC74" s="557"/>
      <c r="BD74" s="555"/>
      <c r="BE74" s="592"/>
      <c r="BF74" s="575"/>
      <c r="BG74" s="592"/>
      <c r="BH74" s="592"/>
      <c r="BI74" s="592"/>
      <c r="BJ74" s="592"/>
      <c r="BK74" s="592"/>
      <c r="BL74" s="592"/>
      <c r="BM74" s="592"/>
      <c r="BN74" s="592"/>
      <c r="BO74" s="592"/>
      <c r="BP74" s="592"/>
      <c r="BQ74" s="592"/>
      <c r="BR74" s="592"/>
      <c r="BS74" s="592"/>
      <c r="BT74" s="592"/>
    </row>
    <row r="75" spans="1:72" s="591" customFormat="1" ht="15">
      <c r="A75" s="539"/>
      <c r="B75" s="539"/>
      <c r="C75" s="539"/>
      <c r="D75" s="539"/>
      <c r="E75" s="539"/>
      <c r="F75" s="539"/>
      <c r="G75" s="539"/>
      <c r="H75" s="539"/>
      <c r="I75" s="539"/>
      <c r="J75" s="539"/>
      <c r="K75" s="539"/>
      <c r="L75" s="539"/>
      <c r="M75" s="539"/>
      <c r="N75" s="539"/>
      <c r="O75" s="539"/>
      <c r="P75" s="539"/>
      <c r="Q75" s="539"/>
      <c r="R75" s="539"/>
      <c r="S75" s="557"/>
      <c r="T75" s="557"/>
      <c r="U75" s="557"/>
      <c r="V75" s="557"/>
      <c r="W75" s="539"/>
      <c r="X75" s="539"/>
      <c r="Y75" s="557"/>
      <c r="Z75" s="557"/>
      <c r="AA75" s="539"/>
      <c r="AB75" s="539"/>
      <c r="AC75" s="539"/>
      <c r="AD75" s="557"/>
      <c r="AE75" s="557"/>
      <c r="AF75" s="557"/>
      <c r="AG75" s="557"/>
      <c r="AH75" s="557"/>
      <c r="AI75" s="557"/>
      <c r="AJ75" s="557"/>
      <c r="AK75" s="557"/>
      <c r="AL75" s="557"/>
      <c r="AM75" s="557"/>
      <c r="AN75" s="557"/>
      <c r="AO75" s="557"/>
      <c r="AP75" s="557"/>
      <c r="AQ75" s="557"/>
      <c r="AR75" s="557"/>
      <c r="AS75" s="557"/>
      <c r="AT75" s="557"/>
      <c r="AU75" s="557"/>
      <c r="AV75" s="557"/>
      <c r="AW75" s="557"/>
      <c r="AX75" s="557"/>
      <c r="AY75" s="557"/>
      <c r="AZ75" s="557"/>
      <c r="BA75" s="557"/>
      <c r="BB75" s="557"/>
      <c r="BC75" s="557"/>
      <c r="BD75" s="555"/>
      <c r="BE75" s="592"/>
      <c r="BF75" s="592"/>
      <c r="BG75" s="592"/>
      <c r="BH75" s="595"/>
      <c r="BI75" s="592"/>
      <c r="BJ75" s="592"/>
      <c r="BK75" s="592"/>
      <c r="BL75" s="592"/>
      <c r="BM75" s="592"/>
      <c r="BN75" s="592"/>
      <c r="BO75" s="592"/>
      <c r="BP75" s="592"/>
      <c r="BQ75" s="592"/>
      <c r="BR75" s="592"/>
      <c r="BS75" s="592"/>
      <c r="BT75" s="592"/>
    </row>
    <row r="76" spans="1:72" s="591" customFormat="1" ht="15">
      <c r="A76" s="539"/>
      <c r="B76" s="539"/>
      <c r="C76" s="539"/>
      <c r="D76" s="539"/>
      <c r="E76" s="539"/>
      <c r="F76" s="539"/>
      <c r="G76" s="539"/>
      <c r="H76" s="539"/>
      <c r="I76" s="539"/>
      <c r="J76" s="539"/>
      <c r="K76" s="539"/>
      <c r="L76" s="539"/>
      <c r="M76" s="539"/>
      <c r="N76" s="539"/>
      <c r="O76" s="539"/>
      <c r="P76" s="539"/>
      <c r="Q76" s="539"/>
      <c r="R76" s="539"/>
      <c r="S76" s="557"/>
      <c r="T76" s="557"/>
      <c r="U76" s="557"/>
      <c r="V76" s="557"/>
      <c r="W76" s="539"/>
      <c r="X76" s="539"/>
      <c r="Y76" s="557"/>
      <c r="Z76" s="557"/>
      <c r="AA76" s="539"/>
      <c r="AB76" s="539"/>
      <c r="AC76" s="539"/>
      <c r="AD76" s="557"/>
      <c r="AE76" s="557"/>
      <c r="AF76" s="557"/>
      <c r="AG76" s="557"/>
      <c r="AH76" s="557"/>
      <c r="AI76" s="557"/>
      <c r="AJ76" s="557"/>
      <c r="AK76" s="557"/>
      <c r="AL76" s="557"/>
      <c r="AM76" s="557"/>
      <c r="AN76" s="557"/>
      <c r="AO76" s="557"/>
      <c r="AP76" s="557"/>
      <c r="AQ76" s="557"/>
      <c r="AR76" s="557"/>
      <c r="AS76" s="557"/>
      <c r="AT76" s="557"/>
      <c r="AU76" s="557"/>
      <c r="AV76" s="557"/>
      <c r="AW76" s="557"/>
      <c r="AX76" s="557"/>
      <c r="AY76" s="557"/>
      <c r="AZ76" s="557"/>
      <c r="BA76" s="557"/>
      <c r="BB76" s="557"/>
      <c r="BC76" s="557"/>
      <c r="BD76" s="555"/>
      <c r="BE76" s="592"/>
      <c r="BF76" s="592"/>
      <c r="BG76" s="575"/>
      <c r="BH76" s="575"/>
      <c r="BI76" s="592"/>
      <c r="BJ76" s="592"/>
      <c r="BK76" s="592"/>
      <c r="BL76" s="592"/>
      <c r="BM76" s="592"/>
      <c r="BN76" s="592"/>
      <c r="BO76" s="592"/>
      <c r="BP76" s="592"/>
      <c r="BQ76" s="592"/>
      <c r="BR76" s="592"/>
      <c r="BS76" s="592"/>
      <c r="BT76" s="592"/>
    </row>
    <row r="77" spans="1:72" s="591" customFormat="1" ht="15">
      <c r="A77" s="539"/>
      <c r="B77" s="539"/>
      <c r="C77" s="539"/>
      <c r="D77" s="539"/>
      <c r="E77" s="539"/>
      <c r="F77" s="539"/>
      <c r="G77" s="539"/>
      <c r="H77" s="539"/>
      <c r="I77" s="539"/>
      <c r="J77" s="539"/>
      <c r="K77" s="539"/>
      <c r="L77" s="539"/>
      <c r="M77" s="539"/>
      <c r="N77" s="539"/>
      <c r="O77" s="539"/>
      <c r="P77" s="539"/>
      <c r="Q77" s="539"/>
      <c r="R77" s="539"/>
      <c r="S77" s="557"/>
      <c r="T77" s="557"/>
      <c r="U77" s="557"/>
      <c r="V77" s="557"/>
      <c r="W77" s="539"/>
      <c r="X77" s="539"/>
      <c r="Y77" s="557"/>
      <c r="Z77" s="557"/>
      <c r="AA77" s="539"/>
      <c r="AB77" s="539"/>
      <c r="AC77" s="539"/>
      <c r="AD77" s="557"/>
      <c r="AE77" s="557"/>
      <c r="AF77" s="557"/>
      <c r="AG77" s="557"/>
      <c r="AH77" s="557"/>
      <c r="AI77" s="557"/>
      <c r="AJ77" s="557"/>
      <c r="AK77" s="557"/>
      <c r="AL77" s="557"/>
      <c r="AM77" s="557"/>
      <c r="AN77" s="557"/>
      <c r="AO77" s="557"/>
      <c r="AP77" s="557"/>
      <c r="AQ77" s="557"/>
      <c r="AR77" s="557"/>
      <c r="AS77" s="557"/>
      <c r="AT77" s="557"/>
      <c r="AU77" s="557"/>
      <c r="AV77" s="557"/>
      <c r="AW77" s="557"/>
      <c r="AX77" s="557"/>
      <c r="AY77" s="557"/>
      <c r="AZ77" s="557"/>
      <c r="BA77" s="557"/>
      <c r="BB77" s="557"/>
      <c r="BC77" s="557"/>
      <c r="BD77" s="555"/>
      <c r="BE77" s="592"/>
      <c r="BF77" s="592"/>
      <c r="BG77" s="575"/>
      <c r="BH77" s="575"/>
      <c r="BI77" s="592"/>
      <c r="BJ77" s="592"/>
      <c r="BK77" s="592"/>
      <c r="BL77" s="592"/>
      <c r="BM77" s="592"/>
      <c r="BN77" s="592"/>
      <c r="BO77" s="592"/>
      <c r="BP77" s="592"/>
      <c r="BQ77" s="592"/>
      <c r="BR77" s="592"/>
      <c r="BS77" s="592"/>
      <c r="BT77" s="592"/>
    </row>
    <row r="78" spans="1:72" s="591" customFormat="1" ht="15">
      <c r="A78" s="539"/>
      <c r="B78" s="539"/>
      <c r="C78" s="539"/>
      <c r="D78" s="539"/>
      <c r="E78" s="539"/>
      <c r="F78" s="539"/>
      <c r="G78" s="539"/>
      <c r="H78" s="539"/>
      <c r="I78" s="539"/>
      <c r="J78" s="539"/>
      <c r="K78" s="539"/>
      <c r="L78" s="539"/>
      <c r="M78" s="539"/>
      <c r="N78" s="539"/>
      <c r="O78" s="539"/>
      <c r="P78" s="539"/>
      <c r="Q78" s="539"/>
      <c r="R78" s="539"/>
      <c r="S78" s="557"/>
      <c r="T78" s="557"/>
      <c r="U78" s="557"/>
      <c r="V78" s="557"/>
      <c r="W78" s="539"/>
      <c r="X78" s="539"/>
      <c r="Y78" s="557"/>
      <c r="Z78" s="557"/>
      <c r="AA78" s="539"/>
      <c r="AB78" s="539"/>
      <c r="AC78" s="539"/>
      <c r="AD78" s="557"/>
      <c r="AE78" s="557"/>
      <c r="AF78" s="557"/>
      <c r="AG78" s="557"/>
      <c r="AH78" s="557"/>
      <c r="AI78" s="557"/>
      <c r="AJ78" s="557"/>
      <c r="AK78" s="557"/>
      <c r="AL78" s="557"/>
      <c r="AM78" s="557"/>
      <c r="AN78" s="557"/>
      <c r="AO78" s="557"/>
      <c r="AP78" s="557"/>
      <c r="AQ78" s="557"/>
      <c r="AR78" s="557"/>
      <c r="AS78" s="557"/>
      <c r="AT78" s="557"/>
      <c r="AU78" s="557"/>
      <c r="AV78" s="557"/>
      <c r="AW78" s="557"/>
      <c r="AX78" s="557"/>
      <c r="AY78" s="557"/>
      <c r="AZ78" s="557"/>
      <c r="BA78" s="557"/>
      <c r="BB78" s="557"/>
      <c r="BC78" s="557"/>
      <c r="BD78" s="555"/>
      <c r="BE78" s="592"/>
      <c r="BF78" s="595"/>
      <c r="BG78" s="575"/>
      <c r="BH78" s="575"/>
      <c r="BI78" s="592"/>
      <c r="BJ78" s="592"/>
      <c r="BK78" s="592"/>
      <c r="BL78" s="592"/>
      <c r="BM78" s="592"/>
      <c r="BN78" s="592"/>
      <c r="BO78" s="592"/>
      <c r="BP78" s="592"/>
      <c r="BQ78" s="592"/>
      <c r="BR78" s="592"/>
      <c r="BS78" s="592"/>
      <c r="BT78" s="592"/>
    </row>
    <row r="79" spans="1:72" s="591" customFormat="1" ht="15">
      <c r="A79" s="539"/>
      <c r="B79" s="539"/>
      <c r="C79" s="539"/>
      <c r="D79" s="539"/>
      <c r="E79" s="539"/>
      <c r="F79" s="539"/>
      <c r="G79" s="539"/>
      <c r="H79" s="539"/>
      <c r="I79" s="539"/>
      <c r="J79" s="539"/>
      <c r="K79" s="539"/>
      <c r="L79" s="539"/>
      <c r="M79" s="539"/>
      <c r="N79" s="539"/>
      <c r="O79" s="539"/>
      <c r="P79" s="539"/>
      <c r="Q79" s="539"/>
      <c r="R79" s="539"/>
      <c r="S79" s="557"/>
      <c r="T79" s="557"/>
      <c r="U79" s="557"/>
      <c r="V79" s="557"/>
      <c r="W79" s="539"/>
      <c r="X79" s="539"/>
      <c r="Y79" s="557"/>
      <c r="Z79" s="557"/>
      <c r="AA79" s="539"/>
      <c r="AB79" s="539"/>
      <c r="AC79" s="539"/>
      <c r="AD79" s="557"/>
      <c r="AE79" s="557"/>
      <c r="AF79" s="557"/>
      <c r="AG79" s="557"/>
      <c r="AH79" s="557"/>
      <c r="AI79" s="557"/>
      <c r="AJ79" s="557"/>
      <c r="AK79" s="557"/>
      <c r="AL79" s="557"/>
      <c r="AM79" s="557"/>
      <c r="AN79" s="557"/>
      <c r="AO79" s="557"/>
      <c r="AP79" s="557"/>
      <c r="AQ79" s="557"/>
      <c r="AR79" s="557"/>
      <c r="AS79" s="557"/>
      <c r="AT79" s="557"/>
      <c r="AU79" s="557"/>
      <c r="AV79" s="557"/>
      <c r="AW79" s="557"/>
      <c r="AX79" s="557"/>
      <c r="AY79" s="557"/>
      <c r="AZ79" s="557"/>
      <c r="BA79" s="557"/>
      <c r="BB79" s="557"/>
      <c r="BC79" s="557"/>
      <c r="BD79" s="555"/>
      <c r="BE79" s="592"/>
      <c r="BF79" s="592"/>
      <c r="BG79" s="592"/>
      <c r="BH79" s="592"/>
      <c r="BI79" s="592"/>
      <c r="BJ79" s="592"/>
      <c r="BK79" s="592"/>
      <c r="BL79" s="592"/>
      <c r="BM79" s="592"/>
      <c r="BN79" s="592"/>
      <c r="BO79" s="592"/>
      <c r="BP79" s="592"/>
      <c r="BQ79" s="592"/>
      <c r="BR79" s="592"/>
      <c r="BS79" s="592"/>
      <c r="BT79" s="592"/>
    </row>
    <row r="80" spans="1:72" s="591" customFormat="1" ht="15">
      <c r="A80" s="539"/>
      <c r="B80" s="539"/>
      <c r="C80" s="539"/>
      <c r="D80" s="539"/>
      <c r="E80" s="539"/>
      <c r="F80" s="539"/>
      <c r="G80" s="539"/>
      <c r="H80" s="539"/>
      <c r="I80" s="539"/>
      <c r="J80" s="539"/>
      <c r="K80" s="539"/>
      <c r="L80" s="539"/>
      <c r="M80" s="539"/>
      <c r="N80" s="539"/>
      <c r="O80" s="539"/>
      <c r="P80" s="539"/>
      <c r="Q80" s="539"/>
      <c r="R80" s="539"/>
      <c r="S80" s="557"/>
      <c r="T80" s="557"/>
      <c r="U80" s="557"/>
      <c r="V80" s="557"/>
      <c r="W80" s="539"/>
      <c r="X80" s="539"/>
      <c r="Y80" s="557"/>
      <c r="Z80" s="557"/>
      <c r="AA80" s="539"/>
      <c r="AB80" s="539"/>
      <c r="AC80" s="539"/>
      <c r="AD80" s="557"/>
      <c r="AE80" s="557"/>
      <c r="AF80" s="557"/>
      <c r="AG80" s="557"/>
      <c r="AH80" s="557"/>
      <c r="AI80" s="557"/>
      <c r="AJ80" s="557"/>
      <c r="AK80" s="557"/>
      <c r="AL80" s="557"/>
      <c r="AM80" s="557"/>
      <c r="AN80" s="557"/>
      <c r="AO80" s="557"/>
      <c r="AP80" s="557"/>
      <c r="AQ80" s="557"/>
      <c r="AR80" s="557"/>
      <c r="AS80" s="557"/>
      <c r="AT80" s="557"/>
      <c r="AU80" s="557"/>
      <c r="AV80" s="557"/>
      <c r="AW80" s="557"/>
      <c r="AX80" s="557"/>
      <c r="AY80" s="557"/>
      <c r="AZ80" s="557"/>
      <c r="BA80" s="557"/>
      <c r="BB80" s="557"/>
      <c r="BC80" s="557"/>
      <c r="BD80" s="555"/>
      <c r="BE80" s="592"/>
      <c r="BF80" s="592"/>
      <c r="BG80" s="592"/>
      <c r="BH80" s="592"/>
      <c r="BI80" s="592"/>
      <c r="BJ80" s="592"/>
      <c r="BK80" s="592"/>
      <c r="BL80" s="592"/>
      <c r="BM80" s="592"/>
      <c r="BN80" s="592"/>
      <c r="BO80" s="592"/>
      <c r="BP80" s="592"/>
      <c r="BQ80" s="592"/>
      <c r="BR80" s="592"/>
      <c r="BS80" s="592"/>
      <c r="BT80" s="592"/>
    </row>
    <row r="81" spans="1:72" s="591" customFormat="1" ht="15">
      <c r="A81" s="539"/>
      <c r="B81" s="539"/>
      <c r="C81" s="539"/>
      <c r="D81" s="539"/>
      <c r="E81" s="539"/>
      <c r="F81" s="539"/>
      <c r="G81" s="539"/>
      <c r="H81" s="539"/>
      <c r="I81" s="539"/>
      <c r="J81" s="539"/>
      <c r="K81" s="539"/>
      <c r="L81" s="539"/>
      <c r="M81" s="539"/>
      <c r="N81" s="539"/>
      <c r="O81" s="539"/>
      <c r="P81" s="539"/>
      <c r="Q81" s="539"/>
      <c r="R81" s="539"/>
      <c r="S81" s="557"/>
      <c r="T81" s="557"/>
      <c r="U81" s="557"/>
      <c r="V81" s="557"/>
      <c r="W81" s="539"/>
      <c r="X81" s="539"/>
      <c r="Y81" s="557"/>
      <c r="Z81" s="557"/>
      <c r="AA81" s="539"/>
      <c r="AB81" s="539"/>
      <c r="AC81" s="539"/>
      <c r="AD81" s="557"/>
      <c r="AE81" s="557"/>
      <c r="AF81" s="557"/>
      <c r="AG81" s="557"/>
      <c r="AH81" s="557"/>
      <c r="AI81" s="557"/>
      <c r="AJ81" s="557"/>
      <c r="AK81" s="557"/>
      <c r="AL81" s="557"/>
      <c r="AM81" s="557"/>
      <c r="AN81" s="557"/>
      <c r="AO81" s="557"/>
      <c r="AP81" s="557"/>
      <c r="AQ81" s="557"/>
      <c r="AR81" s="557"/>
      <c r="AS81" s="557"/>
      <c r="AT81" s="557"/>
      <c r="AU81" s="557"/>
      <c r="AV81" s="557"/>
      <c r="AW81" s="557"/>
      <c r="AX81" s="557"/>
      <c r="AY81" s="557"/>
      <c r="AZ81" s="557"/>
      <c r="BA81" s="557"/>
      <c r="BB81" s="557"/>
      <c r="BC81" s="557"/>
      <c r="BD81" s="555"/>
      <c r="BE81" s="592"/>
      <c r="BF81" s="592"/>
      <c r="BG81" s="592"/>
      <c r="BH81" s="640"/>
      <c r="BI81" s="592"/>
      <c r="BJ81" s="592"/>
      <c r="BK81" s="592"/>
      <c r="BL81" s="592"/>
      <c r="BM81" s="592"/>
      <c r="BN81" s="592"/>
      <c r="BO81" s="592"/>
      <c r="BP81" s="592"/>
      <c r="BQ81" s="592"/>
      <c r="BR81" s="592"/>
      <c r="BS81" s="592"/>
      <c r="BT81" s="592"/>
    </row>
    <row r="82" spans="1:72" s="591" customFormat="1" ht="15">
      <c r="A82" s="539"/>
      <c r="B82" s="539"/>
      <c r="C82" s="539"/>
      <c r="D82" s="539"/>
      <c r="E82" s="539"/>
      <c r="F82" s="539"/>
      <c r="G82" s="539"/>
      <c r="H82" s="539"/>
      <c r="I82" s="539"/>
      <c r="J82" s="539"/>
      <c r="K82" s="539"/>
      <c r="L82" s="539"/>
      <c r="M82" s="539"/>
      <c r="N82" s="539"/>
      <c r="O82" s="539"/>
      <c r="P82" s="539"/>
      <c r="Q82" s="539"/>
      <c r="R82" s="539"/>
      <c r="S82" s="557"/>
      <c r="T82" s="557"/>
      <c r="U82" s="557"/>
      <c r="V82" s="557"/>
      <c r="W82" s="539"/>
      <c r="X82" s="539"/>
      <c r="Y82" s="557"/>
      <c r="Z82" s="557"/>
      <c r="AA82" s="539"/>
      <c r="AB82" s="539"/>
      <c r="AC82" s="539"/>
      <c r="AD82" s="557"/>
      <c r="AE82" s="557"/>
      <c r="AF82" s="557"/>
      <c r="AG82" s="557"/>
      <c r="AH82" s="557"/>
      <c r="AI82" s="557"/>
      <c r="AJ82" s="557"/>
      <c r="AK82" s="557"/>
      <c r="AL82" s="557"/>
      <c r="AM82" s="557"/>
      <c r="AN82" s="557"/>
      <c r="AO82" s="557"/>
      <c r="AP82" s="557"/>
      <c r="AQ82" s="557"/>
      <c r="AR82" s="557"/>
      <c r="AS82" s="557"/>
      <c r="AT82" s="557"/>
      <c r="AU82" s="557"/>
      <c r="AV82" s="557"/>
      <c r="AW82" s="557"/>
      <c r="AX82" s="557"/>
      <c r="AY82" s="557"/>
      <c r="AZ82" s="557"/>
      <c r="BA82" s="557"/>
      <c r="BB82" s="557"/>
      <c r="BC82" s="557"/>
      <c r="BD82" s="555"/>
      <c r="BE82" s="592"/>
      <c r="BF82" s="592"/>
      <c r="BG82" s="575"/>
      <c r="BH82" s="575"/>
      <c r="BI82" s="592"/>
      <c r="BJ82" s="592"/>
      <c r="BK82" s="592"/>
      <c r="BL82" s="592"/>
      <c r="BM82" s="592"/>
      <c r="BN82" s="592"/>
      <c r="BO82" s="592"/>
      <c r="BP82" s="592"/>
      <c r="BQ82" s="592"/>
      <c r="BR82" s="592"/>
      <c r="BS82" s="592"/>
      <c r="BT82" s="592"/>
    </row>
    <row r="83" spans="1:72" s="591" customFormat="1" ht="15">
      <c r="A83" s="539"/>
      <c r="B83" s="539"/>
      <c r="C83" s="539"/>
      <c r="D83" s="539"/>
      <c r="E83" s="539"/>
      <c r="F83" s="539"/>
      <c r="G83" s="539"/>
      <c r="H83" s="539"/>
      <c r="I83" s="539"/>
      <c r="J83" s="539"/>
      <c r="K83" s="539"/>
      <c r="L83" s="539"/>
      <c r="M83" s="539"/>
      <c r="N83" s="539"/>
      <c r="O83" s="539"/>
      <c r="P83" s="539"/>
      <c r="Q83" s="539"/>
      <c r="R83" s="539"/>
      <c r="S83" s="557"/>
      <c r="T83" s="557"/>
      <c r="U83" s="557"/>
      <c r="V83" s="557"/>
      <c r="W83" s="539"/>
      <c r="X83" s="539"/>
      <c r="Y83" s="557"/>
      <c r="Z83" s="557"/>
      <c r="AA83" s="539"/>
      <c r="AB83" s="539"/>
      <c r="AC83" s="539"/>
      <c r="AD83" s="557"/>
      <c r="AE83" s="557"/>
      <c r="AF83" s="557"/>
      <c r="AG83" s="557"/>
      <c r="AH83" s="557"/>
      <c r="AI83" s="557"/>
      <c r="AJ83" s="557"/>
      <c r="AK83" s="557"/>
      <c r="AL83" s="557"/>
      <c r="AM83" s="557"/>
      <c r="AN83" s="557"/>
      <c r="AO83" s="557"/>
      <c r="AP83" s="557"/>
      <c r="AQ83" s="557"/>
      <c r="AR83" s="557"/>
      <c r="AS83" s="557"/>
      <c r="AT83" s="557"/>
      <c r="AU83" s="557"/>
      <c r="AV83" s="557"/>
      <c r="AW83" s="557"/>
      <c r="AX83" s="557"/>
      <c r="AY83" s="557"/>
      <c r="AZ83" s="557"/>
      <c r="BA83" s="557"/>
      <c r="BB83" s="557"/>
      <c r="BC83" s="557"/>
      <c r="BD83" s="555"/>
      <c r="BE83" s="592"/>
      <c r="BF83" s="595"/>
      <c r="BG83" s="575"/>
      <c r="BH83" s="575"/>
      <c r="BI83" s="592"/>
      <c r="BJ83" s="592"/>
      <c r="BK83" s="592"/>
      <c r="BL83" s="592"/>
      <c r="BM83" s="592"/>
      <c r="BN83" s="592"/>
      <c r="BO83" s="592"/>
      <c r="BP83" s="592"/>
      <c r="BQ83" s="592"/>
      <c r="BR83" s="592"/>
      <c r="BS83" s="592"/>
      <c r="BT83" s="592"/>
    </row>
    <row r="84" spans="1:72" s="591" customFormat="1" ht="15">
      <c r="A84" s="539"/>
      <c r="B84" s="539"/>
      <c r="C84" s="539"/>
      <c r="D84" s="539"/>
      <c r="E84" s="539"/>
      <c r="F84" s="539"/>
      <c r="G84" s="539"/>
      <c r="H84" s="539"/>
      <c r="I84" s="539"/>
      <c r="J84" s="539"/>
      <c r="K84" s="539"/>
      <c r="L84" s="539"/>
      <c r="M84" s="539"/>
      <c r="N84" s="539"/>
      <c r="O84" s="539"/>
      <c r="P84" s="539"/>
      <c r="Q84" s="539"/>
      <c r="R84" s="539"/>
      <c r="S84" s="557"/>
      <c r="T84" s="557"/>
      <c r="U84" s="557"/>
      <c r="V84" s="557"/>
      <c r="W84" s="539"/>
      <c r="X84" s="539"/>
      <c r="Y84" s="557"/>
      <c r="Z84" s="557"/>
      <c r="AA84" s="539"/>
      <c r="AB84" s="539"/>
      <c r="AC84" s="539"/>
      <c r="AD84" s="557"/>
      <c r="AE84" s="557"/>
      <c r="AF84" s="557"/>
      <c r="AG84" s="557"/>
      <c r="AH84" s="557"/>
      <c r="AI84" s="557"/>
      <c r="AJ84" s="557"/>
      <c r="AK84" s="557"/>
      <c r="AL84" s="557"/>
      <c r="AM84" s="557"/>
      <c r="AN84" s="557"/>
      <c r="AO84" s="557"/>
      <c r="AP84" s="557"/>
      <c r="AQ84" s="557"/>
      <c r="AR84" s="557"/>
      <c r="AS84" s="557"/>
      <c r="AT84" s="557"/>
      <c r="AU84" s="557"/>
      <c r="AV84" s="557"/>
      <c r="AW84" s="557"/>
      <c r="AX84" s="557"/>
      <c r="AY84" s="557"/>
      <c r="AZ84" s="557"/>
      <c r="BA84" s="557"/>
      <c r="BB84" s="557"/>
      <c r="BC84" s="557"/>
      <c r="BD84" s="555"/>
      <c r="BE84" s="592"/>
      <c r="BF84" s="592"/>
      <c r="BG84" s="592"/>
      <c r="BH84" s="592"/>
      <c r="BI84" s="592"/>
      <c r="BJ84" s="592"/>
      <c r="BK84" s="592"/>
      <c r="BL84" s="592"/>
      <c r="BM84" s="592"/>
      <c r="BN84" s="592"/>
      <c r="BO84" s="592"/>
      <c r="BP84" s="592"/>
      <c r="BQ84" s="592"/>
      <c r="BR84" s="592"/>
      <c r="BS84" s="592"/>
      <c r="BT84" s="592"/>
    </row>
    <row r="85" spans="1:72" s="591" customFormat="1" ht="15">
      <c r="A85" s="539"/>
      <c r="B85" s="539"/>
      <c r="C85" s="539"/>
      <c r="D85" s="539"/>
      <c r="E85" s="539"/>
      <c r="F85" s="539"/>
      <c r="G85" s="539"/>
      <c r="H85" s="539"/>
      <c r="I85" s="539"/>
      <c r="J85" s="539"/>
      <c r="K85" s="539"/>
      <c r="L85" s="539"/>
      <c r="M85" s="539"/>
      <c r="N85" s="539"/>
      <c r="O85" s="539"/>
      <c r="P85" s="539"/>
      <c r="Q85" s="539"/>
      <c r="R85" s="539"/>
      <c r="S85" s="557"/>
      <c r="T85" s="557"/>
      <c r="U85" s="557"/>
      <c r="V85" s="557"/>
      <c r="W85" s="539"/>
      <c r="X85" s="539"/>
      <c r="Y85" s="557"/>
      <c r="Z85" s="557"/>
      <c r="AA85" s="539"/>
      <c r="AB85" s="539"/>
      <c r="AC85" s="539"/>
      <c r="AD85" s="557"/>
      <c r="AE85" s="557"/>
      <c r="AF85" s="557"/>
      <c r="AG85" s="557"/>
      <c r="AH85" s="557"/>
      <c r="AI85" s="557"/>
      <c r="AJ85" s="557"/>
      <c r="AK85" s="557"/>
      <c r="AL85" s="557"/>
      <c r="AM85" s="557"/>
      <c r="AN85" s="557"/>
      <c r="AO85" s="557"/>
      <c r="AP85" s="557"/>
      <c r="AQ85" s="557"/>
      <c r="AR85" s="557"/>
      <c r="AS85" s="557"/>
      <c r="AT85" s="557"/>
      <c r="AU85" s="557"/>
      <c r="AV85" s="557"/>
      <c r="AW85" s="557"/>
      <c r="AX85" s="557"/>
      <c r="AY85" s="557"/>
      <c r="AZ85" s="557"/>
      <c r="BA85" s="557"/>
      <c r="BB85" s="557"/>
      <c r="BC85" s="557"/>
      <c r="BD85" s="555"/>
      <c r="BE85" s="592"/>
      <c r="BF85" s="592"/>
      <c r="BG85" s="592"/>
      <c r="BH85" s="592"/>
      <c r="BI85" s="592"/>
      <c r="BJ85" s="592"/>
      <c r="BK85" s="592"/>
      <c r="BL85" s="592"/>
      <c r="BM85" s="592"/>
      <c r="BN85" s="592"/>
      <c r="BO85" s="592"/>
      <c r="BP85" s="592"/>
      <c r="BQ85" s="592"/>
      <c r="BR85" s="592"/>
      <c r="BS85" s="592"/>
      <c r="BT85" s="592"/>
    </row>
    <row r="86" spans="1:72" s="591" customFormat="1" ht="15">
      <c r="A86" s="539"/>
      <c r="B86" s="539"/>
      <c r="C86" s="539"/>
      <c r="D86" s="539"/>
      <c r="E86" s="539"/>
      <c r="F86" s="539"/>
      <c r="G86" s="539"/>
      <c r="H86" s="539"/>
      <c r="I86" s="539"/>
      <c r="J86" s="539"/>
      <c r="K86" s="539"/>
      <c r="L86" s="539"/>
      <c r="M86" s="539"/>
      <c r="N86" s="539"/>
      <c r="O86" s="539"/>
      <c r="P86" s="539"/>
      <c r="Q86" s="539"/>
      <c r="R86" s="539"/>
      <c r="S86" s="557"/>
      <c r="T86" s="557"/>
      <c r="U86" s="557"/>
      <c r="V86" s="557"/>
      <c r="W86" s="539"/>
      <c r="X86" s="539"/>
      <c r="Y86" s="557"/>
      <c r="Z86" s="557"/>
      <c r="AA86" s="539"/>
      <c r="AB86" s="539"/>
      <c r="AC86" s="539"/>
      <c r="AD86" s="557"/>
      <c r="AE86" s="557"/>
      <c r="AF86" s="557"/>
      <c r="AG86" s="557"/>
      <c r="AH86" s="557"/>
      <c r="AI86" s="557"/>
      <c r="AJ86" s="557"/>
      <c r="AK86" s="557"/>
      <c r="AL86" s="557"/>
      <c r="AM86" s="557"/>
      <c r="AN86" s="557"/>
      <c r="AO86" s="557"/>
      <c r="AP86" s="557"/>
      <c r="AQ86" s="557"/>
      <c r="AR86" s="557"/>
      <c r="AS86" s="557"/>
      <c r="AT86" s="557"/>
      <c r="AU86" s="557"/>
      <c r="AV86" s="557"/>
      <c r="AW86" s="557"/>
      <c r="AX86" s="557"/>
      <c r="AY86" s="557"/>
      <c r="AZ86" s="557"/>
      <c r="BA86" s="557"/>
      <c r="BB86" s="557"/>
      <c r="BC86" s="557"/>
      <c r="BD86" s="555"/>
      <c r="BE86" s="592"/>
      <c r="BF86" s="592"/>
      <c r="BG86" s="575"/>
      <c r="BH86" s="575"/>
      <c r="BI86" s="592"/>
      <c r="BJ86" s="592"/>
      <c r="BK86" s="592"/>
      <c r="BL86" s="592"/>
      <c r="BM86" s="592"/>
      <c r="BN86" s="592"/>
      <c r="BO86" s="592"/>
      <c r="BP86" s="592"/>
      <c r="BQ86" s="592"/>
      <c r="BR86" s="592"/>
      <c r="BS86" s="592"/>
      <c r="BT86" s="592"/>
    </row>
    <row r="87" spans="1:72" s="591" customFormat="1" ht="15">
      <c r="A87" s="539"/>
      <c r="B87" s="539"/>
      <c r="C87" s="539"/>
      <c r="D87" s="539"/>
      <c r="E87" s="539"/>
      <c r="F87" s="539"/>
      <c r="G87" s="539"/>
      <c r="H87" s="539"/>
      <c r="I87" s="539"/>
      <c r="J87" s="539"/>
      <c r="K87" s="539"/>
      <c r="L87" s="539"/>
      <c r="M87" s="539"/>
      <c r="N87" s="539"/>
      <c r="O87" s="539"/>
      <c r="P87" s="539"/>
      <c r="Q87" s="539"/>
      <c r="R87" s="539"/>
      <c r="S87" s="557"/>
      <c r="T87" s="557"/>
      <c r="U87" s="557"/>
      <c r="V87" s="557"/>
      <c r="W87" s="539"/>
      <c r="X87" s="539"/>
      <c r="Y87" s="557"/>
      <c r="Z87" s="557"/>
      <c r="AA87" s="539"/>
      <c r="AB87" s="539"/>
      <c r="AC87" s="539"/>
      <c r="AD87" s="557"/>
      <c r="AE87" s="557"/>
      <c r="AF87" s="557"/>
      <c r="AG87" s="557"/>
      <c r="AH87" s="557"/>
      <c r="AI87" s="557"/>
      <c r="AJ87" s="557"/>
      <c r="AK87" s="557"/>
      <c r="AL87" s="557"/>
      <c r="AM87" s="557"/>
      <c r="AN87" s="557"/>
      <c r="AO87" s="557"/>
      <c r="AP87" s="557"/>
      <c r="AQ87" s="557"/>
      <c r="AR87" s="557"/>
      <c r="AS87" s="557"/>
      <c r="AT87" s="557"/>
      <c r="AU87" s="557"/>
      <c r="AV87" s="557"/>
      <c r="AW87" s="557"/>
      <c r="AX87" s="557"/>
      <c r="AY87" s="557"/>
      <c r="AZ87" s="557"/>
      <c r="BA87" s="557"/>
      <c r="BB87" s="557"/>
      <c r="BC87" s="557"/>
      <c r="BD87" s="555"/>
      <c r="BE87" s="592"/>
      <c r="BF87" s="595"/>
      <c r="BG87" s="575"/>
      <c r="BH87" s="575"/>
      <c r="BI87" s="592"/>
      <c r="BJ87" s="592"/>
      <c r="BK87" s="592"/>
      <c r="BL87" s="592"/>
      <c r="BM87" s="592"/>
      <c r="BN87" s="592"/>
      <c r="BO87" s="592"/>
      <c r="BP87" s="592"/>
      <c r="BQ87" s="592"/>
      <c r="BR87" s="592"/>
      <c r="BS87" s="592"/>
      <c r="BT87" s="592"/>
    </row>
    <row r="88" spans="1:72" s="591" customFormat="1" ht="15">
      <c r="A88" s="539"/>
      <c r="B88" s="539"/>
      <c r="C88" s="539"/>
      <c r="D88" s="539"/>
      <c r="E88" s="539"/>
      <c r="F88" s="539"/>
      <c r="G88" s="539"/>
      <c r="H88" s="539"/>
      <c r="I88" s="539"/>
      <c r="J88" s="539"/>
      <c r="K88" s="539"/>
      <c r="L88" s="539"/>
      <c r="M88" s="539"/>
      <c r="N88" s="539"/>
      <c r="O88" s="539"/>
      <c r="P88" s="539"/>
      <c r="Q88" s="539"/>
      <c r="R88" s="539"/>
      <c r="S88" s="557"/>
      <c r="T88" s="557"/>
      <c r="U88" s="557"/>
      <c r="V88" s="557"/>
      <c r="W88" s="539"/>
      <c r="X88" s="539"/>
      <c r="Y88" s="557"/>
      <c r="Z88" s="557"/>
      <c r="AA88" s="539"/>
      <c r="AB88" s="539"/>
      <c r="AC88" s="539"/>
      <c r="AD88" s="557"/>
      <c r="AE88" s="557"/>
      <c r="AF88" s="557"/>
      <c r="AG88" s="557"/>
      <c r="AH88" s="557"/>
      <c r="AI88" s="557"/>
      <c r="AJ88" s="557"/>
      <c r="AK88" s="557"/>
      <c r="AL88" s="557"/>
      <c r="AM88" s="557"/>
      <c r="AN88" s="557"/>
      <c r="AO88" s="557"/>
      <c r="AP88" s="557"/>
      <c r="AQ88" s="557"/>
      <c r="AR88" s="557"/>
      <c r="AS88" s="557"/>
      <c r="AT88" s="557"/>
      <c r="AU88" s="557"/>
      <c r="AV88" s="557"/>
      <c r="AW88" s="557"/>
      <c r="AX88" s="557"/>
      <c r="AY88" s="557"/>
      <c r="AZ88" s="557"/>
      <c r="BA88" s="557"/>
      <c r="BB88" s="557"/>
      <c r="BC88" s="557"/>
      <c r="BD88" s="555"/>
      <c r="BE88" s="592"/>
      <c r="BF88" s="592"/>
      <c r="BG88" s="592"/>
      <c r="BH88" s="592"/>
      <c r="BI88" s="592"/>
      <c r="BJ88" s="592"/>
      <c r="BK88" s="592"/>
      <c r="BL88" s="592"/>
      <c r="BM88" s="592"/>
      <c r="BN88" s="592"/>
      <c r="BO88" s="592"/>
      <c r="BP88" s="592"/>
      <c r="BQ88" s="592"/>
      <c r="BR88" s="592"/>
      <c r="BS88" s="592"/>
      <c r="BT88" s="592"/>
    </row>
    <row r="89" spans="1:72" s="591" customFormat="1" ht="15">
      <c r="A89" s="539"/>
      <c r="B89" s="539"/>
      <c r="C89" s="539"/>
      <c r="D89" s="539"/>
      <c r="E89" s="539"/>
      <c r="F89" s="539"/>
      <c r="G89" s="539"/>
      <c r="H89" s="539"/>
      <c r="I89" s="539"/>
      <c r="J89" s="539"/>
      <c r="K89" s="539"/>
      <c r="L89" s="539"/>
      <c r="M89" s="539"/>
      <c r="N89" s="539"/>
      <c r="O89" s="539"/>
      <c r="P89" s="539"/>
      <c r="Q89" s="539"/>
      <c r="R89" s="539"/>
      <c r="S89" s="557"/>
      <c r="T89" s="557"/>
      <c r="U89" s="557"/>
      <c r="V89" s="557"/>
      <c r="W89" s="539"/>
      <c r="X89" s="539"/>
      <c r="Y89" s="557"/>
      <c r="Z89" s="557"/>
      <c r="AA89" s="539"/>
      <c r="AB89" s="539"/>
      <c r="AC89" s="539"/>
      <c r="AD89" s="557"/>
      <c r="AE89" s="557"/>
      <c r="AF89" s="557"/>
      <c r="AG89" s="557"/>
      <c r="AH89" s="557"/>
      <c r="AI89" s="557"/>
      <c r="AJ89" s="557"/>
      <c r="AK89" s="557"/>
      <c r="AL89" s="557"/>
      <c r="AM89" s="557"/>
      <c r="AN89" s="557"/>
      <c r="AO89" s="557"/>
      <c r="AP89" s="557"/>
      <c r="AQ89" s="557"/>
      <c r="AR89" s="557"/>
      <c r="AS89" s="557"/>
      <c r="AT89" s="557"/>
      <c r="AU89" s="557"/>
      <c r="AV89" s="557"/>
      <c r="AW89" s="557"/>
      <c r="AX89" s="557"/>
      <c r="AY89" s="557"/>
      <c r="AZ89" s="557"/>
      <c r="BA89" s="557"/>
      <c r="BB89" s="557"/>
      <c r="BC89" s="557"/>
      <c r="BD89" s="555"/>
      <c r="BE89" s="592"/>
      <c r="BF89" s="592"/>
      <c r="BG89" s="592"/>
      <c r="BH89" s="592"/>
      <c r="BI89" s="592"/>
      <c r="BJ89" s="592"/>
      <c r="BK89" s="592"/>
      <c r="BL89" s="592"/>
      <c r="BM89" s="592"/>
      <c r="BN89" s="592"/>
      <c r="BO89" s="592"/>
      <c r="BP89" s="592"/>
      <c r="BQ89" s="592"/>
      <c r="BR89" s="592"/>
      <c r="BS89" s="592"/>
      <c r="BT89" s="592"/>
    </row>
    <row r="90" spans="1:72" s="591" customFormat="1" ht="15">
      <c r="A90" s="539"/>
      <c r="B90" s="539"/>
      <c r="C90" s="539"/>
      <c r="D90" s="539"/>
      <c r="E90" s="539"/>
      <c r="F90" s="539"/>
      <c r="G90" s="539"/>
      <c r="H90" s="539"/>
      <c r="I90" s="539"/>
      <c r="J90" s="539"/>
      <c r="K90" s="539"/>
      <c r="L90" s="539"/>
      <c r="M90" s="539"/>
      <c r="N90" s="539"/>
      <c r="O90" s="539"/>
      <c r="P90" s="539"/>
      <c r="Q90" s="539"/>
      <c r="R90" s="539"/>
      <c r="S90" s="557"/>
      <c r="T90" s="557"/>
      <c r="U90" s="557"/>
      <c r="V90" s="557"/>
      <c r="W90" s="539"/>
      <c r="X90" s="539"/>
      <c r="Y90" s="557"/>
      <c r="Z90" s="557"/>
      <c r="AA90" s="539"/>
      <c r="AB90" s="539"/>
      <c r="AC90" s="539"/>
      <c r="AD90" s="557"/>
      <c r="AE90" s="557"/>
      <c r="AF90" s="557"/>
      <c r="AG90" s="557"/>
      <c r="AH90" s="557"/>
      <c r="AI90" s="557"/>
      <c r="AJ90" s="557"/>
      <c r="AK90" s="557"/>
      <c r="AL90" s="557"/>
      <c r="AM90" s="557"/>
      <c r="AN90" s="557"/>
      <c r="AO90" s="557"/>
      <c r="AP90" s="557"/>
      <c r="AQ90" s="557"/>
      <c r="AR90" s="557"/>
      <c r="AS90" s="557"/>
      <c r="AT90" s="557"/>
      <c r="AU90" s="557"/>
      <c r="AV90" s="557"/>
      <c r="AW90" s="557"/>
      <c r="AX90" s="557"/>
      <c r="AY90" s="557"/>
      <c r="AZ90" s="557"/>
      <c r="BA90" s="557"/>
      <c r="BB90" s="557"/>
      <c r="BC90" s="557"/>
      <c r="BD90" s="555"/>
      <c r="BE90" s="592"/>
      <c r="BF90" s="592"/>
      <c r="BG90" s="592"/>
      <c r="BH90" s="592"/>
      <c r="BI90" s="592"/>
      <c r="BJ90" s="592"/>
      <c r="BK90" s="592"/>
      <c r="BL90" s="592"/>
      <c r="BM90" s="592"/>
      <c r="BN90" s="592"/>
      <c r="BO90" s="592"/>
      <c r="BP90" s="592"/>
      <c r="BQ90" s="592"/>
      <c r="BR90" s="592"/>
      <c r="BS90" s="592"/>
      <c r="BT90" s="592"/>
    </row>
    <row r="91" spans="1:72" s="591" customFormat="1" ht="15">
      <c r="A91" s="539"/>
      <c r="B91" s="539"/>
      <c r="C91" s="539"/>
      <c r="D91" s="539"/>
      <c r="E91" s="539"/>
      <c r="F91" s="539"/>
      <c r="G91" s="539"/>
      <c r="H91" s="539"/>
      <c r="I91" s="539"/>
      <c r="J91" s="539"/>
      <c r="K91" s="539"/>
      <c r="L91" s="539"/>
      <c r="M91" s="539"/>
      <c r="N91" s="539"/>
      <c r="O91" s="539"/>
      <c r="P91" s="539"/>
      <c r="Q91" s="539"/>
      <c r="R91" s="539"/>
      <c r="S91" s="557"/>
      <c r="T91" s="557"/>
      <c r="U91" s="557"/>
      <c r="V91" s="557"/>
      <c r="W91" s="539"/>
      <c r="X91" s="539"/>
      <c r="Y91" s="557"/>
      <c r="Z91" s="557"/>
      <c r="AA91" s="539"/>
      <c r="AB91" s="539"/>
      <c r="AC91" s="539"/>
      <c r="AD91" s="557"/>
      <c r="AE91" s="557"/>
      <c r="AF91" s="557"/>
      <c r="AG91" s="557"/>
      <c r="AH91" s="557"/>
      <c r="AI91" s="557"/>
      <c r="AJ91" s="557"/>
      <c r="AK91" s="557"/>
      <c r="AL91" s="557"/>
      <c r="AM91" s="557"/>
      <c r="AN91" s="557"/>
      <c r="AO91" s="557"/>
      <c r="AP91" s="557"/>
      <c r="AQ91" s="557"/>
      <c r="AR91" s="557"/>
      <c r="AS91" s="557"/>
      <c r="AT91" s="557"/>
      <c r="AU91" s="557"/>
      <c r="AV91" s="557"/>
      <c r="AW91" s="557"/>
      <c r="AX91" s="557"/>
      <c r="AY91" s="557"/>
      <c r="AZ91" s="557"/>
      <c r="BA91" s="557"/>
      <c r="BB91" s="557"/>
      <c r="BC91" s="557"/>
      <c r="BD91" s="555"/>
      <c r="BE91" s="592"/>
      <c r="BF91" s="592"/>
      <c r="BG91" s="592"/>
      <c r="BH91" s="592"/>
      <c r="BI91" s="592"/>
      <c r="BJ91" s="592"/>
      <c r="BK91" s="592"/>
      <c r="BL91" s="592"/>
      <c r="BM91" s="592"/>
      <c r="BN91" s="592"/>
      <c r="BO91" s="592"/>
      <c r="BP91" s="592"/>
      <c r="BQ91" s="592"/>
      <c r="BR91" s="592"/>
      <c r="BS91" s="592"/>
      <c r="BT91" s="592"/>
    </row>
    <row r="92" spans="1:72" s="591" customFormat="1" ht="15">
      <c r="A92" s="539"/>
      <c r="B92" s="539"/>
      <c r="C92" s="539"/>
      <c r="D92" s="539"/>
      <c r="E92" s="539"/>
      <c r="F92" s="539"/>
      <c r="G92" s="539"/>
      <c r="H92" s="539"/>
      <c r="I92" s="539"/>
      <c r="J92" s="539"/>
      <c r="K92" s="539"/>
      <c r="L92" s="539"/>
      <c r="M92" s="539"/>
      <c r="N92" s="539"/>
      <c r="O92" s="539"/>
      <c r="P92" s="539"/>
      <c r="Q92" s="539"/>
      <c r="R92" s="539"/>
      <c r="S92" s="557"/>
      <c r="T92" s="557"/>
      <c r="U92" s="557"/>
      <c r="V92" s="557"/>
      <c r="W92" s="539"/>
      <c r="X92" s="539"/>
      <c r="Y92" s="557"/>
      <c r="Z92" s="557"/>
      <c r="AA92" s="539"/>
      <c r="AB92" s="539"/>
      <c r="AC92" s="539"/>
      <c r="AD92" s="557"/>
      <c r="AE92" s="557"/>
      <c r="AF92" s="557"/>
      <c r="AG92" s="557"/>
      <c r="AH92" s="557"/>
      <c r="AI92" s="557"/>
      <c r="AJ92" s="557"/>
      <c r="AK92" s="557"/>
      <c r="AL92" s="557"/>
      <c r="AM92" s="557"/>
      <c r="AN92" s="557"/>
      <c r="AO92" s="557"/>
      <c r="AP92" s="557"/>
      <c r="AQ92" s="557"/>
      <c r="AR92" s="557"/>
      <c r="AS92" s="557"/>
      <c r="AT92" s="557"/>
      <c r="AU92" s="557"/>
      <c r="AV92" s="557"/>
      <c r="AW92" s="557"/>
      <c r="AX92" s="557"/>
      <c r="AY92" s="557"/>
      <c r="AZ92" s="557"/>
      <c r="BA92" s="557"/>
      <c r="BB92" s="557"/>
      <c r="BC92" s="557"/>
      <c r="BD92" s="555"/>
      <c r="BE92" s="592"/>
      <c r="BF92" s="592"/>
      <c r="BG92" s="592"/>
      <c r="BH92" s="592"/>
      <c r="BI92" s="592"/>
      <c r="BJ92" s="592"/>
      <c r="BK92" s="592"/>
      <c r="BL92" s="592"/>
      <c r="BM92" s="592"/>
      <c r="BN92" s="592"/>
      <c r="BO92" s="592"/>
      <c r="BP92" s="592"/>
      <c r="BQ92" s="592"/>
      <c r="BR92" s="592"/>
      <c r="BS92" s="592"/>
      <c r="BT92" s="592"/>
    </row>
    <row r="93" spans="1:72" s="591" customFormat="1" ht="15">
      <c r="A93" s="539"/>
      <c r="B93" s="539"/>
      <c r="C93" s="539"/>
      <c r="D93" s="539"/>
      <c r="E93" s="539"/>
      <c r="F93" s="539"/>
      <c r="G93" s="539"/>
      <c r="H93" s="539"/>
      <c r="I93" s="539"/>
      <c r="J93" s="539"/>
      <c r="K93" s="539"/>
      <c r="L93" s="539"/>
      <c r="M93" s="539"/>
      <c r="N93" s="539"/>
      <c r="O93" s="539"/>
      <c r="P93" s="539"/>
      <c r="Q93" s="539"/>
      <c r="R93" s="539"/>
      <c r="S93" s="557"/>
      <c r="T93" s="557"/>
      <c r="U93" s="557"/>
      <c r="V93" s="557"/>
      <c r="W93" s="539"/>
      <c r="X93" s="539"/>
      <c r="Y93" s="557"/>
      <c r="Z93" s="557"/>
      <c r="AA93" s="539"/>
      <c r="AB93" s="539"/>
      <c r="AC93" s="539"/>
      <c r="AD93" s="557"/>
      <c r="AE93" s="557"/>
      <c r="AF93" s="557"/>
      <c r="AG93" s="557"/>
      <c r="AH93" s="557"/>
      <c r="AI93" s="557"/>
      <c r="AJ93" s="557"/>
      <c r="AK93" s="557"/>
      <c r="AL93" s="557"/>
      <c r="AM93" s="557"/>
      <c r="AN93" s="557"/>
      <c r="AO93" s="557"/>
      <c r="AP93" s="557"/>
      <c r="AQ93" s="557"/>
      <c r="AR93" s="557"/>
      <c r="AS93" s="557"/>
      <c r="AT93" s="557"/>
      <c r="AU93" s="557"/>
      <c r="AV93" s="557"/>
      <c r="AW93" s="557"/>
      <c r="AX93" s="557"/>
      <c r="AY93" s="557"/>
      <c r="AZ93" s="557"/>
      <c r="BA93" s="557"/>
      <c r="BB93" s="557"/>
      <c r="BC93" s="557"/>
      <c r="BD93" s="555"/>
      <c r="BE93" s="592"/>
      <c r="BF93" s="592"/>
      <c r="BG93" s="592"/>
      <c r="BH93" s="592"/>
      <c r="BI93" s="592"/>
      <c r="BJ93" s="592"/>
      <c r="BK93" s="592"/>
      <c r="BL93" s="592"/>
      <c r="BM93" s="592"/>
      <c r="BN93" s="592"/>
      <c r="BO93" s="592"/>
      <c r="BP93" s="592"/>
      <c r="BQ93" s="592"/>
      <c r="BR93" s="592"/>
      <c r="BS93" s="592"/>
      <c r="BT93" s="592"/>
    </row>
    <row r="94" spans="1:72" s="591" customFormat="1" ht="15">
      <c r="A94" s="539"/>
      <c r="B94" s="539"/>
      <c r="C94" s="539"/>
      <c r="D94" s="539"/>
      <c r="E94" s="539"/>
      <c r="F94" s="539"/>
      <c r="G94" s="539"/>
      <c r="H94" s="539"/>
      <c r="I94" s="539"/>
      <c r="J94" s="539"/>
      <c r="K94" s="539"/>
      <c r="L94" s="539"/>
      <c r="M94" s="539"/>
      <c r="N94" s="539"/>
      <c r="O94" s="539"/>
      <c r="P94" s="539"/>
      <c r="Q94" s="539"/>
      <c r="R94" s="539"/>
      <c r="S94" s="557"/>
      <c r="T94" s="557"/>
      <c r="U94" s="557"/>
      <c r="V94" s="557"/>
      <c r="W94" s="539"/>
      <c r="X94" s="539"/>
      <c r="Y94" s="557"/>
      <c r="Z94" s="557"/>
      <c r="AA94" s="539"/>
      <c r="AB94" s="539"/>
      <c r="AC94" s="539"/>
      <c r="AD94" s="557"/>
      <c r="AE94" s="557"/>
      <c r="AF94" s="557"/>
      <c r="AG94" s="557"/>
      <c r="AH94" s="557"/>
      <c r="AI94" s="557"/>
      <c r="AJ94" s="557"/>
      <c r="AK94" s="557"/>
      <c r="AL94" s="557"/>
      <c r="AM94" s="557"/>
      <c r="AN94" s="557"/>
      <c r="AO94" s="557"/>
      <c r="AP94" s="557"/>
      <c r="AQ94" s="557"/>
      <c r="AR94" s="557"/>
      <c r="AS94" s="557"/>
      <c r="AT94" s="557"/>
      <c r="AU94" s="557"/>
      <c r="AV94" s="557"/>
      <c r="AW94" s="557"/>
      <c r="AX94" s="557"/>
      <c r="AY94" s="557"/>
      <c r="AZ94" s="557"/>
      <c r="BA94" s="557"/>
      <c r="BB94" s="557"/>
      <c r="BC94" s="557"/>
      <c r="BD94" s="555"/>
      <c r="BE94" s="592"/>
      <c r="BF94" s="592"/>
      <c r="BG94" s="592"/>
      <c r="BH94" s="592"/>
      <c r="BI94" s="592"/>
      <c r="BJ94" s="592"/>
      <c r="BK94" s="592"/>
      <c r="BL94" s="592"/>
      <c r="BM94" s="592"/>
      <c r="BN94" s="592"/>
      <c r="BO94" s="592"/>
      <c r="BP94" s="592"/>
      <c r="BQ94" s="592"/>
      <c r="BR94" s="592"/>
      <c r="BS94" s="592"/>
      <c r="BT94" s="592"/>
    </row>
    <row r="95" spans="1:72" s="591" customFormat="1" ht="15">
      <c r="A95" s="539"/>
      <c r="B95" s="539"/>
      <c r="C95" s="539"/>
      <c r="D95" s="539"/>
      <c r="E95" s="539"/>
      <c r="F95" s="539"/>
      <c r="G95" s="539"/>
      <c r="H95" s="539"/>
      <c r="I95" s="539"/>
      <c r="J95" s="539"/>
      <c r="K95" s="539"/>
      <c r="L95" s="539"/>
      <c r="M95" s="539"/>
      <c r="N95" s="539"/>
      <c r="O95" s="539"/>
      <c r="P95" s="539"/>
      <c r="Q95" s="539"/>
      <c r="R95" s="539"/>
      <c r="S95" s="557"/>
      <c r="T95" s="557"/>
      <c r="U95" s="557"/>
      <c r="V95" s="557"/>
      <c r="W95" s="539"/>
      <c r="X95" s="539"/>
      <c r="Y95" s="557"/>
      <c r="Z95" s="557"/>
      <c r="AA95" s="539"/>
      <c r="AB95" s="539"/>
      <c r="AC95" s="539"/>
      <c r="AD95" s="557"/>
      <c r="AE95" s="557"/>
      <c r="AF95" s="557"/>
      <c r="AG95" s="557"/>
      <c r="AH95" s="557"/>
      <c r="AI95" s="557"/>
      <c r="AJ95" s="557"/>
      <c r="AK95" s="557"/>
      <c r="AL95" s="557"/>
      <c r="AM95" s="557"/>
      <c r="AN95" s="557"/>
      <c r="AO95" s="557"/>
      <c r="AP95" s="557"/>
      <c r="AQ95" s="557"/>
      <c r="AR95" s="557"/>
      <c r="AS95" s="557"/>
      <c r="AT95" s="557"/>
      <c r="AU95" s="557"/>
      <c r="AV95" s="557"/>
      <c r="AW95" s="557"/>
      <c r="AX95" s="557"/>
      <c r="AY95" s="557"/>
      <c r="AZ95" s="557"/>
      <c r="BA95" s="557"/>
      <c r="BB95" s="557"/>
      <c r="BC95" s="557"/>
      <c r="BD95" s="555"/>
      <c r="BE95" s="592"/>
      <c r="BF95" s="592"/>
      <c r="BG95" s="592"/>
      <c r="BH95" s="592"/>
      <c r="BI95" s="592"/>
      <c r="BJ95" s="592"/>
      <c r="BK95" s="592"/>
      <c r="BL95" s="592"/>
      <c r="BM95" s="592"/>
      <c r="BN95" s="592"/>
      <c r="BO95" s="592"/>
      <c r="BP95" s="592"/>
      <c r="BQ95" s="592"/>
      <c r="BR95" s="592"/>
      <c r="BS95" s="592"/>
      <c r="BT95" s="592"/>
    </row>
    <row r="96" spans="1:72" s="591" customFormat="1" ht="15">
      <c r="A96" s="539"/>
      <c r="B96" s="539"/>
      <c r="C96" s="539"/>
      <c r="D96" s="539"/>
      <c r="E96" s="539"/>
      <c r="F96" s="539"/>
      <c r="G96" s="539"/>
      <c r="H96" s="539"/>
      <c r="I96" s="539"/>
      <c r="J96" s="539"/>
      <c r="K96" s="539"/>
      <c r="L96" s="539"/>
      <c r="M96" s="539"/>
      <c r="N96" s="539"/>
      <c r="O96" s="539"/>
      <c r="P96" s="539"/>
      <c r="Q96" s="539"/>
      <c r="R96" s="539"/>
      <c r="S96" s="557"/>
      <c r="T96" s="557"/>
      <c r="U96" s="557"/>
      <c r="V96" s="557"/>
      <c r="W96" s="539"/>
      <c r="X96" s="539"/>
      <c r="Y96" s="557"/>
      <c r="Z96" s="557"/>
      <c r="AA96" s="539"/>
      <c r="AB96" s="539"/>
      <c r="AC96" s="539"/>
      <c r="AD96" s="557"/>
      <c r="AE96" s="557"/>
      <c r="AF96" s="557"/>
      <c r="AG96" s="557"/>
      <c r="AH96" s="557"/>
      <c r="AI96" s="557"/>
      <c r="AJ96" s="557"/>
      <c r="AK96" s="557"/>
      <c r="AL96" s="557"/>
      <c r="AM96" s="557"/>
      <c r="AN96" s="557"/>
      <c r="AO96" s="557"/>
      <c r="AP96" s="557"/>
      <c r="AQ96" s="557"/>
      <c r="AR96" s="557"/>
      <c r="AS96" s="557"/>
      <c r="AT96" s="557"/>
      <c r="AU96" s="557"/>
      <c r="AV96" s="557"/>
      <c r="AW96" s="557"/>
      <c r="AX96" s="557"/>
      <c r="AY96" s="557"/>
      <c r="AZ96" s="557"/>
      <c r="BA96" s="557"/>
      <c r="BB96" s="557"/>
      <c r="BC96" s="557"/>
      <c r="BD96" s="555"/>
      <c r="BE96" s="592"/>
      <c r="BF96" s="592"/>
      <c r="BG96" s="592"/>
      <c r="BH96" s="592"/>
      <c r="BI96" s="592"/>
      <c r="BJ96" s="592"/>
      <c r="BK96" s="592"/>
      <c r="BL96" s="592"/>
      <c r="BM96" s="592"/>
      <c r="BN96" s="592"/>
      <c r="BO96" s="592"/>
      <c r="BP96" s="592"/>
      <c r="BQ96" s="592"/>
      <c r="BR96" s="592"/>
      <c r="BS96" s="592"/>
      <c r="BT96" s="592"/>
    </row>
    <row r="97" spans="1:72" s="591" customFormat="1" ht="15">
      <c r="A97" s="539"/>
      <c r="B97" s="539"/>
      <c r="C97" s="539"/>
      <c r="D97" s="539"/>
      <c r="E97" s="539"/>
      <c r="F97" s="539"/>
      <c r="G97" s="539"/>
      <c r="H97" s="539"/>
      <c r="I97" s="539"/>
      <c r="J97" s="539"/>
      <c r="K97" s="539"/>
      <c r="L97" s="539"/>
      <c r="M97" s="539"/>
      <c r="N97" s="539"/>
      <c r="O97" s="539"/>
      <c r="P97" s="539"/>
      <c r="Q97" s="539"/>
      <c r="R97" s="539"/>
      <c r="S97" s="557"/>
      <c r="T97" s="557"/>
      <c r="U97" s="557"/>
      <c r="V97" s="557"/>
      <c r="W97" s="539"/>
      <c r="X97" s="539"/>
      <c r="Y97" s="557"/>
      <c r="Z97" s="557"/>
      <c r="AA97" s="539"/>
      <c r="AB97" s="539"/>
      <c r="AC97" s="539"/>
      <c r="AD97" s="557"/>
      <c r="AE97" s="557"/>
      <c r="AF97" s="557"/>
      <c r="AG97" s="557"/>
      <c r="AH97" s="557"/>
      <c r="AI97" s="557"/>
      <c r="AJ97" s="557"/>
      <c r="AK97" s="557"/>
      <c r="AL97" s="557"/>
      <c r="AM97" s="557"/>
      <c r="AN97" s="557"/>
      <c r="AO97" s="557"/>
      <c r="AP97" s="557"/>
      <c r="AQ97" s="557"/>
      <c r="AR97" s="557"/>
      <c r="AS97" s="557"/>
      <c r="AT97" s="557"/>
      <c r="AU97" s="557"/>
      <c r="AV97" s="557"/>
      <c r="AW97" s="557"/>
      <c r="AX97" s="557"/>
      <c r="AY97" s="557"/>
      <c r="AZ97" s="557"/>
      <c r="BA97" s="557"/>
      <c r="BB97" s="557"/>
      <c r="BC97" s="557"/>
      <c r="BD97" s="555"/>
      <c r="BE97" s="592"/>
      <c r="BF97" s="592"/>
      <c r="BG97" s="592"/>
      <c r="BH97" s="592"/>
      <c r="BI97" s="592"/>
      <c r="BJ97" s="592"/>
      <c r="BK97" s="592"/>
      <c r="BL97" s="592"/>
      <c r="BM97" s="592"/>
      <c r="BN97" s="592"/>
      <c r="BO97" s="592"/>
      <c r="BP97" s="592"/>
      <c r="BQ97" s="592"/>
      <c r="BR97" s="592"/>
      <c r="BS97" s="592"/>
      <c r="BT97" s="592"/>
    </row>
    <row r="98" spans="1:72" s="591" customFormat="1" ht="15">
      <c r="A98" s="539"/>
      <c r="B98" s="539"/>
      <c r="C98" s="539"/>
      <c r="D98" s="539"/>
      <c r="E98" s="539"/>
      <c r="F98" s="539"/>
      <c r="G98" s="539"/>
      <c r="H98" s="539"/>
      <c r="I98" s="539"/>
      <c r="J98" s="539"/>
      <c r="K98" s="539"/>
      <c r="L98" s="539"/>
      <c r="M98" s="539"/>
      <c r="N98" s="539"/>
      <c r="O98" s="539"/>
      <c r="P98" s="539"/>
      <c r="Q98" s="539"/>
      <c r="R98" s="539"/>
      <c r="S98" s="557"/>
      <c r="T98" s="557"/>
      <c r="U98" s="557"/>
      <c r="V98" s="557"/>
      <c r="W98" s="539"/>
      <c r="X98" s="539"/>
      <c r="Y98" s="557"/>
      <c r="Z98" s="557"/>
      <c r="AA98" s="539"/>
      <c r="AB98" s="539"/>
      <c r="AC98" s="539"/>
      <c r="AD98" s="557"/>
      <c r="AE98" s="557"/>
      <c r="AF98" s="557"/>
      <c r="AG98" s="557"/>
      <c r="AH98" s="557"/>
      <c r="AI98" s="557"/>
      <c r="AJ98" s="557"/>
      <c r="AK98" s="557"/>
      <c r="AL98" s="557"/>
      <c r="AM98" s="557"/>
      <c r="AN98" s="557"/>
      <c r="AO98" s="557"/>
      <c r="AP98" s="557"/>
      <c r="AQ98" s="557"/>
      <c r="AR98" s="557"/>
      <c r="AS98" s="557"/>
      <c r="AT98" s="557"/>
      <c r="AU98" s="557"/>
      <c r="AV98" s="557"/>
      <c r="AW98" s="557"/>
      <c r="AX98" s="557"/>
      <c r="AY98" s="557"/>
      <c r="AZ98" s="557"/>
      <c r="BA98" s="557"/>
      <c r="BB98" s="557"/>
      <c r="BC98" s="557"/>
      <c r="BD98" s="555"/>
      <c r="BE98" s="592"/>
      <c r="BF98" s="592"/>
      <c r="BG98" s="575"/>
      <c r="BH98" s="575"/>
      <c r="BI98" s="592"/>
      <c r="BJ98" s="592"/>
      <c r="BK98" s="592"/>
      <c r="BL98" s="592"/>
      <c r="BM98" s="592"/>
      <c r="BN98" s="592"/>
      <c r="BO98" s="592"/>
      <c r="BP98" s="592"/>
      <c r="BQ98" s="592"/>
      <c r="BR98" s="592"/>
      <c r="BS98" s="592"/>
      <c r="BT98" s="592"/>
    </row>
    <row r="99" spans="1:72" s="591" customFormat="1" ht="15">
      <c r="A99" s="539"/>
      <c r="B99" s="539"/>
      <c r="C99" s="539"/>
      <c r="D99" s="539"/>
      <c r="E99" s="539"/>
      <c r="F99" s="539"/>
      <c r="G99" s="539"/>
      <c r="H99" s="539"/>
      <c r="I99" s="539"/>
      <c r="J99" s="539"/>
      <c r="K99" s="539"/>
      <c r="L99" s="539"/>
      <c r="M99" s="539"/>
      <c r="N99" s="539"/>
      <c r="O99" s="539"/>
      <c r="P99" s="539"/>
      <c r="Q99" s="539"/>
      <c r="R99" s="539"/>
      <c r="S99" s="557"/>
      <c r="T99" s="557"/>
      <c r="U99" s="557"/>
      <c r="V99" s="557"/>
      <c r="W99" s="539"/>
      <c r="X99" s="539"/>
      <c r="Y99" s="557"/>
      <c r="Z99" s="557"/>
      <c r="AA99" s="539"/>
      <c r="AB99" s="539"/>
      <c r="AC99" s="539"/>
      <c r="AD99" s="557"/>
      <c r="AE99" s="557"/>
      <c r="AF99" s="557"/>
      <c r="AG99" s="557"/>
      <c r="AH99" s="557"/>
      <c r="AI99" s="557"/>
      <c r="AJ99" s="557"/>
      <c r="AK99" s="557"/>
      <c r="AL99" s="557"/>
      <c r="AM99" s="557"/>
      <c r="AN99" s="557"/>
      <c r="AO99" s="557"/>
      <c r="AP99" s="557"/>
      <c r="AQ99" s="557"/>
      <c r="AR99" s="557"/>
      <c r="AS99" s="557"/>
      <c r="AT99" s="557"/>
      <c r="AU99" s="557"/>
      <c r="AV99" s="557"/>
      <c r="AW99" s="557"/>
      <c r="AX99" s="557"/>
      <c r="AY99" s="557"/>
      <c r="AZ99" s="557"/>
      <c r="BA99" s="557"/>
      <c r="BB99" s="557"/>
      <c r="BC99" s="557"/>
      <c r="BD99" s="555"/>
      <c r="BE99" s="592"/>
      <c r="BF99" s="595"/>
      <c r="BG99" s="575"/>
      <c r="BH99" s="592"/>
      <c r="BI99" s="592"/>
      <c r="BJ99" s="592"/>
      <c r="BK99" s="592"/>
      <c r="BL99" s="592"/>
      <c r="BM99" s="592"/>
      <c r="BN99" s="592"/>
      <c r="BO99" s="592"/>
      <c r="BP99" s="592"/>
      <c r="BQ99" s="592"/>
      <c r="BR99" s="592"/>
      <c r="BS99" s="592"/>
      <c r="BT99" s="592"/>
    </row>
    <row r="100" spans="1:72" s="591" customFormat="1" ht="15">
      <c r="A100" s="539"/>
      <c r="B100" s="539"/>
      <c r="C100" s="539"/>
      <c r="D100" s="539"/>
      <c r="E100" s="539"/>
      <c r="F100" s="539"/>
      <c r="G100" s="539"/>
      <c r="H100" s="539"/>
      <c r="I100" s="539"/>
      <c r="J100" s="539"/>
      <c r="K100" s="539"/>
      <c r="L100" s="539"/>
      <c r="M100" s="539"/>
      <c r="N100" s="539"/>
      <c r="O100" s="539"/>
      <c r="P100" s="539"/>
      <c r="Q100" s="539"/>
      <c r="R100" s="539"/>
      <c r="S100" s="557"/>
      <c r="T100" s="557"/>
      <c r="U100" s="557"/>
      <c r="V100" s="557"/>
      <c r="W100" s="539"/>
      <c r="X100" s="539"/>
      <c r="Y100" s="557"/>
      <c r="Z100" s="557"/>
      <c r="AA100" s="539"/>
      <c r="AB100" s="539"/>
      <c r="AC100" s="539"/>
      <c r="AD100" s="557"/>
      <c r="AE100" s="557"/>
      <c r="AF100" s="557"/>
      <c r="AG100" s="557"/>
      <c r="AH100" s="557"/>
      <c r="AI100" s="557"/>
      <c r="AJ100" s="557"/>
      <c r="AK100" s="557"/>
      <c r="AL100" s="557"/>
      <c r="AM100" s="557"/>
      <c r="AN100" s="557"/>
      <c r="AO100" s="557"/>
      <c r="AP100" s="557"/>
      <c r="AQ100" s="557"/>
      <c r="AR100" s="557"/>
      <c r="AS100" s="557"/>
      <c r="AT100" s="557"/>
      <c r="AU100" s="557"/>
      <c r="AV100" s="557"/>
      <c r="AW100" s="557"/>
      <c r="AX100" s="557"/>
      <c r="AY100" s="557"/>
      <c r="AZ100" s="557"/>
      <c r="BA100" s="557"/>
      <c r="BB100" s="557"/>
      <c r="BC100" s="557"/>
      <c r="BD100" s="555"/>
      <c r="BE100" s="592"/>
      <c r="BF100" s="592"/>
      <c r="BG100" s="592"/>
      <c r="BH100" s="592"/>
      <c r="BI100" s="592"/>
      <c r="BJ100" s="592"/>
      <c r="BK100" s="592"/>
      <c r="BL100" s="592"/>
      <c r="BM100" s="592"/>
      <c r="BN100" s="592"/>
      <c r="BO100" s="592"/>
      <c r="BP100" s="592"/>
      <c r="BQ100" s="592"/>
      <c r="BR100" s="592"/>
      <c r="BS100" s="592"/>
      <c r="BT100" s="592"/>
    </row>
    <row r="101" spans="1:72" s="591" customFormat="1" ht="15">
      <c r="A101" s="539"/>
      <c r="B101" s="539"/>
      <c r="C101" s="539"/>
      <c r="D101" s="539"/>
      <c r="E101" s="539"/>
      <c r="F101" s="539"/>
      <c r="G101" s="539"/>
      <c r="H101" s="539"/>
      <c r="I101" s="539"/>
      <c r="J101" s="539"/>
      <c r="K101" s="539"/>
      <c r="L101" s="539"/>
      <c r="M101" s="539"/>
      <c r="N101" s="539"/>
      <c r="O101" s="539"/>
      <c r="P101" s="539"/>
      <c r="Q101" s="539"/>
      <c r="R101" s="539"/>
      <c r="S101" s="557"/>
      <c r="T101" s="557"/>
      <c r="U101" s="557"/>
      <c r="V101" s="557"/>
      <c r="W101" s="539"/>
      <c r="X101" s="539"/>
      <c r="Y101" s="557"/>
      <c r="Z101" s="557"/>
      <c r="AA101" s="539"/>
      <c r="AB101" s="539"/>
      <c r="AC101" s="539"/>
      <c r="AD101" s="557"/>
      <c r="AE101" s="557"/>
      <c r="AF101" s="557"/>
      <c r="AG101" s="557"/>
      <c r="AH101" s="557"/>
      <c r="AI101" s="557"/>
      <c r="AJ101" s="557"/>
      <c r="AK101" s="557"/>
      <c r="AL101" s="557"/>
      <c r="AM101" s="557"/>
      <c r="AN101" s="557"/>
      <c r="AO101" s="557"/>
      <c r="AP101" s="557"/>
      <c r="AQ101" s="557"/>
      <c r="AR101" s="557"/>
      <c r="AS101" s="557"/>
      <c r="AT101" s="557"/>
      <c r="AU101" s="557"/>
      <c r="AV101" s="557"/>
      <c r="AW101" s="557"/>
      <c r="AX101" s="557"/>
      <c r="AY101" s="557"/>
      <c r="AZ101" s="557"/>
      <c r="BA101" s="557"/>
      <c r="BB101" s="557"/>
      <c r="BC101" s="557"/>
      <c r="BD101" s="555"/>
      <c r="BE101" s="592"/>
      <c r="BF101" s="592"/>
      <c r="BG101" s="592"/>
      <c r="BH101" s="592"/>
      <c r="BI101" s="592"/>
      <c r="BJ101" s="592"/>
      <c r="BK101" s="592"/>
      <c r="BL101" s="592"/>
      <c r="BM101" s="592"/>
      <c r="BN101" s="592"/>
      <c r="BO101" s="592"/>
      <c r="BP101" s="592"/>
      <c r="BQ101" s="592"/>
      <c r="BR101" s="592"/>
      <c r="BS101" s="592"/>
      <c r="BT101" s="592"/>
    </row>
    <row r="102" spans="1:72" s="591" customFormat="1" ht="15">
      <c r="A102" s="539"/>
      <c r="B102" s="539"/>
      <c r="C102" s="539"/>
      <c r="D102" s="539"/>
      <c r="E102" s="539"/>
      <c r="F102" s="539"/>
      <c r="G102" s="539"/>
      <c r="H102" s="539"/>
      <c r="I102" s="539"/>
      <c r="J102" s="539"/>
      <c r="K102" s="539"/>
      <c r="L102" s="539"/>
      <c r="M102" s="539"/>
      <c r="N102" s="539"/>
      <c r="O102" s="539"/>
      <c r="P102" s="539"/>
      <c r="Q102" s="539"/>
      <c r="R102" s="539"/>
      <c r="S102" s="557"/>
      <c r="T102" s="557"/>
      <c r="U102" s="557"/>
      <c r="V102" s="557"/>
      <c r="W102" s="539"/>
      <c r="X102" s="539"/>
      <c r="Y102" s="557"/>
      <c r="Z102" s="557"/>
      <c r="AA102" s="539"/>
      <c r="AB102" s="539"/>
      <c r="AC102" s="539"/>
      <c r="AD102" s="557"/>
      <c r="AE102" s="557"/>
      <c r="AF102" s="557"/>
      <c r="AG102" s="557"/>
      <c r="AH102" s="557"/>
      <c r="AI102" s="557"/>
      <c r="AJ102" s="557"/>
      <c r="AK102" s="557"/>
      <c r="AL102" s="557"/>
      <c r="AM102" s="557"/>
      <c r="AN102" s="557"/>
      <c r="AO102" s="557"/>
      <c r="AP102" s="557"/>
      <c r="AQ102" s="557"/>
      <c r="AR102" s="557"/>
      <c r="AS102" s="557"/>
      <c r="AT102" s="557"/>
      <c r="AU102" s="557"/>
      <c r="AV102" s="557"/>
      <c r="AW102" s="557"/>
      <c r="AX102" s="557"/>
      <c r="AY102" s="557"/>
      <c r="AZ102" s="557"/>
      <c r="BA102" s="557"/>
      <c r="BB102" s="557"/>
      <c r="BC102" s="557"/>
      <c r="BD102" s="555"/>
      <c r="BE102" s="592"/>
      <c r="BF102" s="592"/>
      <c r="BG102" s="592"/>
      <c r="BH102" s="592"/>
      <c r="BI102" s="592"/>
      <c r="BJ102" s="592"/>
      <c r="BK102" s="592"/>
      <c r="BL102" s="592"/>
      <c r="BM102" s="592"/>
      <c r="BN102" s="592"/>
      <c r="BO102" s="592"/>
      <c r="BP102" s="592"/>
      <c r="BQ102" s="592"/>
      <c r="BR102" s="592"/>
      <c r="BS102" s="592"/>
      <c r="BT102" s="592"/>
    </row>
    <row r="103" spans="1:72" s="591" customFormat="1" ht="15">
      <c r="A103" s="539"/>
      <c r="B103" s="539"/>
      <c r="C103" s="539"/>
      <c r="D103" s="539"/>
      <c r="E103" s="539"/>
      <c r="F103" s="539"/>
      <c r="G103" s="539"/>
      <c r="H103" s="539"/>
      <c r="I103" s="539"/>
      <c r="J103" s="539"/>
      <c r="K103" s="539"/>
      <c r="L103" s="539"/>
      <c r="M103" s="539"/>
      <c r="N103" s="539"/>
      <c r="O103" s="539"/>
      <c r="P103" s="539"/>
      <c r="Q103" s="539"/>
      <c r="R103" s="539"/>
      <c r="S103" s="557"/>
      <c r="T103" s="557"/>
      <c r="U103" s="557"/>
      <c r="V103" s="557"/>
      <c r="W103" s="539"/>
      <c r="X103" s="539"/>
      <c r="Y103" s="557"/>
      <c r="Z103" s="557"/>
      <c r="AA103" s="539"/>
      <c r="AB103" s="539"/>
      <c r="AC103" s="539"/>
      <c r="AD103" s="557"/>
      <c r="AE103" s="557"/>
      <c r="AF103" s="557"/>
      <c r="AG103" s="557"/>
      <c r="AH103" s="557"/>
      <c r="AI103" s="557"/>
      <c r="AJ103" s="557"/>
      <c r="AK103" s="557"/>
      <c r="AL103" s="557"/>
      <c r="AM103" s="557"/>
      <c r="AN103" s="557"/>
      <c r="AO103" s="557"/>
      <c r="AP103" s="557"/>
      <c r="AQ103" s="557"/>
      <c r="AR103" s="557"/>
      <c r="AS103" s="557"/>
      <c r="AT103" s="557"/>
      <c r="AU103" s="557"/>
      <c r="AV103" s="557"/>
      <c r="AW103" s="557"/>
      <c r="AX103" s="557"/>
      <c r="AY103" s="557"/>
      <c r="AZ103" s="557"/>
      <c r="BA103" s="557"/>
      <c r="BB103" s="557"/>
      <c r="BC103" s="557"/>
      <c r="BD103" s="555"/>
      <c r="BE103" s="592"/>
      <c r="BF103" s="592"/>
      <c r="BG103" s="592"/>
      <c r="BH103" s="592"/>
      <c r="BI103" s="592"/>
      <c r="BJ103" s="592"/>
      <c r="BK103" s="592"/>
      <c r="BL103" s="592"/>
      <c r="BM103" s="592"/>
      <c r="BN103" s="592"/>
      <c r="BO103" s="592"/>
      <c r="BP103" s="592"/>
      <c r="BQ103" s="592"/>
      <c r="BR103" s="592"/>
      <c r="BS103" s="592"/>
      <c r="BT103" s="592"/>
    </row>
    <row r="104" spans="1:72" s="591" customFormat="1" ht="15">
      <c r="A104" s="539"/>
      <c r="B104" s="539"/>
      <c r="C104" s="539"/>
      <c r="D104" s="539"/>
      <c r="E104" s="539"/>
      <c r="F104" s="539"/>
      <c r="G104" s="539"/>
      <c r="H104" s="539"/>
      <c r="I104" s="539"/>
      <c r="J104" s="539"/>
      <c r="K104" s="539"/>
      <c r="L104" s="539"/>
      <c r="M104" s="539"/>
      <c r="N104" s="539"/>
      <c r="O104" s="539"/>
      <c r="P104" s="539"/>
      <c r="Q104" s="539"/>
      <c r="R104" s="539"/>
      <c r="S104" s="557"/>
      <c r="T104" s="557"/>
      <c r="U104" s="557"/>
      <c r="V104" s="557"/>
      <c r="W104" s="539"/>
      <c r="X104" s="539"/>
      <c r="Y104" s="557"/>
      <c r="Z104" s="557"/>
      <c r="AA104" s="539"/>
      <c r="AB104" s="539"/>
      <c r="AC104" s="539"/>
      <c r="AD104" s="557"/>
      <c r="AE104" s="557"/>
      <c r="AF104" s="557"/>
      <c r="AG104" s="557"/>
      <c r="AH104" s="557"/>
      <c r="AI104" s="557"/>
      <c r="AJ104" s="557"/>
      <c r="AK104" s="557"/>
      <c r="AL104" s="557"/>
      <c r="AM104" s="557"/>
      <c r="AN104" s="557"/>
      <c r="AO104" s="557"/>
      <c r="AP104" s="557"/>
      <c r="AQ104" s="557"/>
      <c r="AR104" s="557"/>
      <c r="AS104" s="557"/>
      <c r="AT104" s="557"/>
      <c r="AU104" s="557"/>
      <c r="AV104" s="557"/>
      <c r="AW104" s="557"/>
      <c r="AX104" s="557"/>
      <c r="AY104" s="557"/>
      <c r="AZ104" s="557"/>
      <c r="BA104" s="557"/>
      <c r="BB104" s="557"/>
      <c r="BC104" s="557"/>
      <c r="BD104" s="555"/>
      <c r="BE104" s="592"/>
      <c r="BF104" s="592"/>
      <c r="BG104" s="592"/>
      <c r="BH104" s="592"/>
      <c r="BI104" s="592"/>
      <c r="BJ104" s="592"/>
      <c r="BK104" s="592"/>
      <c r="BL104" s="592"/>
      <c r="BM104" s="592"/>
      <c r="BN104" s="592"/>
      <c r="BO104" s="592"/>
      <c r="BP104" s="592"/>
      <c r="BQ104" s="592"/>
      <c r="BR104" s="592"/>
      <c r="BS104" s="592"/>
      <c r="BT104" s="592"/>
    </row>
    <row r="105" spans="1:72" s="591" customFormat="1" ht="15">
      <c r="A105" s="539"/>
      <c r="B105" s="539"/>
      <c r="C105" s="539"/>
      <c r="D105" s="539"/>
      <c r="E105" s="539"/>
      <c r="F105" s="539"/>
      <c r="G105" s="539"/>
      <c r="H105" s="539"/>
      <c r="I105" s="539"/>
      <c r="J105" s="539"/>
      <c r="K105" s="539"/>
      <c r="L105" s="539"/>
      <c r="M105" s="539"/>
      <c r="N105" s="539"/>
      <c r="O105" s="539"/>
      <c r="P105" s="539"/>
      <c r="Q105" s="539"/>
      <c r="R105" s="539"/>
      <c r="S105" s="557"/>
      <c r="T105" s="557"/>
      <c r="U105" s="557"/>
      <c r="V105" s="557"/>
      <c r="W105" s="539"/>
      <c r="X105" s="539"/>
      <c r="Y105" s="557"/>
      <c r="Z105" s="557"/>
      <c r="AA105" s="539"/>
      <c r="AB105" s="539"/>
      <c r="AC105" s="539"/>
      <c r="AD105" s="557"/>
      <c r="AE105" s="557"/>
      <c r="AF105" s="557"/>
      <c r="AG105" s="557"/>
      <c r="AH105" s="557"/>
      <c r="AI105" s="557"/>
      <c r="AJ105" s="557"/>
      <c r="AK105" s="557"/>
      <c r="AL105" s="557"/>
      <c r="AM105" s="557"/>
      <c r="AN105" s="557"/>
      <c r="AO105" s="557"/>
      <c r="AP105" s="557"/>
      <c r="AQ105" s="557"/>
      <c r="AR105" s="557"/>
      <c r="AS105" s="557"/>
      <c r="AT105" s="557"/>
      <c r="AU105" s="557"/>
      <c r="AV105" s="557"/>
      <c r="AW105" s="557"/>
      <c r="AX105" s="557"/>
      <c r="AY105" s="557"/>
      <c r="AZ105" s="557"/>
      <c r="BA105" s="557"/>
      <c r="BB105" s="557"/>
      <c r="BC105" s="557"/>
      <c r="BD105" s="555"/>
      <c r="BE105" s="592"/>
      <c r="BF105" s="592"/>
      <c r="BG105" s="592"/>
      <c r="BH105" s="592"/>
      <c r="BI105" s="592"/>
      <c r="BJ105" s="592"/>
      <c r="BK105" s="592"/>
      <c r="BL105" s="592"/>
      <c r="BM105" s="592"/>
      <c r="BN105" s="592"/>
      <c r="BO105" s="592"/>
      <c r="BP105" s="592"/>
      <c r="BQ105" s="592"/>
      <c r="BR105" s="592"/>
      <c r="BS105" s="592"/>
      <c r="BT105" s="592"/>
    </row>
    <row r="106" spans="1:72" s="591" customFormat="1" ht="15">
      <c r="A106" s="539"/>
      <c r="B106" s="539"/>
      <c r="C106" s="539"/>
      <c r="D106" s="539"/>
      <c r="E106" s="539"/>
      <c r="F106" s="539"/>
      <c r="G106" s="539"/>
      <c r="H106" s="539"/>
      <c r="I106" s="539"/>
      <c r="J106" s="539"/>
      <c r="K106" s="539"/>
      <c r="L106" s="539"/>
      <c r="M106" s="539"/>
      <c r="N106" s="539"/>
      <c r="O106" s="539"/>
      <c r="P106" s="539"/>
      <c r="Q106" s="539"/>
      <c r="R106" s="539"/>
      <c r="S106" s="557"/>
      <c r="T106" s="557"/>
      <c r="U106" s="557"/>
      <c r="V106" s="557"/>
      <c r="W106" s="539"/>
      <c r="X106" s="539"/>
      <c r="Y106" s="557"/>
      <c r="Z106" s="557"/>
      <c r="AA106" s="539"/>
      <c r="AB106" s="539"/>
      <c r="AC106" s="539"/>
      <c r="AD106" s="557"/>
      <c r="AE106" s="557"/>
      <c r="AF106" s="557"/>
      <c r="AG106" s="557"/>
      <c r="AH106" s="557"/>
      <c r="AI106" s="557"/>
      <c r="AJ106" s="557"/>
      <c r="AK106" s="557"/>
      <c r="AL106" s="557"/>
      <c r="AM106" s="557"/>
      <c r="AN106" s="557"/>
      <c r="AO106" s="557"/>
      <c r="AP106" s="557"/>
      <c r="AQ106" s="557"/>
      <c r="AR106" s="557"/>
      <c r="AS106" s="557"/>
      <c r="AT106" s="557"/>
      <c r="AU106" s="557"/>
      <c r="AV106" s="557"/>
      <c r="AW106" s="557"/>
      <c r="AX106" s="557"/>
      <c r="AY106" s="557"/>
      <c r="AZ106" s="557"/>
      <c r="BA106" s="557"/>
      <c r="BB106" s="557"/>
      <c r="BC106" s="557"/>
      <c r="BD106" s="555"/>
      <c r="BE106" s="592"/>
      <c r="BF106" s="592"/>
      <c r="BG106" s="592"/>
      <c r="BH106" s="592"/>
      <c r="BI106" s="592"/>
      <c r="BJ106" s="592"/>
      <c r="BK106" s="592"/>
      <c r="BL106" s="592"/>
      <c r="BM106" s="592"/>
      <c r="BN106" s="592"/>
      <c r="BO106" s="592"/>
      <c r="BP106" s="592"/>
      <c r="BQ106" s="592"/>
      <c r="BR106" s="592"/>
      <c r="BS106" s="592"/>
      <c r="BT106" s="592"/>
    </row>
    <row r="107" spans="1:72" s="591" customFormat="1" ht="15">
      <c r="A107" s="539"/>
      <c r="B107" s="539"/>
      <c r="C107" s="539"/>
      <c r="D107" s="539"/>
      <c r="E107" s="539"/>
      <c r="F107" s="539"/>
      <c r="G107" s="539"/>
      <c r="H107" s="539"/>
      <c r="I107" s="539"/>
      <c r="J107" s="539"/>
      <c r="K107" s="539"/>
      <c r="L107" s="539"/>
      <c r="M107" s="539"/>
      <c r="N107" s="539"/>
      <c r="O107" s="539"/>
      <c r="P107" s="539"/>
      <c r="Q107" s="539"/>
      <c r="R107" s="539"/>
      <c r="S107" s="557"/>
      <c r="T107" s="557"/>
      <c r="U107" s="557"/>
      <c r="V107" s="557"/>
      <c r="W107" s="539"/>
      <c r="X107" s="539"/>
      <c r="Y107" s="557"/>
      <c r="Z107" s="557"/>
      <c r="AA107" s="539"/>
      <c r="AB107" s="539"/>
      <c r="AC107" s="539"/>
      <c r="AD107" s="557"/>
      <c r="AE107" s="557"/>
      <c r="AF107" s="557"/>
      <c r="AG107" s="557"/>
      <c r="AH107" s="557"/>
      <c r="AI107" s="557"/>
      <c r="AJ107" s="557"/>
      <c r="AK107" s="557"/>
      <c r="AL107" s="557"/>
      <c r="AM107" s="557"/>
      <c r="AN107" s="557"/>
      <c r="AO107" s="557"/>
      <c r="AP107" s="557"/>
      <c r="AQ107" s="557"/>
      <c r="AR107" s="557"/>
      <c r="AS107" s="557"/>
      <c r="AT107" s="557"/>
      <c r="AU107" s="557"/>
      <c r="AV107" s="557"/>
      <c r="AW107" s="557"/>
      <c r="AX107" s="557"/>
      <c r="AY107" s="557"/>
      <c r="AZ107" s="557"/>
      <c r="BA107" s="557"/>
      <c r="BB107" s="557"/>
      <c r="BC107" s="557"/>
      <c r="BD107" s="555"/>
      <c r="BE107" s="592"/>
      <c r="BF107" s="592"/>
      <c r="BG107" s="592"/>
      <c r="BH107" s="575"/>
      <c r="BI107" s="592"/>
      <c r="BJ107" s="592"/>
      <c r="BK107" s="592"/>
      <c r="BL107" s="592"/>
      <c r="BM107" s="592"/>
      <c r="BN107" s="592"/>
      <c r="BO107" s="592"/>
      <c r="BP107" s="592"/>
      <c r="BQ107" s="592"/>
      <c r="BR107" s="592"/>
      <c r="BS107" s="592"/>
      <c r="BT107" s="592"/>
    </row>
    <row r="108" spans="1:72" s="591" customFormat="1" ht="15">
      <c r="A108" s="539"/>
      <c r="B108" s="539"/>
      <c r="C108" s="539"/>
      <c r="D108" s="539"/>
      <c r="E108" s="539"/>
      <c r="F108" s="539"/>
      <c r="G108" s="539"/>
      <c r="H108" s="539"/>
      <c r="I108" s="539"/>
      <c r="J108" s="539"/>
      <c r="K108" s="539"/>
      <c r="L108" s="539"/>
      <c r="M108" s="539"/>
      <c r="N108" s="539"/>
      <c r="O108" s="539"/>
      <c r="P108" s="539"/>
      <c r="Q108" s="539"/>
      <c r="R108" s="539"/>
      <c r="S108" s="557"/>
      <c r="T108" s="557"/>
      <c r="U108" s="557"/>
      <c r="V108" s="557"/>
      <c r="W108" s="539"/>
      <c r="X108" s="539"/>
      <c r="Y108" s="557"/>
      <c r="Z108" s="557"/>
      <c r="AA108" s="539"/>
      <c r="AB108" s="539"/>
      <c r="AC108" s="539"/>
      <c r="AD108" s="557"/>
      <c r="AE108" s="557"/>
      <c r="AF108" s="557"/>
      <c r="AG108" s="557"/>
      <c r="AH108" s="557"/>
      <c r="AI108" s="557"/>
      <c r="AJ108" s="557"/>
      <c r="AK108" s="557"/>
      <c r="AL108" s="557"/>
      <c r="AM108" s="557"/>
      <c r="AN108" s="557"/>
      <c r="AO108" s="557"/>
      <c r="AP108" s="557"/>
      <c r="AQ108" s="557"/>
      <c r="AR108" s="557"/>
      <c r="AS108" s="557"/>
      <c r="AT108" s="557"/>
      <c r="AU108" s="557"/>
      <c r="AV108" s="557"/>
      <c r="AW108" s="557"/>
      <c r="AX108" s="557"/>
      <c r="AY108" s="557"/>
      <c r="AZ108" s="557"/>
      <c r="BA108" s="557"/>
      <c r="BB108" s="557"/>
      <c r="BC108" s="557"/>
      <c r="BD108" s="555"/>
      <c r="BE108" s="592"/>
      <c r="BF108" s="592"/>
      <c r="BG108" s="575"/>
      <c r="BH108" s="575"/>
      <c r="BI108" s="592"/>
      <c r="BJ108" s="592"/>
      <c r="BK108" s="592"/>
      <c r="BL108" s="592"/>
      <c r="BM108" s="592"/>
      <c r="BN108" s="592"/>
      <c r="BO108" s="592"/>
      <c r="BP108" s="592"/>
      <c r="BQ108" s="592"/>
      <c r="BR108" s="592"/>
      <c r="BS108" s="592"/>
      <c r="BT108" s="592"/>
    </row>
    <row r="109" spans="1:72" s="591" customFormat="1" ht="15">
      <c r="A109" s="539"/>
      <c r="B109" s="539"/>
      <c r="C109" s="539"/>
      <c r="D109" s="539"/>
      <c r="E109" s="539"/>
      <c r="F109" s="539"/>
      <c r="G109" s="539"/>
      <c r="H109" s="539"/>
      <c r="I109" s="539"/>
      <c r="J109" s="539"/>
      <c r="K109" s="539"/>
      <c r="L109" s="539"/>
      <c r="M109" s="539"/>
      <c r="N109" s="539"/>
      <c r="O109" s="539"/>
      <c r="P109" s="539"/>
      <c r="Q109" s="539"/>
      <c r="R109" s="539"/>
      <c r="S109" s="557"/>
      <c r="T109" s="557"/>
      <c r="U109" s="557"/>
      <c r="V109" s="557"/>
      <c r="W109" s="539"/>
      <c r="X109" s="539"/>
      <c r="Y109" s="557"/>
      <c r="Z109" s="557"/>
      <c r="AA109" s="539"/>
      <c r="AB109" s="539"/>
      <c r="AC109" s="539"/>
      <c r="AD109" s="557"/>
      <c r="AE109" s="557"/>
      <c r="AF109" s="557"/>
      <c r="AG109" s="557"/>
      <c r="AH109" s="557"/>
      <c r="AI109" s="557"/>
      <c r="AJ109" s="557"/>
      <c r="AK109" s="557"/>
      <c r="AL109" s="557"/>
      <c r="AM109" s="557"/>
      <c r="AN109" s="557"/>
      <c r="AO109" s="557"/>
      <c r="AP109" s="557"/>
      <c r="AQ109" s="557"/>
      <c r="AR109" s="557"/>
      <c r="AS109" s="557"/>
      <c r="AT109" s="557"/>
      <c r="AU109" s="557"/>
      <c r="AV109" s="557"/>
      <c r="AW109" s="557"/>
      <c r="AX109" s="557"/>
      <c r="AY109" s="557"/>
      <c r="AZ109" s="557"/>
      <c r="BA109" s="557"/>
      <c r="BB109" s="557"/>
      <c r="BC109" s="557"/>
      <c r="BD109" s="555"/>
      <c r="BE109" s="592"/>
      <c r="BF109" s="595"/>
      <c r="BG109" s="575"/>
      <c r="BH109" s="592"/>
      <c r="BI109" s="592"/>
      <c r="BJ109" s="592"/>
      <c r="BK109" s="592"/>
      <c r="BL109" s="592"/>
      <c r="BM109" s="592"/>
      <c r="BN109" s="592"/>
      <c r="BO109" s="592"/>
      <c r="BP109" s="592"/>
      <c r="BQ109" s="592"/>
      <c r="BR109" s="592"/>
      <c r="BS109" s="592"/>
      <c r="BT109" s="592"/>
    </row>
    <row r="110" spans="1:72" s="591" customFormat="1" ht="15">
      <c r="A110" s="539"/>
      <c r="B110" s="539"/>
      <c r="C110" s="539"/>
      <c r="D110" s="539"/>
      <c r="E110" s="539"/>
      <c r="F110" s="539"/>
      <c r="G110" s="539"/>
      <c r="H110" s="539"/>
      <c r="I110" s="539"/>
      <c r="J110" s="539"/>
      <c r="K110" s="539"/>
      <c r="L110" s="539"/>
      <c r="M110" s="539"/>
      <c r="N110" s="539"/>
      <c r="O110" s="539"/>
      <c r="P110" s="539"/>
      <c r="Q110" s="539"/>
      <c r="R110" s="539"/>
      <c r="S110" s="557"/>
      <c r="T110" s="557"/>
      <c r="U110" s="557"/>
      <c r="V110" s="557"/>
      <c r="W110" s="539"/>
      <c r="X110" s="539"/>
      <c r="Y110" s="557"/>
      <c r="Z110" s="557"/>
      <c r="AA110" s="539"/>
      <c r="AB110" s="539"/>
      <c r="AC110" s="539"/>
      <c r="AD110" s="557"/>
      <c r="AE110" s="557"/>
      <c r="AF110" s="557"/>
      <c r="AG110" s="557"/>
      <c r="AH110" s="557"/>
      <c r="AI110" s="557"/>
      <c r="AJ110" s="557"/>
      <c r="AK110" s="557"/>
      <c r="AL110" s="557"/>
      <c r="AM110" s="557"/>
      <c r="AN110" s="557"/>
      <c r="AO110" s="557"/>
      <c r="AP110" s="557"/>
      <c r="AQ110" s="557"/>
      <c r="AR110" s="557"/>
      <c r="AS110" s="557"/>
      <c r="AT110" s="557"/>
      <c r="AU110" s="557"/>
      <c r="AV110" s="557"/>
      <c r="AW110" s="557"/>
      <c r="AX110" s="557"/>
      <c r="AY110" s="557"/>
      <c r="AZ110" s="557"/>
      <c r="BA110" s="557"/>
      <c r="BB110" s="557"/>
      <c r="BC110" s="557"/>
      <c r="BD110" s="555"/>
      <c r="BE110" s="592"/>
      <c r="BF110" s="592"/>
      <c r="BG110" s="592"/>
      <c r="BH110" s="592"/>
      <c r="BI110" s="592"/>
      <c r="BJ110" s="592"/>
      <c r="BK110" s="592"/>
      <c r="BL110" s="592"/>
      <c r="BM110" s="592"/>
      <c r="BN110" s="592"/>
      <c r="BO110" s="592"/>
      <c r="BP110" s="592"/>
      <c r="BQ110" s="592"/>
      <c r="BR110" s="592"/>
      <c r="BS110" s="592"/>
      <c r="BT110" s="592"/>
    </row>
    <row r="111" spans="1:72" s="591" customFormat="1" ht="15">
      <c r="A111" s="539"/>
      <c r="B111" s="539"/>
      <c r="C111" s="539"/>
      <c r="D111" s="539"/>
      <c r="E111" s="539"/>
      <c r="F111" s="539"/>
      <c r="G111" s="539"/>
      <c r="H111" s="539"/>
      <c r="I111" s="539"/>
      <c r="J111" s="539"/>
      <c r="K111" s="539"/>
      <c r="L111" s="539"/>
      <c r="M111" s="539"/>
      <c r="N111" s="539"/>
      <c r="O111" s="539"/>
      <c r="P111" s="539"/>
      <c r="Q111" s="539"/>
      <c r="R111" s="539"/>
      <c r="S111" s="557"/>
      <c r="T111" s="557"/>
      <c r="U111" s="557"/>
      <c r="V111" s="557"/>
      <c r="W111" s="539"/>
      <c r="X111" s="539"/>
      <c r="Y111" s="557"/>
      <c r="Z111" s="557"/>
      <c r="AA111" s="539"/>
      <c r="AB111" s="539"/>
      <c r="AC111" s="539"/>
      <c r="AD111" s="557"/>
      <c r="AE111" s="557"/>
      <c r="AF111" s="557"/>
      <c r="AG111" s="557"/>
      <c r="AH111" s="557"/>
      <c r="AI111" s="557"/>
      <c r="AJ111" s="557"/>
      <c r="AK111" s="557"/>
      <c r="AL111" s="557"/>
      <c r="AM111" s="557"/>
      <c r="AN111" s="557"/>
      <c r="AO111" s="557"/>
      <c r="AP111" s="557"/>
      <c r="AQ111" s="557"/>
      <c r="AR111" s="557"/>
      <c r="AS111" s="557"/>
      <c r="AT111" s="557"/>
      <c r="AU111" s="557"/>
      <c r="AV111" s="557"/>
      <c r="AW111" s="557"/>
      <c r="AX111" s="557"/>
      <c r="AY111" s="557"/>
      <c r="AZ111" s="557"/>
      <c r="BA111" s="557"/>
      <c r="BB111" s="557"/>
      <c r="BC111" s="557"/>
      <c r="BD111" s="555"/>
      <c r="BE111" s="592"/>
      <c r="BF111" s="592"/>
      <c r="BG111" s="592"/>
      <c r="BH111" s="592"/>
      <c r="BI111" s="592"/>
      <c r="BJ111" s="592"/>
      <c r="BK111" s="592"/>
      <c r="BL111" s="592"/>
      <c r="BM111" s="592"/>
      <c r="BN111" s="592"/>
      <c r="BO111" s="592"/>
      <c r="BP111" s="592"/>
      <c r="BQ111" s="592"/>
      <c r="BR111" s="592"/>
      <c r="BS111" s="592"/>
      <c r="BT111" s="592"/>
    </row>
    <row r="112" spans="1:72" s="591" customFormat="1" ht="15">
      <c r="A112" s="539"/>
      <c r="B112" s="539"/>
      <c r="C112" s="539"/>
      <c r="D112" s="539"/>
      <c r="E112" s="539"/>
      <c r="F112" s="539"/>
      <c r="G112" s="539"/>
      <c r="H112" s="539"/>
      <c r="I112" s="539"/>
      <c r="J112" s="539"/>
      <c r="K112" s="539"/>
      <c r="L112" s="539"/>
      <c r="M112" s="539"/>
      <c r="N112" s="539"/>
      <c r="O112" s="539"/>
      <c r="P112" s="539"/>
      <c r="Q112" s="539"/>
      <c r="R112" s="539"/>
      <c r="S112" s="557"/>
      <c r="T112" s="557"/>
      <c r="U112" s="557"/>
      <c r="V112" s="557"/>
      <c r="W112" s="539"/>
      <c r="X112" s="539"/>
      <c r="Y112" s="557"/>
      <c r="Z112" s="557"/>
      <c r="AA112" s="539"/>
      <c r="AB112" s="539"/>
      <c r="AC112" s="539"/>
      <c r="AD112" s="557"/>
      <c r="AE112" s="557"/>
      <c r="AF112" s="557"/>
      <c r="AG112" s="557"/>
      <c r="AH112" s="557"/>
      <c r="AI112" s="557"/>
      <c r="AJ112" s="557"/>
      <c r="AK112" s="557"/>
      <c r="AL112" s="557"/>
      <c r="AM112" s="557"/>
      <c r="AN112" s="557"/>
      <c r="AO112" s="557"/>
      <c r="AP112" s="557"/>
      <c r="AQ112" s="557"/>
      <c r="AR112" s="557"/>
      <c r="AS112" s="557"/>
      <c r="AT112" s="557"/>
      <c r="AU112" s="557"/>
      <c r="AV112" s="557"/>
      <c r="AW112" s="557"/>
      <c r="AX112" s="557"/>
      <c r="AY112" s="557"/>
      <c r="AZ112" s="557"/>
      <c r="BA112" s="557"/>
      <c r="BB112" s="557"/>
      <c r="BC112" s="557"/>
      <c r="BD112" s="555"/>
      <c r="BE112" s="592"/>
      <c r="BF112" s="592"/>
      <c r="BG112" s="592"/>
      <c r="BH112" s="592"/>
      <c r="BI112" s="592"/>
      <c r="BJ112" s="592"/>
      <c r="BK112" s="592"/>
      <c r="BL112" s="592"/>
      <c r="BM112" s="592"/>
      <c r="BN112" s="592"/>
      <c r="BO112" s="592"/>
      <c r="BP112" s="592"/>
      <c r="BQ112" s="592"/>
      <c r="BR112" s="592"/>
      <c r="BS112" s="592"/>
      <c r="BT112" s="592"/>
    </row>
    <row r="113" spans="1:72" s="591" customFormat="1" ht="15">
      <c r="A113" s="539"/>
      <c r="B113" s="539"/>
      <c r="C113" s="539"/>
      <c r="D113" s="539"/>
      <c r="E113" s="539"/>
      <c r="F113" s="539"/>
      <c r="G113" s="539"/>
      <c r="H113" s="539"/>
      <c r="I113" s="539"/>
      <c r="J113" s="539"/>
      <c r="K113" s="539"/>
      <c r="L113" s="539"/>
      <c r="M113" s="539"/>
      <c r="N113" s="539"/>
      <c r="O113" s="539"/>
      <c r="P113" s="539"/>
      <c r="Q113" s="539"/>
      <c r="R113" s="539"/>
      <c r="S113" s="557"/>
      <c r="T113" s="557"/>
      <c r="U113" s="557"/>
      <c r="V113" s="557"/>
      <c r="W113" s="539"/>
      <c r="X113" s="539"/>
      <c r="Y113" s="557"/>
      <c r="Z113" s="557"/>
      <c r="AA113" s="539"/>
      <c r="AB113" s="539"/>
      <c r="AC113" s="539"/>
      <c r="AD113" s="557"/>
      <c r="AE113" s="557"/>
      <c r="AF113" s="557"/>
      <c r="AG113" s="557"/>
      <c r="AH113" s="557"/>
      <c r="AI113" s="557"/>
      <c r="AJ113" s="557"/>
      <c r="AK113" s="557"/>
      <c r="AL113" s="557"/>
      <c r="AM113" s="557"/>
      <c r="AN113" s="557"/>
      <c r="AO113" s="557"/>
      <c r="AP113" s="557"/>
      <c r="AQ113" s="557"/>
      <c r="AR113" s="557"/>
      <c r="AS113" s="557"/>
      <c r="AT113" s="557"/>
      <c r="AU113" s="557"/>
      <c r="AV113" s="557"/>
      <c r="AW113" s="557"/>
      <c r="AX113" s="557"/>
      <c r="AY113" s="557"/>
      <c r="AZ113" s="557"/>
      <c r="BA113" s="557"/>
      <c r="BB113" s="557"/>
      <c r="BC113" s="557"/>
      <c r="BD113" s="555"/>
      <c r="BE113" s="592"/>
      <c r="BF113" s="592"/>
      <c r="BG113" s="592"/>
      <c r="BH113" s="592"/>
      <c r="BI113" s="592"/>
      <c r="BJ113" s="592"/>
      <c r="BK113" s="592"/>
      <c r="BL113" s="592"/>
      <c r="BM113" s="592"/>
      <c r="BN113" s="592"/>
      <c r="BO113" s="592"/>
      <c r="BP113" s="592"/>
      <c r="BQ113" s="592"/>
      <c r="BR113" s="592"/>
      <c r="BS113" s="592"/>
      <c r="BT113" s="592"/>
    </row>
    <row r="114" spans="1:72" s="591" customFormat="1" ht="15">
      <c r="A114" s="539"/>
      <c r="B114" s="539"/>
      <c r="C114" s="539"/>
      <c r="D114" s="539"/>
      <c r="E114" s="539"/>
      <c r="F114" s="539"/>
      <c r="G114" s="539"/>
      <c r="H114" s="539"/>
      <c r="I114" s="539"/>
      <c r="J114" s="539"/>
      <c r="K114" s="539"/>
      <c r="L114" s="539"/>
      <c r="M114" s="539"/>
      <c r="N114" s="539"/>
      <c r="O114" s="539"/>
      <c r="P114" s="539"/>
      <c r="Q114" s="539"/>
      <c r="R114" s="539"/>
      <c r="S114" s="557"/>
      <c r="T114" s="557"/>
      <c r="U114" s="557"/>
      <c r="V114" s="557"/>
      <c r="W114" s="539"/>
      <c r="X114" s="539"/>
      <c r="Y114" s="557"/>
      <c r="Z114" s="557"/>
      <c r="AA114" s="539"/>
      <c r="AB114" s="539"/>
      <c r="AC114" s="539"/>
      <c r="AD114" s="557"/>
      <c r="AE114" s="557"/>
      <c r="AF114" s="557"/>
      <c r="AG114" s="557"/>
      <c r="AH114" s="557"/>
      <c r="AI114" s="557"/>
      <c r="AJ114" s="557"/>
      <c r="AK114" s="557"/>
      <c r="AL114" s="557"/>
      <c r="AM114" s="557"/>
      <c r="AN114" s="557"/>
      <c r="AO114" s="557"/>
      <c r="AP114" s="557"/>
      <c r="AQ114" s="557"/>
      <c r="AR114" s="557"/>
      <c r="AS114" s="557"/>
      <c r="AT114" s="557"/>
      <c r="AU114" s="557"/>
      <c r="AV114" s="557"/>
      <c r="AW114" s="557"/>
      <c r="AX114" s="557"/>
      <c r="AY114" s="557"/>
      <c r="AZ114" s="557"/>
      <c r="BA114" s="557"/>
      <c r="BB114" s="557"/>
      <c r="BC114" s="557"/>
      <c r="BD114" s="555"/>
      <c r="BE114" s="592"/>
      <c r="BF114" s="592"/>
      <c r="BG114" s="592"/>
      <c r="BH114" s="592"/>
      <c r="BI114" s="592"/>
      <c r="BJ114" s="592"/>
      <c r="BK114" s="592"/>
      <c r="BL114" s="592"/>
      <c r="BM114" s="592"/>
      <c r="BN114" s="592"/>
      <c r="BO114" s="592"/>
      <c r="BP114" s="592"/>
      <c r="BQ114" s="592"/>
      <c r="BR114" s="592"/>
      <c r="BS114" s="592"/>
      <c r="BT114" s="592"/>
    </row>
    <row r="115" spans="1:72" s="591" customFormat="1" ht="15">
      <c r="A115" s="539"/>
      <c r="B115" s="539"/>
      <c r="C115" s="539"/>
      <c r="D115" s="539"/>
      <c r="E115" s="539"/>
      <c r="F115" s="539"/>
      <c r="G115" s="539"/>
      <c r="H115" s="539"/>
      <c r="I115" s="539"/>
      <c r="J115" s="539"/>
      <c r="K115" s="539"/>
      <c r="L115" s="539"/>
      <c r="M115" s="539"/>
      <c r="N115" s="539"/>
      <c r="O115" s="539"/>
      <c r="P115" s="539"/>
      <c r="Q115" s="539"/>
      <c r="R115" s="539"/>
      <c r="S115" s="557"/>
      <c r="T115" s="557"/>
      <c r="U115" s="557"/>
      <c r="V115" s="557"/>
      <c r="W115" s="539"/>
      <c r="X115" s="539"/>
      <c r="Y115" s="557"/>
      <c r="Z115" s="557"/>
      <c r="AA115" s="539"/>
      <c r="AB115" s="539"/>
      <c r="AC115" s="539"/>
      <c r="AD115" s="557"/>
      <c r="AE115" s="557"/>
      <c r="AF115" s="557"/>
      <c r="AG115" s="557"/>
      <c r="AH115" s="557"/>
      <c r="AI115" s="557"/>
      <c r="AJ115" s="557"/>
      <c r="AK115" s="557"/>
      <c r="AL115" s="557"/>
      <c r="AM115" s="557"/>
      <c r="AN115" s="557"/>
      <c r="AO115" s="557"/>
      <c r="AP115" s="557"/>
      <c r="AQ115" s="557"/>
      <c r="AR115" s="557"/>
      <c r="AS115" s="557"/>
      <c r="AT115" s="557"/>
      <c r="AU115" s="557"/>
      <c r="AV115" s="557"/>
      <c r="AW115" s="557"/>
      <c r="AX115" s="557"/>
      <c r="AY115" s="557"/>
      <c r="AZ115" s="557"/>
      <c r="BA115" s="557"/>
      <c r="BB115" s="557"/>
      <c r="BC115" s="557"/>
      <c r="BD115" s="555"/>
      <c r="BE115" s="592"/>
      <c r="BF115" s="592"/>
      <c r="BG115" s="592"/>
      <c r="BH115" s="592"/>
      <c r="BI115" s="592"/>
      <c r="BJ115" s="592"/>
      <c r="BK115" s="592"/>
      <c r="BL115" s="592"/>
      <c r="BM115" s="592"/>
      <c r="BN115" s="592"/>
      <c r="BO115" s="592"/>
      <c r="BP115" s="592"/>
      <c r="BQ115" s="592"/>
      <c r="BR115" s="592"/>
      <c r="BS115" s="592"/>
      <c r="BT115" s="592"/>
    </row>
    <row r="116" spans="1:72" s="591" customFormat="1" ht="15">
      <c r="A116" s="539"/>
      <c r="B116" s="539"/>
      <c r="C116" s="539"/>
      <c r="D116" s="539"/>
      <c r="E116" s="539"/>
      <c r="F116" s="539"/>
      <c r="G116" s="539"/>
      <c r="H116" s="539"/>
      <c r="I116" s="539"/>
      <c r="J116" s="539"/>
      <c r="K116" s="539"/>
      <c r="L116" s="539"/>
      <c r="M116" s="539"/>
      <c r="N116" s="539"/>
      <c r="O116" s="539"/>
      <c r="P116" s="539"/>
      <c r="Q116" s="539"/>
      <c r="R116" s="539"/>
      <c r="S116" s="557"/>
      <c r="T116" s="557"/>
      <c r="U116" s="557"/>
      <c r="V116" s="557"/>
      <c r="W116" s="539"/>
      <c r="X116" s="539"/>
      <c r="Y116" s="557"/>
      <c r="Z116" s="557"/>
      <c r="AA116" s="539"/>
      <c r="AB116" s="539"/>
      <c r="AC116" s="539"/>
      <c r="AD116" s="557"/>
      <c r="AE116" s="557"/>
      <c r="AF116" s="557"/>
      <c r="AG116" s="557"/>
      <c r="AH116" s="557"/>
      <c r="AI116" s="557"/>
      <c r="AJ116" s="557"/>
      <c r="AK116" s="557"/>
      <c r="AL116" s="557"/>
      <c r="AM116" s="557"/>
      <c r="AN116" s="557"/>
      <c r="AO116" s="557"/>
      <c r="AP116" s="557"/>
      <c r="AQ116" s="557"/>
      <c r="AR116" s="557"/>
      <c r="AS116" s="557"/>
      <c r="AT116" s="557"/>
      <c r="AU116" s="557"/>
      <c r="AV116" s="557"/>
      <c r="AW116" s="557"/>
      <c r="AX116" s="557"/>
      <c r="AY116" s="557"/>
      <c r="AZ116" s="557"/>
      <c r="BA116" s="557"/>
      <c r="BB116" s="557"/>
      <c r="BC116" s="557"/>
      <c r="BD116" s="555"/>
      <c r="BE116" s="592"/>
      <c r="BF116" s="592"/>
      <c r="BG116" s="592"/>
      <c r="BH116" s="592"/>
      <c r="BI116" s="592"/>
      <c r="BJ116" s="592"/>
      <c r="BK116" s="592"/>
      <c r="BL116" s="592"/>
      <c r="BM116" s="592"/>
      <c r="BN116" s="592"/>
      <c r="BO116" s="592"/>
      <c r="BP116" s="592"/>
      <c r="BQ116" s="592"/>
      <c r="BR116" s="592"/>
      <c r="BS116" s="592"/>
      <c r="BT116" s="592"/>
    </row>
    <row r="117" spans="1:72" s="591" customFormat="1" ht="15">
      <c r="A117" s="539"/>
      <c r="B117" s="539"/>
      <c r="C117" s="539"/>
      <c r="D117" s="539"/>
      <c r="E117" s="539"/>
      <c r="F117" s="539"/>
      <c r="G117" s="539"/>
      <c r="H117" s="539"/>
      <c r="I117" s="539"/>
      <c r="J117" s="539"/>
      <c r="K117" s="539"/>
      <c r="L117" s="539"/>
      <c r="M117" s="539"/>
      <c r="N117" s="539"/>
      <c r="O117" s="539"/>
      <c r="P117" s="539"/>
      <c r="Q117" s="539"/>
      <c r="R117" s="539"/>
      <c r="S117" s="557"/>
      <c r="T117" s="557"/>
      <c r="U117" s="557"/>
      <c r="V117" s="557"/>
      <c r="W117" s="539"/>
      <c r="X117" s="539"/>
      <c r="Y117" s="557"/>
      <c r="Z117" s="557"/>
      <c r="AA117" s="539"/>
      <c r="AB117" s="539"/>
      <c r="AC117" s="539"/>
      <c r="AD117" s="557"/>
      <c r="AE117" s="557"/>
      <c r="AF117" s="557"/>
      <c r="AG117" s="557"/>
      <c r="AH117" s="557"/>
      <c r="AI117" s="557"/>
      <c r="AJ117" s="557"/>
      <c r="AK117" s="557"/>
      <c r="AL117" s="557"/>
      <c r="AM117" s="557"/>
      <c r="AN117" s="557"/>
      <c r="AO117" s="557"/>
      <c r="AP117" s="557"/>
      <c r="AQ117" s="557"/>
      <c r="AR117" s="557"/>
      <c r="AS117" s="557"/>
      <c r="AT117" s="557"/>
      <c r="AU117" s="557"/>
      <c r="AV117" s="557"/>
      <c r="AW117" s="557"/>
      <c r="AX117" s="557"/>
      <c r="AY117" s="557"/>
      <c r="AZ117" s="557"/>
      <c r="BA117" s="557"/>
      <c r="BB117" s="557"/>
      <c r="BC117" s="557"/>
      <c r="BD117" s="555"/>
      <c r="BE117" s="592"/>
      <c r="BF117" s="592"/>
      <c r="BG117" s="592"/>
      <c r="BH117" s="592"/>
      <c r="BI117" s="592"/>
      <c r="BJ117" s="592"/>
      <c r="BK117" s="592"/>
      <c r="BL117" s="592"/>
      <c r="BM117" s="592"/>
      <c r="BN117" s="592"/>
      <c r="BO117" s="592"/>
      <c r="BP117" s="592"/>
      <c r="BQ117" s="592"/>
      <c r="BR117" s="592"/>
      <c r="BS117" s="592"/>
      <c r="BT117" s="592"/>
    </row>
    <row r="118" spans="1:72" s="591" customFormat="1" ht="15">
      <c r="A118" s="539"/>
      <c r="B118" s="539"/>
      <c r="C118" s="539"/>
      <c r="D118" s="539"/>
      <c r="E118" s="539"/>
      <c r="F118" s="539"/>
      <c r="G118" s="539"/>
      <c r="H118" s="539"/>
      <c r="I118" s="539"/>
      <c r="J118" s="539"/>
      <c r="K118" s="539"/>
      <c r="L118" s="539"/>
      <c r="M118" s="539"/>
      <c r="N118" s="539"/>
      <c r="O118" s="539"/>
      <c r="P118" s="539"/>
      <c r="Q118" s="539"/>
      <c r="R118" s="539"/>
      <c r="S118" s="557"/>
      <c r="T118" s="557"/>
      <c r="U118" s="557"/>
      <c r="V118" s="557"/>
      <c r="W118" s="539"/>
      <c r="X118" s="539"/>
      <c r="Y118" s="557"/>
      <c r="Z118" s="557"/>
      <c r="AA118" s="539"/>
      <c r="AB118" s="539"/>
      <c r="AC118" s="539"/>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5"/>
      <c r="BE118" s="592"/>
      <c r="BF118" s="592"/>
      <c r="BG118" s="592"/>
      <c r="BH118" s="592"/>
      <c r="BI118" s="592"/>
      <c r="BJ118" s="592"/>
      <c r="BK118" s="592"/>
      <c r="BL118" s="592"/>
      <c r="BM118" s="592"/>
      <c r="BN118" s="592"/>
      <c r="BO118" s="592"/>
      <c r="BP118" s="592"/>
      <c r="BQ118" s="592"/>
      <c r="BR118" s="592"/>
      <c r="BS118" s="592"/>
      <c r="BT118" s="592"/>
    </row>
    <row r="119" spans="1:72" s="591" customFormat="1" ht="15">
      <c r="A119" s="539"/>
      <c r="B119" s="539"/>
      <c r="C119" s="539"/>
      <c r="D119" s="539"/>
      <c r="E119" s="539"/>
      <c r="F119" s="539"/>
      <c r="G119" s="539"/>
      <c r="H119" s="539"/>
      <c r="I119" s="539"/>
      <c r="J119" s="539"/>
      <c r="K119" s="539"/>
      <c r="L119" s="539"/>
      <c r="M119" s="539"/>
      <c r="N119" s="539"/>
      <c r="O119" s="539"/>
      <c r="P119" s="539"/>
      <c r="Q119" s="539"/>
      <c r="R119" s="539"/>
      <c r="S119" s="557"/>
      <c r="T119" s="557"/>
      <c r="U119" s="557"/>
      <c r="V119" s="557"/>
      <c r="W119" s="539"/>
      <c r="X119" s="539"/>
      <c r="Y119" s="557"/>
      <c r="Z119" s="557"/>
      <c r="AA119" s="539"/>
      <c r="AB119" s="539"/>
      <c r="AC119" s="539"/>
      <c r="AD119" s="557"/>
      <c r="AE119" s="557"/>
      <c r="AF119" s="557"/>
      <c r="AG119" s="557"/>
      <c r="AH119" s="557"/>
      <c r="AI119" s="557"/>
      <c r="AJ119" s="557"/>
      <c r="AK119" s="557"/>
      <c r="AL119" s="557"/>
      <c r="AM119" s="557"/>
      <c r="AN119" s="557"/>
      <c r="AO119" s="557"/>
      <c r="AP119" s="557"/>
      <c r="AQ119" s="557"/>
      <c r="AR119" s="557"/>
      <c r="AS119" s="557"/>
      <c r="AT119" s="557"/>
      <c r="AU119" s="557"/>
      <c r="AV119" s="557"/>
      <c r="AW119" s="557"/>
      <c r="AX119" s="557"/>
      <c r="AY119" s="557"/>
      <c r="AZ119" s="557"/>
      <c r="BA119" s="557"/>
      <c r="BB119" s="557"/>
      <c r="BC119" s="557"/>
      <c r="BD119" s="555"/>
      <c r="BE119" s="592"/>
      <c r="BF119" s="592"/>
      <c r="BG119" s="592"/>
      <c r="BH119" s="592"/>
      <c r="BI119" s="592"/>
      <c r="BJ119" s="592"/>
      <c r="BK119" s="592"/>
      <c r="BL119" s="592"/>
      <c r="BM119" s="592"/>
      <c r="BN119" s="592"/>
      <c r="BO119" s="592"/>
      <c r="BP119" s="592"/>
      <c r="BQ119" s="592"/>
      <c r="BR119" s="592"/>
      <c r="BS119" s="592"/>
      <c r="BT119" s="592"/>
    </row>
    <row r="120" spans="1:72" s="591" customFormat="1" ht="15">
      <c r="A120" s="539"/>
      <c r="B120" s="539"/>
      <c r="C120" s="539"/>
      <c r="D120" s="539"/>
      <c r="E120" s="539"/>
      <c r="F120" s="539"/>
      <c r="G120" s="539"/>
      <c r="H120" s="539"/>
      <c r="I120" s="539"/>
      <c r="J120" s="539"/>
      <c r="K120" s="539"/>
      <c r="L120" s="539"/>
      <c r="M120" s="539"/>
      <c r="N120" s="539"/>
      <c r="O120" s="539"/>
      <c r="P120" s="539"/>
      <c r="Q120" s="539"/>
      <c r="R120" s="539"/>
      <c r="S120" s="557"/>
      <c r="T120" s="557"/>
      <c r="U120" s="557"/>
      <c r="V120" s="557"/>
      <c r="W120" s="539"/>
      <c r="X120" s="539"/>
      <c r="Y120" s="557"/>
      <c r="Z120" s="557"/>
      <c r="AA120" s="539"/>
      <c r="AB120" s="539"/>
      <c r="AC120" s="539"/>
      <c r="AD120" s="557"/>
      <c r="AE120" s="557"/>
      <c r="AF120" s="557"/>
      <c r="AG120" s="557"/>
      <c r="AH120" s="557"/>
      <c r="AI120" s="557"/>
      <c r="AJ120" s="557"/>
      <c r="AK120" s="557"/>
      <c r="AL120" s="557"/>
      <c r="AM120" s="557"/>
      <c r="AN120" s="557"/>
      <c r="AO120" s="557"/>
      <c r="AP120" s="557"/>
      <c r="AQ120" s="557"/>
      <c r="AR120" s="557"/>
      <c r="AS120" s="557"/>
      <c r="AT120" s="557"/>
      <c r="AU120" s="557"/>
      <c r="AV120" s="557"/>
      <c r="AW120" s="557"/>
      <c r="AX120" s="557"/>
      <c r="AY120" s="557"/>
      <c r="AZ120" s="557"/>
      <c r="BA120" s="557"/>
      <c r="BB120" s="557"/>
      <c r="BC120" s="557"/>
      <c r="BD120" s="555"/>
      <c r="BE120" s="592"/>
      <c r="BF120" s="592"/>
      <c r="BG120" s="592"/>
      <c r="BH120" s="592"/>
      <c r="BI120" s="592"/>
      <c r="BJ120" s="592"/>
      <c r="BK120" s="592"/>
      <c r="BL120" s="592"/>
      <c r="BM120" s="592"/>
      <c r="BN120" s="592"/>
      <c r="BO120" s="592"/>
      <c r="BP120" s="592"/>
      <c r="BQ120" s="592"/>
      <c r="BR120" s="592"/>
      <c r="BS120" s="592"/>
      <c r="BT120" s="592"/>
    </row>
    <row r="121" spans="1:72" s="591" customFormat="1" ht="15">
      <c r="A121" s="539"/>
      <c r="B121" s="539"/>
      <c r="C121" s="539"/>
      <c r="D121" s="539"/>
      <c r="E121" s="539"/>
      <c r="F121" s="539"/>
      <c r="G121" s="539"/>
      <c r="H121" s="539"/>
      <c r="I121" s="539"/>
      <c r="J121" s="539"/>
      <c r="K121" s="539"/>
      <c r="L121" s="539"/>
      <c r="M121" s="539"/>
      <c r="N121" s="539"/>
      <c r="O121" s="539"/>
      <c r="P121" s="539"/>
      <c r="Q121" s="539"/>
      <c r="R121" s="539"/>
      <c r="S121" s="557"/>
      <c r="T121" s="557"/>
      <c r="U121" s="557"/>
      <c r="V121" s="557"/>
      <c r="W121" s="539"/>
      <c r="X121" s="539"/>
      <c r="Y121" s="557"/>
      <c r="Z121" s="557"/>
      <c r="AA121" s="539"/>
      <c r="AB121" s="539"/>
      <c r="AC121" s="539"/>
      <c r="AD121" s="557"/>
      <c r="AE121" s="557"/>
      <c r="AF121" s="557"/>
      <c r="AG121" s="557"/>
      <c r="AH121" s="557"/>
      <c r="AI121" s="557"/>
      <c r="AJ121" s="557"/>
      <c r="AK121" s="557"/>
      <c r="AL121" s="557"/>
      <c r="AM121" s="557"/>
      <c r="AN121" s="557"/>
      <c r="AO121" s="557"/>
      <c r="AP121" s="557"/>
      <c r="AQ121" s="557"/>
      <c r="AR121" s="557"/>
      <c r="AS121" s="557"/>
      <c r="AT121" s="557"/>
      <c r="AU121" s="557"/>
      <c r="AV121" s="557"/>
      <c r="AW121" s="557"/>
      <c r="AX121" s="557"/>
      <c r="AY121" s="557"/>
      <c r="AZ121" s="557"/>
      <c r="BA121" s="557"/>
      <c r="BB121" s="557"/>
      <c r="BC121" s="557"/>
      <c r="BD121" s="555"/>
      <c r="BE121" s="592"/>
      <c r="BF121" s="592"/>
      <c r="BG121" s="592"/>
      <c r="BH121" s="595"/>
      <c r="BI121" s="592"/>
      <c r="BJ121" s="592"/>
      <c r="BK121" s="592"/>
      <c r="BL121" s="592"/>
      <c r="BM121" s="592"/>
      <c r="BN121" s="592"/>
      <c r="BO121" s="592"/>
      <c r="BP121" s="592"/>
      <c r="BQ121" s="592"/>
      <c r="BR121" s="592"/>
      <c r="BS121" s="592"/>
      <c r="BT121" s="592"/>
    </row>
    <row r="122" spans="1:72" s="591" customFormat="1" ht="15">
      <c r="A122" s="539"/>
      <c r="B122" s="539"/>
      <c r="C122" s="539"/>
      <c r="D122" s="539"/>
      <c r="E122" s="539"/>
      <c r="F122" s="539"/>
      <c r="G122" s="539"/>
      <c r="H122" s="539"/>
      <c r="I122" s="539"/>
      <c r="J122" s="539"/>
      <c r="K122" s="539"/>
      <c r="L122" s="539"/>
      <c r="M122" s="539"/>
      <c r="N122" s="539"/>
      <c r="O122" s="539"/>
      <c r="P122" s="539"/>
      <c r="Q122" s="539"/>
      <c r="R122" s="539"/>
      <c r="S122" s="557"/>
      <c r="T122" s="557"/>
      <c r="U122" s="557"/>
      <c r="V122" s="557"/>
      <c r="W122" s="539"/>
      <c r="X122" s="539"/>
      <c r="Y122" s="557"/>
      <c r="Z122" s="557"/>
      <c r="AA122" s="539"/>
      <c r="AB122" s="539"/>
      <c r="AC122" s="539"/>
      <c r="AD122" s="557"/>
      <c r="AE122" s="557"/>
      <c r="AF122" s="557"/>
      <c r="AG122" s="557"/>
      <c r="AH122" s="557"/>
      <c r="AI122" s="557"/>
      <c r="AJ122" s="557"/>
      <c r="AK122" s="557"/>
      <c r="AL122" s="557"/>
      <c r="AM122" s="557"/>
      <c r="AN122" s="557"/>
      <c r="AO122" s="557"/>
      <c r="AP122" s="557"/>
      <c r="AQ122" s="557"/>
      <c r="AR122" s="557"/>
      <c r="AS122" s="557"/>
      <c r="AT122" s="557"/>
      <c r="AU122" s="557"/>
      <c r="AV122" s="557"/>
      <c r="AW122" s="557"/>
      <c r="AX122" s="557"/>
      <c r="AY122" s="557"/>
      <c r="AZ122" s="557"/>
      <c r="BA122" s="557"/>
      <c r="BB122" s="557"/>
      <c r="BC122" s="557"/>
      <c r="BD122" s="555"/>
      <c r="BE122" s="592"/>
      <c r="BF122" s="592"/>
      <c r="BG122" s="592"/>
      <c r="BH122" s="592"/>
      <c r="BI122" s="592"/>
      <c r="BJ122" s="592"/>
      <c r="BK122" s="592"/>
      <c r="BL122" s="592"/>
      <c r="BM122" s="592"/>
      <c r="BN122" s="592"/>
      <c r="BO122" s="592"/>
      <c r="BP122" s="592"/>
      <c r="BQ122" s="592"/>
      <c r="BR122" s="592"/>
      <c r="BS122" s="592"/>
      <c r="BT122" s="592"/>
    </row>
    <row r="123" spans="1:72" s="591" customFormat="1" ht="15">
      <c r="A123" s="539"/>
      <c r="B123" s="539"/>
      <c r="C123" s="539"/>
      <c r="D123" s="539"/>
      <c r="E123" s="539"/>
      <c r="F123" s="539"/>
      <c r="G123" s="539"/>
      <c r="H123" s="539"/>
      <c r="I123" s="539"/>
      <c r="J123" s="539"/>
      <c r="K123" s="539"/>
      <c r="L123" s="539"/>
      <c r="M123" s="539"/>
      <c r="N123" s="539"/>
      <c r="O123" s="539"/>
      <c r="P123" s="539"/>
      <c r="Q123" s="539"/>
      <c r="R123" s="539"/>
      <c r="S123" s="557"/>
      <c r="T123" s="557"/>
      <c r="U123" s="557"/>
      <c r="V123" s="557"/>
      <c r="W123" s="539"/>
      <c r="X123" s="539"/>
      <c r="Y123" s="557"/>
      <c r="Z123" s="557"/>
      <c r="AA123" s="539"/>
      <c r="AB123" s="539"/>
      <c r="AC123" s="539"/>
      <c r="AD123" s="557"/>
      <c r="AE123" s="557"/>
      <c r="AF123" s="557"/>
      <c r="AG123" s="557"/>
      <c r="AH123" s="557"/>
      <c r="AI123" s="557"/>
      <c r="AJ123" s="557"/>
      <c r="AK123" s="557"/>
      <c r="AL123" s="557"/>
      <c r="AM123" s="557"/>
      <c r="AN123" s="557"/>
      <c r="AO123" s="557"/>
      <c r="AP123" s="557"/>
      <c r="AQ123" s="557"/>
      <c r="AR123" s="557"/>
      <c r="AS123" s="557"/>
      <c r="AT123" s="557"/>
      <c r="AU123" s="557"/>
      <c r="AV123" s="557"/>
      <c r="AW123" s="557"/>
      <c r="AX123" s="557"/>
      <c r="AY123" s="557"/>
      <c r="AZ123" s="557"/>
      <c r="BA123" s="557"/>
      <c r="BB123" s="557"/>
      <c r="BC123" s="557"/>
      <c r="BD123" s="555"/>
      <c r="BE123" s="592"/>
      <c r="BF123" s="592"/>
      <c r="BG123" s="592"/>
      <c r="BH123" s="592"/>
      <c r="BI123" s="592"/>
      <c r="BJ123" s="592"/>
      <c r="BK123" s="592"/>
      <c r="BL123" s="592"/>
      <c r="BM123" s="592"/>
      <c r="BN123" s="592"/>
      <c r="BO123" s="592"/>
      <c r="BP123" s="592"/>
      <c r="BQ123" s="592"/>
      <c r="BR123" s="592"/>
      <c r="BS123" s="592"/>
      <c r="BT123" s="592"/>
    </row>
    <row r="124" spans="1:72" s="591" customFormat="1" ht="15">
      <c r="A124" s="539"/>
      <c r="B124" s="539"/>
      <c r="C124" s="539"/>
      <c r="D124" s="539"/>
      <c r="E124" s="539"/>
      <c r="F124" s="539"/>
      <c r="G124" s="539"/>
      <c r="H124" s="539"/>
      <c r="I124" s="539"/>
      <c r="J124" s="539"/>
      <c r="K124" s="539"/>
      <c r="L124" s="539"/>
      <c r="M124" s="539"/>
      <c r="N124" s="539"/>
      <c r="O124" s="539"/>
      <c r="P124" s="539"/>
      <c r="Q124" s="539"/>
      <c r="R124" s="539"/>
      <c r="S124" s="557"/>
      <c r="T124" s="557"/>
      <c r="U124" s="557"/>
      <c r="V124" s="557"/>
      <c r="W124" s="539"/>
      <c r="X124" s="539"/>
      <c r="Y124" s="557"/>
      <c r="Z124" s="557"/>
      <c r="AA124" s="539"/>
      <c r="AB124" s="539"/>
      <c r="AC124" s="539"/>
      <c r="AD124" s="557"/>
      <c r="AE124" s="557"/>
      <c r="AF124" s="557"/>
      <c r="AG124" s="557"/>
      <c r="AH124" s="557"/>
      <c r="AI124" s="557"/>
      <c r="AJ124" s="557"/>
      <c r="AK124" s="557"/>
      <c r="AL124" s="557"/>
      <c r="AM124" s="557"/>
      <c r="AN124" s="557"/>
      <c r="AO124" s="557"/>
      <c r="AP124" s="557"/>
      <c r="AQ124" s="557"/>
      <c r="AR124" s="557"/>
      <c r="AS124" s="557"/>
      <c r="AT124" s="557"/>
      <c r="AU124" s="557"/>
      <c r="AV124" s="557"/>
      <c r="AW124" s="557"/>
      <c r="AX124" s="557"/>
      <c r="AY124" s="557"/>
      <c r="AZ124" s="557"/>
      <c r="BA124" s="557"/>
      <c r="BB124" s="557"/>
      <c r="BC124" s="557"/>
      <c r="BD124" s="555"/>
      <c r="BE124" s="592"/>
      <c r="BF124" s="592"/>
      <c r="BG124" s="592"/>
      <c r="BH124" s="592"/>
      <c r="BI124" s="592"/>
      <c r="BJ124" s="592"/>
      <c r="BK124" s="592"/>
      <c r="BL124" s="592"/>
      <c r="BM124" s="592"/>
      <c r="BN124" s="592"/>
      <c r="BO124" s="592"/>
      <c r="BP124" s="592"/>
      <c r="BQ124" s="592"/>
      <c r="BR124" s="592"/>
      <c r="BS124" s="592"/>
      <c r="BT124" s="592"/>
    </row>
    <row r="125" spans="1:72" s="591" customFormat="1" ht="15">
      <c r="A125" s="539"/>
      <c r="B125" s="539"/>
      <c r="C125" s="539"/>
      <c r="D125" s="539"/>
      <c r="E125" s="539"/>
      <c r="F125" s="539"/>
      <c r="G125" s="539"/>
      <c r="H125" s="539"/>
      <c r="I125" s="539"/>
      <c r="J125" s="539"/>
      <c r="K125" s="539"/>
      <c r="L125" s="539"/>
      <c r="M125" s="539"/>
      <c r="N125" s="539"/>
      <c r="O125" s="539"/>
      <c r="P125" s="539"/>
      <c r="Q125" s="539"/>
      <c r="R125" s="539"/>
      <c r="S125" s="557"/>
      <c r="T125" s="557"/>
      <c r="U125" s="557"/>
      <c r="V125" s="557"/>
      <c r="W125" s="539"/>
      <c r="X125" s="539"/>
      <c r="Y125" s="557"/>
      <c r="Z125" s="557"/>
      <c r="AA125" s="539"/>
      <c r="AB125" s="539"/>
      <c r="AC125" s="539"/>
      <c r="AD125" s="557"/>
      <c r="AE125" s="557"/>
      <c r="AF125" s="557"/>
      <c r="AG125" s="557"/>
      <c r="AH125" s="557"/>
      <c r="AI125" s="557"/>
      <c r="AJ125" s="557"/>
      <c r="AK125" s="557"/>
      <c r="AL125" s="557"/>
      <c r="AM125" s="557"/>
      <c r="AN125" s="557"/>
      <c r="AO125" s="557"/>
      <c r="AP125" s="557"/>
      <c r="AQ125" s="557"/>
      <c r="AR125" s="557"/>
      <c r="AS125" s="557"/>
      <c r="AT125" s="557"/>
      <c r="AU125" s="557"/>
      <c r="AV125" s="557"/>
      <c r="AW125" s="557"/>
      <c r="AX125" s="557"/>
      <c r="AY125" s="557"/>
      <c r="AZ125" s="557"/>
      <c r="BA125" s="557"/>
      <c r="BB125" s="557"/>
      <c r="BC125" s="557"/>
      <c r="BD125" s="555"/>
      <c r="BE125" s="592"/>
      <c r="BF125" s="592"/>
      <c r="BG125" s="592"/>
      <c r="BH125" s="592"/>
      <c r="BI125" s="592"/>
      <c r="BJ125" s="592"/>
      <c r="BK125" s="592"/>
      <c r="BL125" s="592"/>
      <c r="BM125" s="592"/>
      <c r="BN125" s="592"/>
      <c r="BO125" s="592"/>
      <c r="BP125" s="592"/>
      <c r="BQ125" s="592"/>
      <c r="BR125" s="592"/>
      <c r="BS125" s="592"/>
      <c r="BT125" s="592"/>
    </row>
    <row r="126" spans="1:72" s="591" customFormat="1" ht="15">
      <c r="A126" s="539"/>
      <c r="B126" s="539"/>
      <c r="C126" s="539"/>
      <c r="D126" s="539"/>
      <c r="E126" s="539"/>
      <c r="F126" s="539"/>
      <c r="G126" s="539"/>
      <c r="H126" s="539"/>
      <c r="I126" s="539"/>
      <c r="J126" s="539"/>
      <c r="K126" s="539"/>
      <c r="L126" s="539"/>
      <c r="M126" s="539"/>
      <c r="N126" s="539"/>
      <c r="O126" s="539"/>
      <c r="P126" s="539"/>
      <c r="Q126" s="539"/>
      <c r="R126" s="539"/>
      <c r="S126" s="557"/>
      <c r="T126" s="557"/>
      <c r="U126" s="557"/>
      <c r="V126" s="557"/>
      <c r="W126" s="539"/>
      <c r="X126" s="539"/>
      <c r="Y126" s="557"/>
      <c r="Z126" s="557"/>
      <c r="AA126" s="539"/>
      <c r="AB126" s="539"/>
      <c r="AC126" s="539"/>
      <c r="AD126" s="557"/>
      <c r="AE126" s="557"/>
      <c r="AF126" s="557"/>
      <c r="AG126" s="557"/>
      <c r="AH126" s="557"/>
      <c r="AI126" s="557"/>
      <c r="AJ126" s="557"/>
      <c r="AK126" s="557"/>
      <c r="AL126" s="557"/>
      <c r="AM126" s="557"/>
      <c r="AN126" s="557"/>
      <c r="AO126" s="557"/>
      <c r="AP126" s="557"/>
      <c r="AQ126" s="557"/>
      <c r="AR126" s="557"/>
      <c r="AS126" s="557"/>
      <c r="AT126" s="557"/>
      <c r="AU126" s="557"/>
      <c r="AV126" s="557"/>
      <c r="AW126" s="557"/>
      <c r="AX126" s="557"/>
      <c r="AY126" s="557"/>
      <c r="AZ126" s="557"/>
      <c r="BA126" s="557"/>
      <c r="BB126" s="557"/>
      <c r="BC126" s="557"/>
      <c r="BD126" s="555"/>
      <c r="BE126" s="592"/>
      <c r="BF126" s="592"/>
      <c r="BG126" s="592"/>
      <c r="BH126" s="592"/>
      <c r="BI126" s="592"/>
      <c r="BJ126" s="592"/>
      <c r="BK126" s="592"/>
      <c r="BL126" s="592"/>
      <c r="BM126" s="592"/>
      <c r="BN126" s="592"/>
      <c r="BO126" s="592"/>
      <c r="BP126" s="592"/>
      <c r="BQ126" s="592"/>
      <c r="BR126" s="592"/>
      <c r="BS126" s="592"/>
      <c r="BT126" s="592"/>
    </row>
    <row r="127" spans="1:72" s="591" customFormat="1" ht="15">
      <c r="A127" s="539"/>
      <c r="B127" s="539"/>
      <c r="C127" s="539"/>
      <c r="D127" s="539"/>
      <c r="E127" s="539"/>
      <c r="F127" s="539"/>
      <c r="G127" s="539"/>
      <c r="H127" s="539"/>
      <c r="I127" s="539"/>
      <c r="J127" s="539"/>
      <c r="K127" s="539"/>
      <c r="L127" s="539"/>
      <c r="M127" s="539"/>
      <c r="N127" s="539"/>
      <c r="O127" s="539"/>
      <c r="P127" s="539"/>
      <c r="Q127" s="539"/>
      <c r="R127" s="539"/>
      <c r="S127" s="557"/>
      <c r="T127" s="557"/>
      <c r="U127" s="557"/>
      <c r="V127" s="557"/>
      <c r="W127" s="539"/>
      <c r="X127" s="539"/>
      <c r="Y127" s="557"/>
      <c r="Z127" s="557"/>
      <c r="AA127" s="539"/>
      <c r="AB127" s="539"/>
      <c r="AC127" s="539"/>
      <c r="AD127" s="557"/>
      <c r="AE127" s="557"/>
      <c r="AF127" s="557"/>
      <c r="AG127" s="557"/>
      <c r="AH127" s="557"/>
      <c r="AI127" s="557"/>
      <c r="AJ127" s="557"/>
      <c r="AK127" s="557"/>
      <c r="AL127" s="557"/>
      <c r="AM127" s="557"/>
      <c r="AN127" s="557"/>
      <c r="AO127" s="557"/>
      <c r="AP127" s="557"/>
      <c r="AQ127" s="557"/>
      <c r="AR127" s="557"/>
      <c r="AS127" s="557"/>
      <c r="AT127" s="557"/>
      <c r="AU127" s="557"/>
      <c r="AV127" s="557"/>
      <c r="AW127" s="557"/>
      <c r="AX127" s="557"/>
      <c r="AY127" s="557"/>
      <c r="AZ127" s="557"/>
      <c r="BA127" s="557"/>
      <c r="BB127" s="557"/>
      <c r="BC127" s="557"/>
      <c r="BD127" s="555"/>
      <c r="BE127" s="592"/>
      <c r="BF127" s="592"/>
      <c r="BG127" s="592"/>
      <c r="BH127" s="592"/>
      <c r="BI127" s="592"/>
      <c r="BJ127" s="592"/>
      <c r="BK127" s="592"/>
      <c r="BL127" s="592"/>
      <c r="BM127" s="592"/>
      <c r="BN127" s="592"/>
      <c r="BO127" s="592"/>
      <c r="BP127" s="592"/>
      <c r="BQ127" s="592"/>
      <c r="BR127" s="592"/>
      <c r="BS127" s="592"/>
      <c r="BT127" s="592"/>
    </row>
    <row r="128" spans="1:72" s="591" customFormat="1" ht="15">
      <c r="A128" s="539"/>
      <c r="B128" s="539"/>
      <c r="C128" s="539"/>
      <c r="D128" s="539"/>
      <c r="E128" s="539"/>
      <c r="F128" s="539"/>
      <c r="G128" s="539"/>
      <c r="H128" s="539"/>
      <c r="I128" s="539"/>
      <c r="J128" s="539"/>
      <c r="K128" s="539"/>
      <c r="L128" s="539"/>
      <c r="M128" s="539"/>
      <c r="N128" s="539"/>
      <c r="O128" s="539"/>
      <c r="P128" s="539"/>
      <c r="Q128" s="539"/>
      <c r="R128" s="539"/>
      <c r="S128" s="557"/>
      <c r="T128" s="557"/>
      <c r="U128" s="557"/>
      <c r="V128" s="557"/>
      <c r="W128" s="539"/>
      <c r="X128" s="539"/>
      <c r="Y128" s="557"/>
      <c r="Z128" s="557"/>
      <c r="AA128" s="539"/>
      <c r="AB128" s="539"/>
      <c r="AC128" s="539"/>
      <c r="AD128" s="557"/>
      <c r="AE128" s="557"/>
      <c r="AF128" s="557"/>
      <c r="AG128" s="557"/>
      <c r="AH128" s="557"/>
      <c r="AI128" s="557"/>
      <c r="AJ128" s="557"/>
      <c r="AK128" s="557"/>
      <c r="AL128" s="557"/>
      <c r="AM128" s="557"/>
      <c r="AN128" s="557"/>
      <c r="AO128" s="557"/>
      <c r="AP128" s="557"/>
      <c r="AQ128" s="557"/>
      <c r="AR128" s="557"/>
      <c r="AS128" s="557"/>
      <c r="AT128" s="557"/>
      <c r="AU128" s="557"/>
      <c r="AV128" s="557"/>
      <c r="AW128" s="557"/>
      <c r="AX128" s="557"/>
      <c r="AY128" s="557"/>
      <c r="AZ128" s="557"/>
      <c r="BA128" s="557"/>
      <c r="BB128" s="557"/>
      <c r="BC128" s="557"/>
      <c r="BD128" s="555"/>
      <c r="BE128" s="592"/>
      <c r="BF128" s="592"/>
      <c r="BG128" s="592"/>
      <c r="BH128" s="592"/>
      <c r="BI128" s="592"/>
      <c r="BJ128" s="592"/>
      <c r="BK128" s="592"/>
      <c r="BL128" s="592"/>
      <c r="BM128" s="592"/>
      <c r="BN128" s="592"/>
      <c r="BO128" s="592"/>
      <c r="BP128" s="592"/>
      <c r="BQ128" s="592"/>
      <c r="BR128" s="592"/>
      <c r="BS128" s="592"/>
      <c r="BT128" s="592"/>
    </row>
    <row r="129" spans="1:72" s="591" customFormat="1" ht="15">
      <c r="A129" s="539"/>
      <c r="B129" s="539"/>
      <c r="C129" s="539"/>
      <c r="D129" s="539"/>
      <c r="E129" s="539"/>
      <c r="F129" s="539"/>
      <c r="G129" s="539"/>
      <c r="H129" s="539"/>
      <c r="I129" s="539"/>
      <c r="J129" s="539"/>
      <c r="K129" s="539"/>
      <c r="L129" s="539"/>
      <c r="M129" s="539"/>
      <c r="N129" s="539"/>
      <c r="O129" s="539"/>
      <c r="P129" s="539"/>
      <c r="Q129" s="539"/>
      <c r="R129" s="539"/>
      <c r="S129" s="557"/>
      <c r="T129" s="557"/>
      <c r="U129" s="557"/>
      <c r="V129" s="557"/>
      <c r="W129" s="539"/>
      <c r="X129" s="539"/>
      <c r="Y129" s="557"/>
      <c r="Z129" s="557"/>
      <c r="AA129" s="539"/>
      <c r="AB129" s="539"/>
      <c r="AC129" s="539"/>
      <c r="AD129" s="557"/>
      <c r="AE129" s="557"/>
      <c r="AF129" s="557"/>
      <c r="AG129" s="557"/>
      <c r="AH129" s="557"/>
      <c r="AI129" s="557"/>
      <c r="AJ129" s="557"/>
      <c r="AK129" s="557"/>
      <c r="AL129" s="557"/>
      <c r="AM129" s="557"/>
      <c r="AN129" s="557"/>
      <c r="AO129" s="557"/>
      <c r="AP129" s="557"/>
      <c r="AQ129" s="557"/>
      <c r="AR129" s="557"/>
      <c r="AS129" s="557"/>
      <c r="AT129" s="557"/>
      <c r="AU129" s="557"/>
      <c r="AV129" s="557"/>
      <c r="AW129" s="557"/>
      <c r="AX129" s="557"/>
      <c r="AY129" s="557"/>
      <c r="AZ129" s="557"/>
      <c r="BA129" s="557"/>
      <c r="BB129" s="557"/>
      <c r="BC129" s="557"/>
      <c r="BD129" s="555"/>
      <c r="BE129" s="592"/>
      <c r="BF129" s="592"/>
      <c r="BG129" s="592"/>
      <c r="BH129" s="592"/>
      <c r="BI129" s="592"/>
      <c r="BJ129" s="592"/>
      <c r="BK129" s="592"/>
      <c r="BL129" s="592"/>
      <c r="BM129" s="592"/>
      <c r="BN129" s="592"/>
      <c r="BO129" s="592"/>
      <c r="BP129" s="592"/>
      <c r="BQ129" s="592"/>
      <c r="BR129" s="592"/>
      <c r="BS129" s="592"/>
      <c r="BT129" s="592"/>
    </row>
    <row r="130" spans="1:72" s="591" customFormat="1" ht="15">
      <c r="A130" s="539"/>
      <c r="B130" s="539"/>
      <c r="C130" s="539"/>
      <c r="D130" s="539"/>
      <c r="E130" s="539"/>
      <c r="F130" s="539"/>
      <c r="G130" s="539"/>
      <c r="H130" s="539"/>
      <c r="I130" s="539"/>
      <c r="J130" s="539"/>
      <c r="K130" s="539"/>
      <c r="L130" s="539"/>
      <c r="M130" s="539"/>
      <c r="N130" s="539"/>
      <c r="O130" s="539"/>
      <c r="P130" s="539"/>
      <c r="Q130" s="539"/>
      <c r="R130" s="539"/>
      <c r="S130" s="557"/>
      <c r="T130" s="557"/>
      <c r="U130" s="557"/>
      <c r="V130" s="557"/>
      <c r="W130" s="539"/>
      <c r="X130" s="539"/>
      <c r="Y130" s="557"/>
      <c r="Z130" s="557"/>
      <c r="AA130" s="539"/>
      <c r="AB130" s="539"/>
      <c r="AC130" s="539"/>
      <c r="AD130" s="557"/>
      <c r="AE130" s="557"/>
      <c r="AF130" s="557"/>
      <c r="AG130" s="557"/>
      <c r="AH130" s="557"/>
      <c r="AI130" s="557"/>
      <c r="AJ130" s="557"/>
      <c r="AK130" s="557"/>
      <c r="AL130" s="557"/>
      <c r="AM130" s="557"/>
      <c r="AN130" s="557"/>
      <c r="AO130" s="557"/>
      <c r="AP130" s="557"/>
      <c r="AQ130" s="557"/>
      <c r="AR130" s="557"/>
      <c r="AS130" s="557"/>
      <c r="AT130" s="557"/>
      <c r="AU130" s="557"/>
      <c r="AV130" s="557"/>
      <c r="AW130" s="557"/>
      <c r="AX130" s="557"/>
      <c r="AY130" s="557"/>
      <c r="AZ130" s="557"/>
      <c r="BA130" s="557"/>
      <c r="BB130" s="557"/>
      <c r="BC130" s="557"/>
      <c r="BD130" s="555"/>
      <c r="BE130" s="592"/>
      <c r="BF130" s="592"/>
      <c r="BG130" s="592"/>
      <c r="BH130" s="592"/>
      <c r="BI130" s="592"/>
      <c r="BJ130" s="592"/>
      <c r="BK130" s="592"/>
      <c r="BL130" s="592"/>
      <c r="BM130" s="592"/>
      <c r="BN130" s="592"/>
      <c r="BO130" s="592"/>
      <c r="BP130" s="592"/>
      <c r="BQ130" s="592"/>
      <c r="BR130" s="592"/>
      <c r="BS130" s="592"/>
      <c r="BT130" s="592"/>
    </row>
    <row r="131" spans="1:72" s="591" customFormat="1" ht="15">
      <c r="A131" s="539"/>
      <c r="B131" s="539"/>
      <c r="C131" s="539"/>
      <c r="D131" s="539"/>
      <c r="E131" s="539"/>
      <c r="F131" s="539"/>
      <c r="G131" s="539"/>
      <c r="H131" s="539"/>
      <c r="I131" s="539"/>
      <c r="J131" s="539"/>
      <c r="K131" s="539"/>
      <c r="L131" s="539"/>
      <c r="M131" s="539"/>
      <c r="N131" s="539"/>
      <c r="O131" s="539"/>
      <c r="P131" s="539"/>
      <c r="Q131" s="539"/>
      <c r="R131" s="539"/>
      <c r="S131" s="557"/>
      <c r="T131" s="557"/>
      <c r="U131" s="557"/>
      <c r="V131" s="557"/>
      <c r="W131" s="539"/>
      <c r="X131" s="539"/>
      <c r="Y131" s="557"/>
      <c r="Z131" s="557"/>
      <c r="AA131" s="539"/>
      <c r="AB131" s="539"/>
      <c r="AC131" s="539"/>
      <c r="AD131" s="557"/>
      <c r="AE131" s="557"/>
      <c r="AF131" s="557"/>
      <c r="AG131" s="557"/>
      <c r="AH131" s="557"/>
      <c r="AI131" s="557"/>
      <c r="AJ131" s="557"/>
      <c r="AK131" s="557"/>
      <c r="AL131" s="557"/>
      <c r="AM131" s="557"/>
      <c r="AN131" s="557"/>
      <c r="AO131" s="557"/>
      <c r="AP131" s="557"/>
      <c r="AQ131" s="557"/>
      <c r="AR131" s="557"/>
      <c r="AS131" s="557"/>
      <c r="AT131" s="557"/>
      <c r="AU131" s="557"/>
      <c r="AV131" s="557"/>
      <c r="AW131" s="557"/>
      <c r="AX131" s="557"/>
      <c r="AY131" s="557"/>
      <c r="AZ131" s="557"/>
      <c r="BA131" s="557"/>
      <c r="BB131" s="557"/>
      <c r="BC131" s="557"/>
      <c r="BD131" s="555"/>
      <c r="BE131" s="592"/>
      <c r="BF131" s="592"/>
      <c r="BG131" s="592"/>
      <c r="BH131" s="592"/>
      <c r="BI131" s="592"/>
      <c r="BJ131" s="592"/>
      <c r="BK131" s="592"/>
      <c r="BL131" s="592"/>
      <c r="BM131" s="592"/>
      <c r="BN131" s="592"/>
      <c r="BO131" s="592"/>
      <c r="BP131" s="592"/>
      <c r="BQ131" s="592"/>
      <c r="BR131" s="592"/>
      <c r="BS131" s="592"/>
      <c r="BT131" s="592"/>
    </row>
    <row r="132" spans="1:72" s="591" customFormat="1" ht="15">
      <c r="A132" s="539"/>
      <c r="B132" s="539"/>
      <c r="C132" s="539"/>
      <c r="D132" s="539"/>
      <c r="E132" s="539"/>
      <c r="F132" s="539"/>
      <c r="G132" s="539"/>
      <c r="H132" s="539"/>
      <c r="I132" s="539"/>
      <c r="J132" s="539"/>
      <c r="K132" s="539"/>
      <c r="L132" s="539"/>
      <c r="M132" s="539"/>
      <c r="N132" s="539"/>
      <c r="O132" s="539"/>
      <c r="P132" s="539"/>
      <c r="Q132" s="539"/>
      <c r="R132" s="539"/>
      <c r="S132" s="557"/>
      <c r="T132" s="557"/>
      <c r="U132" s="557"/>
      <c r="V132" s="557"/>
      <c r="W132" s="539"/>
      <c r="X132" s="539"/>
      <c r="Y132" s="557"/>
      <c r="Z132" s="557"/>
      <c r="AA132" s="539"/>
      <c r="AB132" s="539"/>
      <c r="AC132" s="539"/>
      <c r="AD132" s="557"/>
      <c r="AE132" s="557"/>
      <c r="AF132" s="557"/>
      <c r="AG132" s="557"/>
      <c r="AH132" s="557"/>
      <c r="AI132" s="557"/>
      <c r="AJ132" s="557"/>
      <c r="AK132" s="557"/>
      <c r="AL132" s="557"/>
      <c r="AM132" s="557"/>
      <c r="AN132" s="557"/>
      <c r="AO132" s="557"/>
      <c r="AP132" s="557"/>
      <c r="AQ132" s="557"/>
      <c r="AR132" s="557"/>
      <c r="AS132" s="557"/>
      <c r="AT132" s="557"/>
      <c r="AU132" s="557"/>
      <c r="AV132" s="557"/>
      <c r="AW132" s="557"/>
      <c r="AX132" s="557"/>
      <c r="AY132" s="557"/>
      <c r="AZ132" s="557"/>
      <c r="BA132" s="557"/>
      <c r="BB132" s="557"/>
      <c r="BC132" s="557"/>
      <c r="BD132" s="555"/>
      <c r="BE132" s="592"/>
      <c r="BF132" s="592"/>
      <c r="BG132" s="592"/>
      <c r="BH132" s="592"/>
      <c r="BI132" s="592"/>
      <c r="BJ132" s="592"/>
      <c r="BK132" s="592"/>
      <c r="BL132" s="592"/>
      <c r="BM132" s="592"/>
      <c r="BN132" s="592"/>
      <c r="BO132" s="592"/>
      <c r="BP132" s="592"/>
      <c r="BQ132" s="592"/>
      <c r="BR132" s="592"/>
      <c r="BS132" s="592"/>
      <c r="BT132" s="592"/>
    </row>
    <row r="133" spans="1:72" s="591" customFormat="1" ht="15">
      <c r="A133" s="539"/>
      <c r="B133" s="539"/>
      <c r="C133" s="539"/>
      <c r="D133" s="539"/>
      <c r="E133" s="539"/>
      <c r="F133" s="539"/>
      <c r="G133" s="539"/>
      <c r="H133" s="539"/>
      <c r="I133" s="539"/>
      <c r="J133" s="539"/>
      <c r="K133" s="539"/>
      <c r="L133" s="539"/>
      <c r="M133" s="539"/>
      <c r="N133" s="539"/>
      <c r="O133" s="539"/>
      <c r="P133" s="539"/>
      <c r="Q133" s="539"/>
      <c r="R133" s="539"/>
      <c r="S133" s="557"/>
      <c r="T133" s="557"/>
      <c r="U133" s="557"/>
      <c r="V133" s="557"/>
      <c r="W133" s="539"/>
      <c r="X133" s="539"/>
      <c r="Y133" s="557"/>
      <c r="Z133" s="557"/>
      <c r="AA133" s="539"/>
      <c r="AB133" s="539"/>
      <c r="AC133" s="539"/>
      <c r="AD133" s="557"/>
      <c r="AE133" s="557"/>
      <c r="AF133" s="557"/>
      <c r="AG133" s="557"/>
      <c r="AH133" s="557"/>
      <c r="AI133" s="557"/>
      <c r="AJ133" s="557"/>
      <c r="AK133" s="557"/>
      <c r="AL133" s="557"/>
      <c r="AM133" s="557"/>
      <c r="AN133" s="557"/>
      <c r="AO133" s="557"/>
      <c r="AP133" s="557"/>
      <c r="AQ133" s="557"/>
      <c r="AR133" s="557"/>
      <c r="AS133" s="557"/>
      <c r="AT133" s="557"/>
      <c r="AU133" s="557"/>
      <c r="AV133" s="557"/>
      <c r="AW133" s="557"/>
      <c r="AX133" s="557"/>
      <c r="AY133" s="557"/>
      <c r="AZ133" s="557"/>
      <c r="BA133" s="557"/>
      <c r="BB133" s="557"/>
      <c r="BC133" s="557"/>
      <c r="BD133" s="555"/>
      <c r="BE133" s="592"/>
      <c r="BF133" s="592"/>
      <c r="BG133" s="592"/>
      <c r="BH133" s="592"/>
      <c r="BI133" s="592"/>
      <c r="BJ133" s="592"/>
      <c r="BK133" s="592"/>
      <c r="BL133" s="592"/>
      <c r="BM133" s="592"/>
      <c r="BN133" s="592"/>
      <c r="BO133" s="592"/>
      <c r="BP133" s="592"/>
      <c r="BQ133" s="592"/>
      <c r="BR133" s="592"/>
      <c r="BS133" s="592"/>
      <c r="BT133" s="592"/>
    </row>
    <row r="134" spans="1:72" s="591" customFormat="1" ht="15">
      <c r="A134" s="539"/>
      <c r="B134" s="539"/>
      <c r="C134" s="539"/>
      <c r="D134" s="539"/>
      <c r="E134" s="539"/>
      <c r="F134" s="539"/>
      <c r="G134" s="539"/>
      <c r="H134" s="539"/>
      <c r="I134" s="539"/>
      <c r="J134" s="539"/>
      <c r="K134" s="539"/>
      <c r="L134" s="539"/>
      <c r="M134" s="539"/>
      <c r="N134" s="539"/>
      <c r="O134" s="539"/>
      <c r="P134" s="539"/>
      <c r="Q134" s="539"/>
      <c r="R134" s="539"/>
      <c r="S134" s="557"/>
      <c r="T134" s="557"/>
      <c r="U134" s="557"/>
      <c r="V134" s="557"/>
      <c r="W134" s="539"/>
      <c r="X134" s="539"/>
      <c r="Y134" s="557"/>
      <c r="Z134" s="557"/>
      <c r="AA134" s="539"/>
      <c r="AB134" s="539"/>
      <c r="AC134" s="539"/>
      <c r="AD134" s="557"/>
      <c r="AE134" s="557"/>
      <c r="AF134" s="557"/>
      <c r="AG134" s="557"/>
      <c r="AH134" s="557"/>
      <c r="AI134" s="557"/>
      <c r="AJ134" s="557"/>
      <c r="AK134" s="557"/>
      <c r="AL134" s="557"/>
      <c r="AM134" s="557"/>
      <c r="AN134" s="557"/>
      <c r="AO134" s="557"/>
      <c r="AP134" s="557"/>
      <c r="AQ134" s="557"/>
      <c r="AR134" s="557"/>
      <c r="AS134" s="557"/>
      <c r="AT134" s="557"/>
      <c r="AU134" s="557"/>
      <c r="AV134" s="557"/>
      <c r="AW134" s="557"/>
      <c r="AX134" s="557"/>
      <c r="AY134" s="557"/>
      <c r="AZ134" s="557"/>
      <c r="BA134" s="557"/>
      <c r="BB134" s="557"/>
      <c r="BC134" s="557"/>
      <c r="BD134" s="555"/>
      <c r="BE134" s="592"/>
      <c r="BF134" s="592"/>
      <c r="BG134" s="592"/>
      <c r="BH134" s="592"/>
      <c r="BI134" s="592"/>
      <c r="BJ134" s="592"/>
      <c r="BK134" s="592"/>
      <c r="BL134" s="592"/>
      <c r="BM134" s="592"/>
      <c r="BN134" s="592"/>
      <c r="BO134" s="592"/>
      <c r="BP134" s="592"/>
      <c r="BQ134" s="592"/>
      <c r="BR134" s="592"/>
      <c r="BS134" s="592"/>
      <c r="BT134" s="592"/>
    </row>
    <row r="135" spans="1:72" s="591" customFormat="1" ht="15">
      <c r="A135" s="539"/>
      <c r="B135" s="539"/>
      <c r="C135" s="539"/>
      <c r="D135" s="539"/>
      <c r="E135" s="539"/>
      <c r="F135" s="539"/>
      <c r="G135" s="539"/>
      <c r="H135" s="539"/>
      <c r="I135" s="539"/>
      <c r="J135" s="539"/>
      <c r="K135" s="539"/>
      <c r="L135" s="539"/>
      <c r="M135" s="539"/>
      <c r="N135" s="539"/>
      <c r="O135" s="539"/>
      <c r="P135" s="539"/>
      <c r="Q135" s="539"/>
      <c r="R135" s="539"/>
      <c r="S135" s="557"/>
      <c r="T135" s="557"/>
      <c r="U135" s="557"/>
      <c r="V135" s="557"/>
      <c r="W135" s="539"/>
      <c r="X135" s="539"/>
      <c r="Y135" s="557"/>
      <c r="Z135" s="557"/>
      <c r="AA135" s="539"/>
      <c r="AB135" s="539"/>
      <c r="AC135" s="539"/>
      <c r="AD135" s="557"/>
      <c r="AE135" s="557"/>
      <c r="AF135" s="557"/>
      <c r="AG135" s="557"/>
      <c r="AH135" s="557"/>
      <c r="AI135" s="557"/>
      <c r="AJ135" s="557"/>
      <c r="AK135" s="557"/>
      <c r="AL135" s="557"/>
      <c r="AM135" s="557"/>
      <c r="AN135" s="557"/>
      <c r="AO135" s="557"/>
      <c r="AP135" s="557"/>
      <c r="AQ135" s="557"/>
      <c r="AR135" s="557"/>
      <c r="AS135" s="557"/>
      <c r="AT135" s="557"/>
      <c r="AU135" s="557"/>
      <c r="AV135" s="557"/>
      <c r="AW135" s="557"/>
      <c r="AX135" s="557"/>
      <c r="AY135" s="557"/>
      <c r="AZ135" s="557"/>
      <c r="BA135" s="557"/>
      <c r="BB135" s="557"/>
      <c r="BC135" s="557"/>
      <c r="BD135" s="555"/>
      <c r="BE135" s="592"/>
      <c r="BF135" s="592"/>
      <c r="BG135" s="592"/>
      <c r="BH135" s="592"/>
      <c r="BI135" s="592"/>
      <c r="BJ135" s="592"/>
      <c r="BK135" s="592"/>
      <c r="BL135" s="592"/>
      <c r="BM135" s="592"/>
      <c r="BN135" s="592"/>
      <c r="BO135" s="592"/>
      <c r="BP135" s="592"/>
      <c r="BQ135" s="592"/>
      <c r="BR135" s="592"/>
      <c r="BS135" s="592"/>
      <c r="BT135" s="592"/>
    </row>
    <row r="136" spans="1:72" s="591" customFormat="1" ht="15">
      <c r="A136" s="539"/>
      <c r="B136" s="539"/>
      <c r="C136" s="539"/>
      <c r="D136" s="539"/>
      <c r="E136" s="539"/>
      <c r="F136" s="539"/>
      <c r="G136" s="539"/>
      <c r="H136" s="539"/>
      <c r="I136" s="539"/>
      <c r="J136" s="539"/>
      <c r="K136" s="539"/>
      <c r="L136" s="539"/>
      <c r="M136" s="539"/>
      <c r="N136" s="539"/>
      <c r="O136" s="539"/>
      <c r="P136" s="539"/>
      <c r="Q136" s="539"/>
      <c r="R136" s="539"/>
      <c r="S136" s="557"/>
      <c r="T136" s="557"/>
      <c r="U136" s="557"/>
      <c r="V136" s="557"/>
      <c r="W136" s="539"/>
      <c r="X136" s="539"/>
      <c r="Y136" s="557"/>
      <c r="Z136" s="557"/>
      <c r="AA136" s="539"/>
      <c r="AB136" s="539"/>
      <c r="AC136" s="539"/>
      <c r="AD136" s="557"/>
      <c r="AE136" s="557"/>
      <c r="AF136" s="557"/>
      <c r="AG136" s="557"/>
      <c r="AH136" s="557"/>
      <c r="AI136" s="557"/>
      <c r="AJ136" s="557"/>
      <c r="AK136" s="557"/>
      <c r="AL136" s="557"/>
      <c r="AM136" s="557"/>
      <c r="AN136" s="557"/>
      <c r="AO136" s="557"/>
      <c r="AP136" s="557"/>
      <c r="AQ136" s="557"/>
      <c r="AR136" s="557"/>
      <c r="AS136" s="557"/>
      <c r="AT136" s="557"/>
      <c r="AU136" s="557"/>
      <c r="AV136" s="557"/>
      <c r="AW136" s="557"/>
      <c r="AX136" s="557"/>
      <c r="AY136" s="557"/>
      <c r="AZ136" s="557"/>
      <c r="BA136" s="557"/>
      <c r="BB136" s="557"/>
      <c r="BC136" s="557"/>
      <c r="BD136" s="555"/>
      <c r="BE136" s="592"/>
      <c r="BF136" s="592"/>
      <c r="BG136" s="592"/>
      <c r="BH136" s="592"/>
      <c r="BI136" s="592"/>
      <c r="BJ136" s="592"/>
      <c r="BK136" s="592"/>
      <c r="BL136" s="592"/>
      <c r="BM136" s="592"/>
      <c r="BN136" s="592"/>
      <c r="BO136" s="592"/>
      <c r="BP136" s="592"/>
      <c r="BQ136" s="592"/>
      <c r="BR136" s="592"/>
      <c r="BS136" s="592"/>
      <c r="BT136" s="592"/>
    </row>
    <row r="137" spans="1:72" s="591" customFormat="1" ht="15">
      <c r="A137" s="539"/>
      <c r="B137" s="539"/>
      <c r="C137" s="539"/>
      <c r="D137" s="539"/>
      <c r="E137" s="539"/>
      <c r="F137" s="539"/>
      <c r="G137" s="539"/>
      <c r="H137" s="539"/>
      <c r="I137" s="539"/>
      <c r="J137" s="539"/>
      <c r="K137" s="539"/>
      <c r="L137" s="539"/>
      <c r="M137" s="539"/>
      <c r="N137" s="539"/>
      <c r="O137" s="539"/>
      <c r="P137" s="539"/>
      <c r="Q137" s="539"/>
      <c r="R137" s="539"/>
      <c r="S137" s="557"/>
      <c r="T137" s="557"/>
      <c r="U137" s="557"/>
      <c r="V137" s="557"/>
      <c r="W137" s="539"/>
      <c r="X137" s="539"/>
      <c r="Y137" s="557"/>
      <c r="Z137" s="557"/>
      <c r="AA137" s="539"/>
      <c r="AB137" s="539"/>
      <c r="AC137" s="539"/>
      <c r="AD137" s="557"/>
      <c r="AE137" s="557"/>
      <c r="AF137" s="557"/>
      <c r="AG137" s="557"/>
      <c r="AH137" s="557"/>
      <c r="AI137" s="557"/>
      <c r="AJ137" s="557"/>
      <c r="AK137" s="557"/>
      <c r="AL137" s="557"/>
      <c r="AM137" s="557"/>
      <c r="AN137" s="557"/>
      <c r="AO137" s="557"/>
      <c r="AP137" s="557"/>
      <c r="AQ137" s="557"/>
      <c r="AR137" s="557"/>
      <c r="AS137" s="557"/>
      <c r="AT137" s="557"/>
      <c r="AU137" s="557"/>
      <c r="AV137" s="557"/>
      <c r="AW137" s="557"/>
      <c r="AX137" s="557"/>
      <c r="AY137" s="557"/>
      <c r="AZ137" s="557"/>
      <c r="BA137" s="557"/>
      <c r="BB137" s="557"/>
      <c r="BC137" s="557"/>
      <c r="BD137" s="555"/>
      <c r="BE137" s="592"/>
      <c r="BF137" s="592"/>
      <c r="BG137" s="592"/>
      <c r="BH137" s="592"/>
      <c r="BI137" s="592"/>
      <c r="BJ137" s="592"/>
      <c r="BK137" s="592"/>
      <c r="BL137" s="592"/>
      <c r="BM137" s="592"/>
      <c r="BN137" s="592"/>
      <c r="BO137" s="592"/>
      <c r="BP137" s="592"/>
      <c r="BQ137" s="592"/>
      <c r="BR137" s="592"/>
      <c r="BS137" s="592"/>
      <c r="BT137" s="592"/>
    </row>
    <row r="138" spans="1:72" s="591" customFormat="1" ht="15">
      <c r="A138" s="539"/>
      <c r="B138" s="539"/>
      <c r="C138" s="539"/>
      <c r="D138" s="539"/>
      <c r="E138" s="539"/>
      <c r="F138" s="539"/>
      <c r="G138" s="539"/>
      <c r="H138" s="539"/>
      <c r="I138" s="539"/>
      <c r="J138" s="539"/>
      <c r="K138" s="539"/>
      <c r="L138" s="539"/>
      <c r="M138" s="539"/>
      <c r="N138" s="539"/>
      <c r="O138" s="539"/>
      <c r="P138" s="539"/>
      <c r="Q138" s="539"/>
      <c r="R138" s="539"/>
      <c r="S138" s="557"/>
      <c r="T138" s="557"/>
      <c r="U138" s="557"/>
      <c r="V138" s="557"/>
      <c r="W138" s="539"/>
      <c r="X138" s="539"/>
      <c r="Y138" s="557"/>
      <c r="Z138" s="557"/>
      <c r="AA138" s="539"/>
      <c r="AB138" s="539"/>
      <c r="AC138" s="539"/>
      <c r="AD138" s="557"/>
      <c r="AE138" s="557"/>
      <c r="AF138" s="557"/>
      <c r="AG138" s="557"/>
      <c r="AH138" s="557"/>
      <c r="AI138" s="557"/>
      <c r="AJ138" s="557"/>
      <c r="AK138" s="557"/>
      <c r="AL138" s="557"/>
      <c r="AM138" s="557"/>
      <c r="AN138" s="557"/>
      <c r="AO138" s="557"/>
      <c r="AP138" s="557"/>
      <c r="AQ138" s="557"/>
      <c r="AR138" s="557"/>
      <c r="AS138" s="557"/>
      <c r="AT138" s="557"/>
      <c r="AU138" s="557"/>
      <c r="AV138" s="557"/>
      <c r="AW138" s="557"/>
      <c r="AX138" s="557"/>
      <c r="AY138" s="557"/>
      <c r="AZ138" s="557"/>
      <c r="BA138" s="557"/>
      <c r="BB138" s="557"/>
      <c r="BC138" s="557"/>
      <c r="BD138" s="555"/>
      <c r="BE138" s="592"/>
      <c r="BF138" s="592"/>
      <c r="BG138" s="592"/>
      <c r="BH138" s="592"/>
      <c r="BI138" s="592"/>
      <c r="BJ138" s="592"/>
      <c r="BK138" s="592"/>
      <c r="BL138" s="592"/>
      <c r="BM138" s="592"/>
      <c r="BN138" s="592"/>
      <c r="BO138" s="592"/>
      <c r="BP138" s="592"/>
      <c r="BQ138" s="592"/>
      <c r="BR138" s="592"/>
      <c r="BS138" s="592"/>
      <c r="BT138" s="592"/>
    </row>
    <row r="139" spans="1:72" s="591" customFormat="1" ht="15">
      <c r="A139" s="539"/>
      <c r="B139" s="539"/>
      <c r="C139" s="539"/>
      <c r="D139" s="539"/>
      <c r="E139" s="539"/>
      <c r="F139" s="539"/>
      <c r="G139" s="539"/>
      <c r="H139" s="539"/>
      <c r="I139" s="539"/>
      <c r="J139" s="539"/>
      <c r="K139" s="539"/>
      <c r="L139" s="539"/>
      <c r="M139" s="539"/>
      <c r="N139" s="539"/>
      <c r="O139" s="539"/>
      <c r="P139" s="539"/>
      <c r="Q139" s="539"/>
      <c r="R139" s="539"/>
      <c r="S139" s="557"/>
      <c r="T139" s="557"/>
      <c r="U139" s="557"/>
      <c r="V139" s="557"/>
      <c r="W139" s="539"/>
      <c r="X139" s="539"/>
      <c r="Y139" s="557"/>
      <c r="Z139" s="557"/>
      <c r="AA139" s="539"/>
      <c r="AB139" s="539"/>
      <c r="AC139" s="539"/>
      <c r="AD139" s="557"/>
      <c r="AE139" s="557"/>
      <c r="AF139" s="557"/>
      <c r="AG139" s="557"/>
      <c r="AH139" s="557"/>
      <c r="AI139" s="557"/>
      <c r="AJ139" s="557"/>
      <c r="AK139" s="557"/>
      <c r="AL139" s="557"/>
      <c r="AM139" s="557"/>
      <c r="AN139" s="557"/>
      <c r="AO139" s="557"/>
      <c r="AP139" s="557"/>
      <c r="AQ139" s="557"/>
      <c r="AR139" s="557"/>
      <c r="AS139" s="557"/>
      <c r="AT139" s="557"/>
      <c r="AU139" s="557"/>
      <c r="AV139" s="557"/>
      <c r="AW139" s="557"/>
      <c r="AX139" s="557"/>
      <c r="AY139" s="557"/>
      <c r="AZ139" s="557"/>
      <c r="BA139" s="557"/>
      <c r="BB139" s="557"/>
      <c r="BC139" s="557"/>
      <c r="BD139" s="555"/>
      <c r="BE139" s="592"/>
      <c r="BF139" s="592"/>
      <c r="BG139" s="592"/>
      <c r="BH139" s="592"/>
      <c r="BI139" s="592"/>
      <c r="BJ139" s="592"/>
      <c r="BK139" s="592"/>
      <c r="BL139" s="592"/>
      <c r="BM139" s="592"/>
      <c r="BN139" s="592"/>
      <c r="BO139" s="592"/>
      <c r="BP139" s="592"/>
      <c r="BQ139" s="592"/>
      <c r="BR139" s="592"/>
      <c r="BS139" s="592"/>
      <c r="BT139" s="592"/>
    </row>
    <row r="140" spans="1:72" s="591" customFormat="1" ht="15">
      <c r="A140" s="539"/>
      <c r="B140" s="539"/>
      <c r="C140" s="539"/>
      <c r="D140" s="539"/>
      <c r="E140" s="539"/>
      <c r="F140" s="539"/>
      <c r="G140" s="539"/>
      <c r="H140" s="539"/>
      <c r="I140" s="539"/>
      <c r="J140" s="539"/>
      <c r="K140" s="539"/>
      <c r="L140" s="539"/>
      <c r="M140" s="539"/>
      <c r="N140" s="539"/>
      <c r="O140" s="539"/>
      <c r="P140" s="539"/>
      <c r="Q140" s="539"/>
      <c r="R140" s="539"/>
      <c r="S140" s="557"/>
      <c r="T140" s="557"/>
      <c r="U140" s="557"/>
      <c r="V140" s="557"/>
      <c r="W140" s="539"/>
      <c r="X140" s="539"/>
      <c r="Y140" s="557"/>
      <c r="Z140" s="557"/>
      <c r="AA140" s="539"/>
      <c r="AB140" s="539"/>
      <c r="AC140" s="539"/>
      <c r="AD140" s="557"/>
      <c r="AE140" s="557"/>
      <c r="AF140" s="557"/>
      <c r="AG140" s="557"/>
      <c r="AH140" s="557"/>
      <c r="AI140" s="557"/>
      <c r="AJ140" s="557"/>
      <c r="AK140" s="557"/>
      <c r="AL140" s="557"/>
      <c r="AM140" s="557"/>
      <c r="AN140" s="557"/>
      <c r="AO140" s="557"/>
      <c r="AP140" s="557"/>
      <c r="AQ140" s="557"/>
      <c r="AR140" s="557"/>
      <c r="AS140" s="557"/>
      <c r="AT140" s="557"/>
      <c r="AU140" s="557"/>
      <c r="AV140" s="557"/>
      <c r="AW140" s="557"/>
      <c r="AX140" s="557"/>
      <c r="AY140" s="557"/>
      <c r="AZ140" s="557"/>
      <c r="BA140" s="557"/>
      <c r="BB140" s="557"/>
      <c r="BC140" s="557"/>
      <c r="BD140" s="555"/>
      <c r="BE140" s="592"/>
      <c r="BF140" s="592"/>
      <c r="BG140" s="592"/>
      <c r="BH140" s="592"/>
      <c r="BI140" s="592"/>
      <c r="BJ140" s="592"/>
      <c r="BK140" s="592"/>
      <c r="BL140" s="592"/>
      <c r="BM140" s="592"/>
      <c r="BN140" s="592"/>
      <c r="BO140" s="592"/>
      <c r="BP140" s="592"/>
      <c r="BQ140" s="592"/>
      <c r="BR140" s="592"/>
      <c r="BS140" s="592"/>
      <c r="BT140" s="592"/>
    </row>
    <row r="141" spans="1:72" s="591" customFormat="1" ht="15">
      <c r="A141" s="539"/>
      <c r="B141" s="539"/>
      <c r="C141" s="539"/>
      <c r="D141" s="539"/>
      <c r="E141" s="539"/>
      <c r="F141" s="539"/>
      <c r="G141" s="539"/>
      <c r="H141" s="539"/>
      <c r="I141" s="539"/>
      <c r="J141" s="539"/>
      <c r="K141" s="539"/>
      <c r="L141" s="539"/>
      <c r="M141" s="539"/>
      <c r="N141" s="539"/>
      <c r="O141" s="539"/>
      <c r="P141" s="539"/>
      <c r="Q141" s="539"/>
      <c r="R141" s="539"/>
      <c r="S141" s="557"/>
      <c r="T141" s="557"/>
      <c r="U141" s="557"/>
      <c r="V141" s="557"/>
      <c r="W141" s="539"/>
      <c r="X141" s="539"/>
      <c r="Y141" s="557"/>
      <c r="Z141" s="557"/>
      <c r="AA141" s="539"/>
      <c r="AB141" s="539"/>
      <c r="AC141" s="539"/>
      <c r="AD141" s="557"/>
      <c r="AE141" s="557"/>
      <c r="AF141" s="557"/>
      <c r="AG141" s="557"/>
      <c r="AH141" s="557"/>
      <c r="AI141" s="557"/>
      <c r="AJ141" s="557"/>
      <c r="AK141" s="557"/>
      <c r="AL141" s="557"/>
      <c r="AM141" s="557"/>
      <c r="AN141" s="557"/>
      <c r="AO141" s="557"/>
      <c r="AP141" s="557"/>
      <c r="AQ141" s="557"/>
      <c r="AR141" s="557"/>
      <c r="AS141" s="557"/>
      <c r="AT141" s="557"/>
      <c r="AU141" s="557"/>
      <c r="AV141" s="557"/>
      <c r="AW141" s="557"/>
      <c r="AX141" s="557"/>
      <c r="AY141" s="557"/>
      <c r="AZ141" s="557"/>
      <c r="BA141" s="557"/>
      <c r="BB141" s="557"/>
      <c r="BC141" s="557"/>
      <c r="BD141" s="555"/>
      <c r="BE141" s="592"/>
      <c r="BF141" s="592"/>
      <c r="BG141" s="592"/>
      <c r="BH141" s="592"/>
      <c r="BI141" s="592"/>
      <c r="BJ141" s="592"/>
      <c r="BK141" s="592"/>
      <c r="BL141" s="592"/>
      <c r="BM141" s="592"/>
      <c r="BN141" s="592"/>
      <c r="BO141" s="592"/>
      <c r="BP141" s="592"/>
      <c r="BQ141" s="592"/>
      <c r="BR141" s="592"/>
      <c r="BS141" s="592"/>
      <c r="BT141" s="592"/>
    </row>
    <row r="142" spans="1:72" s="591" customFormat="1" ht="15">
      <c r="A142" s="539"/>
      <c r="B142" s="539"/>
      <c r="C142" s="539"/>
      <c r="D142" s="539"/>
      <c r="E142" s="539"/>
      <c r="F142" s="539"/>
      <c r="G142" s="539"/>
      <c r="H142" s="539"/>
      <c r="I142" s="539"/>
      <c r="J142" s="539"/>
      <c r="K142" s="539"/>
      <c r="L142" s="539"/>
      <c r="M142" s="539"/>
      <c r="N142" s="539"/>
      <c r="O142" s="539"/>
      <c r="P142" s="539"/>
      <c r="Q142" s="539"/>
      <c r="R142" s="539"/>
      <c r="S142" s="557"/>
      <c r="T142" s="557"/>
      <c r="U142" s="557"/>
      <c r="V142" s="557"/>
      <c r="W142" s="539"/>
      <c r="X142" s="539"/>
      <c r="Y142" s="557"/>
      <c r="Z142" s="557"/>
      <c r="AA142" s="539"/>
      <c r="AB142" s="539"/>
      <c r="AC142" s="539"/>
      <c r="AD142" s="557"/>
      <c r="AE142" s="557"/>
      <c r="AF142" s="557"/>
      <c r="AG142" s="557"/>
      <c r="AH142" s="557"/>
      <c r="AI142" s="557"/>
      <c r="AJ142" s="557"/>
      <c r="AK142" s="557"/>
      <c r="AL142" s="557"/>
      <c r="AM142" s="557"/>
      <c r="AN142" s="557"/>
      <c r="AO142" s="557"/>
      <c r="AP142" s="557"/>
      <c r="AQ142" s="557"/>
      <c r="AR142" s="557"/>
      <c r="AS142" s="557"/>
      <c r="AT142" s="557"/>
      <c r="AU142" s="557"/>
      <c r="AV142" s="557"/>
      <c r="AW142" s="557"/>
      <c r="AX142" s="557"/>
      <c r="AY142" s="557"/>
      <c r="AZ142" s="557"/>
      <c r="BA142" s="557"/>
      <c r="BB142" s="557"/>
      <c r="BC142" s="557"/>
      <c r="BD142" s="555"/>
      <c r="BE142" s="592"/>
      <c r="BF142" s="592"/>
      <c r="BG142" s="592"/>
      <c r="BH142" s="592"/>
      <c r="BI142" s="592"/>
      <c r="BJ142" s="592"/>
      <c r="BK142" s="592"/>
      <c r="BL142" s="592"/>
      <c r="BM142" s="592"/>
      <c r="BN142" s="592"/>
      <c r="BO142" s="592"/>
      <c r="BP142" s="592"/>
      <c r="BQ142" s="592"/>
      <c r="BR142" s="592"/>
      <c r="BS142" s="592"/>
      <c r="BT142" s="592"/>
    </row>
    <row r="143" spans="1:72" s="591" customFormat="1" ht="15">
      <c r="A143" s="539"/>
      <c r="B143" s="539"/>
      <c r="C143" s="539"/>
      <c r="D143" s="539"/>
      <c r="E143" s="539"/>
      <c r="F143" s="539"/>
      <c r="G143" s="539"/>
      <c r="H143" s="539"/>
      <c r="I143" s="539"/>
      <c r="J143" s="539"/>
      <c r="K143" s="539"/>
      <c r="L143" s="539"/>
      <c r="M143" s="539"/>
      <c r="N143" s="539"/>
      <c r="O143" s="539"/>
      <c r="P143" s="539"/>
      <c r="Q143" s="539"/>
      <c r="R143" s="539"/>
      <c r="S143" s="557"/>
      <c r="T143" s="557"/>
      <c r="U143" s="557"/>
      <c r="V143" s="557"/>
      <c r="W143" s="539"/>
      <c r="X143" s="539"/>
      <c r="Y143" s="557"/>
      <c r="Z143" s="557"/>
      <c r="AA143" s="539"/>
      <c r="AB143" s="539"/>
      <c r="AC143" s="539"/>
      <c r="AD143" s="557"/>
      <c r="AE143" s="557"/>
      <c r="AF143" s="557"/>
      <c r="AG143" s="557"/>
      <c r="AH143" s="557"/>
      <c r="AI143" s="557"/>
      <c r="AJ143" s="557"/>
      <c r="AK143" s="557"/>
      <c r="AL143" s="557"/>
      <c r="AM143" s="557"/>
      <c r="AN143" s="557"/>
      <c r="AO143" s="557"/>
      <c r="AP143" s="557"/>
      <c r="AQ143" s="557"/>
      <c r="AR143" s="557"/>
      <c r="AS143" s="557"/>
      <c r="AT143" s="557"/>
      <c r="AU143" s="557"/>
      <c r="AV143" s="557"/>
      <c r="AW143" s="557"/>
      <c r="AX143" s="557"/>
      <c r="AY143" s="557"/>
      <c r="AZ143" s="557"/>
      <c r="BA143" s="557"/>
      <c r="BB143" s="557"/>
      <c r="BC143" s="557"/>
      <c r="BD143" s="555"/>
      <c r="BE143" s="592"/>
      <c r="BF143" s="592"/>
      <c r="BG143" s="592"/>
      <c r="BH143" s="592"/>
      <c r="BI143" s="592"/>
      <c r="BJ143" s="592"/>
      <c r="BK143" s="592"/>
      <c r="BL143" s="592"/>
      <c r="BM143" s="592"/>
      <c r="BN143" s="592"/>
      <c r="BO143" s="592"/>
      <c r="BP143" s="592"/>
      <c r="BQ143" s="592"/>
      <c r="BR143" s="592"/>
      <c r="BS143" s="592"/>
      <c r="BT143" s="592"/>
    </row>
    <row r="144" spans="1:72" s="591" customFormat="1" ht="15">
      <c r="A144" s="539"/>
      <c r="B144" s="539"/>
      <c r="C144" s="539"/>
      <c r="D144" s="539"/>
      <c r="E144" s="539"/>
      <c r="F144" s="539"/>
      <c r="G144" s="539"/>
      <c r="H144" s="539"/>
      <c r="I144" s="539"/>
      <c r="J144" s="539"/>
      <c r="K144" s="539"/>
      <c r="L144" s="539"/>
      <c r="M144" s="539"/>
      <c r="N144" s="539"/>
      <c r="O144" s="539"/>
      <c r="P144" s="539"/>
      <c r="Q144" s="539"/>
      <c r="R144" s="539"/>
      <c r="S144" s="557"/>
      <c r="T144" s="557"/>
      <c r="U144" s="557"/>
      <c r="V144" s="557"/>
      <c r="W144" s="539"/>
      <c r="X144" s="539"/>
      <c r="Y144" s="557"/>
      <c r="Z144" s="557"/>
      <c r="AA144" s="539"/>
      <c r="AB144" s="539"/>
      <c r="AC144" s="539"/>
      <c r="AD144" s="557"/>
      <c r="AE144" s="557"/>
      <c r="AF144" s="557"/>
      <c r="AG144" s="557"/>
      <c r="AH144" s="557"/>
      <c r="AI144" s="557"/>
      <c r="AJ144" s="557"/>
      <c r="AK144" s="557"/>
      <c r="AL144" s="557"/>
      <c r="AM144" s="557"/>
      <c r="AN144" s="557"/>
      <c r="AO144" s="557"/>
      <c r="AP144" s="557"/>
      <c r="AQ144" s="557"/>
      <c r="AR144" s="557"/>
      <c r="AS144" s="557"/>
      <c r="AT144" s="557"/>
      <c r="AU144" s="557"/>
      <c r="AV144" s="557"/>
      <c r="AW144" s="557"/>
      <c r="AX144" s="557"/>
      <c r="AY144" s="557"/>
      <c r="AZ144" s="557"/>
      <c r="BA144" s="557"/>
      <c r="BB144" s="557"/>
      <c r="BC144" s="557"/>
      <c r="BD144" s="555"/>
      <c r="BE144" s="592"/>
      <c r="BF144" s="592"/>
      <c r="BG144" s="592"/>
      <c r="BH144" s="592"/>
      <c r="BI144" s="592"/>
      <c r="BJ144" s="592"/>
      <c r="BK144" s="592"/>
      <c r="BL144" s="592"/>
      <c r="BM144" s="592"/>
      <c r="BN144" s="592"/>
      <c r="BO144" s="592"/>
      <c r="BP144" s="592"/>
      <c r="BQ144" s="592"/>
      <c r="BR144" s="592"/>
      <c r="BS144" s="592"/>
      <c r="BT144" s="592"/>
    </row>
    <row r="145" spans="1:72" s="591" customFormat="1" ht="15">
      <c r="A145" s="539"/>
      <c r="B145" s="539"/>
      <c r="C145" s="539"/>
      <c r="D145" s="539"/>
      <c r="E145" s="539"/>
      <c r="F145" s="539"/>
      <c r="G145" s="539"/>
      <c r="H145" s="539"/>
      <c r="I145" s="539"/>
      <c r="J145" s="539"/>
      <c r="K145" s="539"/>
      <c r="L145" s="539"/>
      <c r="M145" s="539"/>
      <c r="N145" s="539"/>
      <c r="O145" s="539"/>
      <c r="P145" s="539"/>
      <c r="Q145" s="539"/>
      <c r="R145" s="539"/>
      <c r="S145" s="557"/>
      <c r="T145" s="557"/>
      <c r="U145" s="557"/>
      <c r="V145" s="557"/>
      <c r="W145" s="539"/>
      <c r="X145" s="539"/>
      <c r="Y145" s="557"/>
      <c r="Z145" s="557"/>
      <c r="AA145" s="539"/>
      <c r="AB145" s="539"/>
      <c r="AC145" s="539"/>
      <c r="AD145" s="557"/>
      <c r="AE145" s="557"/>
      <c r="AF145" s="557"/>
      <c r="AG145" s="557"/>
      <c r="AH145" s="557"/>
      <c r="AI145" s="557"/>
      <c r="AJ145" s="557"/>
      <c r="AK145" s="557"/>
      <c r="AL145" s="557"/>
      <c r="AM145" s="557"/>
      <c r="AN145" s="557"/>
      <c r="AO145" s="557"/>
      <c r="AP145" s="557"/>
      <c r="AQ145" s="557"/>
      <c r="AR145" s="557"/>
      <c r="AS145" s="557"/>
      <c r="AT145" s="557"/>
      <c r="AU145" s="557"/>
      <c r="AV145" s="557"/>
      <c r="AW145" s="557"/>
      <c r="AX145" s="557"/>
      <c r="AY145" s="557"/>
      <c r="AZ145" s="557"/>
      <c r="BA145" s="557"/>
      <c r="BB145" s="557"/>
      <c r="BC145" s="557"/>
      <c r="BD145" s="555"/>
      <c r="BE145" s="592"/>
      <c r="BF145" s="592"/>
      <c r="BG145" s="592"/>
      <c r="BH145" s="592"/>
      <c r="BI145" s="592"/>
      <c r="BJ145" s="592"/>
      <c r="BK145" s="592"/>
      <c r="BL145" s="592"/>
      <c r="BM145" s="592"/>
      <c r="BN145" s="592"/>
      <c r="BO145" s="592"/>
      <c r="BP145" s="592"/>
      <c r="BQ145" s="592"/>
      <c r="BR145" s="592"/>
      <c r="BS145" s="592"/>
      <c r="BT145" s="592"/>
    </row>
    <row r="146" spans="1:72" s="591" customFormat="1" ht="15">
      <c r="A146" s="539"/>
      <c r="B146" s="539"/>
      <c r="C146" s="539"/>
      <c r="D146" s="539"/>
      <c r="E146" s="539"/>
      <c r="F146" s="539"/>
      <c r="G146" s="539"/>
      <c r="H146" s="539"/>
      <c r="I146" s="539"/>
      <c r="J146" s="539"/>
      <c r="K146" s="539"/>
      <c r="L146" s="539"/>
      <c r="M146" s="539"/>
      <c r="N146" s="539"/>
      <c r="O146" s="539"/>
      <c r="P146" s="539"/>
      <c r="Q146" s="539"/>
      <c r="R146" s="539"/>
      <c r="S146" s="557"/>
      <c r="T146" s="557"/>
      <c r="U146" s="557"/>
      <c r="V146" s="557"/>
      <c r="W146" s="539"/>
      <c r="X146" s="539"/>
      <c r="Y146" s="557"/>
      <c r="Z146" s="557"/>
      <c r="AA146" s="539"/>
      <c r="AB146" s="539"/>
      <c r="AC146" s="539"/>
      <c r="AD146" s="557"/>
      <c r="AE146" s="557"/>
      <c r="AF146" s="557"/>
      <c r="AG146" s="557"/>
      <c r="AH146" s="557"/>
      <c r="AI146" s="557"/>
      <c r="AJ146" s="557"/>
      <c r="AK146" s="557"/>
      <c r="AL146" s="557"/>
      <c r="AM146" s="557"/>
      <c r="AN146" s="557"/>
      <c r="AO146" s="557"/>
      <c r="AP146" s="557"/>
      <c r="AQ146" s="557"/>
      <c r="AR146" s="557"/>
      <c r="AS146" s="557"/>
      <c r="AT146" s="557"/>
      <c r="AU146" s="557"/>
      <c r="AV146" s="557"/>
      <c r="AW146" s="557"/>
      <c r="AX146" s="557"/>
      <c r="AY146" s="557"/>
      <c r="AZ146" s="557"/>
      <c r="BA146" s="557"/>
      <c r="BB146" s="557"/>
      <c r="BC146" s="557"/>
      <c r="BD146" s="555"/>
      <c r="BE146" s="592"/>
      <c r="BF146" s="592"/>
      <c r="BG146" s="592"/>
      <c r="BH146" s="592"/>
      <c r="BI146" s="592"/>
      <c r="BJ146" s="592"/>
      <c r="BK146" s="592"/>
      <c r="BL146" s="592"/>
      <c r="BM146" s="592"/>
      <c r="BN146" s="592"/>
      <c r="BO146" s="592"/>
      <c r="BP146" s="592"/>
      <c r="BQ146" s="592"/>
      <c r="BR146" s="592"/>
      <c r="BS146" s="592"/>
      <c r="BT146" s="592"/>
    </row>
    <row r="147" spans="1:72" s="591" customFormat="1" ht="15">
      <c r="A147" s="539"/>
      <c r="B147" s="539"/>
      <c r="C147" s="539"/>
      <c r="D147" s="539"/>
      <c r="E147" s="539"/>
      <c r="F147" s="539"/>
      <c r="G147" s="539"/>
      <c r="H147" s="539"/>
      <c r="I147" s="539"/>
      <c r="J147" s="539"/>
      <c r="K147" s="539"/>
      <c r="L147" s="539"/>
      <c r="M147" s="539"/>
      <c r="N147" s="539"/>
      <c r="O147" s="539"/>
      <c r="P147" s="539"/>
      <c r="Q147" s="539"/>
      <c r="R147" s="539"/>
      <c r="S147" s="557"/>
      <c r="T147" s="557"/>
      <c r="U147" s="557"/>
      <c r="V147" s="557"/>
      <c r="W147" s="539"/>
      <c r="X147" s="539"/>
      <c r="Y147" s="557"/>
      <c r="Z147" s="557"/>
      <c r="AA147" s="539"/>
      <c r="AB147" s="539"/>
      <c r="AC147" s="539"/>
      <c r="AD147" s="557"/>
      <c r="AE147" s="557"/>
      <c r="AF147" s="557"/>
      <c r="AG147" s="557"/>
      <c r="AH147" s="557"/>
      <c r="AI147" s="557"/>
      <c r="AJ147" s="557"/>
      <c r="AK147" s="557"/>
      <c r="AL147" s="557"/>
      <c r="AM147" s="557"/>
      <c r="AN147" s="557"/>
      <c r="AO147" s="557"/>
      <c r="AP147" s="557"/>
      <c r="AQ147" s="557"/>
      <c r="AR147" s="557"/>
      <c r="AS147" s="557"/>
      <c r="AT147" s="557"/>
      <c r="AU147" s="557"/>
      <c r="AV147" s="557"/>
      <c r="AW147" s="557"/>
      <c r="AX147" s="557"/>
      <c r="AY147" s="557"/>
      <c r="AZ147" s="557"/>
      <c r="BA147" s="557"/>
      <c r="BB147" s="557"/>
      <c r="BC147" s="557"/>
      <c r="BD147" s="555"/>
      <c r="BE147" s="592"/>
      <c r="BF147" s="592"/>
      <c r="BG147" s="592"/>
      <c r="BH147" s="592"/>
      <c r="BI147" s="592"/>
      <c r="BJ147" s="592"/>
      <c r="BK147" s="592"/>
      <c r="BL147" s="592"/>
      <c r="BM147" s="592"/>
      <c r="BN147" s="592"/>
      <c r="BO147" s="592"/>
      <c r="BP147" s="592"/>
      <c r="BQ147" s="592"/>
      <c r="BR147" s="592"/>
      <c r="BS147" s="592"/>
      <c r="BT147" s="592"/>
    </row>
    <row r="148" spans="1:72" s="591" customFormat="1" ht="15">
      <c r="A148" s="539"/>
      <c r="B148" s="539"/>
      <c r="C148" s="539"/>
      <c r="D148" s="539"/>
      <c r="E148" s="539"/>
      <c r="F148" s="539"/>
      <c r="G148" s="539"/>
      <c r="H148" s="539"/>
      <c r="I148" s="539"/>
      <c r="J148" s="539"/>
      <c r="K148" s="539"/>
      <c r="L148" s="539"/>
      <c r="M148" s="539"/>
      <c r="N148" s="539"/>
      <c r="O148" s="539"/>
      <c r="P148" s="539"/>
      <c r="Q148" s="539"/>
      <c r="R148" s="539"/>
      <c r="S148" s="557"/>
      <c r="T148" s="557"/>
      <c r="U148" s="557"/>
      <c r="V148" s="557"/>
      <c r="W148" s="539"/>
      <c r="X148" s="539"/>
      <c r="Y148" s="557"/>
      <c r="Z148" s="557"/>
      <c r="AA148" s="539"/>
      <c r="AB148" s="539"/>
      <c r="AC148" s="539"/>
      <c r="AD148" s="557"/>
      <c r="AE148" s="557"/>
      <c r="AF148" s="557"/>
      <c r="AG148" s="557"/>
      <c r="AH148" s="557"/>
      <c r="AI148" s="557"/>
      <c r="AJ148" s="557"/>
      <c r="AK148" s="557"/>
      <c r="AL148" s="557"/>
      <c r="AM148" s="557"/>
      <c r="AN148" s="557"/>
      <c r="AO148" s="557"/>
      <c r="AP148" s="557"/>
      <c r="AQ148" s="557"/>
      <c r="AR148" s="557"/>
      <c r="AS148" s="557"/>
      <c r="AT148" s="557"/>
      <c r="AU148" s="557"/>
      <c r="AV148" s="557"/>
      <c r="AW148" s="557"/>
      <c r="AX148" s="557"/>
      <c r="AY148" s="557"/>
      <c r="AZ148" s="557"/>
      <c r="BA148" s="557"/>
      <c r="BB148" s="557"/>
      <c r="BC148" s="557"/>
      <c r="BD148" s="555"/>
      <c r="BE148" s="592"/>
      <c r="BF148" s="592"/>
      <c r="BG148" s="592"/>
      <c r="BH148" s="592"/>
      <c r="BI148" s="592"/>
      <c r="BJ148" s="592"/>
      <c r="BK148" s="592"/>
      <c r="BL148" s="592"/>
      <c r="BM148" s="592"/>
      <c r="BN148" s="592"/>
      <c r="BO148" s="592"/>
      <c r="BP148" s="592"/>
      <c r="BQ148" s="592"/>
      <c r="BR148" s="592"/>
      <c r="BS148" s="592"/>
      <c r="BT148" s="592"/>
    </row>
    <row r="149" spans="1:72" s="591" customFormat="1" ht="15">
      <c r="A149" s="539"/>
      <c r="B149" s="539"/>
      <c r="C149" s="539"/>
      <c r="D149" s="539"/>
      <c r="E149" s="539"/>
      <c r="F149" s="539"/>
      <c r="G149" s="539"/>
      <c r="H149" s="539"/>
      <c r="I149" s="539"/>
      <c r="J149" s="539"/>
      <c r="K149" s="539"/>
      <c r="L149" s="539"/>
      <c r="M149" s="539"/>
      <c r="N149" s="539"/>
      <c r="O149" s="539"/>
      <c r="P149" s="539"/>
      <c r="Q149" s="539"/>
      <c r="R149" s="539"/>
      <c r="S149" s="557"/>
      <c r="T149" s="557"/>
      <c r="U149" s="557"/>
      <c r="V149" s="557"/>
      <c r="W149" s="539"/>
      <c r="X149" s="539"/>
      <c r="Y149" s="557"/>
      <c r="Z149" s="557"/>
      <c r="AA149" s="539"/>
      <c r="AB149" s="539"/>
      <c r="AC149" s="539"/>
      <c r="AD149" s="557"/>
      <c r="AE149" s="557"/>
      <c r="AF149" s="557"/>
      <c r="AG149" s="557"/>
      <c r="AH149" s="557"/>
      <c r="AI149" s="557"/>
      <c r="AJ149" s="557"/>
      <c r="AK149" s="557"/>
      <c r="AL149" s="557"/>
      <c r="AM149" s="557"/>
      <c r="AN149" s="557"/>
      <c r="AO149" s="557"/>
      <c r="AP149" s="557"/>
      <c r="AQ149" s="557"/>
      <c r="AR149" s="557"/>
      <c r="AS149" s="557"/>
      <c r="AT149" s="557"/>
      <c r="AU149" s="557"/>
      <c r="AV149" s="557"/>
      <c r="AW149" s="557"/>
      <c r="AX149" s="557"/>
      <c r="AY149" s="557"/>
      <c r="AZ149" s="557"/>
      <c r="BA149" s="557"/>
      <c r="BB149" s="557"/>
      <c r="BC149" s="557"/>
      <c r="BD149" s="555"/>
      <c r="BE149" s="592"/>
      <c r="BF149" s="592"/>
      <c r="BG149" s="592"/>
      <c r="BH149" s="592"/>
      <c r="BI149" s="592"/>
      <c r="BJ149" s="592"/>
      <c r="BK149" s="592"/>
      <c r="BL149" s="592"/>
      <c r="BM149" s="592"/>
      <c r="BN149" s="592"/>
      <c r="BO149" s="592"/>
      <c r="BP149" s="592"/>
      <c r="BQ149" s="592"/>
      <c r="BR149" s="592"/>
      <c r="BS149" s="592"/>
      <c r="BT149" s="592"/>
    </row>
    <row r="150" spans="1:72" s="591" customFormat="1" ht="15">
      <c r="A150" s="539"/>
      <c r="B150" s="539"/>
      <c r="C150" s="539"/>
      <c r="D150" s="539"/>
      <c r="E150" s="539"/>
      <c r="F150" s="539"/>
      <c r="G150" s="539"/>
      <c r="H150" s="539"/>
      <c r="I150" s="539"/>
      <c r="J150" s="539"/>
      <c r="K150" s="539"/>
      <c r="L150" s="539"/>
      <c r="M150" s="539"/>
      <c r="N150" s="539"/>
      <c r="O150" s="539"/>
      <c r="P150" s="539"/>
      <c r="Q150" s="539"/>
      <c r="R150" s="539"/>
      <c r="S150" s="557"/>
      <c r="T150" s="557"/>
      <c r="U150" s="557"/>
      <c r="V150" s="557"/>
      <c r="W150" s="539"/>
      <c r="X150" s="539"/>
      <c r="Y150" s="557"/>
      <c r="Z150" s="557"/>
      <c r="AA150" s="539"/>
      <c r="AB150" s="539"/>
      <c r="AC150" s="539"/>
      <c r="AD150" s="557"/>
      <c r="AE150" s="557"/>
      <c r="AF150" s="557"/>
      <c r="AG150" s="557"/>
      <c r="AH150" s="557"/>
      <c r="AI150" s="557"/>
      <c r="AJ150" s="557"/>
      <c r="AK150" s="557"/>
      <c r="AL150" s="557"/>
      <c r="AM150" s="557"/>
      <c r="AN150" s="557"/>
      <c r="AO150" s="557"/>
      <c r="AP150" s="557"/>
      <c r="AQ150" s="557"/>
      <c r="AR150" s="557"/>
      <c r="AS150" s="557"/>
      <c r="AT150" s="557"/>
      <c r="AU150" s="557"/>
      <c r="AV150" s="557"/>
      <c r="AW150" s="557"/>
      <c r="AX150" s="557"/>
      <c r="AY150" s="557"/>
      <c r="AZ150" s="557"/>
      <c r="BA150" s="557"/>
      <c r="BB150" s="557"/>
      <c r="BC150" s="557"/>
      <c r="BD150" s="555"/>
      <c r="BE150" s="592"/>
      <c r="BF150" s="592"/>
      <c r="BG150" s="592"/>
      <c r="BH150" s="592"/>
      <c r="BI150" s="592"/>
      <c r="BJ150" s="592"/>
      <c r="BK150" s="592"/>
      <c r="BL150" s="592"/>
      <c r="BM150" s="592"/>
      <c r="BN150" s="592"/>
      <c r="BO150" s="592"/>
      <c r="BP150" s="592"/>
      <c r="BQ150" s="592"/>
      <c r="BR150" s="592"/>
      <c r="BS150" s="592"/>
      <c r="BT150" s="592"/>
    </row>
    <row r="151" spans="1:72" s="591" customFormat="1" ht="15">
      <c r="A151" s="539"/>
      <c r="B151" s="539"/>
      <c r="C151" s="539"/>
      <c r="D151" s="539"/>
      <c r="E151" s="539"/>
      <c r="F151" s="539"/>
      <c r="G151" s="539"/>
      <c r="H151" s="539"/>
      <c r="I151" s="539"/>
      <c r="J151" s="539"/>
      <c r="K151" s="539"/>
      <c r="L151" s="539"/>
      <c r="M151" s="539"/>
      <c r="N151" s="539"/>
      <c r="O151" s="539"/>
      <c r="P151" s="539"/>
      <c r="Q151" s="539"/>
      <c r="R151" s="539"/>
      <c r="S151" s="557"/>
      <c r="T151" s="557"/>
      <c r="U151" s="557"/>
      <c r="V151" s="557"/>
      <c r="W151" s="539"/>
      <c r="X151" s="539"/>
      <c r="Y151" s="557"/>
      <c r="Z151" s="557"/>
      <c r="AA151" s="539"/>
      <c r="AB151" s="539"/>
      <c r="AC151" s="539"/>
      <c r="AD151" s="557"/>
      <c r="AE151" s="557"/>
      <c r="AF151" s="557"/>
      <c r="AG151" s="557"/>
      <c r="AH151" s="557"/>
      <c r="AI151" s="557"/>
      <c r="AJ151" s="557"/>
      <c r="AK151" s="557"/>
      <c r="AL151" s="557"/>
      <c r="AM151" s="557"/>
      <c r="AN151" s="557"/>
      <c r="AO151" s="557"/>
      <c r="AP151" s="557"/>
      <c r="AQ151" s="557"/>
      <c r="AR151" s="557"/>
      <c r="AS151" s="557"/>
      <c r="AT151" s="557"/>
      <c r="AU151" s="557"/>
      <c r="AV151" s="557"/>
      <c r="AW151" s="557"/>
      <c r="AX151" s="557"/>
      <c r="AY151" s="557"/>
      <c r="AZ151" s="557"/>
      <c r="BA151" s="557"/>
      <c r="BB151" s="557"/>
      <c r="BC151" s="557"/>
      <c r="BD151" s="555"/>
      <c r="BE151" s="592"/>
      <c r="BF151" s="592"/>
      <c r="BG151" s="592"/>
      <c r="BH151" s="592"/>
      <c r="BI151" s="592"/>
      <c r="BJ151" s="592"/>
      <c r="BK151" s="592"/>
      <c r="BL151" s="592"/>
      <c r="BM151" s="592"/>
      <c r="BN151" s="592"/>
      <c r="BO151" s="592"/>
      <c r="BP151" s="592"/>
      <c r="BQ151" s="592"/>
      <c r="BR151" s="592"/>
      <c r="BS151" s="592"/>
      <c r="BT151" s="592"/>
    </row>
    <row r="152" spans="1:72" s="591" customFormat="1" ht="15">
      <c r="A152" s="539"/>
      <c r="B152" s="539"/>
      <c r="C152" s="539"/>
      <c r="D152" s="539"/>
      <c r="E152" s="539"/>
      <c r="F152" s="539"/>
      <c r="G152" s="539"/>
      <c r="H152" s="539"/>
      <c r="I152" s="539"/>
      <c r="J152" s="539"/>
      <c r="K152" s="539"/>
      <c r="L152" s="539"/>
      <c r="M152" s="539"/>
      <c r="N152" s="539"/>
      <c r="O152" s="539"/>
      <c r="P152" s="539"/>
      <c r="Q152" s="539"/>
      <c r="R152" s="539"/>
      <c r="S152" s="557"/>
      <c r="T152" s="557"/>
      <c r="U152" s="557"/>
      <c r="V152" s="557"/>
      <c r="W152" s="539"/>
      <c r="X152" s="539"/>
      <c r="Y152" s="557"/>
      <c r="Z152" s="557"/>
      <c r="AA152" s="539"/>
      <c r="AB152" s="539"/>
      <c r="AC152" s="539"/>
      <c r="AD152" s="557"/>
      <c r="AE152" s="557"/>
      <c r="AF152" s="557"/>
      <c r="AG152" s="557"/>
      <c r="AH152" s="557"/>
      <c r="AI152" s="557"/>
      <c r="AJ152" s="557"/>
      <c r="AK152" s="557"/>
      <c r="AL152" s="557"/>
      <c r="AM152" s="557"/>
      <c r="AN152" s="557"/>
      <c r="AO152" s="557"/>
      <c r="AP152" s="557"/>
      <c r="AQ152" s="557"/>
      <c r="AR152" s="557"/>
      <c r="AS152" s="557"/>
      <c r="AT152" s="557"/>
      <c r="AU152" s="557"/>
      <c r="AV152" s="557"/>
      <c r="AW152" s="557"/>
      <c r="AX152" s="557"/>
      <c r="AY152" s="557"/>
      <c r="AZ152" s="557"/>
      <c r="BA152" s="557"/>
      <c r="BB152" s="557"/>
      <c r="BC152" s="557"/>
      <c r="BD152" s="555"/>
      <c r="BE152" s="592"/>
      <c r="BF152" s="592"/>
      <c r="BG152" s="592"/>
      <c r="BH152" s="592"/>
      <c r="BI152" s="592"/>
      <c r="BJ152" s="592"/>
      <c r="BK152" s="592"/>
      <c r="BL152" s="592"/>
      <c r="BM152" s="592"/>
      <c r="BN152" s="592"/>
      <c r="BO152" s="592"/>
      <c r="BP152" s="592"/>
      <c r="BQ152" s="592"/>
      <c r="BR152" s="592"/>
      <c r="BS152" s="592"/>
      <c r="BT152" s="592"/>
    </row>
    <row r="153" spans="1:72" s="591" customFormat="1" ht="15">
      <c r="A153" s="539"/>
      <c r="B153" s="539"/>
      <c r="C153" s="539"/>
      <c r="D153" s="539"/>
      <c r="E153" s="539"/>
      <c r="F153" s="539"/>
      <c r="G153" s="539"/>
      <c r="H153" s="539"/>
      <c r="I153" s="539"/>
      <c r="J153" s="539"/>
      <c r="K153" s="539"/>
      <c r="L153" s="539"/>
      <c r="M153" s="539"/>
      <c r="N153" s="539"/>
      <c r="O153" s="539"/>
      <c r="P153" s="539"/>
      <c r="Q153" s="539"/>
      <c r="R153" s="539"/>
      <c r="S153" s="557"/>
      <c r="T153" s="557"/>
      <c r="U153" s="557"/>
      <c r="V153" s="557"/>
      <c r="W153" s="539"/>
      <c r="X153" s="539"/>
      <c r="Y153" s="557"/>
      <c r="Z153" s="557"/>
      <c r="AA153" s="539"/>
      <c r="AB153" s="539"/>
      <c r="AC153" s="539"/>
      <c r="AD153" s="557"/>
      <c r="AE153" s="557"/>
      <c r="AF153" s="557"/>
      <c r="AG153" s="557"/>
      <c r="AH153" s="557"/>
      <c r="AI153" s="557"/>
      <c r="AJ153" s="557"/>
      <c r="AK153" s="557"/>
      <c r="AL153" s="557"/>
      <c r="AM153" s="557"/>
      <c r="AN153" s="557"/>
      <c r="AO153" s="557"/>
      <c r="AP153" s="557"/>
      <c r="AQ153" s="557"/>
      <c r="AR153" s="557"/>
      <c r="AS153" s="557"/>
      <c r="AT153" s="557"/>
      <c r="AU153" s="557"/>
      <c r="AV153" s="557"/>
      <c r="AW153" s="557"/>
      <c r="AX153" s="557"/>
      <c r="AY153" s="557"/>
      <c r="AZ153" s="557"/>
      <c r="BA153" s="557"/>
      <c r="BB153" s="557"/>
      <c r="BC153" s="557"/>
      <c r="BD153" s="555"/>
      <c r="BE153" s="592"/>
      <c r="BF153" s="592"/>
      <c r="BG153" s="592"/>
      <c r="BH153" s="592"/>
      <c r="BI153" s="592"/>
      <c r="BJ153" s="592"/>
      <c r="BK153" s="592"/>
      <c r="BL153" s="592"/>
      <c r="BM153" s="592"/>
      <c r="BN153" s="592"/>
      <c r="BO153" s="592"/>
      <c r="BP153" s="592"/>
      <c r="BQ153" s="592"/>
      <c r="BR153" s="592"/>
      <c r="BS153" s="592"/>
      <c r="BT153" s="592"/>
    </row>
    <row r="154" spans="1:72" s="591" customFormat="1" ht="15">
      <c r="A154" s="539"/>
      <c r="B154" s="539"/>
      <c r="C154" s="539"/>
      <c r="D154" s="539"/>
      <c r="E154" s="539"/>
      <c r="F154" s="539"/>
      <c r="G154" s="539"/>
      <c r="H154" s="539"/>
      <c r="I154" s="539"/>
      <c r="J154" s="539"/>
      <c r="K154" s="539"/>
      <c r="L154" s="539"/>
      <c r="M154" s="539"/>
      <c r="N154" s="539"/>
      <c r="O154" s="539"/>
      <c r="P154" s="539"/>
      <c r="Q154" s="539"/>
      <c r="R154" s="539"/>
      <c r="S154" s="557"/>
      <c r="T154" s="557"/>
      <c r="U154" s="557"/>
      <c r="V154" s="557"/>
      <c r="W154" s="539"/>
      <c r="X154" s="539"/>
      <c r="Y154" s="557"/>
      <c r="Z154" s="557"/>
      <c r="AA154" s="539"/>
      <c r="AB154" s="539"/>
      <c r="AC154" s="539"/>
      <c r="AD154" s="557"/>
      <c r="AE154" s="557"/>
      <c r="AF154" s="557"/>
      <c r="AG154" s="557"/>
      <c r="AH154" s="557"/>
      <c r="AI154" s="557"/>
      <c r="AJ154" s="557"/>
      <c r="AK154" s="557"/>
      <c r="AL154" s="557"/>
      <c r="AM154" s="557"/>
      <c r="AN154" s="557"/>
      <c r="AO154" s="557"/>
      <c r="AP154" s="557"/>
      <c r="AQ154" s="557"/>
      <c r="AR154" s="557"/>
      <c r="AS154" s="557"/>
      <c r="AT154" s="557"/>
      <c r="AU154" s="557"/>
      <c r="AV154" s="557"/>
      <c r="AW154" s="557"/>
      <c r="AX154" s="557"/>
      <c r="AY154" s="557"/>
      <c r="AZ154" s="557"/>
      <c r="BA154" s="557"/>
      <c r="BB154" s="557"/>
      <c r="BC154" s="557"/>
      <c r="BD154" s="555"/>
      <c r="BE154" s="592"/>
      <c r="BF154" s="592"/>
      <c r="BG154" s="592"/>
      <c r="BH154" s="592"/>
      <c r="BI154" s="592"/>
      <c r="BJ154" s="592"/>
      <c r="BK154" s="592"/>
      <c r="BL154" s="592"/>
      <c r="BM154" s="592"/>
      <c r="BN154" s="592"/>
      <c r="BO154" s="592"/>
      <c r="BP154" s="592"/>
      <c r="BQ154" s="592"/>
      <c r="BR154" s="592"/>
      <c r="BS154" s="592"/>
      <c r="BT154" s="592"/>
    </row>
    <row r="155" spans="1:72" s="591" customFormat="1" ht="15">
      <c r="A155" s="539"/>
      <c r="B155" s="539"/>
      <c r="C155" s="539"/>
      <c r="D155" s="539"/>
      <c r="E155" s="539"/>
      <c r="F155" s="539"/>
      <c r="G155" s="539"/>
      <c r="H155" s="539"/>
      <c r="I155" s="539"/>
      <c r="J155" s="539"/>
      <c r="K155" s="539"/>
      <c r="L155" s="539"/>
      <c r="M155" s="539"/>
      <c r="N155" s="539"/>
      <c r="O155" s="539"/>
      <c r="P155" s="539"/>
      <c r="Q155" s="539"/>
      <c r="R155" s="539"/>
      <c r="S155" s="557"/>
      <c r="T155" s="557"/>
      <c r="U155" s="557"/>
      <c r="V155" s="557"/>
      <c r="W155" s="539"/>
      <c r="X155" s="539"/>
      <c r="Y155" s="557"/>
      <c r="Z155" s="557"/>
      <c r="AA155" s="539"/>
      <c r="AB155" s="539"/>
      <c r="AC155" s="539"/>
      <c r="AD155" s="557"/>
      <c r="AE155" s="557"/>
      <c r="AF155" s="557"/>
      <c r="AG155" s="557"/>
      <c r="AH155" s="557"/>
      <c r="AI155" s="557"/>
      <c r="AJ155" s="557"/>
      <c r="AK155" s="557"/>
      <c r="AL155" s="557"/>
      <c r="AM155" s="557"/>
      <c r="AN155" s="557"/>
      <c r="AO155" s="557"/>
      <c r="AP155" s="557"/>
      <c r="AQ155" s="557"/>
      <c r="AR155" s="557"/>
      <c r="AS155" s="557"/>
      <c r="AT155" s="557"/>
      <c r="AU155" s="557"/>
      <c r="AV155" s="557"/>
      <c r="AW155" s="557"/>
      <c r="AX155" s="557"/>
      <c r="AY155" s="557"/>
      <c r="AZ155" s="557"/>
      <c r="BA155" s="557"/>
      <c r="BB155" s="557"/>
      <c r="BC155" s="557"/>
      <c r="BD155" s="555"/>
      <c r="BE155" s="592"/>
      <c r="BF155" s="592"/>
      <c r="BG155" s="592"/>
      <c r="BH155" s="592"/>
      <c r="BI155" s="592"/>
      <c r="BJ155" s="592"/>
      <c r="BK155" s="592"/>
      <c r="BL155" s="592"/>
      <c r="BM155" s="592"/>
      <c r="BN155" s="592"/>
      <c r="BO155" s="592"/>
      <c r="BP155" s="592"/>
      <c r="BQ155" s="592"/>
      <c r="BR155" s="592"/>
      <c r="BS155" s="592"/>
      <c r="BT155" s="592"/>
    </row>
    <row r="156" spans="1:72" s="591" customFormat="1" ht="15">
      <c r="A156" s="539"/>
      <c r="B156" s="539"/>
      <c r="C156" s="539"/>
      <c r="D156" s="539"/>
      <c r="E156" s="539"/>
      <c r="F156" s="539"/>
      <c r="G156" s="539"/>
      <c r="H156" s="539"/>
      <c r="I156" s="539"/>
      <c r="J156" s="539"/>
      <c r="K156" s="539"/>
      <c r="L156" s="539"/>
      <c r="M156" s="539"/>
      <c r="N156" s="539"/>
      <c r="O156" s="539"/>
      <c r="P156" s="539"/>
      <c r="Q156" s="539"/>
      <c r="R156" s="539"/>
      <c r="S156" s="557"/>
      <c r="T156" s="557"/>
      <c r="U156" s="557"/>
      <c r="V156" s="557"/>
      <c r="W156" s="539"/>
      <c r="X156" s="539"/>
      <c r="Y156" s="557"/>
      <c r="Z156" s="557"/>
      <c r="AA156" s="539"/>
      <c r="AB156" s="539"/>
      <c r="AC156" s="539"/>
      <c r="AD156" s="557"/>
      <c r="AE156" s="557"/>
      <c r="AF156" s="557"/>
      <c r="AG156" s="557"/>
      <c r="AH156" s="557"/>
      <c r="AI156" s="557"/>
      <c r="AJ156" s="557"/>
      <c r="AK156" s="557"/>
      <c r="AL156" s="557"/>
      <c r="AM156" s="557"/>
      <c r="AN156" s="557"/>
      <c r="AO156" s="557"/>
      <c r="AP156" s="557"/>
      <c r="AQ156" s="557"/>
      <c r="AR156" s="557"/>
      <c r="AS156" s="557"/>
      <c r="AT156" s="557"/>
      <c r="AU156" s="557"/>
      <c r="AV156" s="557"/>
      <c r="AW156" s="557"/>
      <c r="AX156" s="557"/>
      <c r="AY156" s="557"/>
      <c r="AZ156" s="557"/>
      <c r="BA156" s="557"/>
      <c r="BB156" s="557"/>
      <c r="BC156" s="557"/>
      <c r="BD156" s="555"/>
      <c r="BE156" s="592"/>
      <c r="BF156" s="592"/>
      <c r="BG156" s="592"/>
      <c r="BH156" s="592"/>
      <c r="BI156" s="592"/>
      <c r="BJ156" s="592"/>
      <c r="BK156" s="592"/>
      <c r="BL156" s="592"/>
      <c r="BM156" s="592"/>
      <c r="BN156" s="592"/>
      <c r="BO156" s="592"/>
      <c r="BP156" s="592"/>
      <c r="BQ156" s="592"/>
      <c r="BR156" s="592"/>
      <c r="BS156" s="592"/>
      <c r="BT156" s="592"/>
    </row>
    <row r="157" spans="1:72" s="591" customFormat="1" ht="15">
      <c r="A157" s="539"/>
      <c r="B157" s="539"/>
      <c r="C157" s="539"/>
      <c r="D157" s="539"/>
      <c r="E157" s="539"/>
      <c r="F157" s="539"/>
      <c r="G157" s="539"/>
      <c r="H157" s="539"/>
      <c r="I157" s="539"/>
      <c r="J157" s="539"/>
      <c r="K157" s="539"/>
      <c r="L157" s="539"/>
      <c r="M157" s="539"/>
      <c r="N157" s="539"/>
      <c r="O157" s="539"/>
      <c r="P157" s="539"/>
      <c r="Q157" s="539"/>
      <c r="R157" s="539"/>
      <c r="S157" s="557"/>
      <c r="T157" s="557"/>
      <c r="U157" s="557"/>
      <c r="V157" s="557"/>
      <c r="W157" s="539"/>
      <c r="X157" s="539"/>
      <c r="Y157" s="557"/>
      <c r="Z157" s="557"/>
      <c r="AA157" s="539"/>
      <c r="AB157" s="539"/>
      <c r="AC157" s="539"/>
      <c r="AD157" s="557"/>
      <c r="AE157" s="557"/>
      <c r="AF157" s="557"/>
      <c r="AG157" s="557"/>
      <c r="AH157" s="557"/>
      <c r="AI157" s="557"/>
      <c r="AJ157" s="557"/>
      <c r="AK157" s="557"/>
      <c r="AL157" s="557"/>
      <c r="AM157" s="557"/>
      <c r="AN157" s="557"/>
      <c r="AO157" s="557"/>
      <c r="AP157" s="557"/>
      <c r="AQ157" s="557"/>
      <c r="AR157" s="557"/>
      <c r="AS157" s="557"/>
      <c r="AT157" s="557"/>
      <c r="AU157" s="557"/>
      <c r="AV157" s="557"/>
      <c r="AW157" s="557"/>
      <c r="AX157" s="557"/>
      <c r="AY157" s="557"/>
      <c r="AZ157" s="557"/>
      <c r="BA157" s="557"/>
      <c r="BB157" s="557"/>
      <c r="BC157" s="557"/>
      <c r="BD157" s="555"/>
      <c r="BE157" s="592"/>
      <c r="BF157" s="592"/>
      <c r="BG157" s="592"/>
      <c r="BH157" s="592"/>
      <c r="BI157" s="592"/>
      <c r="BJ157" s="592"/>
      <c r="BK157" s="592"/>
      <c r="BL157" s="592"/>
      <c r="BM157" s="592"/>
      <c r="BN157" s="592"/>
      <c r="BO157" s="592"/>
      <c r="BP157" s="592"/>
      <c r="BQ157" s="592"/>
      <c r="BR157" s="592"/>
      <c r="BS157" s="592"/>
      <c r="BT157" s="592"/>
    </row>
    <row r="158" spans="1:72" s="591" customFormat="1" ht="15">
      <c r="A158" s="539"/>
      <c r="B158" s="539"/>
      <c r="C158" s="539"/>
      <c r="D158" s="539"/>
      <c r="E158" s="539"/>
      <c r="F158" s="539"/>
      <c r="G158" s="539"/>
      <c r="H158" s="539"/>
      <c r="I158" s="539"/>
      <c r="J158" s="539"/>
      <c r="K158" s="539"/>
      <c r="L158" s="539"/>
      <c r="M158" s="539"/>
      <c r="N158" s="539"/>
      <c r="O158" s="539"/>
      <c r="P158" s="539"/>
      <c r="Q158" s="539"/>
      <c r="R158" s="539"/>
      <c r="S158" s="557"/>
      <c r="T158" s="557"/>
      <c r="U158" s="557"/>
      <c r="V158" s="557"/>
      <c r="W158" s="539"/>
      <c r="X158" s="539"/>
      <c r="Y158" s="557"/>
      <c r="Z158" s="557"/>
      <c r="AA158" s="539"/>
      <c r="AB158" s="539"/>
      <c r="AC158" s="539"/>
      <c r="AD158" s="557"/>
      <c r="AE158" s="557"/>
      <c r="AF158" s="557"/>
      <c r="AG158" s="557"/>
      <c r="AH158" s="557"/>
      <c r="AI158" s="557"/>
      <c r="AJ158" s="557"/>
      <c r="AK158" s="557"/>
      <c r="AL158" s="557"/>
      <c r="AM158" s="557"/>
      <c r="AN158" s="557"/>
      <c r="AO158" s="557"/>
      <c r="AP158" s="557"/>
      <c r="AQ158" s="557"/>
      <c r="AR158" s="557"/>
      <c r="AS158" s="557"/>
      <c r="AT158" s="557"/>
      <c r="AU158" s="557"/>
      <c r="AV158" s="557"/>
      <c r="AW158" s="557"/>
      <c r="AX158" s="557"/>
      <c r="AY158" s="557"/>
      <c r="AZ158" s="557"/>
      <c r="BA158" s="557"/>
      <c r="BB158" s="557"/>
      <c r="BC158" s="557"/>
      <c r="BD158" s="555"/>
      <c r="BE158" s="592"/>
      <c r="BF158" s="592"/>
      <c r="BG158" s="592"/>
      <c r="BH158" s="592"/>
      <c r="BI158" s="592"/>
      <c r="BJ158" s="592"/>
      <c r="BK158" s="592"/>
      <c r="BL158" s="592"/>
      <c r="BM158" s="592"/>
      <c r="BN158" s="592"/>
      <c r="BO158" s="592"/>
      <c r="BP158" s="592"/>
      <c r="BQ158" s="592"/>
      <c r="BR158" s="592"/>
      <c r="BS158" s="592"/>
      <c r="BT158" s="592"/>
    </row>
    <row r="159" spans="1:72" s="591" customFormat="1" ht="15">
      <c r="A159" s="539"/>
      <c r="B159" s="539"/>
      <c r="C159" s="539"/>
      <c r="D159" s="539"/>
      <c r="E159" s="539"/>
      <c r="F159" s="539"/>
      <c r="G159" s="539"/>
      <c r="H159" s="539"/>
      <c r="I159" s="539"/>
      <c r="J159" s="539"/>
      <c r="K159" s="539"/>
      <c r="L159" s="539"/>
      <c r="M159" s="539"/>
      <c r="N159" s="539"/>
      <c r="O159" s="539"/>
      <c r="P159" s="539"/>
      <c r="Q159" s="539"/>
      <c r="R159" s="539"/>
      <c r="S159" s="557"/>
      <c r="T159" s="557"/>
      <c r="U159" s="557"/>
      <c r="V159" s="557"/>
      <c r="W159" s="539"/>
      <c r="X159" s="539"/>
      <c r="Y159" s="557"/>
      <c r="Z159" s="557"/>
      <c r="AA159" s="539"/>
      <c r="AB159" s="539"/>
      <c r="AC159" s="539"/>
      <c r="AD159" s="557"/>
      <c r="AE159" s="557"/>
      <c r="AF159" s="557"/>
      <c r="AG159" s="557"/>
      <c r="AH159" s="557"/>
      <c r="AI159" s="557"/>
      <c r="AJ159" s="557"/>
      <c r="AK159" s="557"/>
      <c r="AL159" s="557"/>
      <c r="AM159" s="557"/>
      <c r="AN159" s="557"/>
      <c r="AO159" s="557"/>
      <c r="AP159" s="557"/>
      <c r="AQ159" s="557"/>
      <c r="AR159" s="557"/>
      <c r="AS159" s="557"/>
      <c r="AT159" s="557"/>
      <c r="AU159" s="557"/>
      <c r="AV159" s="557"/>
      <c r="AW159" s="557"/>
      <c r="AX159" s="557"/>
      <c r="AY159" s="557"/>
      <c r="AZ159" s="557"/>
      <c r="BA159" s="557"/>
      <c r="BB159" s="557"/>
      <c r="BC159" s="557"/>
      <c r="BD159" s="555"/>
      <c r="BE159" s="592"/>
      <c r="BF159" s="592"/>
      <c r="BG159" s="592"/>
      <c r="BH159" s="592"/>
      <c r="BI159" s="592"/>
      <c r="BJ159" s="592"/>
      <c r="BK159" s="592"/>
      <c r="BL159" s="592"/>
      <c r="BM159" s="592"/>
      <c r="BN159" s="592"/>
      <c r="BO159" s="592"/>
      <c r="BP159" s="592"/>
      <c r="BQ159" s="592"/>
      <c r="BR159" s="592"/>
      <c r="BS159" s="592"/>
      <c r="BT159" s="592"/>
    </row>
    <row r="160" spans="1:72" s="591" customFormat="1" ht="15">
      <c r="A160" s="539"/>
      <c r="B160" s="539"/>
      <c r="C160" s="539"/>
      <c r="D160" s="539"/>
      <c r="E160" s="539"/>
      <c r="F160" s="539"/>
      <c r="G160" s="539"/>
      <c r="H160" s="539"/>
      <c r="I160" s="539"/>
      <c r="J160" s="539"/>
      <c r="K160" s="539"/>
      <c r="L160" s="539"/>
      <c r="M160" s="539"/>
      <c r="N160" s="539"/>
      <c r="O160" s="539"/>
      <c r="P160" s="539"/>
      <c r="Q160" s="539"/>
      <c r="R160" s="539"/>
      <c r="S160" s="557"/>
      <c r="T160" s="557"/>
      <c r="U160" s="557"/>
      <c r="V160" s="557"/>
      <c r="W160" s="539"/>
      <c r="X160" s="539"/>
      <c r="Y160" s="557"/>
      <c r="Z160" s="557"/>
      <c r="AA160" s="539"/>
      <c r="AB160" s="539"/>
      <c r="AC160" s="539"/>
      <c r="AD160" s="557"/>
      <c r="AE160" s="557"/>
      <c r="AF160" s="557"/>
      <c r="AG160" s="557"/>
      <c r="AH160" s="557"/>
      <c r="AI160" s="557"/>
      <c r="AJ160" s="557"/>
      <c r="AK160" s="557"/>
      <c r="AL160" s="557"/>
      <c r="AM160" s="557"/>
      <c r="AN160" s="557"/>
      <c r="AO160" s="557"/>
      <c r="AP160" s="557"/>
      <c r="AQ160" s="557"/>
      <c r="AR160" s="557"/>
      <c r="AS160" s="557"/>
      <c r="AT160" s="557"/>
      <c r="AU160" s="557"/>
      <c r="AV160" s="557"/>
      <c r="AW160" s="557"/>
      <c r="AX160" s="557"/>
      <c r="AY160" s="557"/>
      <c r="AZ160" s="557"/>
      <c r="BA160" s="557"/>
      <c r="BB160" s="557"/>
      <c r="BC160" s="557"/>
      <c r="BD160" s="555"/>
      <c r="BE160" s="592"/>
      <c r="BF160" s="592"/>
      <c r="BG160" s="592"/>
      <c r="BH160" s="592"/>
      <c r="BI160" s="592"/>
      <c r="BJ160" s="592"/>
      <c r="BK160" s="592"/>
      <c r="BL160" s="592"/>
      <c r="BM160" s="592"/>
      <c r="BN160" s="592"/>
      <c r="BO160" s="592"/>
      <c r="BP160" s="592"/>
      <c r="BQ160" s="592"/>
      <c r="BR160" s="592"/>
      <c r="BS160" s="592"/>
      <c r="BT160" s="592"/>
    </row>
    <row r="161" spans="1:72" s="591" customFormat="1" ht="15">
      <c r="A161" s="539"/>
      <c r="B161" s="539"/>
      <c r="C161" s="539"/>
      <c r="D161" s="539"/>
      <c r="E161" s="539"/>
      <c r="F161" s="539"/>
      <c r="G161" s="539"/>
      <c r="H161" s="539"/>
      <c r="I161" s="539"/>
      <c r="J161" s="539"/>
      <c r="K161" s="539"/>
      <c r="L161" s="539"/>
      <c r="M161" s="539"/>
      <c r="N161" s="539"/>
      <c r="O161" s="539"/>
      <c r="P161" s="539"/>
      <c r="Q161" s="539"/>
      <c r="R161" s="539"/>
      <c r="S161" s="557"/>
      <c r="T161" s="557"/>
      <c r="U161" s="557"/>
      <c r="V161" s="557"/>
      <c r="W161" s="539"/>
      <c r="X161" s="539"/>
      <c r="Y161" s="557"/>
      <c r="Z161" s="557"/>
      <c r="AA161" s="539"/>
      <c r="AB161" s="539"/>
      <c r="AC161" s="539"/>
      <c r="AD161" s="557"/>
      <c r="AE161" s="557"/>
      <c r="AF161" s="557"/>
      <c r="AG161" s="557"/>
      <c r="AH161" s="557"/>
      <c r="AI161" s="557"/>
      <c r="AJ161" s="557"/>
      <c r="AK161" s="557"/>
      <c r="AL161" s="557"/>
      <c r="AM161" s="557"/>
      <c r="AN161" s="557"/>
      <c r="AO161" s="557"/>
      <c r="AP161" s="557"/>
      <c r="AQ161" s="557"/>
      <c r="AR161" s="557"/>
      <c r="AS161" s="557"/>
      <c r="AT161" s="557"/>
      <c r="AU161" s="557"/>
      <c r="AV161" s="557"/>
      <c r="AW161" s="557"/>
      <c r="AX161" s="557"/>
      <c r="AY161" s="557"/>
      <c r="AZ161" s="557"/>
      <c r="BA161" s="557"/>
      <c r="BB161" s="557"/>
      <c r="BC161" s="557"/>
      <c r="BD161" s="555"/>
      <c r="BE161" s="592"/>
      <c r="BF161" s="592"/>
      <c r="BG161" s="592"/>
      <c r="BH161" s="592"/>
      <c r="BI161" s="592"/>
      <c r="BJ161" s="592"/>
      <c r="BK161" s="592"/>
      <c r="BL161" s="592"/>
      <c r="BM161" s="592"/>
      <c r="BN161" s="592"/>
      <c r="BO161" s="592"/>
      <c r="BP161" s="592"/>
      <c r="BQ161" s="592"/>
      <c r="BR161" s="592"/>
      <c r="BS161" s="592"/>
      <c r="BT161" s="592"/>
    </row>
    <row r="162" spans="1:72" s="591" customFormat="1" ht="15">
      <c r="A162" s="539"/>
      <c r="B162" s="539"/>
      <c r="C162" s="539"/>
      <c r="D162" s="539"/>
      <c r="E162" s="539"/>
      <c r="F162" s="539"/>
      <c r="G162" s="539"/>
      <c r="H162" s="539"/>
      <c r="I162" s="539"/>
      <c r="J162" s="539"/>
      <c r="K162" s="539"/>
      <c r="L162" s="539"/>
      <c r="M162" s="539"/>
      <c r="N162" s="539"/>
      <c r="O162" s="539"/>
      <c r="P162" s="539"/>
      <c r="Q162" s="539"/>
      <c r="R162" s="539"/>
      <c r="S162" s="557"/>
      <c r="T162" s="557"/>
      <c r="U162" s="557"/>
      <c r="V162" s="557"/>
      <c r="W162" s="539"/>
      <c r="X162" s="539"/>
      <c r="Y162" s="557"/>
      <c r="Z162" s="557"/>
      <c r="AA162" s="539"/>
      <c r="AB162" s="539"/>
      <c r="AC162" s="539"/>
      <c r="AD162" s="557"/>
      <c r="AE162" s="557"/>
      <c r="AF162" s="557"/>
      <c r="AG162" s="557"/>
      <c r="AH162" s="557"/>
      <c r="AI162" s="557"/>
      <c r="AJ162" s="557"/>
      <c r="AK162" s="557"/>
      <c r="AL162" s="557"/>
      <c r="AM162" s="557"/>
      <c r="AN162" s="557"/>
      <c r="AO162" s="557"/>
      <c r="AP162" s="557"/>
      <c r="AQ162" s="557"/>
      <c r="AR162" s="557"/>
      <c r="AS162" s="557"/>
      <c r="AT162" s="557"/>
      <c r="AU162" s="557"/>
      <c r="AV162" s="557"/>
      <c r="AW162" s="557"/>
      <c r="AX162" s="557"/>
      <c r="AY162" s="557"/>
      <c r="AZ162" s="557"/>
      <c r="BA162" s="557"/>
      <c r="BB162" s="557"/>
      <c r="BC162" s="557"/>
      <c r="BD162" s="555"/>
      <c r="BE162" s="592"/>
      <c r="BF162" s="592"/>
      <c r="BG162" s="592"/>
      <c r="BH162" s="592"/>
      <c r="BI162" s="592"/>
      <c r="BJ162" s="592"/>
      <c r="BK162" s="592"/>
      <c r="BL162" s="592"/>
      <c r="BM162" s="592"/>
      <c r="BN162" s="592"/>
      <c r="BO162" s="592"/>
      <c r="BP162" s="592"/>
      <c r="BQ162" s="592"/>
      <c r="BR162" s="592"/>
      <c r="BS162" s="592"/>
      <c r="BT162" s="592"/>
    </row>
    <row r="163" spans="1:72" s="591" customFormat="1" ht="15">
      <c r="A163" s="539"/>
      <c r="B163" s="539"/>
      <c r="C163" s="539"/>
      <c r="D163" s="539"/>
      <c r="E163" s="539"/>
      <c r="F163" s="539"/>
      <c r="G163" s="539"/>
      <c r="H163" s="539"/>
      <c r="I163" s="539"/>
      <c r="J163" s="539"/>
      <c r="K163" s="539"/>
      <c r="L163" s="539"/>
      <c r="M163" s="539"/>
      <c r="N163" s="539"/>
      <c r="O163" s="539"/>
      <c r="P163" s="539"/>
      <c r="Q163" s="539"/>
      <c r="R163" s="539"/>
      <c r="S163" s="557"/>
      <c r="T163" s="557"/>
      <c r="U163" s="557"/>
      <c r="V163" s="557"/>
      <c r="W163" s="539"/>
      <c r="X163" s="539"/>
      <c r="Y163" s="557"/>
      <c r="Z163" s="557"/>
      <c r="AA163" s="539"/>
      <c r="AB163" s="539"/>
      <c r="AC163" s="539"/>
      <c r="AD163" s="557"/>
      <c r="AE163" s="557"/>
      <c r="AF163" s="557"/>
      <c r="AG163" s="557"/>
      <c r="AH163" s="557"/>
      <c r="AI163" s="557"/>
      <c r="AJ163" s="557"/>
      <c r="AK163" s="557"/>
      <c r="AL163" s="557"/>
      <c r="AM163" s="557"/>
      <c r="AN163" s="557"/>
      <c r="AO163" s="557"/>
      <c r="AP163" s="557"/>
      <c r="AQ163" s="557"/>
      <c r="AR163" s="557"/>
      <c r="AS163" s="557"/>
      <c r="AT163" s="557"/>
      <c r="AU163" s="557"/>
      <c r="AV163" s="557"/>
      <c r="AW163" s="557"/>
      <c r="AX163" s="557"/>
      <c r="AY163" s="557"/>
      <c r="AZ163" s="557"/>
      <c r="BA163" s="557"/>
      <c r="BB163" s="557"/>
      <c r="BC163" s="557"/>
      <c r="BD163" s="555"/>
      <c r="BE163" s="592"/>
      <c r="BF163" s="592"/>
      <c r="BG163" s="592"/>
      <c r="BH163" s="592"/>
      <c r="BI163" s="592"/>
      <c r="BJ163" s="592"/>
      <c r="BK163" s="592"/>
      <c r="BL163" s="592"/>
      <c r="BM163" s="592"/>
      <c r="BN163" s="592"/>
      <c r="BO163" s="592"/>
      <c r="BP163" s="592"/>
      <c r="BQ163" s="592"/>
      <c r="BR163" s="592"/>
      <c r="BS163" s="592"/>
      <c r="BT163" s="592"/>
    </row>
    <row r="164" spans="1:72" s="591" customFormat="1" ht="15">
      <c r="A164" s="539"/>
      <c r="B164" s="539"/>
      <c r="C164" s="539"/>
      <c r="D164" s="539"/>
      <c r="E164" s="539"/>
      <c r="F164" s="539"/>
      <c r="G164" s="539"/>
      <c r="H164" s="539"/>
      <c r="I164" s="539"/>
      <c r="J164" s="539"/>
      <c r="K164" s="539"/>
      <c r="L164" s="539"/>
      <c r="M164" s="539"/>
      <c r="N164" s="539"/>
      <c r="O164" s="539"/>
      <c r="P164" s="539"/>
      <c r="Q164" s="539"/>
      <c r="R164" s="539"/>
      <c r="S164" s="557"/>
      <c r="T164" s="557"/>
      <c r="U164" s="557"/>
      <c r="V164" s="557"/>
      <c r="W164" s="539"/>
      <c r="X164" s="539"/>
      <c r="Y164" s="557"/>
      <c r="Z164" s="557"/>
      <c r="AA164" s="539"/>
      <c r="AB164" s="539"/>
      <c r="AC164" s="539"/>
      <c r="AD164" s="557"/>
      <c r="AE164" s="557"/>
      <c r="AF164" s="557"/>
      <c r="AG164" s="557"/>
      <c r="AH164" s="557"/>
      <c r="AI164" s="557"/>
      <c r="AJ164" s="557"/>
      <c r="AK164" s="557"/>
      <c r="AL164" s="557"/>
      <c r="AM164" s="557"/>
      <c r="AN164" s="557"/>
      <c r="AO164" s="557"/>
      <c r="AP164" s="557"/>
      <c r="AQ164" s="557"/>
      <c r="AR164" s="557"/>
      <c r="AS164" s="557"/>
      <c r="AT164" s="557"/>
      <c r="AU164" s="557"/>
      <c r="AV164" s="557"/>
      <c r="AW164" s="557"/>
      <c r="AX164" s="557"/>
      <c r="AY164" s="557"/>
      <c r="AZ164" s="557"/>
      <c r="BA164" s="557"/>
      <c r="BB164" s="557"/>
      <c r="BC164" s="557"/>
      <c r="BD164" s="555"/>
      <c r="BE164" s="592"/>
      <c r="BF164" s="592"/>
      <c r="BG164" s="592"/>
      <c r="BH164" s="592"/>
      <c r="BI164" s="592"/>
      <c r="BJ164" s="592"/>
      <c r="BK164" s="592"/>
      <c r="BL164" s="592"/>
      <c r="BM164" s="592"/>
      <c r="BN164" s="592"/>
      <c r="BO164" s="592"/>
      <c r="BP164" s="592"/>
      <c r="BQ164" s="592"/>
      <c r="BR164" s="592"/>
      <c r="BS164" s="592"/>
      <c r="BT164" s="592"/>
    </row>
    <row r="165" spans="1:72" s="591" customFormat="1" ht="15">
      <c r="A165" s="539"/>
      <c r="B165" s="539"/>
      <c r="C165" s="539"/>
      <c r="D165" s="539"/>
      <c r="E165" s="539"/>
      <c r="F165" s="539"/>
      <c r="G165" s="539"/>
      <c r="H165" s="539"/>
      <c r="I165" s="539"/>
      <c r="J165" s="539"/>
      <c r="K165" s="539"/>
      <c r="L165" s="539"/>
      <c r="M165" s="539"/>
      <c r="N165" s="539"/>
      <c r="O165" s="539"/>
      <c r="P165" s="539"/>
      <c r="Q165" s="539"/>
      <c r="R165" s="539"/>
      <c r="S165" s="557"/>
      <c r="T165" s="557"/>
      <c r="U165" s="557"/>
      <c r="V165" s="557"/>
      <c r="W165" s="539"/>
      <c r="X165" s="539"/>
      <c r="Y165" s="557"/>
      <c r="Z165" s="557"/>
      <c r="AA165" s="539"/>
      <c r="AB165" s="539"/>
      <c r="AC165" s="539"/>
      <c r="AD165" s="557"/>
      <c r="AE165" s="557"/>
      <c r="AF165" s="557"/>
      <c r="AG165" s="557"/>
      <c r="AH165" s="557"/>
      <c r="AI165" s="557"/>
      <c r="AJ165" s="557"/>
      <c r="AK165" s="557"/>
      <c r="AL165" s="557"/>
      <c r="AM165" s="557"/>
      <c r="AN165" s="557"/>
      <c r="AO165" s="557"/>
      <c r="AP165" s="557"/>
      <c r="AQ165" s="557"/>
      <c r="AR165" s="557"/>
      <c r="AS165" s="557"/>
      <c r="AT165" s="557"/>
      <c r="AU165" s="557"/>
      <c r="AV165" s="557"/>
      <c r="AW165" s="557"/>
      <c r="AX165" s="557"/>
      <c r="AY165" s="557"/>
      <c r="AZ165" s="557"/>
      <c r="BA165" s="557"/>
      <c r="BB165" s="557"/>
      <c r="BC165" s="557"/>
      <c r="BD165" s="555"/>
      <c r="BE165" s="592"/>
      <c r="BF165" s="592"/>
      <c r="BG165" s="592"/>
      <c r="BH165" s="592"/>
      <c r="BI165" s="592"/>
      <c r="BJ165" s="592"/>
      <c r="BK165" s="592"/>
      <c r="BL165" s="592"/>
      <c r="BM165" s="592"/>
      <c r="BN165" s="592"/>
      <c r="BO165" s="592"/>
      <c r="BP165" s="592"/>
      <c r="BQ165" s="592"/>
      <c r="BR165" s="592"/>
      <c r="BS165" s="592"/>
      <c r="BT165" s="592"/>
    </row>
    <row r="166" spans="1:72" s="591" customFormat="1" ht="15">
      <c r="A166" s="539"/>
      <c r="B166" s="539"/>
      <c r="C166" s="539"/>
      <c r="D166" s="539"/>
      <c r="E166" s="539"/>
      <c r="F166" s="539"/>
      <c r="G166" s="539"/>
      <c r="H166" s="539"/>
      <c r="I166" s="539"/>
      <c r="J166" s="539"/>
      <c r="K166" s="539"/>
      <c r="L166" s="539"/>
      <c r="M166" s="539"/>
      <c r="N166" s="539"/>
      <c r="O166" s="539"/>
      <c r="P166" s="539"/>
      <c r="Q166" s="539"/>
      <c r="R166" s="539"/>
      <c r="S166" s="557"/>
      <c r="T166" s="557"/>
      <c r="U166" s="557"/>
      <c r="V166" s="557"/>
      <c r="W166" s="539"/>
      <c r="X166" s="539"/>
      <c r="Y166" s="557"/>
      <c r="Z166" s="557"/>
      <c r="AA166" s="539"/>
      <c r="AB166" s="539"/>
      <c r="AC166" s="539"/>
      <c r="AD166" s="557"/>
      <c r="AE166" s="557"/>
      <c r="AF166" s="557"/>
      <c r="AG166" s="557"/>
      <c r="AH166" s="557"/>
      <c r="AI166" s="557"/>
      <c r="AJ166" s="557"/>
      <c r="AK166" s="557"/>
      <c r="AL166" s="557"/>
      <c r="AM166" s="557"/>
      <c r="AN166" s="557"/>
      <c r="AO166" s="557"/>
      <c r="AP166" s="557"/>
      <c r="AQ166" s="557"/>
      <c r="AR166" s="557"/>
      <c r="AS166" s="557"/>
      <c r="AT166" s="557"/>
      <c r="AU166" s="557"/>
      <c r="AV166" s="557"/>
      <c r="AW166" s="557"/>
      <c r="AX166" s="557"/>
      <c r="AY166" s="557"/>
      <c r="AZ166" s="557"/>
      <c r="BA166" s="557"/>
      <c r="BB166" s="557"/>
      <c r="BC166" s="557"/>
      <c r="BD166" s="555"/>
      <c r="BE166" s="592"/>
      <c r="BF166" s="592"/>
      <c r="BG166" s="592"/>
      <c r="BH166" s="592"/>
      <c r="BI166" s="592"/>
      <c r="BJ166" s="592"/>
      <c r="BK166" s="592"/>
      <c r="BL166" s="592"/>
      <c r="BM166" s="592"/>
      <c r="BN166" s="592"/>
      <c r="BO166" s="592"/>
      <c r="BP166" s="592"/>
      <c r="BQ166" s="592"/>
      <c r="BR166" s="592"/>
      <c r="BS166" s="592"/>
      <c r="BT166" s="592"/>
    </row>
    <row r="167" spans="1:72" s="591" customFormat="1" ht="15">
      <c r="A167" s="539"/>
      <c r="B167" s="539"/>
      <c r="C167" s="539"/>
      <c r="D167" s="539"/>
      <c r="E167" s="539"/>
      <c r="F167" s="539"/>
      <c r="G167" s="539"/>
      <c r="H167" s="539"/>
      <c r="I167" s="539"/>
      <c r="J167" s="539"/>
      <c r="K167" s="539"/>
      <c r="L167" s="539"/>
      <c r="M167" s="539"/>
      <c r="N167" s="539"/>
      <c r="O167" s="539"/>
      <c r="P167" s="539"/>
      <c r="Q167" s="539"/>
      <c r="R167" s="539"/>
      <c r="S167" s="557"/>
      <c r="T167" s="557"/>
      <c r="U167" s="557"/>
      <c r="V167" s="557"/>
      <c r="W167" s="539"/>
      <c r="X167" s="539"/>
      <c r="Y167" s="557"/>
      <c r="Z167" s="557"/>
      <c r="AA167" s="539"/>
      <c r="AB167" s="539"/>
      <c r="AC167" s="539"/>
      <c r="AD167" s="557"/>
      <c r="AE167" s="557"/>
      <c r="AF167" s="557"/>
      <c r="AG167" s="557"/>
      <c r="AH167" s="557"/>
      <c r="AI167" s="557"/>
      <c r="AJ167" s="557"/>
      <c r="AK167" s="557"/>
      <c r="AL167" s="557"/>
      <c r="AM167" s="557"/>
      <c r="AN167" s="557"/>
      <c r="AO167" s="557"/>
      <c r="AP167" s="557"/>
      <c r="AQ167" s="557"/>
      <c r="AR167" s="557"/>
      <c r="AS167" s="557"/>
      <c r="AT167" s="557"/>
      <c r="AU167" s="557"/>
      <c r="AV167" s="557"/>
      <c r="AW167" s="557"/>
      <c r="AX167" s="557"/>
      <c r="AY167" s="557"/>
      <c r="AZ167" s="557"/>
      <c r="BA167" s="557"/>
      <c r="BB167" s="557"/>
      <c r="BC167" s="557"/>
      <c r="BD167" s="555"/>
      <c r="BE167" s="592"/>
      <c r="BF167" s="592"/>
      <c r="BG167" s="592"/>
      <c r="BH167" s="592"/>
      <c r="BI167" s="592"/>
      <c r="BJ167" s="592"/>
      <c r="BK167" s="592"/>
      <c r="BL167" s="592"/>
      <c r="BM167" s="592"/>
      <c r="BN167" s="592"/>
      <c r="BO167" s="592"/>
      <c r="BP167" s="592"/>
      <c r="BQ167" s="592"/>
      <c r="BR167" s="592"/>
      <c r="BS167" s="592"/>
      <c r="BT167" s="592"/>
    </row>
    <row r="168" spans="1:72" s="591" customFormat="1" ht="15">
      <c r="A168" s="539"/>
      <c r="B168" s="539"/>
      <c r="C168" s="539"/>
      <c r="D168" s="539"/>
      <c r="E168" s="539"/>
      <c r="F168" s="539"/>
      <c r="G168" s="539"/>
      <c r="H168" s="539"/>
      <c r="I168" s="539"/>
      <c r="J168" s="539"/>
      <c r="K168" s="539"/>
      <c r="L168" s="539"/>
      <c r="M168" s="539"/>
      <c r="N168" s="539"/>
      <c r="O168" s="539"/>
      <c r="P168" s="539"/>
      <c r="Q168" s="539"/>
      <c r="R168" s="539"/>
      <c r="S168" s="557"/>
      <c r="T168" s="557"/>
      <c r="U168" s="557"/>
      <c r="V168" s="557"/>
      <c r="W168" s="539"/>
      <c r="X168" s="539"/>
      <c r="Y168" s="557"/>
      <c r="Z168" s="557"/>
      <c r="AA168" s="539"/>
      <c r="AB168" s="539"/>
      <c r="AC168" s="539"/>
      <c r="AD168" s="557"/>
      <c r="AE168" s="557"/>
      <c r="AF168" s="557"/>
      <c r="AG168" s="557"/>
      <c r="AH168" s="557"/>
      <c r="AI168" s="557"/>
      <c r="AJ168" s="557"/>
      <c r="AK168" s="557"/>
      <c r="AL168" s="557"/>
      <c r="AM168" s="557"/>
      <c r="AN168" s="557"/>
      <c r="AO168" s="557"/>
      <c r="AP168" s="557"/>
      <c r="AQ168" s="557"/>
      <c r="AR168" s="557"/>
      <c r="AS168" s="557"/>
      <c r="AT168" s="557"/>
      <c r="AU168" s="557"/>
      <c r="AV168" s="557"/>
      <c r="AW168" s="557"/>
      <c r="AX168" s="557"/>
      <c r="AY168" s="557"/>
      <c r="AZ168" s="557"/>
      <c r="BA168" s="557"/>
      <c r="BB168" s="557"/>
      <c r="BC168" s="557"/>
      <c r="BD168" s="555"/>
      <c r="BE168" s="592"/>
      <c r="BF168" s="592"/>
      <c r="BG168" s="592"/>
      <c r="BH168" s="592"/>
      <c r="BI168" s="592"/>
      <c r="BJ168" s="592"/>
      <c r="BK168" s="592"/>
      <c r="BL168" s="592"/>
      <c r="BM168" s="592"/>
      <c r="BN168" s="592"/>
      <c r="BO168" s="592"/>
      <c r="BP168" s="592"/>
      <c r="BQ168" s="592"/>
      <c r="BR168" s="592"/>
      <c r="BS168" s="592"/>
      <c r="BT168" s="592"/>
    </row>
    <row r="169" spans="1:72" s="591" customFormat="1" ht="15">
      <c r="A169" s="539"/>
      <c r="B169" s="539"/>
      <c r="C169" s="539"/>
      <c r="D169" s="539"/>
      <c r="E169" s="539"/>
      <c r="F169" s="539"/>
      <c r="G169" s="539"/>
      <c r="H169" s="539"/>
      <c r="I169" s="539"/>
      <c r="J169" s="539"/>
      <c r="K169" s="539"/>
      <c r="L169" s="539"/>
      <c r="M169" s="539"/>
      <c r="N169" s="539"/>
      <c r="O169" s="539"/>
      <c r="P169" s="539"/>
      <c r="Q169" s="539"/>
      <c r="R169" s="539"/>
      <c r="S169" s="557"/>
      <c r="T169" s="557"/>
      <c r="U169" s="557"/>
      <c r="V169" s="557"/>
      <c r="W169" s="539"/>
      <c r="X169" s="539"/>
      <c r="Y169" s="557"/>
      <c r="Z169" s="557"/>
      <c r="AA169" s="539"/>
      <c r="AB169" s="539"/>
      <c r="AC169" s="539"/>
      <c r="AD169" s="557"/>
      <c r="AE169" s="557"/>
      <c r="AF169" s="557"/>
      <c r="AG169" s="557"/>
      <c r="AH169" s="557"/>
      <c r="AI169" s="557"/>
      <c r="AJ169" s="557"/>
      <c r="AK169" s="557"/>
      <c r="AL169" s="557"/>
      <c r="AM169" s="557"/>
      <c r="AN169" s="557"/>
      <c r="AO169" s="557"/>
      <c r="AP169" s="557"/>
      <c r="AQ169" s="557"/>
      <c r="AR169" s="557"/>
      <c r="AS169" s="557"/>
      <c r="AT169" s="557"/>
      <c r="AU169" s="557"/>
      <c r="AV169" s="557"/>
      <c r="AW169" s="557"/>
      <c r="AX169" s="557"/>
      <c r="AY169" s="557"/>
      <c r="AZ169" s="557"/>
      <c r="BA169" s="557"/>
      <c r="BB169" s="557"/>
      <c r="BC169" s="557"/>
      <c r="BD169" s="555"/>
      <c r="BE169" s="592"/>
      <c r="BF169" s="592"/>
      <c r="BG169" s="592"/>
      <c r="BH169" s="592"/>
      <c r="BI169" s="592"/>
      <c r="BJ169" s="592"/>
      <c r="BK169" s="592"/>
      <c r="BL169" s="592"/>
      <c r="BM169" s="592"/>
      <c r="BN169" s="592"/>
      <c r="BO169" s="592"/>
      <c r="BP169" s="592"/>
      <c r="BQ169" s="592"/>
      <c r="BR169" s="592"/>
      <c r="BS169" s="592"/>
      <c r="BT169" s="592"/>
    </row>
    <row r="170" spans="1:72" s="591" customFormat="1" ht="15">
      <c r="A170" s="539"/>
      <c r="B170" s="539"/>
      <c r="C170" s="539"/>
      <c r="D170" s="539"/>
      <c r="E170" s="539"/>
      <c r="F170" s="539"/>
      <c r="G170" s="539"/>
      <c r="H170" s="539"/>
      <c r="I170" s="539"/>
      <c r="J170" s="539"/>
      <c r="K170" s="539"/>
      <c r="L170" s="539"/>
      <c r="M170" s="539"/>
      <c r="N170" s="539"/>
      <c r="O170" s="539"/>
      <c r="P170" s="539"/>
      <c r="Q170" s="539"/>
      <c r="R170" s="539"/>
      <c r="S170" s="557"/>
      <c r="T170" s="557"/>
      <c r="U170" s="557"/>
      <c r="V170" s="557"/>
      <c r="W170" s="539"/>
      <c r="X170" s="539"/>
      <c r="Y170" s="557"/>
      <c r="Z170" s="557"/>
      <c r="AA170" s="539"/>
      <c r="AB170" s="539"/>
      <c r="AC170" s="539"/>
      <c r="AD170" s="557"/>
      <c r="AE170" s="557"/>
      <c r="AF170" s="557"/>
      <c r="AG170" s="557"/>
      <c r="AH170" s="557"/>
      <c r="AI170" s="557"/>
      <c r="AJ170" s="557"/>
      <c r="AK170" s="557"/>
      <c r="AL170" s="557"/>
      <c r="AM170" s="557"/>
      <c r="AN170" s="557"/>
      <c r="AO170" s="557"/>
      <c r="AP170" s="557"/>
      <c r="AQ170" s="557"/>
      <c r="AR170" s="557"/>
      <c r="AS170" s="557"/>
      <c r="AT170" s="557"/>
      <c r="AU170" s="557"/>
      <c r="AV170" s="557"/>
      <c r="AW170" s="557"/>
      <c r="AX170" s="557"/>
      <c r="AY170" s="557"/>
      <c r="AZ170" s="557"/>
      <c r="BA170" s="557"/>
      <c r="BB170" s="557"/>
      <c r="BC170" s="557"/>
      <c r="BD170" s="555"/>
      <c r="BE170" s="592"/>
      <c r="BF170" s="592"/>
      <c r="BG170" s="592"/>
      <c r="BH170" s="592"/>
      <c r="BI170" s="592"/>
      <c r="BJ170" s="592"/>
      <c r="BK170" s="592"/>
      <c r="BL170" s="592"/>
      <c r="BM170" s="592"/>
      <c r="BN170" s="592"/>
      <c r="BO170" s="592"/>
      <c r="BP170" s="592"/>
      <c r="BQ170" s="592"/>
      <c r="BR170" s="592"/>
      <c r="BS170" s="592"/>
      <c r="BT170" s="592"/>
    </row>
    <row r="171" spans="1:72" s="591" customFormat="1" ht="15">
      <c r="A171" s="539"/>
      <c r="B171" s="539"/>
      <c r="C171" s="539"/>
      <c r="D171" s="539"/>
      <c r="E171" s="539"/>
      <c r="F171" s="539"/>
      <c r="G171" s="539"/>
      <c r="H171" s="539"/>
      <c r="I171" s="539"/>
      <c r="J171" s="539"/>
      <c r="K171" s="539"/>
      <c r="L171" s="539"/>
      <c r="M171" s="539"/>
      <c r="N171" s="539"/>
      <c r="O171" s="539"/>
      <c r="P171" s="539"/>
      <c r="Q171" s="539"/>
      <c r="R171" s="539"/>
      <c r="S171" s="557"/>
      <c r="T171" s="557"/>
      <c r="U171" s="557"/>
      <c r="V171" s="557"/>
      <c r="W171" s="539"/>
      <c r="X171" s="539"/>
      <c r="Y171" s="557"/>
      <c r="Z171" s="557"/>
      <c r="AA171" s="539"/>
      <c r="AB171" s="539"/>
      <c r="AC171" s="539"/>
      <c r="AD171" s="557"/>
      <c r="AE171" s="557"/>
      <c r="AF171" s="557"/>
      <c r="AG171" s="557"/>
      <c r="AH171" s="557"/>
      <c r="AI171" s="557"/>
      <c r="AJ171" s="557"/>
      <c r="AK171" s="557"/>
      <c r="AL171" s="557"/>
      <c r="AM171" s="557"/>
      <c r="AN171" s="557"/>
      <c r="AO171" s="557"/>
      <c r="AP171" s="557"/>
      <c r="AQ171" s="557"/>
      <c r="AR171" s="557"/>
      <c r="AS171" s="557"/>
      <c r="AT171" s="557"/>
      <c r="AU171" s="557"/>
      <c r="AV171" s="557"/>
      <c r="AW171" s="557"/>
      <c r="AX171" s="557"/>
      <c r="AY171" s="557"/>
      <c r="AZ171" s="557"/>
      <c r="BA171" s="557"/>
      <c r="BB171" s="557"/>
      <c r="BC171" s="557"/>
      <c r="BD171" s="555"/>
      <c r="BE171" s="592"/>
      <c r="BF171" s="592"/>
      <c r="BG171" s="592"/>
      <c r="BH171" s="592"/>
      <c r="BI171" s="592"/>
      <c r="BJ171" s="592"/>
      <c r="BK171" s="592"/>
      <c r="BL171" s="592"/>
      <c r="BM171" s="592"/>
      <c r="BN171" s="592"/>
      <c r="BO171" s="592"/>
      <c r="BP171" s="592"/>
      <c r="BQ171" s="592"/>
      <c r="BR171" s="592"/>
      <c r="BS171" s="592"/>
      <c r="BT171" s="592"/>
    </row>
    <row r="172" spans="1:72" s="591" customFormat="1" ht="15">
      <c r="A172" s="539"/>
      <c r="B172" s="539"/>
      <c r="C172" s="539"/>
      <c r="D172" s="539"/>
      <c r="E172" s="539"/>
      <c r="F172" s="539"/>
      <c r="G172" s="539"/>
      <c r="H172" s="539"/>
      <c r="I172" s="539"/>
      <c r="J172" s="539"/>
      <c r="K172" s="539"/>
      <c r="L172" s="539"/>
      <c r="M172" s="539"/>
      <c r="N172" s="539"/>
      <c r="O172" s="539"/>
      <c r="P172" s="539"/>
      <c r="Q172" s="539"/>
      <c r="R172" s="539"/>
      <c r="S172" s="557"/>
      <c r="T172" s="557"/>
      <c r="U172" s="557"/>
      <c r="V172" s="557"/>
      <c r="W172" s="539"/>
      <c r="X172" s="539"/>
      <c r="Y172" s="557"/>
      <c r="Z172" s="557"/>
      <c r="AA172" s="539"/>
      <c r="AB172" s="539"/>
      <c r="AC172" s="539"/>
      <c r="AD172" s="557"/>
      <c r="AE172" s="557"/>
      <c r="AF172" s="557"/>
      <c r="AG172" s="557"/>
      <c r="AH172" s="557"/>
      <c r="AI172" s="557"/>
      <c r="AJ172" s="557"/>
      <c r="AK172" s="557"/>
      <c r="AL172" s="557"/>
      <c r="AM172" s="557"/>
      <c r="AN172" s="557"/>
      <c r="AO172" s="557"/>
      <c r="AP172" s="557"/>
      <c r="AQ172" s="557"/>
      <c r="AR172" s="557"/>
      <c r="AS172" s="557"/>
      <c r="AT172" s="557"/>
      <c r="AU172" s="557"/>
      <c r="AV172" s="557"/>
      <c r="AW172" s="557"/>
      <c r="AX172" s="557"/>
      <c r="AY172" s="557"/>
      <c r="AZ172" s="557"/>
      <c r="BA172" s="557"/>
      <c r="BB172" s="557"/>
      <c r="BC172" s="557"/>
      <c r="BD172" s="555"/>
      <c r="BE172" s="592"/>
      <c r="BF172" s="592"/>
      <c r="BG172" s="592"/>
      <c r="BH172" s="592"/>
      <c r="BI172" s="592"/>
      <c r="BJ172" s="592"/>
      <c r="BK172" s="592"/>
      <c r="BL172" s="592"/>
      <c r="BM172" s="592"/>
      <c r="BN172" s="592"/>
      <c r="BO172" s="592"/>
      <c r="BP172" s="592"/>
      <c r="BQ172" s="592"/>
      <c r="BR172" s="592"/>
      <c r="BS172" s="592"/>
      <c r="BT172" s="592"/>
    </row>
    <row r="173" spans="1:72" s="591" customFormat="1" ht="15">
      <c r="A173" s="539"/>
      <c r="B173" s="539"/>
      <c r="C173" s="539"/>
      <c r="D173" s="539"/>
      <c r="E173" s="539"/>
      <c r="F173" s="539"/>
      <c r="G173" s="539"/>
      <c r="H173" s="539"/>
      <c r="I173" s="539"/>
      <c r="J173" s="539"/>
      <c r="K173" s="539"/>
      <c r="L173" s="539"/>
      <c r="M173" s="539"/>
      <c r="N173" s="539"/>
      <c r="O173" s="539"/>
      <c r="P173" s="539"/>
      <c r="Q173" s="539"/>
      <c r="R173" s="539"/>
      <c r="S173" s="557"/>
      <c r="T173" s="557"/>
      <c r="U173" s="557"/>
      <c r="V173" s="557"/>
      <c r="W173" s="539"/>
      <c r="X173" s="539"/>
      <c r="Y173" s="557"/>
      <c r="Z173" s="557"/>
      <c r="AA173" s="539"/>
      <c r="AB173" s="539"/>
      <c r="AC173" s="539"/>
      <c r="AD173" s="557"/>
      <c r="AE173" s="557"/>
      <c r="AF173" s="557"/>
      <c r="AG173" s="557"/>
      <c r="AH173" s="557"/>
      <c r="AI173" s="557"/>
      <c r="AJ173" s="557"/>
      <c r="AK173" s="557"/>
      <c r="AL173" s="557"/>
      <c r="AM173" s="557"/>
      <c r="AN173" s="557"/>
      <c r="AO173" s="557"/>
      <c r="AP173" s="557"/>
      <c r="AQ173" s="557"/>
      <c r="AR173" s="557"/>
      <c r="AS173" s="557"/>
      <c r="AT173" s="557"/>
      <c r="AU173" s="557"/>
      <c r="AV173" s="557"/>
      <c r="AW173" s="557"/>
      <c r="AX173" s="557"/>
      <c r="AY173" s="557"/>
      <c r="AZ173" s="557"/>
      <c r="BA173" s="557"/>
      <c r="BB173" s="557"/>
      <c r="BC173" s="557"/>
      <c r="BD173" s="555"/>
      <c r="BE173" s="592"/>
      <c r="BF173" s="592"/>
      <c r="BG173" s="592"/>
      <c r="BH173" s="592"/>
      <c r="BI173" s="592"/>
      <c r="BJ173" s="592"/>
      <c r="BK173" s="592"/>
      <c r="BL173" s="592"/>
      <c r="BM173" s="592"/>
      <c r="BN173" s="592"/>
      <c r="BO173" s="592"/>
      <c r="BP173" s="592"/>
      <c r="BQ173" s="592"/>
      <c r="BR173" s="592"/>
      <c r="BS173" s="592"/>
      <c r="BT173" s="592"/>
    </row>
    <row r="174" spans="1:72" s="591" customFormat="1" ht="15">
      <c r="A174" s="539"/>
      <c r="B174" s="539"/>
      <c r="C174" s="539"/>
      <c r="D174" s="539"/>
      <c r="E174" s="539"/>
      <c r="F174" s="539"/>
      <c r="G174" s="539"/>
      <c r="H174" s="539"/>
      <c r="I174" s="539"/>
      <c r="J174" s="539"/>
      <c r="K174" s="539"/>
      <c r="L174" s="539"/>
      <c r="M174" s="539"/>
      <c r="N174" s="539"/>
      <c r="O174" s="539"/>
      <c r="P174" s="539"/>
      <c r="Q174" s="539"/>
      <c r="R174" s="539"/>
      <c r="S174" s="557"/>
      <c r="T174" s="557"/>
      <c r="U174" s="557"/>
      <c r="V174" s="557"/>
      <c r="W174" s="539"/>
      <c r="X174" s="539"/>
      <c r="Y174" s="557"/>
      <c r="Z174" s="557"/>
      <c r="AA174" s="539"/>
      <c r="AB174" s="539"/>
      <c r="AC174" s="539"/>
      <c r="AD174" s="557"/>
      <c r="AE174" s="557"/>
      <c r="AF174" s="557"/>
      <c r="AG174" s="557"/>
      <c r="AH174" s="557"/>
      <c r="AI174" s="557"/>
      <c r="AJ174" s="557"/>
      <c r="AK174" s="557"/>
      <c r="AL174" s="557"/>
      <c r="AM174" s="557"/>
      <c r="AN174" s="557"/>
      <c r="AO174" s="557"/>
      <c r="AP174" s="557"/>
      <c r="AQ174" s="557"/>
      <c r="AR174" s="557"/>
      <c r="AS174" s="557"/>
      <c r="AT174" s="557"/>
      <c r="AU174" s="557"/>
      <c r="AV174" s="557"/>
      <c r="AW174" s="557"/>
      <c r="AX174" s="557"/>
      <c r="AY174" s="557"/>
      <c r="AZ174" s="557"/>
      <c r="BA174" s="557"/>
      <c r="BB174" s="557"/>
      <c r="BC174" s="557"/>
      <c r="BD174" s="555"/>
      <c r="BE174" s="592"/>
      <c r="BF174" s="592"/>
      <c r="BG174" s="592"/>
      <c r="BH174" s="592"/>
      <c r="BI174" s="592"/>
      <c r="BJ174" s="592"/>
      <c r="BK174" s="592"/>
      <c r="BL174" s="592"/>
      <c r="BM174" s="592"/>
      <c r="BN174" s="592"/>
      <c r="BO174" s="592"/>
      <c r="BP174" s="592"/>
      <c r="BQ174" s="592"/>
      <c r="BR174" s="592"/>
      <c r="BS174" s="592"/>
      <c r="BT174" s="592"/>
    </row>
    <row r="175" spans="1:72" s="591" customFormat="1" ht="15">
      <c r="A175" s="539"/>
      <c r="B175" s="539"/>
      <c r="C175" s="539"/>
      <c r="D175" s="539"/>
      <c r="E175" s="539"/>
      <c r="F175" s="539"/>
      <c r="G175" s="539"/>
      <c r="H175" s="539"/>
      <c r="I175" s="539"/>
      <c r="J175" s="539"/>
      <c r="K175" s="539"/>
      <c r="L175" s="539"/>
      <c r="M175" s="539"/>
      <c r="N175" s="539"/>
      <c r="O175" s="539"/>
      <c r="P175" s="539"/>
      <c r="Q175" s="539"/>
      <c r="R175" s="539"/>
      <c r="S175" s="557"/>
      <c r="T175" s="557"/>
      <c r="U175" s="557"/>
      <c r="V175" s="557"/>
      <c r="W175" s="539"/>
      <c r="X175" s="539"/>
      <c r="Y175" s="557"/>
      <c r="Z175" s="557"/>
      <c r="AA175" s="539"/>
      <c r="AB175" s="539"/>
      <c r="AC175" s="539"/>
      <c r="AD175" s="557"/>
      <c r="AE175" s="557"/>
      <c r="AF175" s="557"/>
      <c r="AG175" s="557"/>
      <c r="AH175" s="557"/>
      <c r="AI175" s="557"/>
      <c r="AJ175" s="557"/>
      <c r="AK175" s="557"/>
      <c r="AL175" s="557"/>
      <c r="AM175" s="557"/>
      <c r="AN175" s="557"/>
      <c r="AO175" s="557"/>
      <c r="AP175" s="557"/>
      <c r="AQ175" s="557"/>
      <c r="AR175" s="557"/>
      <c r="AS175" s="557"/>
      <c r="AT175" s="557"/>
      <c r="AU175" s="557"/>
      <c r="AV175" s="557"/>
      <c r="AW175" s="557"/>
      <c r="AX175" s="557"/>
      <c r="AY175" s="557"/>
      <c r="AZ175" s="557"/>
      <c r="BA175" s="557"/>
      <c r="BB175" s="557"/>
      <c r="BC175" s="557"/>
      <c r="BD175" s="555"/>
      <c r="BE175" s="592"/>
      <c r="BF175" s="592"/>
      <c r="BG175" s="592"/>
      <c r="BH175" s="592"/>
      <c r="BI175" s="592"/>
      <c r="BJ175" s="592"/>
      <c r="BK175" s="592"/>
      <c r="BL175" s="592"/>
      <c r="BM175" s="592"/>
      <c r="BN175" s="592"/>
      <c r="BO175" s="592"/>
      <c r="BP175" s="592"/>
      <c r="BQ175" s="592"/>
      <c r="BR175" s="592"/>
      <c r="BS175" s="592"/>
      <c r="BT175" s="592"/>
    </row>
    <row r="176" spans="1:72" s="591" customFormat="1" ht="15">
      <c r="A176" s="539"/>
      <c r="B176" s="539"/>
      <c r="C176" s="539"/>
      <c r="D176" s="539"/>
      <c r="E176" s="539"/>
      <c r="F176" s="539"/>
      <c r="G176" s="539"/>
      <c r="H176" s="539"/>
      <c r="I176" s="539"/>
      <c r="J176" s="539"/>
      <c r="K176" s="539"/>
      <c r="L176" s="539"/>
      <c r="M176" s="539"/>
      <c r="N176" s="539"/>
      <c r="O176" s="539"/>
      <c r="P176" s="539"/>
      <c r="Q176" s="539"/>
      <c r="R176" s="539"/>
      <c r="S176" s="557"/>
      <c r="T176" s="557"/>
      <c r="U176" s="557"/>
      <c r="V176" s="557"/>
      <c r="W176" s="539"/>
      <c r="X176" s="539"/>
      <c r="Y176" s="557"/>
      <c r="Z176" s="557"/>
      <c r="AA176" s="539"/>
      <c r="AB176" s="539"/>
      <c r="AC176" s="539"/>
      <c r="AD176" s="557"/>
      <c r="AE176" s="557"/>
      <c r="AF176" s="557"/>
      <c r="AG176" s="557"/>
      <c r="AH176" s="557"/>
      <c r="AI176" s="557"/>
      <c r="AJ176" s="557"/>
      <c r="AK176" s="557"/>
      <c r="AL176" s="557"/>
      <c r="AM176" s="557"/>
      <c r="AN176" s="557"/>
      <c r="AO176" s="557"/>
      <c r="AP176" s="557"/>
      <c r="AQ176" s="557"/>
      <c r="AR176" s="557"/>
      <c r="AS176" s="557"/>
      <c r="AT176" s="557"/>
      <c r="AU176" s="557"/>
      <c r="AV176" s="557"/>
      <c r="AW176" s="557"/>
      <c r="AX176" s="557"/>
      <c r="AY176" s="557"/>
      <c r="AZ176" s="557"/>
      <c r="BA176" s="557"/>
      <c r="BB176" s="557"/>
      <c r="BC176" s="557"/>
      <c r="BD176" s="555"/>
      <c r="BE176" s="592"/>
      <c r="BF176" s="592"/>
      <c r="BG176" s="592"/>
      <c r="BH176" s="592"/>
      <c r="BI176" s="592"/>
      <c r="BJ176" s="592"/>
      <c r="BK176" s="592"/>
      <c r="BL176" s="592"/>
      <c r="BM176" s="592"/>
      <c r="BN176" s="592"/>
      <c r="BO176" s="592"/>
      <c r="BP176" s="592"/>
      <c r="BQ176" s="592"/>
      <c r="BR176" s="592"/>
      <c r="BS176" s="592"/>
      <c r="BT176" s="592"/>
    </row>
    <row r="177" spans="1:72" s="591" customFormat="1" ht="15">
      <c r="A177" s="539"/>
      <c r="B177" s="539"/>
      <c r="C177" s="539"/>
      <c r="D177" s="539"/>
      <c r="E177" s="539"/>
      <c r="F177" s="539"/>
      <c r="G177" s="539"/>
      <c r="H177" s="539"/>
      <c r="I177" s="539"/>
      <c r="J177" s="539"/>
      <c r="K177" s="539"/>
      <c r="L177" s="539"/>
      <c r="M177" s="539"/>
      <c r="N177" s="539"/>
      <c r="O177" s="539"/>
      <c r="P177" s="539"/>
      <c r="Q177" s="539"/>
      <c r="R177" s="539"/>
      <c r="S177" s="557"/>
      <c r="T177" s="557"/>
      <c r="U177" s="557"/>
      <c r="V177" s="557"/>
      <c r="W177" s="539"/>
      <c r="X177" s="539"/>
      <c r="Y177" s="557"/>
      <c r="Z177" s="557"/>
      <c r="AA177" s="539"/>
      <c r="AB177" s="539"/>
      <c r="AC177" s="539"/>
      <c r="AD177" s="557"/>
      <c r="AE177" s="557"/>
      <c r="AF177" s="557"/>
      <c r="AG177" s="557"/>
      <c r="AH177" s="557"/>
      <c r="AI177" s="557"/>
      <c r="AJ177" s="557"/>
      <c r="AK177" s="557"/>
      <c r="AL177" s="557"/>
      <c r="AM177" s="557"/>
      <c r="AN177" s="557"/>
      <c r="AO177" s="557"/>
      <c r="AP177" s="557"/>
      <c r="AQ177" s="557"/>
      <c r="AR177" s="557"/>
      <c r="AS177" s="557"/>
      <c r="AT177" s="557"/>
      <c r="AU177" s="557"/>
      <c r="AV177" s="557"/>
      <c r="AW177" s="557"/>
      <c r="AX177" s="557"/>
      <c r="AY177" s="557"/>
      <c r="AZ177" s="557"/>
      <c r="BA177" s="557"/>
      <c r="BB177" s="557"/>
      <c r="BC177" s="557"/>
      <c r="BD177" s="555"/>
      <c r="BE177" s="592"/>
      <c r="BF177" s="592"/>
      <c r="BG177" s="592"/>
      <c r="BH177" s="592"/>
      <c r="BI177" s="592"/>
      <c r="BJ177" s="592"/>
      <c r="BK177" s="592"/>
      <c r="BL177" s="592"/>
      <c r="BM177" s="592"/>
      <c r="BN177" s="592"/>
      <c r="BO177" s="592"/>
      <c r="BP177" s="592"/>
      <c r="BQ177" s="592"/>
      <c r="BR177" s="592"/>
      <c r="BS177" s="592"/>
      <c r="BT177" s="592"/>
    </row>
    <row r="178" spans="1:72" s="591" customFormat="1" ht="15">
      <c r="A178" s="539"/>
      <c r="B178" s="539"/>
      <c r="C178" s="539"/>
      <c r="D178" s="539"/>
      <c r="E178" s="539"/>
      <c r="F178" s="539"/>
      <c r="G178" s="539"/>
      <c r="H178" s="539"/>
      <c r="I178" s="539"/>
      <c r="J178" s="539"/>
      <c r="K178" s="539"/>
      <c r="L178" s="539"/>
      <c r="M178" s="539"/>
      <c r="N178" s="539"/>
      <c r="O178" s="539"/>
      <c r="P178" s="539"/>
      <c r="Q178" s="539"/>
      <c r="R178" s="539"/>
      <c r="S178" s="557"/>
      <c r="T178" s="557"/>
      <c r="U178" s="557"/>
      <c r="V178" s="557"/>
      <c r="W178" s="539"/>
      <c r="X178" s="539"/>
      <c r="Y178" s="557"/>
      <c r="Z178" s="557"/>
      <c r="AA178" s="539"/>
      <c r="AB178" s="539"/>
      <c r="AC178" s="539"/>
      <c r="AD178" s="557"/>
      <c r="AE178" s="557"/>
      <c r="AF178" s="557"/>
      <c r="AG178" s="557"/>
      <c r="AH178" s="557"/>
      <c r="AI178" s="557"/>
      <c r="AJ178" s="557"/>
      <c r="AK178" s="557"/>
      <c r="AL178" s="557"/>
      <c r="AM178" s="557"/>
      <c r="AN178" s="557"/>
      <c r="AO178" s="557"/>
      <c r="AP178" s="557"/>
      <c r="AQ178" s="557"/>
      <c r="AR178" s="557"/>
      <c r="AS178" s="557"/>
      <c r="AT178" s="557"/>
      <c r="AU178" s="557"/>
      <c r="AV178" s="557"/>
      <c r="AW178" s="557"/>
      <c r="AX178" s="557"/>
      <c r="AY178" s="557"/>
      <c r="AZ178" s="557"/>
      <c r="BA178" s="557"/>
      <c r="BB178" s="557"/>
      <c r="BC178" s="557"/>
      <c r="BD178" s="555"/>
      <c r="BE178" s="592"/>
      <c r="BF178" s="592"/>
      <c r="BG178" s="592"/>
      <c r="BH178" s="592"/>
      <c r="BI178" s="592"/>
      <c r="BJ178" s="592"/>
      <c r="BK178" s="592"/>
      <c r="BL178" s="592"/>
      <c r="BM178" s="592"/>
      <c r="BN178" s="592"/>
      <c r="BO178" s="592"/>
      <c r="BP178" s="592"/>
      <c r="BQ178" s="592"/>
      <c r="BR178" s="592"/>
      <c r="BS178" s="592"/>
      <c r="BT178" s="592"/>
    </row>
    <row r="179" spans="1:72" s="591" customFormat="1" ht="15">
      <c r="A179" s="539"/>
      <c r="B179" s="539"/>
      <c r="C179" s="539"/>
      <c r="D179" s="539"/>
      <c r="E179" s="539"/>
      <c r="F179" s="539"/>
      <c r="G179" s="539"/>
      <c r="H179" s="539"/>
      <c r="I179" s="539"/>
      <c r="J179" s="539"/>
      <c r="K179" s="539"/>
      <c r="L179" s="539"/>
      <c r="M179" s="539"/>
      <c r="N179" s="539"/>
      <c r="O179" s="539"/>
      <c r="P179" s="539"/>
      <c r="Q179" s="539"/>
      <c r="R179" s="539"/>
      <c r="S179" s="557"/>
      <c r="T179" s="557"/>
      <c r="U179" s="557"/>
      <c r="V179" s="557"/>
      <c r="W179" s="539"/>
      <c r="X179" s="539"/>
      <c r="Y179" s="557"/>
      <c r="Z179" s="557"/>
      <c r="AA179" s="539"/>
      <c r="AB179" s="539"/>
      <c r="AC179" s="539"/>
      <c r="AD179" s="557"/>
      <c r="AE179" s="557"/>
      <c r="AF179" s="557"/>
      <c r="AG179" s="557"/>
      <c r="AH179" s="557"/>
      <c r="AI179" s="557"/>
      <c r="AJ179" s="557"/>
      <c r="AK179" s="557"/>
      <c r="AL179" s="557"/>
      <c r="AM179" s="557"/>
      <c r="AN179" s="557"/>
      <c r="AO179" s="557"/>
      <c r="AP179" s="557"/>
      <c r="AQ179" s="557"/>
      <c r="AR179" s="557"/>
      <c r="AS179" s="557"/>
      <c r="AT179" s="557"/>
      <c r="AU179" s="557"/>
      <c r="AV179" s="557"/>
      <c r="AW179" s="557"/>
      <c r="AX179" s="557"/>
      <c r="AY179" s="557"/>
      <c r="AZ179" s="557"/>
      <c r="BA179" s="557"/>
      <c r="BB179" s="557"/>
      <c r="BC179" s="557"/>
      <c r="BD179" s="555"/>
      <c r="BE179" s="592"/>
      <c r="BF179" s="592"/>
      <c r="BG179" s="592"/>
      <c r="BH179" s="592"/>
      <c r="BI179" s="592"/>
      <c r="BJ179" s="592"/>
      <c r="BK179" s="592"/>
      <c r="BL179" s="592"/>
      <c r="BM179" s="592"/>
      <c r="BN179" s="592"/>
      <c r="BO179" s="592"/>
      <c r="BP179" s="592"/>
      <c r="BQ179" s="592"/>
      <c r="BR179" s="592"/>
      <c r="BS179" s="592"/>
      <c r="BT179" s="592"/>
    </row>
    <row r="180" spans="1:72" s="591" customFormat="1" ht="15">
      <c r="A180" s="539"/>
      <c r="B180" s="539"/>
      <c r="C180" s="539"/>
      <c r="D180" s="539"/>
      <c r="E180" s="539"/>
      <c r="F180" s="539"/>
      <c r="G180" s="539"/>
      <c r="H180" s="539"/>
      <c r="I180" s="539"/>
      <c r="J180" s="539"/>
      <c r="K180" s="539"/>
      <c r="L180" s="539"/>
      <c r="M180" s="539"/>
      <c r="N180" s="539"/>
      <c r="O180" s="539"/>
      <c r="P180" s="539"/>
      <c r="Q180" s="539"/>
      <c r="R180" s="539"/>
      <c r="S180" s="557"/>
      <c r="T180" s="557"/>
      <c r="U180" s="557"/>
      <c r="V180" s="557"/>
      <c r="W180" s="539"/>
      <c r="X180" s="539"/>
      <c r="Y180" s="557"/>
      <c r="Z180" s="557"/>
      <c r="AA180" s="539"/>
      <c r="AB180" s="539"/>
      <c r="AC180" s="539"/>
      <c r="AD180" s="557"/>
      <c r="AE180" s="557"/>
      <c r="AF180" s="557"/>
      <c r="AG180" s="557"/>
      <c r="AH180" s="557"/>
      <c r="AI180" s="557"/>
      <c r="AJ180" s="557"/>
      <c r="AK180" s="557"/>
      <c r="AL180" s="557"/>
      <c r="AM180" s="557"/>
      <c r="AN180" s="557"/>
      <c r="AO180" s="557"/>
      <c r="AP180" s="557"/>
      <c r="AQ180" s="557"/>
      <c r="AR180" s="557"/>
      <c r="AS180" s="557"/>
      <c r="AT180" s="557"/>
      <c r="AU180" s="557"/>
      <c r="AV180" s="557"/>
      <c r="AW180" s="557"/>
      <c r="AX180" s="557"/>
      <c r="AY180" s="557"/>
      <c r="AZ180" s="557"/>
      <c r="BA180" s="557"/>
      <c r="BB180" s="557"/>
      <c r="BC180" s="557"/>
      <c r="BD180" s="555"/>
      <c r="BE180" s="592"/>
      <c r="BF180" s="592"/>
      <c r="BG180" s="592"/>
      <c r="BH180" s="592"/>
      <c r="BI180" s="592"/>
      <c r="BJ180" s="592"/>
      <c r="BK180" s="592"/>
      <c r="BL180" s="592"/>
      <c r="BM180" s="592"/>
      <c r="BN180" s="592"/>
      <c r="BO180" s="592"/>
      <c r="BP180" s="592"/>
      <c r="BQ180" s="592"/>
      <c r="BR180" s="592"/>
      <c r="BS180" s="592"/>
      <c r="BT180" s="592"/>
    </row>
    <row r="181" spans="1:72" s="591" customFormat="1" ht="15">
      <c r="A181" s="539"/>
      <c r="B181" s="539"/>
      <c r="C181" s="539"/>
      <c r="D181" s="539"/>
      <c r="E181" s="539"/>
      <c r="F181" s="539"/>
      <c r="G181" s="539"/>
      <c r="H181" s="539"/>
      <c r="I181" s="539"/>
      <c r="J181" s="539"/>
      <c r="K181" s="539"/>
      <c r="L181" s="539"/>
      <c r="M181" s="539"/>
      <c r="N181" s="539"/>
      <c r="O181" s="539"/>
      <c r="P181" s="539"/>
      <c r="Q181" s="539"/>
      <c r="R181" s="539"/>
      <c r="S181" s="557"/>
      <c r="T181" s="557"/>
      <c r="U181" s="557"/>
      <c r="V181" s="557"/>
      <c r="W181" s="539"/>
      <c r="X181" s="539"/>
      <c r="Y181" s="557"/>
      <c r="Z181" s="557"/>
      <c r="AA181" s="539"/>
      <c r="AB181" s="539"/>
      <c r="AC181" s="539"/>
      <c r="AD181" s="557"/>
      <c r="AE181" s="557"/>
      <c r="AF181" s="557"/>
      <c r="AG181" s="557"/>
      <c r="AH181" s="557"/>
      <c r="AI181" s="557"/>
      <c r="AJ181" s="557"/>
      <c r="AK181" s="557"/>
      <c r="AL181" s="557"/>
      <c r="AM181" s="557"/>
      <c r="AN181" s="557"/>
      <c r="AO181" s="557"/>
      <c r="AP181" s="557"/>
      <c r="AQ181" s="557"/>
      <c r="AR181" s="557"/>
      <c r="AS181" s="557"/>
      <c r="AT181" s="557"/>
      <c r="AU181" s="557"/>
      <c r="AV181" s="557"/>
      <c r="AW181" s="557"/>
      <c r="AX181" s="557"/>
      <c r="AY181" s="557"/>
      <c r="AZ181" s="557"/>
      <c r="BA181" s="557"/>
      <c r="BB181" s="557"/>
      <c r="BC181" s="557"/>
      <c r="BD181" s="555"/>
      <c r="BE181" s="592"/>
      <c r="BF181" s="592"/>
      <c r="BG181" s="592"/>
      <c r="BH181" s="592"/>
      <c r="BI181" s="592"/>
      <c r="BJ181" s="592"/>
      <c r="BK181" s="592"/>
      <c r="BL181" s="592"/>
      <c r="BM181" s="592"/>
      <c r="BN181" s="592"/>
      <c r="BO181" s="592"/>
      <c r="BP181" s="592"/>
      <c r="BQ181" s="592"/>
      <c r="BR181" s="592"/>
      <c r="BS181" s="592"/>
      <c r="BT181" s="592"/>
    </row>
    <row r="182" spans="1:72" s="591" customFormat="1" ht="15">
      <c r="A182" s="539"/>
      <c r="B182" s="539"/>
      <c r="C182" s="539"/>
      <c r="D182" s="539"/>
      <c r="E182" s="539"/>
      <c r="F182" s="539"/>
      <c r="G182" s="539"/>
      <c r="H182" s="539"/>
      <c r="I182" s="539"/>
      <c r="J182" s="539"/>
      <c r="K182" s="539"/>
      <c r="L182" s="539"/>
      <c r="M182" s="539"/>
      <c r="N182" s="539"/>
      <c r="O182" s="539"/>
      <c r="P182" s="539"/>
      <c r="Q182" s="539"/>
      <c r="R182" s="539"/>
      <c r="S182" s="557"/>
      <c r="T182" s="557"/>
      <c r="U182" s="557"/>
      <c r="V182" s="557"/>
      <c r="W182" s="539"/>
      <c r="X182" s="539"/>
      <c r="Y182" s="557"/>
      <c r="Z182" s="557"/>
      <c r="AA182" s="539"/>
      <c r="AB182" s="539"/>
      <c r="AC182" s="539"/>
      <c r="AD182" s="557"/>
      <c r="AE182" s="557"/>
      <c r="AF182" s="557"/>
      <c r="AG182" s="557"/>
      <c r="AH182" s="557"/>
      <c r="AI182" s="557"/>
      <c r="AJ182" s="557"/>
      <c r="AK182" s="557"/>
      <c r="AL182" s="557"/>
      <c r="AM182" s="557"/>
      <c r="AN182" s="557"/>
      <c r="AO182" s="557"/>
      <c r="AP182" s="557"/>
      <c r="AQ182" s="557"/>
      <c r="AR182" s="557"/>
      <c r="AS182" s="557"/>
      <c r="AT182" s="557"/>
      <c r="AU182" s="557"/>
      <c r="AV182" s="557"/>
      <c r="AW182" s="557"/>
      <c r="AX182" s="557"/>
      <c r="AY182" s="557"/>
      <c r="AZ182" s="557"/>
      <c r="BA182" s="557"/>
      <c r="BB182" s="557"/>
      <c r="BC182" s="557"/>
      <c r="BD182" s="555"/>
      <c r="BE182" s="592"/>
      <c r="BF182" s="592"/>
      <c r="BG182" s="592"/>
      <c r="BH182" s="592"/>
      <c r="BI182" s="592"/>
      <c r="BJ182" s="592"/>
      <c r="BK182" s="592"/>
      <c r="BL182" s="592"/>
      <c r="BM182" s="592"/>
      <c r="BN182" s="592"/>
      <c r="BO182" s="592"/>
      <c r="BP182" s="592"/>
      <c r="BQ182" s="592"/>
      <c r="BR182" s="592"/>
      <c r="BS182" s="592"/>
      <c r="BT182" s="592"/>
    </row>
    <row r="183" spans="1:72" s="591" customFormat="1" ht="15">
      <c r="A183" s="539"/>
      <c r="B183" s="539"/>
      <c r="C183" s="539"/>
      <c r="D183" s="539"/>
      <c r="E183" s="539"/>
      <c r="F183" s="539"/>
      <c r="G183" s="539"/>
      <c r="H183" s="539"/>
      <c r="I183" s="539"/>
      <c r="J183" s="539"/>
      <c r="K183" s="539"/>
      <c r="L183" s="539"/>
      <c r="M183" s="539"/>
      <c r="N183" s="539"/>
      <c r="O183" s="539"/>
      <c r="P183" s="539"/>
      <c r="Q183" s="539"/>
      <c r="R183" s="539"/>
      <c r="S183" s="557"/>
      <c r="T183" s="557"/>
      <c r="U183" s="557"/>
      <c r="V183" s="557"/>
      <c r="W183" s="539"/>
      <c r="X183" s="539"/>
      <c r="Y183" s="557"/>
      <c r="Z183" s="557"/>
      <c r="AA183" s="539"/>
      <c r="AB183" s="539"/>
      <c r="AC183" s="539"/>
      <c r="AD183" s="557"/>
      <c r="AE183" s="557"/>
      <c r="AF183" s="557"/>
      <c r="AG183" s="557"/>
      <c r="AH183" s="557"/>
      <c r="AI183" s="557"/>
      <c r="AJ183" s="557"/>
      <c r="AK183" s="557"/>
      <c r="AL183" s="557"/>
      <c r="AM183" s="557"/>
      <c r="AN183" s="557"/>
      <c r="AO183" s="557"/>
      <c r="AP183" s="557"/>
      <c r="AQ183" s="557"/>
      <c r="AR183" s="557"/>
      <c r="AS183" s="557"/>
      <c r="AT183" s="557"/>
      <c r="AU183" s="557"/>
      <c r="AV183" s="557"/>
      <c r="AW183" s="557"/>
      <c r="AX183" s="557"/>
      <c r="AY183" s="557"/>
      <c r="AZ183" s="557"/>
      <c r="BA183" s="557"/>
      <c r="BB183" s="557"/>
      <c r="BC183" s="557"/>
      <c r="BD183" s="555"/>
      <c r="BE183" s="592"/>
      <c r="BF183" s="592"/>
      <c r="BG183" s="592"/>
      <c r="BH183" s="592"/>
      <c r="BI183" s="592"/>
      <c r="BJ183" s="592"/>
      <c r="BK183" s="592"/>
      <c r="BL183" s="592"/>
      <c r="BM183" s="592"/>
      <c r="BN183" s="592"/>
      <c r="BO183" s="592"/>
      <c r="BP183" s="592"/>
      <c r="BQ183" s="592"/>
      <c r="BR183" s="592"/>
      <c r="BS183" s="592"/>
      <c r="BT183" s="592"/>
    </row>
    <row r="184" spans="1:72" s="591" customFormat="1" ht="15">
      <c r="A184" s="539"/>
      <c r="B184" s="539"/>
      <c r="C184" s="539"/>
      <c r="D184" s="539"/>
      <c r="E184" s="539"/>
      <c r="F184" s="539"/>
      <c r="G184" s="539"/>
      <c r="H184" s="539"/>
      <c r="I184" s="539"/>
      <c r="J184" s="539"/>
      <c r="K184" s="539"/>
      <c r="L184" s="539"/>
      <c r="M184" s="539"/>
      <c r="N184" s="539"/>
      <c r="O184" s="539"/>
      <c r="P184" s="539"/>
      <c r="Q184" s="539"/>
      <c r="R184" s="539"/>
      <c r="S184" s="557"/>
      <c r="T184" s="557"/>
      <c r="U184" s="557"/>
      <c r="V184" s="557"/>
      <c r="W184" s="539"/>
      <c r="X184" s="539"/>
      <c r="Y184" s="557"/>
      <c r="Z184" s="557"/>
      <c r="AA184" s="539"/>
      <c r="AB184" s="539"/>
      <c r="AC184" s="539"/>
      <c r="AD184" s="557"/>
      <c r="AE184" s="557"/>
      <c r="AF184" s="557"/>
      <c r="AG184" s="557"/>
      <c r="AH184" s="557"/>
      <c r="AI184" s="557"/>
      <c r="AJ184" s="557"/>
      <c r="AK184" s="557"/>
      <c r="AL184" s="557"/>
      <c r="AM184" s="557"/>
      <c r="AN184" s="557"/>
      <c r="AO184" s="557"/>
      <c r="AP184" s="557"/>
      <c r="AQ184" s="557"/>
      <c r="AR184" s="557"/>
      <c r="AS184" s="557"/>
      <c r="AT184" s="557"/>
      <c r="AU184" s="557"/>
      <c r="AV184" s="557"/>
      <c r="AW184" s="557"/>
      <c r="AX184" s="557"/>
      <c r="AY184" s="557"/>
      <c r="AZ184" s="557"/>
      <c r="BA184" s="557"/>
      <c r="BB184" s="557"/>
      <c r="BC184" s="557"/>
      <c r="BD184" s="555"/>
      <c r="BE184" s="592"/>
      <c r="BF184" s="592"/>
      <c r="BG184" s="592"/>
      <c r="BH184" s="592"/>
      <c r="BI184" s="592"/>
      <c r="BJ184" s="592"/>
      <c r="BK184" s="592"/>
      <c r="BL184" s="592"/>
      <c r="BM184" s="592"/>
      <c r="BN184" s="592"/>
      <c r="BO184" s="592"/>
      <c r="BP184" s="592"/>
      <c r="BQ184" s="592"/>
      <c r="BR184" s="592"/>
      <c r="BS184" s="592"/>
      <c r="BT184" s="592"/>
    </row>
    <row r="185" spans="1:72" s="591" customFormat="1" ht="15">
      <c r="A185" s="539"/>
      <c r="B185" s="539"/>
      <c r="C185" s="539"/>
      <c r="D185" s="539"/>
      <c r="E185" s="539"/>
      <c r="F185" s="539"/>
      <c r="G185" s="539"/>
      <c r="H185" s="539"/>
      <c r="I185" s="539"/>
      <c r="J185" s="539"/>
      <c r="K185" s="539"/>
      <c r="L185" s="539"/>
      <c r="M185" s="539"/>
      <c r="N185" s="539"/>
      <c r="O185" s="539"/>
      <c r="P185" s="539"/>
      <c r="Q185" s="539"/>
      <c r="R185" s="539"/>
      <c r="S185" s="557"/>
      <c r="T185" s="557"/>
      <c r="U185" s="557"/>
      <c r="V185" s="557"/>
      <c r="W185" s="539"/>
      <c r="X185" s="539"/>
      <c r="Y185" s="557"/>
      <c r="Z185" s="557"/>
      <c r="AA185" s="539"/>
      <c r="AB185" s="539"/>
      <c r="AC185" s="539"/>
      <c r="AD185" s="557"/>
      <c r="AE185" s="557"/>
      <c r="AF185" s="557"/>
      <c r="AG185" s="557"/>
      <c r="AH185" s="557"/>
      <c r="AI185" s="557"/>
      <c r="AJ185" s="557"/>
      <c r="AK185" s="557"/>
      <c r="AL185" s="557"/>
      <c r="AM185" s="557"/>
      <c r="AN185" s="557"/>
      <c r="AO185" s="557"/>
      <c r="AP185" s="557"/>
      <c r="AQ185" s="557"/>
      <c r="AR185" s="557"/>
      <c r="AS185" s="557"/>
      <c r="AT185" s="557"/>
      <c r="AU185" s="557"/>
      <c r="AV185" s="557"/>
      <c r="AW185" s="557"/>
      <c r="AX185" s="557"/>
      <c r="AY185" s="557"/>
      <c r="AZ185" s="557"/>
      <c r="BA185" s="557"/>
      <c r="BB185" s="557"/>
      <c r="BC185" s="557"/>
      <c r="BD185" s="555"/>
      <c r="BE185" s="592"/>
      <c r="BF185" s="592"/>
      <c r="BG185" s="592"/>
      <c r="BH185" s="592"/>
      <c r="BI185" s="592"/>
      <c r="BJ185" s="592"/>
      <c r="BK185" s="592"/>
      <c r="BL185" s="592"/>
      <c r="BM185" s="592"/>
      <c r="BN185" s="592"/>
      <c r="BO185" s="592"/>
      <c r="BP185" s="592"/>
      <c r="BQ185" s="592"/>
      <c r="BR185" s="592"/>
      <c r="BS185" s="592"/>
      <c r="BT185" s="592"/>
    </row>
    <row r="186" spans="1:72" s="591" customFormat="1" ht="15">
      <c r="A186" s="539"/>
      <c r="B186" s="539"/>
      <c r="C186" s="539"/>
      <c r="D186" s="539"/>
      <c r="E186" s="539"/>
      <c r="F186" s="539"/>
      <c r="G186" s="539"/>
      <c r="H186" s="539"/>
      <c r="I186" s="539"/>
      <c r="J186" s="539"/>
      <c r="K186" s="539"/>
      <c r="L186" s="539"/>
      <c r="M186" s="539"/>
      <c r="N186" s="539"/>
      <c r="O186" s="539"/>
      <c r="P186" s="539"/>
      <c r="Q186" s="539"/>
      <c r="R186" s="539"/>
      <c r="S186" s="557"/>
      <c r="T186" s="557"/>
      <c r="U186" s="557"/>
      <c r="V186" s="557"/>
      <c r="W186" s="539"/>
      <c r="X186" s="539"/>
      <c r="Y186" s="557"/>
      <c r="Z186" s="557"/>
      <c r="AA186" s="539"/>
      <c r="AB186" s="539"/>
      <c r="AC186" s="539"/>
      <c r="AD186" s="557"/>
      <c r="AE186" s="557"/>
      <c r="AF186" s="557"/>
      <c r="AG186" s="557"/>
      <c r="AH186" s="557"/>
      <c r="AI186" s="557"/>
      <c r="AJ186" s="557"/>
      <c r="AK186" s="557"/>
      <c r="AL186" s="557"/>
      <c r="AM186" s="557"/>
      <c r="AN186" s="557"/>
      <c r="AO186" s="557"/>
      <c r="AP186" s="557"/>
      <c r="AQ186" s="557"/>
      <c r="AR186" s="557"/>
      <c r="AS186" s="557"/>
      <c r="AT186" s="557"/>
      <c r="AU186" s="557"/>
      <c r="AV186" s="557"/>
      <c r="AW186" s="557"/>
      <c r="AX186" s="557"/>
      <c r="AY186" s="557"/>
      <c r="AZ186" s="557"/>
      <c r="BA186" s="557"/>
      <c r="BB186" s="557"/>
      <c r="BC186" s="557"/>
      <c r="BD186" s="555"/>
      <c r="BE186" s="592"/>
      <c r="BF186" s="592"/>
      <c r="BG186" s="592"/>
      <c r="BH186" s="592"/>
      <c r="BI186" s="592"/>
      <c r="BJ186" s="592"/>
      <c r="BK186" s="592"/>
      <c r="BL186" s="592"/>
      <c r="BM186" s="592"/>
      <c r="BN186" s="592"/>
      <c r="BO186" s="592"/>
      <c r="BP186" s="592"/>
      <c r="BQ186" s="592"/>
      <c r="BR186" s="592"/>
      <c r="BS186" s="592"/>
      <c r="BT186" s="592"/>
    </row>
    <row r="187" spans="1:72" s="591" customFormat="1" ht="15">
      <c r="A187" s="539"/>
      <c r="B187" s="539"/>
      <c r="C187" s="539"/>
      <c r="D187" s="539"/>
      <c r="E187" s="539"/>
      <c r="F187" s="539"/>
      <c r="G187" s="539"/>
      <c r="H187" s="539"/>
      <c r="I187" s="539"/>
      <c r="J187" s="539"/>
      <c r="K187" s="539"/>
      <c r="L187" s="539"/>
      <c r="M187" s="539"/>
      <c r="N187" s="539"/>
      <c r="O187" s="539"/>
      <c r="P187" s="539"/>
      <c r="Q187" s="539"/>
      <c r="R187" s="539"/>
      <c r="S187" s="557"/>
      <c r="T187" s="557"/>
      <c r="U187" s="557"/>
      <c r="V187" s="557"/>
      <c r="W187" s="539"/>
      <c r="X187" s="539"/>
      <c r="Y187" s="557"/>
      <c r="Z187" s="557"/>
      <c r="AA187" s="539"/>
      <c r="AB187" s="539"/>
      <c r="AC187" s="539"/>
      <c r="AD187" s="557"/>
      <c r="AE187" s="557"/>
      <c r="AF187" s="557"/>
      <c r="AG187" s="557"/>
      <c r="AH187" s="557"/>
      <c r="AI187" s="557"/>
      <c r="AJ187" s="557"/>
      <c r="AK187" s="557"/>
      <c r="AL187" s="557"/>
      <c r="AM187" s="557"/>
      <c r="AN187" s="557"/>
      <c r="AO187" s="557"/>
      <c r="AP187" s="557"/>
      <c r="AQ187" s="557"/>
      <c r="AR187" s="557"/>
      <c r="AS187" s="557"/>
      <c r="AT187" s="557"/>
      <c r="AU187" s="557"/>
      <c r="AV187" s="557"/>
      <c r="AW187" s="557"/>
      <c r="AX187" s="557"/>
      <c r="AY187" s="557"/>
      <c r="AZ187" s="557"/>
      <c r="BA187" s="557"/>
      <c r="BB187" s="557"/>
      <c r="BC187" s="557"/>
      <c r="BD187" s="555"/>
      <c r="BE187" s="592"/>
      <c r="BF187" s="592"/>
      <c r="BG187" s="592"/>
      <c r="BH187" s="592"/>
      <c r="BI187" s="592"/>
      <c r="BJ187" s="592"/>
      <c r="BK187" s="592"/>
      <c r="BL187" s="592"/>
      <c r="BM187" s="592"/>
      <c r="BN187" s="592"/>
      <c r="BO187" s="592"/>
      <c r="BP187" s="592"/>
      <c r="BQ187" s="592"/>
      <c r="BR187" s="592"/>
      <c r="BS187" s="592"/>
      <c r="BT187" s="592"/>
    </row>
    <row r="188" spans="1:72" s="591" customFormat="1" ht="15">
      <c r="A188" s="539"/>
      <c r="B188" s="539"/>
      <c r="C188" s="539"/>
      <c r="D188" s="539"/>
      <c r="E188" s="539"/>
      <c r="F188" s="539"/>
      <c r="G188" s="539"/>
      <c r="H188" s="539"/>
      <c r="I188" s="539"/>
      <c r="J188" s="539"/>
      <c r="K188" s="539"/>
      <c r="L188" s="539"/>
      <c r="M188" s="539"/>
      <c r="N188" s="539"/>
      <c r="O188" s="539"/>
      <c r="P188" s="539"/>
      <c r="Q188" s="539"/>
      <c r="R188" s="539"/>
      <c r="S188" s="557"/>
      <c r="T188" s="557"/>
      <c r="U188" s="557"/>
      <c r="V188" s="557"/>
      <c r="W188" s="539"/>
      <c r="X188" s="539"/>
      <c r="Y188" s="557"/>
      <c r="Z188" s="557"/>
      <c r="AA188" s="539"/>
      <c r="AB188" s="539"/>
      <c r="AC188" s="539"/>
      <c r="AD188" s="557"/>
      <c r="AE188" s="557"/>
      <c r="AF188" s="557"/>
      <c r="AG188" s="557"/>
      <c r="AH188" s="557"/>
      <c r="AI188" s="557"/>
      <c r="AJ188" s="557"/>
      <c r="AK188" s="557"/>
      <c r="AL188" s="557"/>
      <c r="AM188" s="557"/>
      <c r="AN188" s="557"/>
      <c r="AO188" s="557"/>
      <c r="AP188" s="557"/>
      <c r="AQ188" s="557"/>
      <c r="AR188" s="557"/>
      <c r="AS188" s="557"/>
      <c r="AT188" s="557"/>
      <c r="AU188" s="557"/>
      <c r="AV188" s="557"/>
      <c r="AW188" s="557"/>
      <c r="AX188" s="557"/>
      <c r="AY188" s="557"/>
      <c r="AZ188" s="557"/>
      <c r="BA188" s="557"/>
      <c r="BB188" s="557"/>
      <c r="BC188" s="557"/>
      <c r="BD188" s="555"/>
      <c r="BE188" s="592"/>
      <c r="BF188" s="592"/>
      <c r="BG188" s="592"/>
      <c r="BH188" s="592"/>
      <c r="BI188" s="592"/>
      <c r="BJ188" s="592"/>
      <c r="BK188" s="592"/>
      <c r="BL188" s="592"/>
      <c r="BM188" s="592"/>
      <c r="BN188" s="592"/>
      <c r="BO188" s="592"/>
      <c r="BP188" s="592"/>
      <c r="BQ188" s="592"/>
      <c r="BR188" s="592"/>
      <c r="BS188" s="592"/>
      <c r="BT188" s="592"/>
    </row>
    <row r="189" spans="1:72" s="591" customFormat="1" ht="15">
      <c r="A189" s="539"/>
      <c r="B189" s="539"/>
      <c r="C189" s="539"/>
      <c r="D189" s="539"/>
      <c r="E189" s="539"/>
      <c r="F189" s="539"/>
      <c r="G189" s="539"/>
      <c r="H189" s="539"/>
      <c r="I189" s="539"/>
      <c r="J189" s="539"/>
      <c r="K189" s="539"/>
      <c r="L189" s="539"/>
      <c r="M189" s="539"/>
      <c r="N189" s="539"/>
      <c r="O189" s="539"/>
      <c r="P189" s="539"/>
      <c r="Q189" s="539"/>
      <c r="R189" s="539"/>
      <c r="S189" s="557"/>
      <c r="T189" s="557"/>
      <c r="U189" s="557"/>
      <c r="V189" s="557"/>
      <c r="W189" s="539"/>
      <c r="X189" s="539"/>
      <c r="Y189" s="557"/>
      <c r="Z189" s="557"/>
      <c r="AA189" s="539"/>
      <c r="AB189" s="539"/>
      <c r="AC189" s="539"/>
      <c r="AD189" s="557"/>
      <c r="AE189" s="557"/>
      <c r="AF189" s="557"/>
      <c r="AG189" s="557"/>
      <c r="AH189" s="557"/>
      <c r="AI189" s="557"/>
      <c r="AJ189" s="557"/>
      <c r="AK189" s="557"/>
      <c r="AL189" s="557"/>
      <c r="AM189" s="557"/>
      <c r="AN189" s="557"/>
      <c r="AO189" s="557"/>
      <c r="AP189" s="557"/>
      <c r="AQ189" s="557"/>
      <c r="AR189" s="557"/>
      <c r="AS189" s="557"/>
      <c r="AT189" s="557"/>
      <c r="AU189" s="557"/>
      <c r="AV189" s="557"/>
      <c r="AW189" s="557"/>
      <c r="AX189" s="557"/>
      <c r="AY189" s="557"/>
      <c r="AZ189" s="557"/>
      <c r="BA189" s="557"/>
      <c r="BB189" s="557"/>
      <c r="BC189" s="557"/>
      <c r="BD189" s="555"/>
      <c r="BE189" s="592"/>
      <c r="BF189" s="592"/>
      <c r="BG189" s="592"/>
      <c r="BH189" s="592"/>
      <c r="BI189" s="592"/>
      <c r="BJ189" s="592"/>
      <c r="BK189" s="592"/>
      <c r="BL189" s="592"/>
      <c r="BM189" s="592"/>
      <c r="BN189" s="592"/>
      <c r="BO189" s="592"/>
      <c r="BP189" s="592"/>
      <c r="BQ189" s="592"/>
      <c r="BR189" s="592"/>
      <c r="BS189" s="592"/>
      <c r="BT189" s="592"/>
    </row>
    <row r="190" spans="1:72" s="591" customFormat="1" ht="15">
      <c r="A190" s="539"/>
      <c r="B190" s="539"/>
      <c r="C190" s="539"/>
      <c r="D190" s="539"/>
      <c r="E190" s="539"/>
      <c r="F190" s="539"/>
      <c r="G190" s="539"/>
      <c r="H190" s="539"/>
      <c r="I190" s="539"/>
      <c r="J190" s="539"/>
      <c r="K190" s="539"/>
      <c r="L190" s="539"/>
      <c r="M190" s="539"/>
      <c r="N190" s="539"/>
      <c r="O190" s="539"/>
      <c r="P190" s="539"/>
      <c r="Q190" s="539"/>
      <c r="R190" s="539"/>
      <c r="S190" s="557"/>
      <c r="T190" s="557"/>
      <c r="U190" s="557"/>
      <c r="V190" s="557"/>
      <c r="W190" s="539"/>
      <c r="X190" s="539"/>
      <c r="Y190" s="557"/>
      <c r="Z190" s="557"/>
      <c r="AA190" s="539"/>
      <c r="AB190" s="539"/>
      <c r="AC190" s="539"/>
      <c r="AD190" s="557"/>
      <c r="AE190" s="557"/>
      <c r="AF190" s="557"/>
      <c r="AG190" s="557"/>
      <c r="AH190" s="557"/>
      <c r="AI190" s="557"/>
      <c r="AJ190" s="557"/>
      <c r="AK190" s="557"/>
      <c r="AL190" s="557"/>
      <c r="AM190" s="557"/>
      <c r="AN190" s="557"/>
      <c r="AO190" s="557"/>
      <c r="AP190" s="557"/>
      <c r="AQ190" s="557"/>
      <c r="AR190" s="557"/>
      <c r="AS190" s="557"/>
      <c r="AT190" s="557"/>
      <c r="AU190" s="557"/>
      <c r="AV190" s="557"/>
      <c r="AW190" s="557"/>
      <c r="AX190" s="557"/>
      <c r="AY190" s="557"/>
      <c r="AZ190" s="557"/>
      <c r="BA190" s="557"/>
      <c r="BB190" s="557"/>
      <c r="BC190" s="557"/>
      <c r="BD190" s="555"/>
      <c r="BE190" s="592"/>
      <c r="BF190" s="592"/>
      <c r="BG190" s="592"/>
      <c r="BH190" s="592"/>
      <c r="BI190" s="592"/>
      <c r="BJ190" s="592"/>
      <c r="BK190" s="592"/>
      <c r="BL190" s="592"/>
      <c r="BM190" s="592"/>
      <c r="BN190" s="592"/>
      <c r="BO190" s="592"/>
      <c r="BP190" s="592"/>
      <c r="BQ190" s="592"/>
      <c r="BR190" s="592"/>
      <c r="BS190" s="592"/>
      <c r="BT190" s="592"/>
    </row>
    <row r="191" spans="1:72" s="591" customFormat="1" ht="15">
      <c r="A191" s="539"/>
      <c r="B191" s="539"/>
      <c r="C191" s="539"/>
      <c r="D191" s="539"/>
      <c r="E191" s="539"/>
      <c r="F191" s="539"/>
      <c r="G191" s="539"/>
      <c r="H191" s="539"/>
      <c r="I191" s="539"/>
      <c r="J191" s="539"/>
      <c r="K191" s="539"/>
      <c r="L191" s="539"/>
      <c r="M191" s="539"/>
      <c r="N191" s="539"/>
      <c r="O191" s="539"/>
      <c r="P191" s="539"/>
      <c r="Q191" s="539"/>
      <c r="R191" s="539"/>
      <c r="S191" s="557"/>
      <c r="T191" s="557"/>
      <c r="U191" s="557"/>
      <c r="V191" s="557"/>
      <c r="W191" s="539"/>
      <c r="X191" s="539"/>
      <c r="Y191" s="557"/>
      <c r="Z191" s="557"/>
      <c r="AA191" s="539"/>
      <c r="AB191" s="539"/>
      <c r="AC191" s="539"/>
      <c r="AD191" s="557"/>
      <c r="AE191" s="557"/>
      <c r="AF191" s="557"/>
      <c r="AG191" s="557"/>
      <c r="AH191" s="557"/>
      <c r="AI191" s="557"/>
      <c r="AJ191" s="557"/>
      <c r="AK191" s="557"/>
      <c r="AL191" s="557"/>
      <c r="AM191" s="557"/>
      <c r="AN191" s="557"/>
      <c r="AO191" s="557"/>
      <c r="AP191" s="557"/>
      <c r="AQ191" s="557"/>
      <c r="AR191" s="557"/>
      <c r="AS191" s="557"/>
      <c r="AT191" s="557"/>
      <c r="AU191" s="557"/>
      <c r="AV191" s="557"/>
      <c r="AW191" s="557"/>
      <c r="AX191" s="557"/>
      <c r="AY191" s="557"/>
      <c r="AZ191" s="557"/>
      <c r="BA191" s="557"/>
      <c r="BB191" s="557"/>
      <c r="BC191" s="557"/>
      <c r="BD191" s="555"/>
      <c r="BE191" s="592"/>
      <c r="BF191" s="592"/>
      <c r="BG191" s="592"/>
      <c r="BH191" s="592"/>
      <c r="BI191" s="592"/>
      <c r="BJ191" s="592"/>
      <c r="BK191" s="592"/>
      <c r="BL191" s="592"/>
      <c r="BM191" s="592"/>
      <c r="BN191" s="592"/>
      <c r="BO191" s="592"/>
      <c r="BP191" s="592"/>
      <c r="BQ191" s="592"/>
      <c r="BR191" s="592"/>
      <c r="BS191" s="592"/>
      <c r="BT191" s="592"/>
    </row>
    <row r="192" spans="1:72" s="591" customFormat="1" ht="15">
      <c r="A192" s="539"/>
      <c r="B192" s="539"/>
      <c r="C192" s="539"/>
      <c r="D192" s="539"/>
      <c r="E192" s="539"/>
      <c r="F192" s="539"/>
      <c r="G192" s="539"/>
      <c r="H192" s="539"/>
      <c r="I192" s="539"/>
      <c r="J192" s="539"/>
      <c r="K192" s="539"/>
      <c r="L192" s="539"/>
      <c r="M192" s="539"/>
      <c r="N192" s="539"/>
      <c r="O192" s="539"/>
      <c r="P192" s="539"/>
      <c r="Q192" s="539"/>
      <c r="R192" s="539"/>
      <c r="S192" s="557"/>
      <c r="T192" s="557"/>
      <c r="U192" s="557"/>
      <c r="V192" s="557"/>
      <c r="W192" s="539"/>
      <c r="X192" s="539"/>
      <c r="Y192" s="557"/>
      <c r="Z192" s="557"/>
      <c r="AA192" s="539"/>
      <c r="AB192" s="539"/>
      <c r="AC192" s="539"/>
      <c r="AD192" s="557"/>
      <c r="AE192" s="557"/>
      <c r="AF192" s="557"/>
      <c r="AG192" s="557"/>
      <c r="AH192" s="557"/>
      <c r="AI192" s="557"/>
      <c r="AJ192" s="557"/>
      <c r="AK192" s="557"/>
      <c r="AL192" s="557"/>
      <c r="AM192" s="557"/>
      <c r="AN192" s="557"/>
      <c r="AO192" s="557"/>
      <c r="AP192" s="557"/>
      <c r="AQ192" s="557"/>
      <c r="AR192" s="557"/>
      <c r="AS192" s="557"/>
      <c r="AT192" s="557"/>
      <c r="AU192" s="557"/>
      <c r="AV192" s="557"/>
      <c r="AW192" s="557"/>
      <c r="AX192" s="557"/>
      <c r="AY192" s="557"/>
      <c r="AZ192" s="557"/>
      <c r="BA192" s="557"/>
      <c r="BB192" s="557"/>
      <c r="BC192" s="557"/>
      <c r="BD192" s="555"/>
      <c r="BE192" s="592"/>
      <c r="BF192" s="592"/>
      <c r="BG192" s="592"/>
      <c r="BH192" s="592"/>
      <c r="BI192" s="592"/>
      <c r="BJ192" s="592"/>
      <c r="BK192" s="592"/>
      <c r="BL192" s="592"/>
      <c r="BM192" s="592"/>
      <c r="BN192" s="592"/>
      <c r="BO192" s="592"/>
      <c r="BP192" s="592"/>
      <c r="BQ192" s="592"/>
      <c r="BR192" s="592"/>
      <c r="BS192" s="592"/>
      <c r="BT192" s="592"/>
    </row>
    <row r="193" spans="1:72" s="591" customFormat="1" ht="15">
      <c r="A193" s="539"/>
      <c r="B193" s="539"/>
      <c r="C193" s="539"/>
      <c r="D193" s="539"/>
      <c r="E193" s="539"/>
      <c r="F193" s="539"/>
      <c r="G193" s="539"/>
      <c r="H193" s="539"/>
      <c r="I193" s="539"/>
      <c r="J193" s="539"/>
      <c r="K193" s="539"/>
      <c r="L193" s="539"/>
      <c r="M193" s="539"/>
      <c r="N193" s="539"/>
      <c r="O193" s="539"/>
      <c r="P193" s="539"/>
      <c r="Q193" s="539"/>
      <c r="R193" s="539"/>
      <c r="S193" s="557"/>
      <c r="T193" s="557"/>
      <c r="U193" s="557"/>
      <c r="V193" s="557"/>
      <c r="W193" s="539"/>
      <c r="X193" s="539"/>
      <c r="Y193" s="557"/>
      <c r="Z193" s="557"/>
      <c r="AA193" s="539"/>
      <c r="AB193" s="539"/>
      <c r="AC193" s="539"/>
      <c r="AD193" s="557"/>
      <c r="AE193" s="557"/>
      <c r="AF193" s="557"/>
      <c r="AG193" s="557"/>
      <c r="AH193" s="557"/>
      <c r="AI193" s="557"/>
      <c r="AJ193" s="557"/>
      <c r="AK193" s="557"/>
      <c r="AL193" s="557"/>
      <c r="AM193" s="557"/>
      <c r="AN193" s="557"/>
      <c r="AO193" s="557"/>
      <c r="AP193" s="557"/>
      <c r="AQ193" s="557"/>
      <c r="AR193" s="557"/>
      <c r="AS193" s="557"/>
      <c r="AT193" s="557"/>
      <c r="AU193" s="557"/>
      <c r="AV193" s="557"/>
      <c r="AW193" s="557"/>
      <c r="AX193" s="557"/>
      <c r="AY193" s="557"/>
      <c r="AZ193" s="557"/>
      <c r="BA193" s="557"/>
      <c r="BB193" s="557"/>
      <c r="BC193" s="557"/>
      <c r="BD193" s="555"/>
      <c r="BE193" s="592"/>
      <c r="BF193" s="592"/>
      <c r="BG193" s="592"/>
      <c r="BH193" s="592"/>
      <c r="BI193" s="592"/>
      <c r="BJ193" s="592"/>
      <c r="BK193" s="592"/>
      <c r="BL193" s="592"/>
      <c r="BM193" s="592"/>
      <c r="BN193" s="592"/>
      <c r="BO193" s="592"/>
      <c r="BP193" s="592"/>
      <c r="BQ193" s="592"/>
      <c r="BR193" s="592"/>
      <c r="BS193" s="592"/>
      <c r="BT193" s="592"/>
    </row>
    <row r="194" spans="1:72" s="591" customFormat="1" ht="15">
      <c r="A194" s="539"/>
      <c r="B194" s="539"/>
      <c r="C194" s="539"/>
      <c r="D194" s="539"/>
      <c r="E194" s="539"/>
      <c r="F194" s="539"/>
      <c r="G194" s="539"/>
      <c r="H194" s="539"/>
      <c r="I194" s="539"/>
      <c r="J194" s="539"/>
      <c r="K194" s="539"/>
      <c r="L194" s="539"/>
      <c r="M194" s="539"/>
      <c r="N194" s="539"/>
      <c r="O194" s="539"/>
      <c r="P194" s="539"/>
      <c r="Q194" s="539"/>
      <c r="R194" s="539"/>
      <c r="S194" s="557"/>
      <c r="T194" s="557"/>
      <c r="U194" s="557"/>
      <c r="V194" s="557"/>
      <c r="W194" s="539"/>
      <c r="X194" s="539"/>
      <c r="Y194" s="557"/>
      <c r="Z194" s="557"/>
      <c r="AA194" s="539"/>
      <c r="AB194" s="539"/>
      <c r="AC194" s="539"/>
      <c r="AD194" s="557"/>
      <c r="AE194" s="557"/>
      <c r="AF194" s="557"/>
      <c r="AG194" s="557"/>
      <c r="AH194" s="557"/>
      <c r="AI194" s="557"/>
      <c r="AJ194" s="557"/>
      <c r="AK194" s="557"/>
      <c r="AL194" s="557"/>
      <c r="AM194" s="557"/>
      <c r="AN194" s="557"/>
      <c r="AO194" s="557"/>
      <c r="AP194" s="557"/>
      <c r="AQ194" s="557"/>
      <c r="AR194" s="557"/>
      <c r="AS194" s="557"/>
      <c r="AT194" s="557"/>
      <c r="AU194" s="557"/>
      <c r="AV194" s="557"/>
      <c r="AW194" s="557"/>
      <c r="AX194" s="557"/>
      <c r="AY194" s="557"/>
      <c r="AZ194" s="557"/>
      <c r="BA194" s="557"/>
      <c r="BB194" s="557"/>
      <c r="BC194" s="557"/>
      <c r="BD194" s="555"/>
      <c r="BE194" s="592"/>
      <c r="BF194" s="592"/>
      <c r="BG194" s="592"/>
      <c r="BH194" s="592"/>
      <c r="BI194" s="592"/>
      <c r="BJ194" s="592"/>
      <c r="BK194" s="592"/>
      <c r="BL194" s="592"/>
      <c r="BM194" s="592"/>
      <c r="BN194" s="592"/>
      <c r="BO194" s="592"/>
      <c r="BP194" s="592"/>
      <c r="BQ194" s="592"/>
      <c r="BR194" s="592"/>
      <c r="BS194" s="592"/>
      <c r="BT194" s="592"/>
    </row>
    <row r="195" spans="1:72" s="591" customFormat="1" ht="15">
      <c r="A195" s="539"/>
      <c r="B195" s="539"/>
      <c r="C195" s="539"/>
      <c r="D195" s="539"/>
      <c r="E195" s="539"/>
      <c r="F195" s="539"/>
      <c r="G195" s="539"/>
      <c r="H195" s="539"/>
      <c r="I195" s="539"/>
      <c r="J195" s="539"/>
      <c r="K195" s="539"/>
      <c r="L195" s="539"/>
      <c r="M195" s="539"/>
      <c r="N195" s="539"/>
      <c r="O195" s="539"/>
      <c r="P195" s="539"/>
      <c r="Q195" s="539"/>
      <c r="R195" s="539"/>
      <c r="S195" s="557"/>
      <c r="T195" s="557"/>
      <c r="U195" s="557"/>
      <c r="V195" s="557"/>
      <c r="W195" s="539"/>
      <c r="X195" s="539"/>
      <c r="Y195" s="557"/>
      <c r="Z195" s="557"/>
      <c r="AA195" s="539"/>
      <c r="AB195" s="539"/>
      <c r="AC195" s="539"/>
      <c r="AD195" s="557"/>
      <c r="AE195" s="557"/>
      <c r="AF195" s="557"/>
      <c r="AG195" s="557"/>
      <c r="AH195" s="557"/>
      <c r="AI195" s="557"/>
      <c r="AJ195" s="557"/>
      <c r="AK195" s="557"/>
      <c r="AL195" s="557"/>
      <c r="AM195" s="557"/>
      <c r="AN195" s="557"/>
      <c r="AO195" s="557"/>
      <c r="AP195" s="557"/>
      <c r="AQ195" s="557"/>
      <c r="AR195" s="557"/>
      <c r="AS195" s="557"/>
      <c r="AT195" s="557"/>
      <c r="AU195" s="557"/>
      <c r="AV195" s="557"/>
      <c r="AW195" s="557"/>
      <c r="AX195" s="557"/>
      <c r="AY195" s="557"/>
      <c r="AZ195" s="557"/>
      <c r="BA195" s="557"/>
      <c r="BB195" s="557"/>
      <c r="BC195" s="557"/>
      <c r="BD195" s="555"/>
      <c r="BE195" s="592"/>
      <c r="BF195" s="592"/>
      <c r="BG195" s="592"/>
      <c r="BH195" s="592"/>
      <c r="BI195" s="592"/>
      <c r="BJ195" s="592"/>
      <c r="BK195" s="592"/>
      <c r="BL195" s="592"/>
      <c r="BM195" s="592"/>
      <c r="BN195" s="592"/>
      <c r="BO195" s="592"/>
      <c r="BP195" s="592"/>
      <c r="BQ195" s="592"/>
      <c r="BR195" s="592"/>
      <c r="BS195" s="592"/>
      <c r="BT195" s="592"/>
    </row>
    <row r="196" spans="1:72" s="591" customFormat="1" ht="15">
      <c r="A196" s="539"/>
      <c r="B196" s="539"/>
      <c r="C196" s="539"/>
      <c r="D196" s="539"/>
      <c r="E196" s="539"/>
      <c r="F196" s="539"/>
      <c r="G196" s="539"/>
      <c r="H196" s="539"/>
      <c r="I196" s="539"/>
      <c r="J196" s="539"/>
      <c r="K196" s="539"/>
      <c r="L196" s="539"/>
      <c r="M196" s="539"/>
      <c r="N196" s="539"/>
      <c r="O196" s="539"/>
      <c r="P196" s="539"/>
      <c r="Q196" s="539"/>
      <c r="R196" s="539"/>
      <c r="S196" s="557"/>
      <c r="T196" s="557"/>
      <c r="U196" s="557"/>
      <c r="V196" s="557"/>
      <c r="W196" s="539"/>
      <c r="X196" s="539"/>
      <c r="Y196" s="557"/>
      <c r="Z196" s="557"/>
      <c r="AA196" s="539"/>
      <c r="AB196" s="539"/>
      <c r="AC196" s="539"/>
      <c r="AD196" s="557"/>
      <c r="AE196" s="557"/>
      <c r="AF196" s="557"/>
      <c r="AG196" s="557"/>
      <c r="AH196" s="557"/>
      <c r="AI196" s="557"/>
      <c r="AJ196" s="557"/>
      <c r="AK196" s="557"/>
      <c r="AL196" s="557"/>
      <c r="AM196" s="557"/>
      <c r="AN196" s="557"/>
      <c r="AO196" s="557"/>
      <c r="AP196" s="557"/>
      <c r="AQ196" s="557"/>
      <c r="AR196" s="557"/>
      <c r="AS196" s="557"/>
      <c r="AT196" s="557"/>
      <c r="AU196" s="557"/>
      <c r="AV196" s="557"/>
      <c r="AW196" s="557"/>
      <c r="AX196" s="557"/>
      <c r="AY196" s="557"/>
      <c r="AZ196" s="557"/>
      <c r="BA196" s="557"/>
      <c r="BB196" s="557"/>
      <c r="BC196" s="557"/>
      <c r="BD196" s="555"/>
      <c r="BE196" s="592"/>
      <c r="BF196" s="592"/>
      <c r="BG196" s="592"/>
      <c r="BH196" s="592"/>
      <c r="BI196" s="592"/>
      <c r="BJ196" s="592"/>
      <c r="BK196" s="592"/>
      <c r="BL196" s="592"/>
      <c r="BM196" s="592"/>
      <c r="BN196" s="592"/>
      <c r="BO196" s="592"/>
      <c r="BP196" s="592"/>
      <c r="BQ196" s="592"/>
      <c r="BR196" s="592"/>
      <c r="BS196" s="592"/>
      <c r="BT196" s="592"/>
    </row>
    <row r="197" spans="1:72" s="591" customFormat="1" ht="15">
      <c r="A197" s="539"/>
      <c r="B197" s="539"/>
      <c r="C197" s="539"/>
      <c r="D197" s="539"/>
      <c r="E197" s="539"/>
      <c r="F197" s="539"/>
      <c r="G197" s="539"/>
      <c r="H197" s="539"/>
      <c r="I197" s="539"/>
      <c r="J197" s="539"/>
      <c r="K197" s="539"/>
      <c r="L197" s="539"/>
      <c r="M197" s="539"/>
      <c r="N197" s="539"/>
      <c r="O197" s="539"/>
      <c r="P197" s="539"/>
      <c r="Q197" s="539"/>
      <c r="R197" s="539"/>
      <c r="S197" s="557"/>
      <c r="T197" s="557"/>
      <c r="U197" s="557"/>
      <c r="V197" s="557"/>
      <c r="W197" s="539"/>
      <c r="X197" s="539"/>
      <c r="Y197" s="557"/>
      <c r="Z197" s="557"/>
      <c r="AA197" s="539"/>
      <c r="AB197" s="539"/>
      <c r="AC197" s="539"/>
      <c r="AD197" s="557"/>
      <c r="AE197" s="557"/>
      <c r="AF197" s="557"/>
      <c r="AG197" s="557"/>
      <c r="AH197" s="557"/>
      <c r="AI197" s="557"/>
      <c r="AJ197" s="557"/>
      <c r="AK197" s="557"/>
      <c r="AL197" s="557"/>
      <c r="AM197" s="557"/>
      <c r="AN197" s="557"/>
      <c r="AO197" s="557"/>
      <c r="AP197" s="557"/>
      <c r="AQ197" s="557"/>
      <c r="AR197" s="557"/>
      <c r="AS197" s="557"/>
      <c r="AT197" s="557"/>
      <c r="AU197" s="557"/>
      <c r="AV197" s="557"/>
      <c r="AW197" s="557"/>
      <c r="AX197" s="557"/>
      <c r="AY197" s="557"/>
      <c r="AZ197" s="557"/>
      <c r="BA197" s="557"/>
      <c r="BB197" s="557"/>
      <c r="BC197" s="557"/>
      <c r="BD197" s="555"/>
      <c r="BE197" s="592"/>
      <c r="BF197" s="592"/>
      <c r="BG197" s="592"/>
      <c r="BH197" s="592"/>
      <c r="BI197" s="592"/>
      <c r="BJ197" s="592"/>
      <c r="BK197" s="592"/>
      <c r="BL197" s="592"/>
      <c r="BM197" s="592"/>
      <c r="BN197" s="592"/>
      <c r="BO197" s="592"/>
      <c r="BP197" s="592"/>
      <c r="BQ197" s="592"/>
      <c r="BR197" s="592"/>
      <c r="BS197" s="592"/>
      <c r="BT197" s="592"/>
    </row>
    <row r="198" spans="1:72" s="591" customFormat="1" ht="15">
      <c r="A198" s="539"/>
      <c r="B198" s="539"/>
      <c r="C198" s="539"/>
      <c r="D198" s="539"/>
      <c r="E198" s="539"/>
      <c r="F198" s="539"/>
      <c r="G198" s="539"/>
      <c r="H198" s="539"/>
      <c r="I198" s="539"/>
      <c r="J198" s="539"/>
      <c r="K198" s="539"/>
      <c r="L198" s="539"/>
      <c r="M198" s="539"/>
      <c r="N198" s="539"/>
      <c r="O198" s="539"/>
      <c r="P198" s="539"/>
      <c r="Q198" s="539"/>
      <c r="R198" s="539"/>
      <c r="S198" s="557"/>
      <c r="T198" s="557"/>
      <c r="U198" s="557"/>
      <c r="V198" s="557"/>
      <c r="W198" s="539"/>
      <c r="X198" s="539"/>
      <c r="Y198" s="557"/>
      <c r="Z198" s="557"/>
      <c r="AA198" s="539"/>
      <c r="AB198" s="539"/>
      <c r="AC198" s="539"/>
      <c r="AD198" s="557"/>
      <c r="AE198" s="557"/>
      <c r="AF198" s="557"/>
      <c r="AG198" s="557"/>
      <c r="AH198" s="557"/>
      <c r="AI198" s="557"/>
      <c r="AJ198" s="557"/>
      <c r="AK198" s="557"/>
      <c r="AL198" s="557"/>
      <c r="AM198" s="557"/>
      <c r="AN198" s="557"/>
      <c r="AO198" s="557"/>
      <c r="AP198" s="557"/>
      <c r="AQ198" s="557"/>
      <c r="AR198" s="557"/>
      <c r="AS198" s="557"/>
      <c r="AT198" s="557"/>
      <c r="AU198" s="557"/>
      <c r="AV198" s="557"/>
      <c r="AW198" s="557"/>
      <c r="AX198" s="557"/>
      <c r="AY198" s="557"/>
      <c r="AZ198" s="557"/>
      <c r="BA198" s="557"/>
      <c r="BB198" s="557"/>
      <c r="BC198" s="557"/>
      <c r="BD198" s="555"/>
      <c r="BE198" s="592"/>
      <c r="BF198" s="592"/>
      <c r="BG198" s="592"/>
      <c r="BH198" s="592"/>
      <c r="BI198" s="592"/>
      <c r="BJ198" s="592"/>
      <c r="BK198" s="592"/>
      <c r="BL198" s="592"/>
      <c r="BM198" s="592"/>
      <c r="BN198" s="592"/>
      <c r="BO198" s="592"/>
      <c r="BP198" s="592"/>
      <c r="BQ198" s="592"/>
      <c r="BR198" s="592"/>
      <c r="BS198" s="592"/>
      <c r="BT198" s="592"/>
    </row>
    <row r="199" spans="1:72" s="591" customFormat="1" ht="15">
      <c r="A199" s="539"/>
      <c r="B199" s="539"/>
      <c r="C199" s="539"/>
      <c r="D199" s="539"/>
      <c r="E199" s="539"/>
      <c r="F199" s="539"/>
      <c r="G199" s="539"/>
      <c r="H199" s="539"/>
      <c r="I199" s="539"/>
      <c r="J199" s="539"/>
      <c r="K199" s="539"/>
      <c r="L199" s="539"/>
      <c r="M199" s="539"/>
      <c r="N199" s="539"/>
      <c r="O199" s="539"/>
      <c r="P199" s="539"/>
      <c r="Q199" s="539"/>
      <c r="R199" s="539"/>
      <c r="S199" s="557"/>
      <c r="T199" s="557"/>
      <c r="U199" s="557"/>
      <c r="V199" s="557"/>
      <c r="W199" s="539"/>
      <c r="X199" s="539"/>
      <c r="Y199" s="557"/>
      <c r="Z199" s="557"/>
      <c r="AA199" s="539"/>
      <c r="AB199" s="539"/>
      <c r="AC199" s="539"/>
      <c r="AD199" s="557"/>
      <c r="AE199" s="557"/>
      <c r="AF199" s="557"/>
      <c r="AG199" s="557"/>
      <c r="AH199" s="557"/>
      <c r="AI199" s="557"/>
      <c r="AJ199" s="557"/>
      <c r="AK199" s="557"/>
      <c r="AL199" s="557"/>
      <c r="AM199" s="557"/>
      <c r="AN199" s="557"/>
      <c r="AO199" s="557"/>
      <c r="AP199" s="557"/>
      <c r="AQ199" s="557"/>
      <c r="AR199" s="557"/>
      <c r="AS199" s="557"/>
      <c r="AT199" s="557"/>
      <c r="AU199" s="557"/>
      <c r="AV199" s="557"/>
      <c r="AW199" s="557"/>
      <c r="AX199" s="557"/>
      <c r="AY199" s="557"/>
      <c r="AZ199" s="557"/>
      <c r="BA199" s="557"/>
      <c r="BB199" s="557"/>
      <c r="BC199" s="557"/>
      <c r="BD199" s="555"/>
      <c r="BE199" s="592"/>
      <c r="BF199" s="592"/>
      <c r="BG199" s="592"/>
      <c r="BH199" s="592"/>
      <c r="BI199" s="592"/>
      <c r="BJ199" s="592"/>
      <c r="BK199" s="592"/>
      <c r="BL199" s="592"/>
      <c r="BM199" s="592"/>
      <c r="BN199" s="592"/>
      <c r="BO199" s="592"/>
      <c r="BP199" s="592"/>
      <c r="BQ199" s="592"/>
      <c r="BR199" s="592"/>
      <c r="BS199" s="592"/>
      <c r="BT199" s="592"/>
    </row>
    <row r="200" spans="1:72" s="591" customFormat="1" ht="15">
      <c r="A200" s="539"/>
      <c r="B200" s="539"/>
      <c r="C200" s="539"/>
      <c r="D200" s="539"/>
      <c r="E200" s="539"/>
      <c r="F200" s="539"/>
      <c r="G200" s="539"/>
      <c r="H200" s="539"/>
      <c r="I200" s="539"/>
      <c r="J200" s="539"/>
      <c r="K200" s="539"/>
      <c r="L200" s="539"/>
      <c r="M200" s="539"/>
      <c r="N200" s="539"/>
      <c r="O200" s="539"/>
      <c r="P200" s="539"/>
      <c r="Q200" s="539"/>
      <c r="R200" s="539"/>
      <c r="S200" s="557"/>
      <c r="T200" s="557"/>
      <c r="U200" s="557"/>
      <c r="V200" s="557"/>
      <c r="W200" s="539"/>
      <c r="X200" s="539"/>
      <c r="Y200" s="557"/>
      <c r="Z200" s="557"/>
      <c r="AA200" s="539"/>
      <c r="AB200" s="539"/>
      <c r="AC200" s="539"/>
      <c r="AD200" s="557"/>
      <c r="AE200" s="557"/>
      <c r="AF200" s="557"/>
      <c r="AG200" s="557"/>
      <c r="AH200" s="557"/>
      <c r="AI200" s="557"/>
      <c r="AJ200" s="557"/>
      <c r="AK200" s="557"/>
      <c r="AL200" s="557"/>
      <c r="AM200" s="557"/>
      <c r="AN200" s="557"/>
      <c r="AO200" s="557"/>
      <c r="AP200" s="557"/>
      <c r="AQ200" s="557"/>
      <c r="AR200" s="557"/>
      <c r="AS200" s="557"/>
      <c r="AT200" s="557"/>
      <c r="AU200" s="557"/>
      <c r="AV200" s="557"/>
      <c r="AW200" s="557"/>
      <c r="AX200" s="557"/>
      <c r="AY200" s="557"/>
      <c r="AZ200" s="557"/>
      <c r="BA200" s="557"/>
      <c r="BB200" s="557"/>
      <c r="BC200" s="557"/>
      <c r="BD200" s="555"/>
      <c r="BE200" s="592"/>
      <c r="BF200" s="592"/>
      <c r="BG200" s="592"/>
      <c r="BH200" s="592"/>
      <c r="BI200" s="592"/>
      <c r="BJ200" s="592"/>
      <c r="BK200" s="592"/>
      <c r="BL200" s="592"/>
      <c r="BM200" s="592"/>
      <c r="BN200" s="592"/>
      <c r="BO200" s="592"/>
      <c r="BP200" s="592"/>
      <c r="BQ200" s="592"/>
      <c r="BR200" s="592"/>
      <c r="BS200" s="592"/>
      <c r="BT200" s="592"/>
    </row>
    <row r="201" spans="1:72" s="591" customFormat="1" ht="15">
      <c r="A201" s="539"/>
      <c r="B201" s="539"/>
      <c r="C201" s="539"/>
      <c r="D201" s="539"/>
      <c r="E201" s="539"/>
      <c r="F201" s="539"/>
      <c r="G201" s="539"/>
      <c r="H201" s="539"/>
      <c r="I201" s="539"/>
      <c r="J201" s="539"/>
      <c r="K201" s="539"/>
      <c r="L201" s="539"/>
      <c r="M201" s="539"/>
      <c r="N201" s="539"/>
      <c r="O201" s="539"/>
      <c r="P201" s="539"/>
      <c r="Q201" s="539"/>
      <c r="R201" s="539"/>
      <c r="S201" s="557"/>
      <c r="T201" s="557"/>
      <c r="U201" s="557"/>
      <c r="V201" s="557"/>
      <c r="W201" s="539"/>
      <c r="X201" s="539"/>
      <c r="Y201" s="557"/>
      <c r="Z201" s="557"/>
      <c r="AA201" s="539"/>
      <c r="AB201" s="539"/>
      <c r="AC201" s="539"/>
      <c r="AD201" s="557"/>
      <c r="AE201" s="557"/>
      <c r="AF201" s="557"/>
      <c r="AG201" s="557"/>
      <c r="AH201" s="557"/>
      <c r="AI201" s="557"/>
      <c r="AJ201" s="557"/>
      <c r="AK201" s="557"/>
      <c r="AL201" s="557"/>
      <c r="AM201" s="557"/>
      <c r="AN201" s="557"/>
      <c r="AO201" s="557"/>
      <c r="AP201" s="557"/>
      <c r="AQ201" s="557"/>
      <c r="AR201" s="557"/>
      <c r="AS201" s="557"/>
      <c r="AT201" s="557"/>
      <c r="AU201" s="557"/>
      <c r="AV201" s="557"/>
      <c r="AW201" s="557"/>
      <c r="AX201" s="557"/>
      <c r="AY201" s="557"/>
      <c r="AZ201" s="557"/>
      <c r="BA201" s="557"/>
      <c r="BB201" s="557"/>
      <c r="BC201" s="557"/>
      <c r="BD201" s="555"/>
      <c r="BE201" s="592"/>
      <c r="BF201" s="592"/>
      <c r="BG201" s="592"/>
      <c r="BH201" s="592"/>
      <c r="BI201" s="592"/>
      <c r="BJ201" s="592"/>
      <c r="BK201" s="592"/>
      <c r="BL201" s="592"/>
      <c r="BM201" s="592"/>
      <c r="BN201" s="592"/>
      <c r="BO201" s="592"/>
      <c r="BP201" s="592"/>
      <c r="BQ201" s="592"/>
      <c r="BR201" s="592"/>
      <c r="BS201" s="592"/>
      <c r="BT201" s="592"/>
    </row>
    <row r="202" spans="1:72" s="591" customFormat="1" ht="15">
      <c r="A202" s="539"/>
      <c r="B202" s="539"/>
      <c r="C202" s="539"/>
      <c r="D202" s="539"/>
      <c r="E202" s="539"/>
      <c r="F202" s="539"/>
      <c r="G202" s="539"/>
      <c r="H202" s="539"/>
      <c r="I202" s="539"/>
      <c r="J202" s="539"/>
      <c r="K202" s="539"/>
      <c r="L202" s="539"/>
      <c r="M202" s="539"/>
      <c r="N202" s="539"/>
      <c r="O202" s="539"/>
      <c r="P202" s="539"/>
      <c r="Q202" s="539"/>
      <c r="R202" s="539"/>
      <c r="S202" s="557"/>
      <c r="T202" s="557"/>
      <c r="U202" s="557"/>
      <c r="V202" s="557"/>
      <c r="W202" s="539"/>
      <c r="X202" s="539"/>
      <c r="Y202" s="557"/>
      <c r="Z202" s="557"/>
      <c r="AA202" s="539"/>
      <c r="AB202" s="539"/>
      <c r="AC202" s="539"/>
      <c r="AD202" s="557"/>
      <c r="AE202" s="557"/>
      <c r="AF202" s="557"/>
      <c r="AG202" s="557"/>
      <c r="AH202" s="557"/>
      <c r="AI202" s="557"/>
      <c r="AJ202" s="557"/>
      <c r="AK202" s="557"/>
      <c r="AL202" s="557"/>
      <c r="AM202" s="557"/>
      <c r="AN202" s="557"/>
      <c r="AO202" s="557"/>
      <c r="AP202" s="557"/>
      <c r="AQ202" s="557"/>
      <c r="AR202" s="557"/>
      <c r="AS202" s="557"/>
      <c r="AT202" s="557"/>
      <c r="AU202" s="557"/>
      <c r="AV202" s="557"/>
      <c r="AW202" s="557"/>
      <c r="AX202" s="557"/>
      <c r="AY202" s="557"/>
      <c r="AZ202" s="557"/>
      <c r="BA202" s="557"/>
      <c r="BB202" s="557"/>
      <c r="BC202" s="557"/>
      <c r="BD202" s="555"/>
      <c r="BE202" s="592"/>
      <c r="BF202" s="592"/>
      <c r="BG202" s="592"/>
      <c r="BH202" s="592"/>
      <c r="BI202" s="592"/>
      <c r="BJ202" s="592"/>
      <c r="BK202" s="592"/>
      <c r="BL202" s="592"/>
      <c r="BM202" s="592"/>
      <c r="BN202" s="592"/>
      <c r="BO202" s="592"/>
      <c r="BP202" s="592"/>
      <c r="BQ202" s="592"/>
      <c r="BR202" s="592"/>
      <c r="BS202" s="592"/>
      <c r="BT202" s="592"/>
    </row>
    <row r="203" spans="1:72" s="591" customFormat="1" ht="15">
      <c r="A203" s="539"/>
      <c r="B203" s="539"/>
      <c r="C203" s="539"/>
      <c r="D203" s="539"/>
      <c r="E203" s="539"/>
      <c r="F203" s="539"/>
      <c r="G203" s="539"/>
      <c r="H203" s="539"/>
      <c r="I203" s="539"/>
      <c r="J203" s="539"/>
      <c r="K203" s="539"/>
      <c r="L203" s="539"/>
      <c r="M203" s="539"/>
      <c r="N203" s="539"/>
      <c r="O203" s="539"/>
      <c r="P203" s="539"/>
      <c r="Q203" s="539"/>
      <c r="R203" s="539"/>
      <c r="S203" s="557"/>
      <c r="T203" s="557"/>
      <c r="U203" s="557"/>
      <c r="V203" s="557"/>
      <c r="W203" s="539"/>
      <c r="X203" s="539"/>
      <c r="Y203" s="557"/>
      <c r="Z203" s="557"/>
      <c r="AA203" s="539"/>
      <c r="AB203" s="539"/>
      <c r="AC203" s="539"/>
      <c r="AD203" s="557"/>
      <c r="AE203" s="557"/>
      <c r="AF203" s="557"/>
      <c r="AG203" s="557"/>
      <c r="AH203" s="557"/>
      <c r="AI203" s="557"/>
      <c r="AJ203" s="557"/>
      <c r="AK203" s="557"/>
      <c r="AL203" s="557"/>
      <c r="AM203" s="557"/>
      <c r="AN203" s="557"/>
      <c r="AO203" s="557"/>
      <c r="AP203" s="557"/>
      <c r="AQ203" s="557"/>
      <c r="AR203" s="557"/>
      <c r="AS203" s="557"/>
      <c r="AT203" s="557"/>
      <c r="AU203" s="557"/>
      <c r="AV203" s="557"/>
      <c r="AW203" s="557"/>
      <c r="AX203" s="557"/>
      <c r="AY203" s="557"/>
      <c r="AZ203" s="557"/>
      <c r="BA203" s="557"/>
      <c r="BB203" s="557"/>
      <c r="BC203" s="557"/>
      <c r="BD203" s="555"/>
      <c r="BE203" s="592"/>
      <c r="BF203" s="592"/>
      <c r="BG203" s="592"/>
      <c r="BH203" s="592"/>
      <c r="BI203" s="592"/>
      <c r="BJ203" s="592"/>
      <c r="BK203" s="592"/>
      <c r="BL203" s="592"/>
      <c r="BM203" s="592"/>
      <c r="BN203" s="592"/>
      <c r="BO203" s="592"/>
      <c r="BP203" s="592"/>
      <c r="BQ203" s="592"/>
      <c r="BR203" s="592"/>
      <c r="BS203" s="592"/>
      <c r="BT203" s="592"/>
    </row>
    <row r="204" spans="1:72" s="591" customFormat="1" ht="15">
      <c r="A204" s="539"/>
      <c r="B204" s="539"/>
      <c r="C204" s="539"/>
      <c r="D204" s="539"/>
      <c r="E204" s="539"/>
      <c r="F204" s="539"/>
      <c r="G204" s="539"/>
      <c r="H204" s="539"/>
      <c r="I204" s="539"/>
      <c r="J204" s="539"/>
      <c r="K204" s="539"/>
      <c r="L204" s="539"/>
      <c r="M204" s="539"/>
      <c r="N204" s="539"/>
      <c r="O204" s="539"/>
      <c r="P204" s="539"/>
      <c r="Q204" s="539"/>
      <c r="R204" s="539"/>
      <c r="S204" s="557"/>
      <c r="T204" s="557"/>
      <c r="U204" s="557"/>
      <c r="V204" s="557"/>
      <c r="W204" s="539"/>
      <c r="X204" s="539"/>
      <c r="Y204" s="557"/>
      <c r="Z204" s="557"/>
      <c r="AA204" s="539"/>
      <c r="AB204" s="539"/>
      <c r="AC204" s="539"/>
      <c r="AD204" s="557"/>
      <c r="AE204" s="557"/>
      <c r="AF204" s="557"/>
      <c r="AG204" s="557"/>
      <c r="AH204" s="557"/>
      <c r="AI204" s="557"/>
      <c r="AJ204" s="557"/>
      <c r="AK204" s="557"/>
      <c r="AL204" s="557"/>
      <c r="AM204" s="557"/>
      <c r="AN204" s="557"/>
      <c r="AO204" s="557"/>
      <c r="AP204" s="557"/>
      <c r="AQ204" s="557"/>
      <c r="AR204" s="557"/>
      <c r="AS204" s="557"/>
      <c r="AT204" s="557"/>
      <c r="AU204" s="557"/>
      <c r="AV204" s="557"/>
      <c r="AW204" s="557"/>
      <c r="AX204" s="557"/>
      <c r="AY204" s="557"/>
      <c r="AZ204" s="557"/>
      <c r="BA204" s="557"/>
      <c r="BB204" s="557"/>
      <c r="BC204" s="557"/>
      <c r="BD204" s="555"/>
      <c r="BE204" s="592"/>
      <c r="BF204" s="592"/>
      <c r="BG204" s="592"/>
      <c r="BH204" s="592"/>
      <c r="BI204" s="592"/>
      <c r="BJ204" s="592"/>
      <c r="BK204" s="592"/>
      <c r="BL204" s="592"/>
      <c r="BM204" s="592"/>
      <c r="BN204" s="592"/>
      <c r="BO204" s="592"/>
      <c r="BP204" s="592"/>
      <c r="BQ204" s="592"/>
      <c r="BR204" s="592"/>
      <c r="BS204" s="592"/>
      <c r="BT204" s="592"/>
    </row>
    <row r="205" spans="1:72" s="591" customFormat="1" ht="15">
      <c r="A205" s="539"/>
      <c r="B205" s="539"/>
      <c r="C205" s="539"/>
      <c r="D205" s="539"/>
      <c r="E205" s="539"/>
      <c r="F205" s="539"/>
      <c r="G205" s="539"/>
      <c r="H205" s="539"/>
      <c r="I205" s="539"/>
      <c r="J205" s="539"/>
      <c r="K205" s="539"/>
      <c r="L205" s="539"/>
      <c r="M205" s="539"/>
      <c r="N205" s="539"/>
      <c r="O205" s="539"/>
      <c r="P205" s="539"/>
      <c r="Q205" s="539"/>
      <c r="R205" s="539"/>
      <c r="S205" s="557"/>
      <c r="T205" s="557"/>
      <c r="U205" s="557"/>
      <c r="V205" s="557"/>
      <c r="W205" s="539"/>
      <c r="X205" s="539"/>
      <c r="Y205" s="557"/>
      <c r="Z205" s="557"/>
      <c r="AA205" s="539"/>
      <c r="AB205" s="539"/>
      <c r="AC205" s="539"/>
      <c r="AD205" s="557"/>
      <c r="AE205" s="557"/>
      <c r="AF205" s="557"/>
      <c r="AG205" s="557"/>
      <c r="AH205" s="557"/>
      <c r="AI205" s="557"/>
      <c r="AJ205" s="557"/>
      <c r="AK205" s="557"/>
      <c r="AL205" s="557"/>
      <c r="AM205" s="557"/>
      <c r="AN205" s="557"/>
      <c r="AO205" s="557"/>
      <c r="AP205" s="557"/>
      <c r="AQ205" s="557"/>
      <c r="AR205" s="557"/>
      <c r="AS205" s="557"/>
      <c r="AT205" s="557"/>
      <c r="AU205" s="557"/>
      <c r="AV205" s="557"/>
      <c r="AW205" s="557"/>
      <c r="AX205" s="557"/>
      <c r="AY205" s="557"/>
      <c r="AZ205" s="557"/>
      <c r="BA205" s="557"/>
      <c r="BB205" s="557"/>
      <c r="BC205" s="557"/>
      <c r="BD205" s="555"/>
      <c r="BE205" s="592"/>
      <c r="BF205" s="592"/>
      <c r="BG205" s="592"/>
      <c r="BH205" s="592"/>
      <c r="BI205" s="592"/>
      <c r="BJ205" s="592"/>
      <c r="BK205" s="592"/>
      <c r="BL205" s="592"/>
      <c r="BM205" s="592"/>
      <c r="BN205" s="592"/>
      <c r="BO205" s="592"/>
      <c r="BP205" s="592"/>
      <c r="BQ205" s="592"/>
      <c r="BR205" s="592"/>
      <c r="BS205" s="592"/>
      <c r="BT205" s="592"/>
    </row>
    <row r="206" spans="1:72" s="591" customFormat="1" ht="15">
      <c r="A206" s="539"/>
      <c r="B206" s="539"/>
      <c r="C206" s="539"/>
      <c r="D206" s="539"/>
      <c r="E206" s="539"/>
      <c r="F206" s="539"/>
      <c r="G206" s="539"/>
      <c r="H206" s="539"/>
      <c r="I206" s="539"/>
      <c r="J206" s="539"/>
      <c r="K206" s="539"/>
      <c r="L206" s="539"/>
      <c r="M206" s="539"/>
      <c r="N206" s="539"/>
      <c r="O206" s="539"/>
      <c r="P206" s="539"/>
      <c r="Q206" s="539"/>
      <c r="R206" s="539"/>
      <c r="S206" s="557"/>
      <c r="T206" s="557"/>
      <c r="U206" s="557"/>
      <c r="V206" s="557"/>
      <c r="W206" s="539"/>
      <c r="X206" s="539"/>
      <c r="Y206" s="557"/>
      <c r="Z206" s="557"/>
      <c r="AA206" s="539"/>
      <c r="AB206" s="539"/>
      <c r="AC206" s="539"/>
      <c r="AD206" s="557"/>
      <c r="AE206" s="557"/>
      <c r="AF206" s="557"/>
      <c r="AG206" s="557"/>
      <c r="AH206" s="557"/>
      <c r="AI206" s="557"/>
      <c r="AJ206" s="557"/>
      <c r="AK206" s="557"/>
      <c r="AL206" s="557"/>
      <c r="AM206" s="557"/>
      <c r="AN206" s="557"/>
      <c r="AO206" s="557"/>
      <c r="AP206" s="557"/>
      <c r="AQ206" s="557"/>
      <c r="AR206" s="557"/>
      <c r="AS206" s="557"/>
      <c r="AT206" s="557"/>
      <c r="AU206" s="557"/>
      <c r="AV206" s="557"/>
      <c r="AW206" s="557"/>
      <c r="AX206" s="557"/>
      <c r="AY206" s="557"/>
      <c r="AZ206" s="557"/>
      <c r="BA206" s="557"/>
      <c r="BB206" s="557"/>
      <c r="BC206" s="557"/>
      <c r="BD206" s="555"/>
      <c r="BE206" s="592"/>
      <c r="BF206" s="592"/>
      <c r="BG206" s="592"/>
      <c r="BH206" s="592"/>
      <c r="BI206" s="592"/>
      <c r="BJ206" s="592"/>
      <c r="BK206" s="592"/>
      <c r="BL206" s="592"/>
      <c r="BM206" s="592"/>
      <c r="BN206" s="592"/>
      <c r="BO206" s="592"/>
      <c r="BP206" s="592"/>
      <c r="BQ206" s="592"/>
      <c r="BR206" s="592"/>
      <c r="BS206" s="592"/>
      <c r="BT206" s="592"/>
    </row>
    <row r="207" spans="1:72" s="591" customFormat="1" ht="15">
      <c r="A207" s="539"/>
      <c r="B207" s="539"/>
      <c r="C207" s="539"/>
      <c r="D207" s="539"/>
      <c r="E207" s="539"/>
      <c r="F207" s="539"/>
      <c r="G207" s="539"/>
      <c r="H207" s="539"/>
      <c r="I207" s="539"/>
      <c r="J207" s="539"/>
      <c r="K207" s="539"/>
      <c r="L207" s="539"/>
      <c r="M207" s="539"/>
      <c r="N207" s="539"/>
      <c r="O207" s="539"/>
      <c r="P207" s="539"/>
      <c r="Q207" s="539"/>
      <c r="R207" s="539"/>
      <c r="S207" s="557"/>
      <c r="T207" s="557"/>
      <c r="U207" s="557"/>
      <c r="V207" s="557"/>
      <c r="W207" s="539"/>
      <c r="X207" s="539"/>
      <c r="Y207" s="557"/>
      <c r="Z207" s="557"/>
      <c r="AA207" s="539"/>
      <c r="AB207" s="539"/>
      <c r="AC207" s="539"/>
      <c r="AD207" s="557"/>
      <c r="AE207" s="557"/>
      <c r="AF207" s="557"/>
      <c r="AG207" s="557"/>
      <c r="AH207" s="557"/>
      <c r="AI207" s="557"/>
      <c r="AJ207" s="557"/>
      <c r="AK207" s="557"/>
      <c r="AL207" s="557"/>
      <c r="AM207" s="557"/>
      <c r="AN207" s="557"/>
      <c r="AO207" s="557"/>
      <c r="AP207" s="557"/>
      <c r="AQ207" s="557"/>
      <c r="AR207" s="557"/>
      <c r="AS207" s="557"/>
      <c r="AT207" s="557"/>
      <c r="AU207" s="557"/>
      <c r="AV207" s="557"/>
      <c r="AW207" s="557"/>
      <c r="AX207" s="557"/>
      <c r="AY207" s="557"/>
      <c r="AZ207" s="557"/>
      <c r="BA207" s="557"/>
      <c r="BB207" s="557"/>
      <c r="BC207" s="557"/>
      <c r="BD207" s="555"/>
      <c r="BE207" s="592"/>
      <c r="BF207" s="592"/>
      <c r="BG207" s="592"/>
      <c r="BH207" s="592"/>
      <c r="BI207" s="592"/>
      <c r="BJ207" s="592"/>
      <c r="BK207" s="592"/>
      <c r="BL207" s="592"/>
      <c r="BM207" s="592"/>
      <c r="BN207" s="592"/>
      <c r="BO207" s="592"/>
      <c r="BP207" s="592"/>
      <c r="BQ207" s="592"/>
      <c r="BR207" s="592"/>
      <c r="BS207" s="592"/>
      <c r="BT207" s="592"/>
    </row>
    <row r="208" spans="1:72" s="591" customFormat="1" ht="15">
      <c r="A208" s="539"/>
      <c r="B208" s="539"/>
      <c r="C208" s="539"/>
      <c r="D208" s="539"/>
      <c r="E208" s="539"/>
      <c r="F208" s="539"/>
      <c r="G208" s="539"/>
      <c r="H208" s="539"/>
      <c r="I208" s="539"/>
      <c r="J208" s="539"/>
      <c r="K208" s="539"/>
      <c r="L208" s="539"/>
      <c r="M208" s="539"/>
      <c r="N208" s="539"/>
      <c r="O208" s="539"/>
      <c r="P208" s="539"/>
      <c r="Q208" s="539"/>
      <c r="R208" s="539"/>
      <c r="S208" s="557"/>
      <c r="T208" s="557"/>
      <c r="U208" s="557"/>
      <c r="V208" s="557"/>
      <c r="W208" s="539"/>
      <c r="X208" s="539"/>
      <c r="Y208" s="557"/>
      <c r="Z208" s="557"/>
      <c r="AA208" s="539"/>
      <c r="AB208" s="539"/>
      <c r="AC208" s="539"/>
      <c r="AD208" s="557"/>
      <c r="AE208" s="557"/>
      <c r="AF208" s="557"/>
      <c r="AG208" s="557"/>
      <c r="AH208" s="557"/>
      <c r="AI208" s="557"/>
      <c r="AJ208" s="557"/>
      <c r="AK208" s="557"/>
      <c r="AL208" s="557"/>
      <c r="AM208" s="557"/>
      <c r="AN208" s="557"/>
      <c r="AO208" s="557"/>
      <c r="AP208" s="557"/>
      <c r="AQ208" s="557"/>
      <c r="AR208" s="557"/>
      <c r="AS208" s="557"/>
      <c r="AT208" s="557"/>
      <c r="AU208" s="557"/>
      <c r="AV208" s="557"/>
      <c r="AW208" s="557"/>
      <c r="AX208" s="557"/>
      <c r="AY208" s="557"/>
      <c r="AZ208" s="557"/>
      <c r="BA208" s="557"/>
      <c r="BB208" s="557"/>
      <c r="BC208" s="557"/>
      <c r="BD208" s="555"/>
      <c r="BE208" s="592"/>
      <c r="BF208" s="592"/>
      <c r="BG208" s="592"/>
      <c r="BH208" s="592"/>
      <c r="BI208" s="592"/>
      <c r="BJ208" s="592"/>
      <c r="BK208" s="592"/>
      <c r="BL208" s="592"/>
      <c r="BM208" s="592"/>
      <c r="BN208" s="592"/>
      <c r="BO208" s="592"/>
      <c r="BP208" s="592"/>
      <c r="BQ208" s="592"/>
      <c r="BR208" s="592"/>
      <c r="BS208" s="592"/>
      <c r="BT208" s="592"/>
    </row>
    <row r="209" spans="1:72" s="591" customFormat="1" ht="15">
      <c r="A209" s="539"/>
      <c r="B209" s="539"/>
      <c r="C209" s="539"/>
      <c r="D209" s="539"/>
      <c r="E209" s="539"/>
      <c r="F209" s="539"/>
      <c r="G209" s="539"/>
      <c r="H209" s="539"/>
      <c r="I209" s="539"/>
      <c r="J209" s="539"/>
      <c r="K209" s="539"/>
      <c r="L209" s="539"/>
      <c r="M209" s="539"/>
      <c r="N209" s="539"/>
      <c r="O209" s="539"/>
      <c r="P209" s="539"/>
      <c r="Q209" s="539"/>
      <c r="R209" s="539"/>
      <c r="S209" s="557"/>
      <c r="T209" s="557"/>
      <c r="U209" s="557"/>
      <c r="V209" s="557"/>
      <c r="W209" s="539"/>
      <c r="X209" s="539"/>
      <c r="Y209" s="557"/>
      <c r="Z209" s="557"/>
      <c r="AA209" s="539"/>
      <c r="AB209" s="539"/>
      <c r="AC209" s="539"/>
      <c r="AD209" s="557"/>
      <c r="AE209" s="557"/>
      <c r="AF209" s="557"/>
      <c r="AG209" s="557"/>
      <c r="AH209" s="557"/>
      <c r="AI209" s="557"/>
      <c r="AJ209" s="557"/>
      <c r="AK209" s="557"/>
      <c r="AL209" s="557"/>
      <c r="AM209" s="557"/>
      <c r="AN209" s="557"/>
      <c r="AO209" s="557"/>
      <c r="AP209" s="557"/>
      <c r="AQ209" s="557"/>
      <c r="AR209" s="557"/>
      <c r="AS209" s="557"/>
      <c r="AT209" s="557"/>
      <c r="AU209" s="557"/>
      <c r="AV209" s="557"/>
      <c r="AW209" s="557"/>
      <c r="AX209" s="557"/>
      <c r="AY209" s="557"/>
      <c r="AZ209" s="557"/>
      <c r="BA209" s="557"/>
      <c r="BB209" s="557"/>
      <c r="BC209" s="557"/>
      <c r="BD209" s="555"/>
      <c r="BE209" s="592"/>
      <c r="BF209" s="592"/>
      <c r="BG209" s="592"/>
      <c r="BH209" s="592"/>
      <c r="BI209" s="592"/>
      <c r="BJ209" s="592"/>
      <c r="BK209" s="592"/>
      <c r="BL209" s="592"/>
      <c r="BM209" s="592"/>
      <c r="BN209" s="592"/>
      <c r="BO209" s="592"/>
      <c r="BP209" s="592"/>
      <c r="BQ209" s="592"/>
      <c r="BR209" s="592"/>
      <c r="BS209" s="592"/>
      <c r="BT209" s="592"/>
    </row>
    <row r="210" spans="1:72" s="591" customFormat="1" ht="15">
      <c r="A210" s="539"/>
      <c r="B210" s="539"/>
      <c r="C210" s="539"/>
      <c r="D210" s="539"/>
      <c r="E210" s="539"/>
      <c r="F210" s="539"/>
      <c r="G210" s="539"/>
      <c r="H210" s="539"/>
      <c r="I210" s="539"/>
      <c r="J210" s="539"/>
      <c r="K210" s="539"/>
      <c r="L210" s="539"/>
      <c r="M210" s="539"/>
      <c r="N210" s="539"/>
      <c r="O210" s="539"/>
      <c r="P210" s="539"/>
      <c r="Q210" s="539"/>
      <c r="R210" s="539"/>
      <c r="S210" s="557"/>
      <c r="T210" s="557"/>
      <c r="U210" s="557"/>
      <c r="V210" s="557"/>
      <c r="W210" s="539"/>
      <c r="X210" s="539"/>
      <c r="Y210" s="557"/>
      <c r="Z210" s="557"/>
      <c r="AA210" s="539"/>
      <c r="AB210" s="539"/>
      <c r="AC210" s="539"/>
      <c r="AD210" s="557"/>
      <c r="AE210" s="557"/>
      <c r="AF210" s="557"/>
      <c r="AG210" s="557"/>
      <c r="AH210" s="557"/>
      <c r="AI210" s="557"/>
      <c r="AJ210" s="557"/>
      <c r="AK210" s="557"/>
      <c r="AL210" s="557"/>
      <c r="AM210" s="557"/>
      <c r="AN210" s="557"/>
      <c r="AO210" s="557"/>
      <c r="AP210" s="557"/>
      <c r="AQ210" s="557"/>
      <c r="AR210" s="557"/>
      <c r="AS210" s="557"/>
      <c r="AT210" s="557"/>
      <c r="AU210" s="557"/>
      <c r="AV210" s="557"/>
      <c r="AW210" s="557"/>
      <c r="AX210" s="557"/>
      <c r="AY210" s="557"/>
      <c r="AZ210" s="557"/>
      <c r="BA210" s="557"/>
      <c r="BB210" s="557"/>
      <c r="BC210" s="557"/>
      <c r="BD210" s="555"/>
      <c r="BE210" s="592"/>
      <c r="BF210" s="592"/>
      <c r="BG210" s="592"/>
      <c r="BH210" s="592"/>
      <c r="BI210" s="592"/>
      <c r="BJ210" s="592"/>
      <c r="BK210" s="592"/>
      <c r="BL210" s="592"/>
      <c r="BM210" s="592"/>
      <c r="BN210" s="592"/>
      <c r="BO210" s="592"/>
      <c r="BP210" s="592"/>
      <c r="BQ210" s="592"/>
      <c r="BR210" s="592"/>
      <c r="BS210" s="592"/>
      <c r="BT210" s="592"/>
    </row>
    <row r="211" spans="1:72" s="591" customFormat="1" ht="15">
      <c r="A211" s="539"/>
      <c r="B211" s="539"/>
      <c r="C211" s="539"/>
      <c r="D211" s="539"/>
      <c r="E211" s="539"/>
      <c r="F211" s="539"/>
      <c r="G211" s="539"/>
      <c r="H211" s="539"/>
      <c r="I211" s="539"/>
      <c r="J211" s="539"/>
      <c r="K211" s="539"/>
      <c r="L211" s="539"/>
      <c r="M211" s="539"/>
      <c r="N211" s="539"/>
      <c r="O211" s="539"/>
      <c r="P211" s="539"/>
      <c r="Q211" s="539"/>
      <c r="R211" s="539"/>
      <c r="S211" s="557"/>
      <c r="T211" s="557"/>
      <c r="U211" s="557"/>
      <c r="V211" s="557"/>
      <c r="W211" s="539"/>
      <c r="X211" s="539"/>
      <c r="Y211" s="557"/>
      <c r="Z211" s="557"/>
      <c r="AA211" s="539"/>
      <c r="AB211" s="539"/>
      <c r="AC211" s="539"/>
      <c r="AD211" s="557"/>
      <c r="AE211" s="557"/>
      <c r="AF211" s="557"/>
      <c r="AG211" s="557"/>
      <c r="AH211" s="557"/>
      <c r="AI211" s="557"/>
      <c r="AJ211" s="557"/>
      <c r="AK211" s="557"/>
      <c r="AL211" s="557"/>
      <c r="AM211" s="557"/>
      <c r="AN211" s="557"/>
      <c r="AO211" s="557"/>
      <c r="AP211" s="557"/>
      <c r="AQ211" s="557"/>
      <c r="AR211" s="557"/>
      <c r="AS211" s="557"/>
      <c r="AT211" s="557"/>
      <c r="AU211" s="557"/>
      <c r="AV211" s="557"/>
      <c r="AW211" s="557"/>
      <c r="AX211" s="557"/>
      <c r="AY211" s="557"/>
      <c r="AZ211" s="557"/>
      <c r="BA211" s="557"/>
      <c r="BB211" s="557"/>
      <c r="BC211" s="557"/>
      <c r="BD211" s="555"/>
      <c r="BE211" s="592"/>
      <c r="BF211" s="592"/>
      <c r="BG211" s="592"/>
      <c r="BH211" s="592"/>
      <c r="BI211" s="592"/>
      <c r="BJ211" s="592"/>
      <c r="BK211" s="592"/>
      <c r="BL211" s="592"/>
      <c r="BM211" s="592"/>
      <c r="BN211" s="592"/>
      <c r="BO211" s="592"/>
      <c r="BP211" s="592"/>
      <c r="BQ211" s="592"/>
      <c r="BR211" s="592"/>
      <c r="BS211" s="592"/>
      <c r="BT211" s="592"/>
    </row>
    <row r="212" spans="1:72" s="591" customFormat="1" ht="15">
      <c r="A212" s="539"/>
      <c r="B212" s="539"/>
      <c r="C212" s="539"/>
      <c r="D212" s="539"/>
      <c r="E212" s="539"/>
      <c r="F212" s="539"/>
      <c r="G212" s="539"/>
      <c r="H212" s="539"/>
      <c r="I212" s="539"/>
      <c r="J212" s="539"/>
      <c r="K212" s="539"/>
      <c r="L212" s="539"/>
      <c r="M212" s="539"/>
      <c r="N212" s="539"/>
      <c r="O212" s="539"/>
      <c r="P212" s="539"/>
      <c r="Q212" s="539"/>
      <c r="R212" s="539"/>
      <c r="S212" s="557"/>
      <c r="T212" s="557"/>
      <c r="U212" s="557"/>
      <c r="V212" s="557"/>
      <c r="W212" s="539"/>
      <c r="X212" s="539"/>
      <c r="Y212" s="557"/>
      <c r="Z212" s="557"/>
      <c r="AA212" s="539"/>
      <c r="AB212" s="539"/>
      <c r="AC212" s="539"/>
      <c r="AD212" s="557"/>
      <c r="AE212" s="557"/>
      <c r="AF212" s="557"/>
      <c r="AG212" s="557"/>
      <c r="AH212" s="557"/>
      <c r="AI212" s="557"/>
      <c r="AJ212" s="557"/>
      <c r="AK212" s="557"/>
      <c r="AL212" s="557"/>
      <c r="AM212" s="557"/>
      <c r="AN212" s="557"/>
      <c r="AO212" s="557"/>
      <c r="AP212" s="557"/>
      <c r="AQ212" s="557"/>
      <c r="AR212" s="557"/>
      <c r="AS212" s="557"/>
      <c r="AT212" s="557"/>
      <c r="AU212" s="557"/>
      <c r="AV212" s="557"/>
      <c r="AW212" s="557"/>
      <c r="AX212" s="557"/>
      <c r="AY212" s="557"/>
      <c r="AZ212" s="557"/>
      <c r="BA212" s="557"/>
      <c r="BB212" s="557"/>
      <c r="BC212" s="557"/>
      <c r="BD212" s="555"/>
      <c r="BE212" s="592"/>
      <c r="BF212" s="592"/>
      <c r="BG212" s="592"/>
      <c r="BH212" s="592"/>
      <c r="BI212" s="592"/>
      <c r="BJ212" s="592"/>
      <c r="BK212" s="592"/>
      <c r="BL212" s="592"/>
      <c r="BM212" s="592"/>
      <c r="BN212" s="592"/>
      <c r="BO212" s="592"/>
      <c r="BP212" s="592"/>
      <c r="BQ212" s="592"/>
      <c r="BR212" s="592"/>
      <c r="BS212" s="592"/>
      <c r="BT212" s="592"/>
    </row>
    <row r="213" spans="1:72" s="591" customFormat="1" ht="15">
      <c r="A213" s="539"/>
      <c r="B213" s="539"/>
      <c r="C213" s="539"/>
      <c r="D213" s="539"/>
      <c r="E213" s="539"/>
      <c r="F213" s="539"/>
      <c r="G213" s="539"/>
      <c r="H213" s="539"/>
      <c r="I213" s="539"/>
      <c r="J213" s="539"/>
      <c r="K213" s="539"/>
      <c r="L213" s="539"/>
      <c r="M213" s="539"/>
      <c r="N213" s="539"/>
      <c r="O213" s="539"/>
      <c r="P213" s="539"/>
      <c r="Q213" s="539"/>
      <c r="R213" s="539"/>
      <c r="S213" s="557"/>
      <c r="T213" s="557"/>
      <c r="U213" s="557"/>
      <c r="V213" s="557"/>
      <c r="W213" s="539"/>
      <c r="X213" s="539"/>
      <c r="Y213" s="557"/>
      <c r="Z213" s="557"/>
      <c r="AA213" s="539"/>
      <c r="AB213" s="539"/>
      <c r="AC213" s="539"/>
      <c r="AD213" s="557"/>
      <c r="AE213" s="557"/>
      <c r="AF213" s="557"/>
      <c r="AG213" s="557"/>
      <c r="AH213" s="557"/>
      <c r="AI213" s="557"/>
      <c r="AJ213" s="557"/>
      <c r="AK213" s="557"/>
      <c r="AL213" s="557"/>
      <c r="AM213" s="557"/>
      <c r="AN213" s="557"/>
      <c r="AO213" s="557"/>
      <c r="AP213" s="557"/>
      <c r="AQ213" s="557"/>
      <c r="AR213" s="557"/>
      <c r="AS213" s="557"/>
      <c r="AT213" s="557"/>
      <c r="AU213" s="557"/>
      <c r="AV213" s="557"/>
      <c r="AW213" s="557"/>
      <c r="AX213" s="557"/>
      <c r="AY213" s="557"/>
      <c r="AZ213" s="557"/>
      <c r="BA213" s="557"/>
      <c r="BB213" s="557"/>
      <c r="BC213" s="557"/>
      <c r="BD213" s="555"/>
      <c r="BE213" s="592"/>
      <c r="BF213" s="592"/>
      <c r="BG213" s="592"/>
      <c r="BH213" s="592"/>
      <c r="BI213" s="592"/>
      <c r="BJ213" s="592"/>
      <c r="BK213" s="592"/>
      <c r="BL213" s="592"/>
      <c r="BM213" s="592"/>
      <c r="BN213" s="592"/>
      <c r="BO213" s="592"/>
      <c r="BP213" s="592"/>
      <c r="BQ213" s="592"/>
      <c r="BR213" s="592"/>
      <c r="BS213" s="592"/>
      <c r="BT213" s="592"/>
    </row>
    <row r="214" spans="1:72" s="591" customFormat="1" ht="15">
      <c r="A214" s="539"/>
      <c r="B214" s="539"/>
      <c r="C214" s="539"/>
      <c r="D214" s="539"/>
      <c r="E214" s="539"/>
      <c r="F214" s="539"/>
      <c r="G214" s="539"/>
      <c r="H214" s="539"/>
      <c r="I214" s="539"/>
      <c r="J214" s="539"/>
      <c r="K214" s="539"/>
      <c r="L214" s="539"/>
      <c r="M214" s="539"/>
      <c r="N214" s="539"/>
      <c r="O214" s="539"/>
      <c r="P214" s="539"/>
      <c r="Q214" s="539"/>
      <c r="R214" s="539"/>
      <c r="S214" s="557"/>
      <c r="T214" s="557"/>
      <c r="U214" s="557"/>
      <c r="V214" s="557"/>
      <c r="W214" s="539"/>
      <c r="X214" s="539"/>
      <c r="Y214" s="557"/>
      <c r="Z214" s="557"/>
      <c r="AA214" s="539"/>
      <c r="AB214" s="539"/>
      <c r="AC214" s="539"/>
      <c r="AD214" s="557"/>
      <c r="AE214" s="557"/>
      <c r="AF214" s="557"/>
      <c r="AG214" s="557"/>
      <c r="AH214" s="557"/>
      <c r="AI214" s="557"/>
      <c r="AJ214" s="557"/>
      <c r="AK214" s="557"/>
      <c r="AL214" s="557"/>
      <c r="AM214" s="557"/>
      <c r="AN214" s="557"/>
      <c r="AO214" s="557"/>
      <c r="AP214" s="557"/>
      <c r="AQ214" s="557"/>
      <c r="AR214" s="557"/>
      <c r="AS214" s="557"/>
      <c r="AT214" s="557"/>
      <c r="AU214" s="557"/>
      <c r="AV214" s="557"/>
      <c r="AW214" s="557"/>
      <c r="AX214" s="557"/>
      <c r="AY214" s="557"/>
      <c r="AZ214" s="557"/>
      <c r="BA214" s="557"/>
      <c r="BB214" s="557"/>
      <c r="BC214" s="557"/>
      <c r="BD214" s="555"/>
      <c r="BE214" s="592"/>
      <c r="BF214" s="592"/>
      <c r="BG214" s="592"/>
      <c r="BH214" s="592"/>
      <c r="BI214" s="592"/>
      <c r="BJ214" s="592"/>
      <c r="BK214" s="592"/>
      <c r="BL214" s="592"/>
      <c r="BM214" s="592"/>
      <c r="BN214" s="592"/>
      <c r="BO214" s="592"/>
      <c r="BP214" s="592"/>
      <c r="BQ214" s="592"/>
      <c r="BR214" s="592"/>
      <c r="BS214" s="592"/>
      <c r="BT214" s="592"/>
    </row>
  </sheetData>
  <mergeCells count="28">
    <mergeCell ref="AK1:AM1"/>
    <mergeCell ref="A5:BA5"/>
    <mergeCell ref="BB5:BC5"/>
    <mergeCell ref="AV2:AY2"/>
    <mergeCell ref="AZ2:BC3"/>
    <mergeCell ref="A3:H3"/>
    <mergeCell ref="I3:L3"/>
    <mergeCell ref="M3:W3"/>
    <mergeCell ref="X3:Z3"/>
    <mergeCell ref="AA3:AR3"/>
    <mergeCell ref="AS3:AU3"/>
    <mergeCell ref="AV3:AY3"/>
    <mergeCell ref="H9:AS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CI52"/>
  <sheetViews>
    <sheetView showGridLines="0" view="pageBreakPreview" zoomScale="85" zoomScaleNormal="70" zoomScaleSheetLayoutView="85" workbookViewId="0">
      <selection sqref="A1:I1"/>
    </sheetView>
  </sheetViews>
  <sheetFormatPr defaultColWidth="2.54296875" defaultRowHeight="15"/>
  <cols>
    <col min="1" max="10" width="2.54296875" style="643" customWidth="1"/>
    <col min="11" max="16" width="3.26953125" style="643" customWidth="1"/>
    <col min="17" max="22" width="2.54296875" style="643" customWidth="1"/>
    <col min="23" max="38" width="2.54296875" style="643"/>
    <col min="39" max="39" width="2.54296875" style="643" customWidth="1"/>
    <col min="40" max="61" width="2.54296875" style="643"/>
    <col min="62" max="62" width="2.54296875" style="643" customWidth="1"/>
    <col min="63" max="248" width="2.54296875" style="643"/>
    <col min="249" max="249" width="4" style="643" customWidth="1"/>
    <col min="250" max="281" width="2.54296875" style="643"/>
    <col min="282" max="282" width="2.54296875" style="643" customWidth="1"/>
    <col min="283" max="504" width="2.54296875" style="643"/>
    <col min="505" max="505" width="4" style="643" customWidth="1"/>
    <col min="506" max="537" width="2.54296875" style="643"/>
    <col min="538" max="538" width="2.54296875" style="643" customWidth="1"/>
    <col min="539" max="760" width="2.54296875" style="643"/>
    <col min="761" max="761" width="4" style="643" customWidth="1"/>
    <col min="762" max="793" width="2.54296875" style="643"/>
    <col min="794" max="794" width="2.54296875" style="643" customWidth="1"/>
    <col min="795" max="1016" width="2.54296875" style="643"/>
    <col min="1017" max="1017" width="4" style="643" customWidth="1"/>
    <col min="1018" max="1049" width="2.54296875" style="643"/>
    <col min="1050" max="1050" width="2.54296875" style="643" customWidth="1"/>
    <col min="1051" max="1272" width="2.54296875" style="643"/>
    <col min="1273" max="1273" width="4" style="643" customWidth="1"/>
    <col min="1274" max="1305" width="2.54296875" style="643"/>
    <col min="1306" max="1306" width="2.54296875" style="643" customWidth="1"/>
    <col min="1307" max="1528" width="2.54296875" style="643"/>
    <col min="1529" max="1529" width="4" style="643" customWidth="1"/>
    <col min="1530" max="1561" width="2.54296875" style="643"/>
    <col min="1562" max="1562" width="2.54296875" style="643" customWidth="1"/>
    <col min="1563" max="1784" width="2.54296875" style="643"/>
    <col min="1785" max="1785" width="4" style="643" customWidth="1"/>
    <col min="1786" max="1817" width="2.54296875" style="643"/>
    <col min="1818" max="1818" width="2.54296875" style="643" customWidth="1"/>
    <col min="1819" max="2040" width="2.54296875" style="643"/>
    <col min="2041" max="2041" width="4" style="643" customWidth="1"/>
    <col min="2042" max="2073" width="2.54296875" style="643"/>
    <col min="2074" max="2074" width="2.54296875" style="643" customWidth="1"/>
    <col min="2075" max="2296" width="2.54296875" style="643"/>
    <col min="2297" max="2297" width="4" style="643" customWidth="1"/>
    <col min="2298" max="2329" width="2.54296875" style="643"/>
    <col min="2330" max="2330" width="2.54296875" style="643" customWidth="1"/>
    <col min="2331" max="2552" width="2.54296875" style="643"/>
    <col min="2553" max="2553" width="4" style="643" customWidth="1"/>
    <col min="2554" max="2585" width="2.54296875" style="643"/>
    <col min="2586" max="2586" width="2.54296875" style="643" customWidth="1"/>
    <col min="2587" max="2808" width="2.54296875" style="643"/>
    <col min="2809" max="2809" width="4" style="643" customWidth="1"/>
    <col min="2810" max="2841" width="2.54296875" style="643"/>
    <col min="2842" max="2842" width="2.54296875" style="643" customWidth="1"/>
    <col min="2843" max="3064" width="2.54296875" style="643"/>
    <col min="3065" max="3065" width="4" style="643" customWidth="1"/>
    <col min="3066" max="3097" width="2.54296875" style="643"/>
    <col min="3098" max="3098" width="2.54296875" style="643" customWidth="1"/>
    <col min="3099" max="3320" width="2.54296875" style="643"/>
    <col min="3321" max="3321" width="4" style="643" customWidth="1"/>
    <col min="3322" max="3353" width="2.54296875" style="643"/>
    <col min="3354" max="3354" width="2.54296875" style="643" customWidth="1"/>
    <col min="3355" max="3576" width="2.54296875" style="643"/>
    <col min="3577" max="3577" width="4" style="643" customWidth="1"/>
    <col min="3578" max="3609" width="2.54296875" style="643"/>
    <col min="3610" max="3610" width="2.54296875" style="643" customWidth="1"/>
    <col min="3611" max="3832" width="2.54296875" style="643"/>
    <col min="3833" max="3833" width="4" style="643" customWidth="1"/>
    <col min="3834" max="3865" width="2.54296875" style="643"/>
    <col min="3866" max="3866" width="2.54296875" style="643" customWidth="1"/>
    <col min="3867" max="4088" width="2.54296875" style="643"/>
    <col min="4089" max="4089" width="4" style="643" customWidth="1"/>
    <col min="4090" max="4121" width="2.54296875" style="643"/>
    <col min="4122" max="4122" width="2.54296875" style="643" customWidth="1"/>
    <col min="4123" max="4344" width="2.54296875" style="643"/>
    <col min="4345" max="4345" width="4" style="643" customWidth="1"/>
    <col min="4346" max="4377" width="2.54296875" style="643"/>
    <col min="4378" max="4378" width="2.54296875" style="643" customWidth="1"/>
    <col min="4379" max="4600" width="2.54296875" style="643"/>
    <col min="4601" max="4601" width="4" style="643" customWidth="1"/>
    <col min="4602" max="4633" width="2.54296875" style="643"/>
    <col min="4634" max="4634" width="2.54296875" style="643" customWidth="1"/>
    <col min="4635" max="4856" width="2.54296875" style="643"/>
    <col min="4857" max="4857" width="4" style="643" customWidth="1"/>
    <col min="4858" max="4889" width="2.54296875" style="643"/>
    <col min="4890" max="4890" width="2.54296875" style="643" customWidth="1"/>
    <col min="4891" max="5112" width="2.54296875" style="643"/>
    <col min="5113" max="5113" width="4" style="643" customWidth="1"/>
    <col min="5114" max="5145" width="2.54296875" style="643"/>
    <col min="5146" max="5146" width="2.54296875" style="643" customWidth="1"/>
    <col min="5147" max="5368" width="2.54296875" style="643"/>
    <col min="5369" max="5369" width="4" style="643" customWidth="1"/>
    <col min="5370" max="5401" width="2.54296875" style="643"/>
    <col min="5402" max="5402" width="2.54296875" style="643" customWidth="1"/>
    <col min="5403" max="5624" width="2.54296875" style="643"/>
    <col min="5625" max="5625" width="4" style="643" customWidth="1"/>
    <col min="5626" max="5657" width="2.54296875" style="643"/>
    <col min="5658" max="5658" width="2.54296875" style="643" customWidth="1"/>
    <col min="5659" max="5880" width="2.54296875" style="643"/>
    <col min="5881" max="5881" width="4" style="643" customWidth="1"/>
    <col min="5882" max="5913" width="2.54296875" style="643"/>
    <col min="5914" max="5914" width="2.54296875" style="643" customWidth="1"/>
    <col min="5915" max="6136" width="2.54296875" style="643"/>
    <col min="6137" max="6137" width="4" style="643" customWidth="1"/>
    <col min="6138" max="6169" width="2.54296875" style="643"/>
    <col min="6170" max="6170" width="2.54296875" style="643" customWidth="1"/>
    <col min="6171" max="6392" width="2.54296875" style="643"/>
    <col min="6393" max="6393" width="4" style="643" customWidth="1"/>
    <col min="6394" max="6425" width="2.54296875" style="643"/>
    <col min="6426" max="6426" width="2.54296875" style="643" customWidth="1"/>
    <col min="6427" max="6648" width="2.54296875" style="643"/>
    <col min="6649" max="6649" width="4" style="643" customWidth="1"/>
    <col min="6650" max="6681" width="2.54296875" style="643"/>
    <col min="6682" max="6682" width="2.54296875" style="643" customWidth="1"/>
    <col min="6683" max="6904" width="2.54296875" style="643"/>
    <col min="6905" max="6905" width="4" style="643" customWidth="1"/>
    <col min="6906" max="6937" width="2.54296875" style="643"/>
    <col min="6938" max="6938" width="2.54296875" style="643" customWidth="1"/>
    <col min="6939" max="7160" width="2.54296875" style="643"/>
    <col min="7161" max="7161" width="4" style="643" customWidth="1"/>
    <col min="7162" max="7193" width="2.54296875" style="643"/>
    <col min="7194" max="7194" width="2.54296875" style="643" customWidth="1"/>
    <col min="7195" max="7416" width="2.54296875" style="643"/>
    <col min="7417" max="7417" width="4" style="643" customWidth="1"/>
    <col min="7418" max="7449" width="2.54296875" style="643"/>
    <col min="7450" max="7450" width="2.54296875" style="643" customWidth="1"/>
    <col min="7451" max="7672" width="2.54296875" style="643"/>
    <col min="7673" max="7673" width="4" style="643" customWidth="1"/>
    <col min="7674" max="7705" width="2.54296875" style="643"/>
    <col min="7706" max="7706" width="2.54296875" style="643" customWidth="1"/>
    <col min="7707" max="7928" width="2.54296875" style="643"/>
    <col min="7929" max="7929" width="4" style="643" customWidth="1"/>
    <col min="7930" max="7961" width="2.54296875" style="643"/>
    <col min="7962" max="7962" width="2.54296875" style="643" customWidth="1"/>
    <col min="7963" max="8184" width="2.54296875" style="643"/>
    <col min="8185" max="8185" width="4" style="643" customWidth="1"/>
    <col min="8186" max="8217" width="2.54296875" style="643"/>
    <col min="8218" max="8218" width="2.54296875" style="643" customWidth="1"/>
    <col min="8219" max="8440" width="2.54296875" style="643"/>
    <col min="8441" max="8441" width="4" style="643" customWidth="1"/>
    <col min="8442" max="8473" width="2.54296875" style="643"/>
    <col min="8474" max="8474" width="2.54296875" style="643" customWidth="1"/>
    <col min="8475" max="8696" width="2.54296875" style="643"/>
    <col min="8697" max="8697" width="4" style="643" customWidth="1"/>
    <col min="8698" max="8729" width="2.54296875" style="643"/>
    <col min="8730" max="8730" width="2.54296875" style="643" customWidth="1"/>
    <col min="8731" max="8952" width="2.54296875" style="643"/>
    <col min="8953" max="8953" width="4" style="643" customWidth="1"/>
    <col min="8954" max="8985" width="2.54296875" style="643"/>
    <col min="8986" max="8986" width="2.54296875" style="643" customWidth="1"/>
    <col min="8987" max="9208" width="2.54296875" style="643"/>
    <col min="9209" max="9209" width="4" style="643" customWidth="1"/>
    <col min="9210" max="9241" width="2.54296875" style="643"/>
    <col min="9242" max="9242" width="2.54296875" style="643" customWidth="1"/>
    <col min="9243" max="9464" width="2.54296875" style="643"/>
    <col min="9465" max="9465" width="4" style="643" customWidth="1"/>
    <col min="9466" max="9497" width="2.54296875" style="643"/>
    <col min="9498" max="9498" width="2.54296875" style="643" customWidth="1"/>
    <col min="9499" max="9720" width="2.54296875" style="643"/>
    <col min="9721" max="9721" width="4" style="643" customWidth="1"/>
    <col min="9722" max="9753" width="2.54296875" style="643"/>
    <col min="9754" max="9754" width="2.54296875" style="643" customWidth="1"/>
    <col min="9755" max="9976" width="2.54296875" style="643"/>
    <col min="9977" max="9977" width="4" style="643" customWidth="1"/>
    <col min="9978" max="10009" width="2.54296875" style="643"/>
    <col min="10010" max="10010" width="2.54296875" style="643" customWidth="1"/>
    <col min="10011" max="10232" width="2.54296875" style="643"/>
    <col min="10233" max="10233" width="4" style="643" customWidth="1"/>
    <col min="10234" max="10265" width="2.54296875" style="643"/>
    <col min="10266" max="10266" width="2.54296875" style="643" customWidth="1"/>
    <col min="10267" max="10488" width="2.54296875" style="643"/>
    <col min="10489" max="10489" width="4" style="643" customWidth="1"/>
    <col min="10490" max="10521" width="2.54296875" style="643"/>
    <col min="10522" max="10522" width="2.54296875" style="643" customWidth="1"/>
    <col min="10523" max="10744" width="2.54296875" style="643"/>
    <col min="10745" max="10745" width="4" style="643" customWidth="1"/>
    <col min="10746" max="10777" width="2.54296875" style="643"/>
    <col min="10778" max="10778" width="2.54296875" style="643" customWidth="1"/>
    <col min="10779" max="11000" width="2.54296875" style="643"/>
    <col min="11001" max="11001" width="4" style="643" customWidth="1"/>
    <col min="11002" max="11033" width="2.54296875" style="643"/>
    <col min="11034" max="11034" width="2.54296875" style="643" customWidth="1"/>
    <col min="11035" max="11256" width="2.54296875" style="643"/>
    <col min="11257" max="11257" width="4" style="643" customWidth="1"/>
    <col min="11258" max="11289" width="2.54296875" style="643"/>
    <col min="11290" max="11290" width="2.54296875" style="643" customWidth="1"/>
    <col min="11291" max="11512" width="2.54296875" style="643"/>
    <col min="11513" max="11513" width="4" style="643" customWidth="1"/>
    <col min="11514" max="11545" width="2.54296875" style="643"/>
    <col min="11546" max="11546" width="2.54296875" style="643" customWidth="1"/>
    <col min="11547" max="11768" width="2.54296875" style="643"/>
    <col min="11769" max="11769" width="4" style="643" customWidth="1"/>
    <col min="11770" max="11801" width="2.54296875" style="643"/>
    <col min="11802" max="11802" width="2.54296875" style="643" customWidth="1"/>
    <col min="11803" max="12024" width="2.54296875" style="643"/>
    <col min="12025" max="12025" width="4" style="643" customWidth="1"/>
    <col min="12026" max="12057" width="2.54296875" style="643"/>
    <col min="12058" max="12058" width="2.54296875" style="643" customWidth="1"/>
    <col min="12059" max="12280" width="2.54296875" style="643"/>
    <col min="12281" max="12281" width="4" style="643" customWidth="1"/>
    <col min="12282" max="12313" width="2.54296875" style="643"/>
    <col min="12314" max="12314" width="2.54296875" style="643" customWidth="1"/>
    <col min="12315" max="12536" width="2.54296875" style="643"/>
    <col min="12537" max="12537" width="4" style="643" customWidth="1"/>
    <col min="12538" max="12569" width="2.54296875" style="643"/>
    <col min="12570" max="12570" width="2.54296875" style="643" customWidth="1"/>
    <col min="12571" max="12792" width="2.54296875" style="643"/>
    <col min="12793" max="12793" width="4" style="643" customWidth="1"/>
    <col min="12794" max="12825" width="2.54296875" style="643"/>
    <col min="12826" max="12826" width="2.54296875" style="643" customWidth="1"/>
    <col min="12827" max="13048" width="2.54296875" style="643"/>
    <col min="13049" max="13049" width="4" style="643" customWidth="1"/>
    <col min="13050" max="13081" width="2.54296875" style="643"/>
    <col min="13082" max="13082" width="2.54296875" style="643" customWidth="1"/>
    <col min="13083" max="13304" width="2.54296875" style="643"/>
    <col min="13305" max="13305" width="4" style="643" customWidth="1"/>
    <col min="13306" max="13337" width="2.54296875" style="643"/>
    <col min="13338" max="13338" width="2.54296875" style="643" customWidth="1"/>
    <col min="13339" max="13560" width="2.54296875" style="643"/>
    <col min="13561" max="13561" width="4" style="643" customWidth="1"/>
    <col min="13562" max="13593" width="2.54296875" style="643"/>
    <col min="13594" max="13594" width="2.54296875" style="643" customWidth="1"/>
    <col min="13595" max="13816" width="2.54296875" style="643"/>
    <col min="13817" max="13817" width="4" style="643" customWidth="1"/>
    <col min="13818" max="13849" width="2.54296875" style="643"/>
    <col min="13850" max="13850" width="2.54296875" style="643" customWidth="1"/>
    <col min="13851" max="14072" width="2.54296875" style="643"/>
    <col min="14073" max="14073" width="4" style="643" customWidth="1"/>
    <col min="14074" max="14105" width="2.54296875" style="643"/>
    <col min="14106" max="14106" width="2.54296875" style="643" customWidth="1"/>
    <col min="14107" max="14328" width="2.54296875" style="643"/>
    <col min="14329" max="14329" width="4" style="643" customWidth="1"/>
    <col min="14330" max="14361" width="2.54296875" style="643"/>
    <col min="14362" max="14362" width="2.54296875" style="643" customWidth="1"/>
    <col min="14363" max="14584" width="2.54296875" style="643"/>
    <col min="14585" max="14585" width="4" style="643" customWidth="1"/>
    <col min="14586" max="14617" width="2.54296875" style="643"/>
    <col min="14618" max="14618" width="2.54296875" style="643" customWidth="1"/>
    <col min="14619" max="14840" width="2.54296875" style="643"/>
    <col min="14841" max="14841" width="4" style="643" customWidth="1"/>
    <col min="14842" max="14873" width="2.54296875" style="643"/>
    <col min="14874" max="14874" width="2.54296875" style="643" customWidth="1"/>
    <col min="14875" max="15096" width="2.54296875" style="643"/>
    <col min="15097" max="15097" width="4" style="643" customWidth="1"/>
    <col min="15098" max="15129" width="2.54296875" style="643"/>
    <col min="15130" max="15130" width="2.54296875" style="643" customWidth="1"/>
    <col min="15131" max="15352" width="2.54296875" style="643"/>
    <col min="15353" max="15353" width="4" style="643" customWidth="1"/>
    <col min="15354" max="15385" width="2.54296875" style="643"/>
    <col min="15386" max="15386" width="2.54296875" style="643" customWidth="1"/>
    <col min="15387" max="15608" width="2.54296875" style="643"/>
    <col min="15609" max="15609" width="4" style="643" customWidth="1"/>
    <col min="15610" max="15641" width="2.54296875" style="643"/>
    <col min="15642" max="15642" width="2.54296875" style="643" customWidth="1"/>
    <col min="15643" max="15864" width="2.54296875" style="643"/>
    <col min="15865" max="15865" width="4" style="643" customWidth="1"/>
    <col min="15866" max="15897" width="2.54296875" style="643"/>
    <col min="15898" max="15898" width="2.54296875" style="643" customWidth="1"/>
    <col min="15899" max="16120" width="2.54296875" style="643"/>
    <col min="16121" max="16121" width="4" style="643" customWidth="1"/>
    <col min="16122" max="16153" width="2.54296875" style="643"/>
    <col min="16154" max="16154" width="2.54296875" style="643" customWidth="1"/>
    <col min="16155" max="16384" width="2.54296875" style="643"/>
  </cols>
  <sheetData>
    <row r="1" spans="1:87" ht="12.75" customHeight="1">
      <c r="A1" s="880" t="s">
        <v>303</v>
      </c>
      <c r="B1" s="880"/>
      <c r="C1" s="880"/>
      <c r="D1" s="880"/>
      <c r="E1" s="880"/>
      <c r="F1" s="880"/>
      <c r="G1" s="880"/>
      <c r="H1" s="880"/>
      <c r="I1" s="880"/>
      <c r="J1" s="641"/>
      <c r="K1" s="641"/>
      <c r="L1" s="641"/>
      <c r="M1" s="641"/>
      <c r="N1" s="641"/>
      <c r="O1" s="641"/>
      <c r="P1" s="641"/>
      <c r="Q1" s="641"/>
      <c r="R1" s="641"/>
      <c r="S1" s="641"/>
      <c r="T1" s="641"/>
      <c r="U1" s="641"/>
      <c r="V1" s="641"/>
      <c r="W1" s="641"/>
      <c r="X1" s="641"/>
      <c r="Y1" s="641"/>
      <c r="Z1" s="641"/>
      <c r="AA1" s="641"/>
      <c r="AB1" s="641"/>
      <c r="AC1" s="641"/>
      <c r="AD1" s="641"/>
      <c r="AE1" s="641"/>
      <c r="AF1" s="641"/>
      <c r="AG1" s="641"/>
      <c r="AH1" s="641"/>
      <c r="AI1" s="641"/>
      <c r="AJ1" s="641"/>
      <c r="AK1" s="641"/>
      <c r="AL1" s="641"/>
      <c r="AM1" s="641"/>
      <c r="AN1" s="641"/>
      <c r="AO1" s="641"/>
      <c r="AP1" s="641"/>
      <c r="AQ1" s="641"/>
      <c r="AR1" s="641"/>
      <c r="AS1" s="641"/>
      <c r="AT1" s="641"/>
      <c r="AU1" s="641"/>
      <c r="AV1" s="641"/>
      <c r="AW1" s="641"/>
      <c r="AX1" s="641"/>
      <c r="AY1" s="641"/>
      <c r="AZ1" s="641"/>
      <c r="BA1" s="641"/>
      <c r="BB1" s="641"/>
      <c r="BC1" s="641"/>
      <c r="BD1" s="641"/>
      <c r="BE1" s="641"/>
      <c r="BF1" s="641"/>
      <c r="BG1" s="641"/>
      <c r="BH1" s="641"/>
      <c r="BI1" s="641"/>
      <c r="BJ1" s="641"/>
      <c r="BK1" s="641"/>
      <c r="BL1" s="641"/>
      <c r="BM1" s="641"/>
      <c r="BN1" s="641"/>
      <c r="BO1" s="641"/>
      <c r="BP1" s="641"/>
      <c r="BQ1" s="641"/>
      <c r="BR1" s="641"/>
      <c r="BS1" s="641"/>
      <c r="BT1" s="641"/>
      <c r="BU1" s="641"/>
      <c r="BV1" s="641"/>
      <c r="BW1" s="641"/>
      <c r="BX1" s="641"/>
      <c r="BY1" s="641"/>
      <c r="BZ1" s="641"/>
      <c r="CA1" s="641"/>
      <c r="CB1" s="641"/>
      <c r="CC1" s="641"/>
      <c r="CD1" s="641"/>
      <c r="CE1" s="641"/>
      <c r="CF1" s="641"/>
      <c r="CG1" s="641"/>
      <c r="CH1" s="642"/>
      <c r="CI1" s="642"/>
    </row>
    <row r="2" spans="1:87" ht="12.75" customHeight="1">
      <c r="A2" s="881" t="s">
        <v>304</v>
      </c>
      <c r="B2" s="881"/>
      <c r="C2" s="881"/>
      <c r="D2" s="881"/>
      <c r="E2" s="881"/>
      <c r="F2" s="881"/>
      <c r="G2" s="881"/>
      <c r="H2" s="881"/>
      <c r="I2" s="881"/>
      <c r="J2" s="881"/>
      <c r="K2" s="881"/>
      <c r="L2" s="881"/>
      <c r="M2" s="881"/>
      <c r="N2" s="881"/>
      <c r="O2" s="881"/>
      <c r="P2" s="881"/>
      <c r="Q2" s="881"/>
      <c r="R2" s="881"/>
      <c r="S2" s="881"/>
      <c r="T2" s="881"/>
      <c r="U2" s="881"/>
      <c r="V2" s="881"/>
      <c r="W2" s="881"/>
      <c r="X2" s="881"/>
      <c r="Y2" s="881"/>
      <c r="Z2" s="881"/>
      <c r="AA2" s="881"/>
      <c r="AB2" s="881"/>
      <c r="AC2" s="881"/>
      <c r="AD2" s="881"/>
      <c r="AE2" s="881"/>
      <c r="AF2" s="882" t="s">
        <v>305</v>
      </c>
      <c r="AG2" s="882"/>
      <c r="AH2" s="882"/>
      <c r="AI2" s="882"/>
      <c r="AJ2" s="882"/>
      <c r="AK2" s="882"/>
      <c r="AL2" s="882"/>
      <c r="AM2" s="882"/>
      <c r="AN2" s="882"/>
      <c r="AO2" s="882"/>
      <c r="AP2" s="882"/>
      <c r="AQ2" s="882"/>
      <c r="AR2" s="882"/>
      <c r="AS2" s="882"/>
      <c r="AT2" s="882"/>
      <c r="AU2" s="882"/>
      <c r="AV2" s="882"/>
      <c r="AW2" s="882"/>
      <c r="AX2" s="882"/>
      <c r="AY2" s="882"/>
      <c r="AZ2" s="882"/>
      <c r="BA2" s="882"/>
      <c r="BB2" s="882"/>
      <c r="BC2" s="882"/>
      <c r="BD2" s="882"/>
      <c r="BE2" s="882"/>
      <c r="BF2" s="882"/>
      <c r="BG2" s="882"/>
      <c r="BH2" s="882"/>
      <c r="BI2" s="882"/>
      <c r="BJ2" s="882"/>
      <c r="BK2" s="882"/>
      <c r="BL2" s="882"/>
      <c r="BM2" s="882"/>
      <c r="BN2" s="882"/>
      <c r="BO2" s="882"/>
      <c r="BP2" s="882"/>
      <c r="BQ2" s="882"/>
      <c r="BR2" s="882"/>
      <c r="BS2" s="882"/>
      <c r="BT2" s="882"/>
      <c r="BU2" s="882"/>
      <c r="BV2" s="882"/>
      <c r="BW2" s="882"/>
      <c r="BX2" s="882"/>
      <c r="BY2" s="882"/>
      <c r="BZ2" s="882"/>
      <c r="CA2" s="882"/>
      <c r="CB2" s="882"/>
      <c r="CC2" s="882"/>
      <c r="CD2" s="882"/>
      <c r="CE2" s="882"/>
      <c r="CF2" s="882"/>
      <c r="CG2" s="882"/>
      <c r="CH2" s="882"/>
      <c r="CI2" s="882"/>
    </row>
    <row r="3" spans="1:87" ht="27.75" customHeight="1">
      <c r="A3" s="883" t="s">
        <v>306</v>
      </c>
      <c r="B3" s="884"/>
      <c r="C3" s="884" t="s">
        <v>307</v>
      </c>
      <c r="D3" s="884"/>
      <c r="E3" s="884"/>
      <c r="F3" s="884"/>
      <c r="G3" s="884"/>
      <c r="H3" s="884"/>
      <c r="I3" s="884"/>
      <c r="J3" s="884"/>
      <c r="K3" s="884"/>
      <c r="L3" s="884"/>
      <c r="M3" s="884"/>
      <c r="N3" s="884"/>
      <c r="O3" s="884"/>
      <c r="P3" s="884"/>
      <c r="Q3" s="883" t="s">
        <v>308</v>
      </c>
      <c r="R3" s="884"/>
      <c r="S3" s="884"/>
      <c r="T3" s="884"/>
      <c r="U3" s="884"/>
      <c r="V3" s="884"/>
      <c r="W3" s="884"/>
      <c r="X3" s="883" t="s">
        <v>309</v>
      </c>
      <c r="Y3" s="884"/>
      <c r="Z3" s="884"/>
      <c r="AA3" s="884"/>
      <c r="AB3" s="884" t="s">
        <v>310</v>
      </c>
      <c r="AC3" s="884"/>
      <c r="AD3" s="885" t="s">
        <v>311</v>
      </c>
      <c r="AE3" s="886"/>
      <c r="AF3" s="883" t="s">
        <v>312</v>
      </c>
      <c r="AG3" s="884"/>
      <c r="AH3" s="884"/>
      <c r="AI3" s="884"/>
      <c r="AJ3" s="883" t="s">
        <v>313</v>
      </c>
      <c r="AK3" s="884"/>
      <c r="AL3" s="884"/>
      <c r="AM3" s="884"/>
      <c r="AN3" s="884"/>
      <c r="AO3" s="884"/>
      <c r="AP3" s="815" t="s">
        <v>314</v>
      </c>
      <c r="AQ3" s="816"/>
      <c r="AR3" s="816"/>
      <c r="AS3" s="816"/>
      <c r="AT3" s="816"/>
      <c r="AU3" s="816"/>
      <c r="AV3" s="816"/>
      <c r="AW3" s="816"/>
      <c r="AX3" s="816"/>
      <c r="AY3" s="816"/>
      <c r="AZ3" s="817"/>
      <c r="BA3" s="883" t="s">
        <v>315</v>
      </c>
      <c r="BB3" s="883"/>
      <c r="BC3" s="883"/>
      <c r="BD3" s="883"/>
      <c r="BE3" s="883"/>
      <c r="BF3" s="883"/>
      <c r="BG3" s="883"/>
      <c r="BH3" s="883"/>
      <c r="BI3" s="883"/>
      <c r="BJ3" s="883"/>
      <c r="BK3" s="883"/>
      <c r="BL3" s="883"/>
      <c r="BM3" s="883"/>
      <c r="BN3" s="883"/>
      <c r="BO3" s="883"/>
      <c r="BP3" s="883"/>
      <c r="BQ3" s="883"/>
      <c r="BR3" s="883"/>
      <c r="BS3" s="883"/>
      <c r="BT3" s="883"/>
      <c r="BU3" s="883"/>
      <c r="BV3" s="883"/>
      <c r="BW3" s="883"/>
      <c r="BX3" s="883"/>
      <c r="BY3" s="883"/>
      <c r="BZ3" s="883"/>
      <c r="CA3" s="883"/>
      <c r="CB3" s="883"/>
      <c r="CC3" s="883"/>
      <c r="CD3" s="883"/>
      <c r="CE3" s="883"/>
      <c r="CF3" s="883"/>
      <c r="CG3" s="883"/>
      <c r="CH3" s="883"/>
      <c r="CI3" s="883"/>
    </row>
    <row r="4" spans="1:87" ht="27.75" customHeight="1">
      <c r="A4" s="884"/>
      <c r="B4" s="884"/>
      <c r="C4" s="889" t="s">
        <v>318</v>
      </c>
      <c r="D4" s="889"/>
      <c r="E4" s="889"/>
      <c r="F4" s="889"/>
      <c r="G4" s="889"/>
      <c r="H4" s="889"/>
      <c r="I4" s="889"/>
      <c r="J4" s="889" t="s">
        <v>319</v>
      </c>
      <c r="K4" s="889"/>
      <c r="L4" s="889"/>
      <c r="M4" s="889"/>
      <c r="N4" s="889"/>
      <c r="O4" s="889"/>
      <c r="P4" s="889"/>
      <c r="Q4" s="884"/>
      <c r="R4" s="884"/>
      <c r="S4" s="884"/>
      <c r="T4" s="884"/>
      <c r="U4" s="884"/>
      <c r="V4" s="884"/>
      <c r="W4" s="884"/>
      <c r="X4" s="884"/>
      <c r="Y4" s="884"/>
      <c r="Z4" s="884"/>
      <c r="AA4" s="884"/>
      <c r="AB4" s="884"/>
      <c r="AC4" s="884"/>
      <c r="AD4" s="887"/>
      <c r="AE4" s="888"/>
      <c r="AF4" s="884"/>
      <c r="AG4" s="884"/>
      <c r="AH4" s="884"/>
      <c r="AI4" s="884"/>
      <c r="AJ4" s="884"/>
      <c r="AK4" s="884"/>
      <c r="AL4" s="884"/>
      <c r="AM4" s="884"/>
      <c r="AN4" s="884"/>
      <c r="AO4" s="884"/>
      <c r="AP4" s="818"/>
      <c r="AQ4" s="819"/>
      <c r="AR4" s="819"/>
      <c r="AS4" s="819"/>
      <c r="AT4" s="819"/>
      <c r="AU4" s="819"/>
      <c r="AV4" s="819"/>
      <c r="AW4" s="819"/>
      <c r="AX4" s="819"/>
      <c r="AY4" s="819"/>
      <c r="AZ4" s="820"/>
      <c r="BA4" s="883"/>
      <c r="BB4" s="883"/>
      <c r="BC4" s="883"/>
      <c r="BD4" s="883"/>
      <c r="BE4" s="883"/>
      <c r="BF4" s="883"/>
      <c r="BG4" s="883"/>
      <c r="BH4" s="883"/>
      <c r="BI4" s="883"/>
      <c r="BJ4" s="883"/>
      <c r="BK4" s="883"/>
      <c r="BL4" s="883"/>
      <c r="BM4" s="883"/>
      <c r="BN4" s="883"/>
      <c r="BO4" s="883"/>
      <c r="BP4" s="883"/>
      <c r="BQ4" s="883"/>
      <c r="BR4" s="883"/>
      <c r="BS4" s="883"/>
      <c r="BT4" s="883"/>
      <c r="BU4" s="883"/>
      <c r="BV4" s="883"/>
      <c r="BW4" s="883"/>
      <c r="BX4" s="883"/>
      <c r="BY4" s="883"/>
      <c r="BZ4" s="883"/>
      <c r="CA4" s="883"/>
      <c r="CB4" s="883"/>
      <c r="CC4" s="883"/>
      <c r="CD4" s="883"/>
      <c r="CE4" s="883"/>
      <c r="CF4" s="883"/>
      <c r="CG4" s="883"/>
      <c r="CH4" s="883"/>
      <c r="CI4" s="883"/>
    </row>
    <row r="5" spans="1:87">
      <c r="A5" s="793" t="s">
        <v>323</v>
      </c>
      <c r="B5" s="794"/>
      <c r="C5" s="765" t="s">
        <v>324</v>
      </c>
      <c r="D5" s="766"/>
      <c r="E5" s="766"/>
      <c r="F5" s="766"/>
      <c r="G5" s="766"/>
      <c r="H5" s="766"/>
      <c r="I5" s="767"/>
      <c r="J5" s="762"/>
      <c r="K5" s="763"/>
      <c r="L5" s="763"/>
      <c r="M5" s="763"/>
      <c r="N5" s="763"/>
      <c r="O5" s="763"/>
      <c r="P5" s="764"/>
      <c r="Q5" s="837"/>
      <c r="R5" s="838"/>
      <c r="S5" s="838"/>
      <c r="T5" s="838"/>
      <c r="U5" s="838"/>
      <c r="V5" s="838"/>
      <c r="W5" s="839"/>
      <c r="X5" s="840"/>
      <c r="Y5" s="841"/>
      <c r="Z5" s="841"/>
      <c r="AA5" s="842"/>
      <c r="AB5" s="827"/>
      <c r="AC5" s="828"/>
      <c r="AD5" s="827"/>
      <c r="AE5" s="828"/>
      <c r="AF5" s="829"/>
      <c r="AG5" s="830"/>
      <c r="AH5" s="830"/>
      <c r="AI5" s="830"/>
      <c r="AJ5" s="829"/>
      <c r="AK5" s="830"/>
      <c r="AL5" s="830"/>
      <c r="AM5" s="830"/>
      <c r="AN5" s="830"/>
      <c r="AO5" s="831"/>
      <c r="AP5" s="832"/>
      <c r="AQ5" s="804"/>
      <c r="AR5" s="804"/>
      <c r="AS5" s="804"/>
      <c r="AT5" s="804"/>
      <c r="AU5" s="804"/>
      <c r="AV5" s="804"/>
      <c r="AW5" s="804"/>
      <c r="AX5" s="804"/>
      <c r="AY5" s="804"/>
      <c r="AZ5" s="833"/>
      <c r="BA5" s="803"/>
      <c r="BB5" s="804"/>
      <c r="BC5" s="804"/>
      <c r="BD5" s="804"/>
      <c r="BE5" s="804"/>
      <c r="BF5" s="804"/>
      <c r="BG5" s="804"/>
      <c r="BH5" s="804"/>
      <c r="BI5" s="804"/>
      <c r="BJ5" s="804"/>
      <c r="BK5" s="804"/>
      <c r="BL5" s="804"/>
      <c r="BM5" s="804"/>
      <c r="BN5" s="804"/>
      <c r="BO5" s="804"/>
      <c r="BP5" s="804"/>
      <c r="BQ5" s="804"/>
      <c r="BR5" s="804"/>
      <c r="BS5" s="804"/>
      <c r="BT5" s="804"/>
      <c r="BU5" s="804"/>
      <c r="BV5" s="804"/>
      <c r="BW5" s="804"/>
      <c r="BX5" s="804"/>
      <c r="BY5" s="804"/>
      <c r="BZ5" s="804"/>
      <c r="CA5" s="804"/>
      <c r="CB5" s="804"/>
      <c r="CC5" s="804"/>
      <c r="CD5" s="804"/>
      <c r="CE5" s="804"/>
      <c r="CF5" s="804"/>
      <c r="CG5" s="804"/>
      <c r="CH5" s="804"/>
      <c r="CI5" s="805"/>
    </row>
    <row r="6" spans="1:87">
      <c r="A6" s="793" t="s">
        <v>325</v>
      </c>
      <c r="B6" s="794"/>
      <c r="C6" s="765"/>
      <c r="D6" s="766"/>
      <c r="E6" s="766"/>
      <c r="F6" s="766"/>
      <c r="G6" s="766"/>
      <c r="H6" s="766"/>
      <c r="I6" s="767"/>
      <c r="J6" s="762" t="s">
        <v>326</v>
      </c>
      <c r="K6" s="763"/>
      <c r="L6" s="763"/>
      <c r="M6" s="763"/>
      <c r="N6" s="763"/>
      <c r="O6" s="763"/>
      <c r="P6" s="764"/>
      <c r="Q6" s="837" t="s">
        <v>327</v>
      </c>
      <c r="R6" s="838"/>
      <c r="S6" s="838"/>
      <c r="T6" s="838"/>
      <c r="U6" s="838"/>
      <c r="V6" s="838"/>
      <c r="W6" s="839"/>
      <c r="X6" s="840" t="s">
        <v>328</v>
      </c>
      <c r="Y6" s="841"/>
      <c r="Z6" s="841"/>
      <c r="AA6" s="842"/>
      <c r="AB6" s="827" t="s">
        <v>329</v>
      </c>
      <c r="AC6" s="828"/>
      <c r="AD6" s="827" t="s">
        <v>330</v>
      </c>
      <c r="AE6" s="828"/>
      <c r="AF6" s="832" t="s">
        <v>302</v>
      </c>
      <c r="AG6" s="804"/>
      <c r="AH6" s="804"/>
      <c r="AI6" s="833"/>
      <c r="AJ6" s="771"/>
      <c r="AK6" s="769"/>
      <c r="AL6" s="769"/>
      <c r="AM6" s="769"/>
      <c r="AN6" s="769"/>
      <c r="AO6" s="770"/>
      <c r="AP6" s="832" t="s">
        <v>302</v>
      </c>
      <c r="AQ6" s="804"/>
      <c r="AR6" s="804"/>
      <c r="AS6" s="804"/>
      <c r="AT6" s="804"/>
      <c r="AU6" s="804"/>
      <c r="AV6" s="804"/>
      <c r="AW6" s="804"/>
      <c r="AX6" s="804"/>
      <c r="AY6" s="804"/>
      <c r="AZ6" s="833"/>
      <c r="BA6" s="803"/>
      <c r="BB6" s="804"/>
      <c r="BC6" s="804"/>
      <c r="BD6" s="804"/>
      <c r="BE6" s="804"/>
      <c r="BF6" s="804"/>
      <c r="BG6" s="804"/>
      <c r="BH6" s="804"/>
      <c r="BI6" s="804"/>
      <c r="BJ6" s="804"/>
      <c r="BK6" s="804"/>
      <c r="BL6" s="804"/>
      <c r="BM6" s="804"/>
      <c r="BN6" s="804"/>
      <c r="BO6" s="804"/>
      <c r="BP6" s="804"/>
      <c r="BQ6" s="804"/>
      <c r="BR6" s="804"/>
      <c r="BS6" s="804"/>
      <c r="BT6" s="804"/>
      <c r="BU6" s="804"/>
      <c r="BV6" s="804"/>
      <c r="BW6" s="804"/>
      <c r="BX6" s="804"/>
      <c r="BY6" s="804"/>
      <c r="BZ6" s="804"/>
      <c r="CA6" s="804"/>
      <c r="CB6" s="804"/>
      <c r="CC6" s="804"/>
      <c r="CD6" s="804"/>
      <c r="CE6" s="804"/>
      <c r="CF6" s="804"/>
      <c r="CG6" s="804"/>
      <c r="CH6" s="804"/>
      <c r="CI6" s="805"/>
    </row>
    <row r="7" spans="1:87" ht="15.75" customHeight="1">
      <c r="A7" s="793" t="s">
        <v>437</v>
      </c>
      <c r="B7" s="794"/>
      <c r="C7" s="875" t="s">
        <v>438</v>
      </c>
      <c r="D7" s="876"/>
      <c r="E7" s="876"/>
      <c r="F7" s="876"/>
      <c r="G7" s="876"/>
      <c r="H7" s="876"/>
      <c r="I7" s="877"/>
      <c r="J7" s="878"/>
      <c r="K7" s="878"/>
      <c r="L7" s="878"/>
      <c r="M7" s="878"/>
      <c r="N7" s="878"/>
      <c r="O7" s="878"/>
      <c r="P7" s="878"/>
      <c r="Q7" s="875"/>
      <c r="R7" s="876"/>
      <c r="S7" s="876"/>
      <c r="T7" s="876"/>
      <c r="U7" s="876"/>
      <c r="V7" s="876"/>
      <c r="W7" s="879"/>
      <c r="X7" s="840"/>
      <c r="Y7" s="841"/>
      <c r="Z7" s="841"/>
      <c r="AA7" s="842"/>
      <c r="AB7" s="827"/>
      <c r="AC7" s="828"/>
      <c r="AD7" s="827"/>
      <c r="AE7" s="828"/>
      <c r="AF7" s="834"/>
      <c r="AG7" s="835"/>
      <c r="AH7" s="835"/>
      <c r="AI7" s="835"/>
      <c r="AJ7" s="834"/>
      <c r="AK7" s="835"/>
      <c r="AL7" s="835"/>
      <c r="AM7" s="835"/>
      <c r="AN7" s="835"/>
      <c r="AO7" s="836"/>
      <c r="AP7" s="832"/>
      <c r="AQ7" s="804"/>
      <c r="AR7" s="804"/>
      <c r="AS7" s="804"/>
      <c r="AT7" s="804"/>
      <c r="AU7" s="804"/>
      <c r="AV7" s="804"/>
      <c r="AW7" s="804"/>
      <c r="AX7" s="804"/>
      <c r="AY7" s="804"/>
      <c r="AZ7" s="833"/>
      <c r="BA7" s="823"/>
      <c r="BB7" s="873"/>
      <c r="BC7" s="873"/>
      <c r="BD7" s="873"/>
      <c r="BE7" s="873"/>
      <c r="BF7" s="873"/>
      <c r="BG7" s="873"/>
      <c r="BH7" s="873"/>
      <c r="BI7" s="873"/>
      <c r="BJ7" s="873"/>
      <c r="BK7" s="873"/>
      <c r="BL7" s="873"/>
      <c r="BM7" s="873"/>
      <c r="BN7" s="873"/>
      <c r="BO7" s="873"/>
      <c r="BP7" s="873"/>
      <c r="BQ7" s="873"/>
      <c r="BR7" s="873"/>
      <c r="BS7" s="873"/>
      <c r="BT7" s="873"/>
      <c r="BU7" s="873"/>
      <c r="BV7" s="873"/>
      <c r="BW7" s="873"/>
      <c r="BX7" s="873"/>
      <c r="BY7" s="873"/>
      <c r="BZ7" s="873"/>
      <c r="CA7" s="873"/>
      <c r="CB7" s="873"/>
      <c r="CC7" s="873"/>
      <c r="CD7" s="873"/>
      <c r="CE7" s="873"/>
      <c r="CF7" s="873"/>
      <c r="CG7" s="873"/>
      <c r="CH7" s="873"/>
      <c r="CI7" s="874"/>
    </row>
    <row r="8" spans="1:87" ht="15.75" customHeight="1">
      <c r="A8" s="843">
        <v>2.1</v>
      </c>
      <c r="B8" s="844"/>
      <c r="C8" s="845"/>
      <c r="D8" s="846"/>
      <c r="E8" s="846"/>
      <c r="F8" s="846"/>
      <c r="G8" s="846"/>
      <c r="H8" s="846"/>
      <c r="I8" s="847"/>
      <c r="J8" s="855" t="s">
        <v>338</v>
      </c>
      <c r="K8" s="856"/>
      <c r="L8" s="856"/>
      <c r="M8" s="856"/>
      <c r="N8" s="856"/>
      <c r="O8" s="856"/>
      <c r="P8" s="857"/>
      <c r="Q8" s="858" t="s">
        <v>439</v>
      </c>
      <c r="R8" s="859"/>
      <c r="S8" s="859"/>
      <c r="T8" s="859"/>
      <c r="U8" s="859"/>
      <c r="V8" s="859"/>
      <c r="W8" s="860"/>
      <c r="X8" s="861" t="s">
        <v>331</v>
      </c>
      <c r="Y8" s="862"/>
      <c r="Z8" s="862"/>
      <c r="AA8" s="863"/>
      <c r="AB8" s="864" t="s">
        <v>332</v>
      </c>
      <c r="AC8" s="865"/>
      <c r="AD8" s="864" t="s">
        <v>333</v>
      </c>
      <c r="AE8" s="865"/>
      <c r="AF8" s="866">
        <v>255</v>
      </c>
      <c r="AG8" s="867"/>
      <c r="AH8" s="867"/>
      <c r="AI8" s="867"/>
      <c r="AJ8" s="868"/>
      <c r="AK8" s="869"/>
      <c r="AL8" s="869"/>
      <c r="AM8" s="869"/>
      <c r="AN8" s="869"/>
      <c r="AO8" s="870"/>
      <c r="AP8" s="871" t="s">
        <v>302</v>
      </c>
      <c r="AQ8" s="853"/>
      <c r="AR8" s="853"/>
      <c r="AS8" s="853"/>
      <c r="AT8" s="853"/>
      <c r="AU8" s="853"/>
      <c r="AV8" s="853"/>
      <c r="AW8" s="853"/>
      <c r="AX8" s="853"/>
      <c r="AY8" s="853"/>
      <c r="AZ8" s="872"/>
      <c r="BA8" s="852"/>
      <c r="BB8" s="853"/>
      <c r="BC8" s="853"/>
      <c r="BD8" s="853"/>
      <c r="BE8" s="853"/>
      <c r="BF8" s="853"/>
      <c r="BG8" s="853"/>
      <c r="BH8" s="853"/>
      <c r="BI8" s="853"/>
      <c r="BJ8" s="853"/>
      <c r="BK8" s="853"/>
      <c r="BL8" s="853"/>
      <c r="BM8" s="853"/>
      <c r="BN8" s="853"/>
      <c r="BO8" s="853"/>
      <c r="BP8" s="853"/>
      <c r="BQ8" s="853"/>
      <c r="BR8" s="853"/>
      <c r="BS8" s="853"/>
      <c r="BT8" s="853"/>
      <c r="BU8" s="853"/>
      <c r="BV8" s="853"/>
      <c r="BW8" s="853"/>
      <c r="BX8" s="853"/>
      <c r="BY8" s="853"/>
      <c r="BZ8" s="853"/>
      <c r="CA8" s="853"/>
      <c r="CB8" s="853"/>
      <c r="CC8" s="853"/>
      <c r="CD8" s="853"/>
      <c r="CE8" s="853"/>
      <c r="CF8" s="853"/>
      <c r="CG8" s="853"/>
      <c r="CH8" s="853"/>
      <c r="CI8" s="854"/>
    </row>
    <row r="9" spans="1:87" ht="54.75" customHeight="1">
      <c r="A9" s="793" t="s">
        <v>440</v>
      </c>
      <c r="B9" s="794"/>
      <c r="C9" s="777"/>
      <c r="D9" s="778"/>
      <c r="E9" s="778"/>
      <c r="F9" s="778"/>
      <c r="G9" s="778"/>
      <c r="H9" s="778"/>
      <c r="I9" s="779"/>
      <c r="J9" s="837" t="s">
        <v>335</v>
      </c>
      <c r="K9" s="838"/>
      <c r="L9" s="838"/>
      <c r="M9" s="838"/>
      <c r="N9" s="838"/>
      <c r="O9" s="838"/>
      <c r="P9" s="839"/>
      <c r="Q9" s="777" t="s">
        <v>439</v>
      </c>
      <c r="R9" s="778"/>
      <c r="S9" s="778"/>
      <c r="T9" s="778"/>
      <c r="U9" s="778"/>
      <c r="V9" s="778"/>
      <c r="W9" s="779"/>
      <c r="X9" s="840" t="s">
        <v>331</v>
      </c>
      <c r="Y9" s="841"/>
      <c r="Z9" s="841"/>
      <c r="AA9" s="842"/>
      <c r="AB9" s="827" t="s">
        <v>332</v>
      </c>
      <c r="AC9" s="828"/>
      <c r="AD9" s="827" t="s">
        <v>333</v>
      </c>
      <c r="AE9" s="828"/>
      <c r="AF9" s="829">
        <v>100</v>
      </c>
      <c r="AG9" s="830"/>
      <c r="AH9" s="830"/>
      <c r="AI9" s="831"/>
      <c r="AJ9" s="829"/>
      <c r="AK9" s="830"/>
      <c r="AL9" s="830"/>
      <c r="AM9" s="830"/>
      <c r="AN9" s="830"/>
      <c r="AO9" s="831"/>
      <c r="AP9" s="832" t="s">
        <v>302</v>
      </c>
      <c r="AQ9" s="804"/>
      <c r="AR9" s="804"/>
      <c r="AS9" s="804"/>
      <c r="AT9" s="804"/>
      <c r="AU9" s="804"/>
      <c r="AV9" s="804"/>
      <c r="AW9" s="804"/>
      <c r="AX9" s="804"/>
      <c r="AY9" s="804"/>
      <c r="AZ9" s="833"/>
      <c r="BA9" s="803" t="s">
        <v>441</v>
      </c>
      <c r="BB9" s="804"/>
      <c r="BC9" s="804"/>
      <c r="BD9" s="804"/>
      <c r="BE9" s="804"/>
      <c r="BF9" s="804"/>
      <c r="BG9" s="804"/>
      <c r="BH9" s="804"/>
      <c r="BI9" s="804"/>
      <c r="BJ9" s="804"/>
      <c r="BK9" s="804"/>
      <c r="BL9" s="804"/>
      <c r="BM9" s="804"/>
      <c r="BN9" s="804"/>
      <c r="BO9" s="804"/>
      <c r="BP9" s="804"/>
      <c r="BQ9" s="804"/>
      <c r="BR9" s="804"/>
      <c r="BS9" s="804"/>
      <c r="BT9" s="804"/>
      <c r="BU9" s="804"/>
      <c r="BV9" s="804"/>
      <c r="BW9" s="804"/>
      <c r="BX9" s="804"/>
      <c r="BY9" s="804"/>
      <c r="BZ9" s="804"/>
      <c r="CA9" s="804"/>
      <c r="CB9" s="804"/>
      <c r="CC9" s="804"/>
      <c r="CD9" s="804"/>
      <c r="CE9" s="804"/>
      <c r="CF9" s="804"/>
      <c r="CG9" s="804"/>
      <c r="CH9" s="804"/>
      <c r="CI9" s="805"/>
    </row>
    <row r="10" spans="1:87" ht="77.25" customHeight="1">
      <c r="A10" s="793" t="s">
        <v>460</v>
      </c>
      <c r="B10" s="794"/>
      <c r="C10" s="777"/>
      <c r="D10" s="778"/>
      <c r="E10" s="778"/>
      <c r="F10" s="778"/>
      <c r="G10" s="778"/>
      <c r="H10" s="778"/>
      <c r="I10" s="779"/>
      <c r="J10" s="762" t="s">
        <v>442</v>
      </c>
      <c r="K10" s="763"/>
      <c r="L10" s="763"/>
      <c r="M10" s="763"/>
      <c r="N10" s="763"/>
      <c r="O10" s="763"/>
      <c r="P10" s="764"/>
      <c r="Q10" s="762" t="s">
        <v>443</v>
      </c>
      <c r="R10" s="763"/>
      <c r="S10" s="763"/>
      <c r="T10" s="763"/>
      <c r="U10" s="763"/>
      <c r="V10" s="763"/>
      <c r="W10" s="764"/>
      <c r="X10" s="849" t="s">
        <v>331</v>
      </c>
      <c r="Y10" s="850"/>
      <c r="Z10" s="850"/>
      <c r="AA10" s="851"/>
      <c r="AB10" s="827" t="s">
        <v>332</v>
      </c>
      <c r="AC10" s="828"/>
      <c r="AD10" s="827" t="s">
        <v>333</v>
      </c>
      <c r="AE10" s="828"/>
      <c r="AF10" s="829"/>
      <c r="AG10" s="830"/>
      <c r="AH10" s="830"/>
      <c r="AI10" s="831"/>
      <c r="AJ10" s="829"/>
      <c r="AK10" s="830"/>
      <c r="AL10" s="830"/>
      <c r="AM10" s="830"/>
      <c r="AN10" s="830"/>
      <c r="AO10" s="831"/>
      <c r="AP10" s="832" t="s">
        <v>334</v>
      </c>
      <c r="AQ10" s="804"/>
      <c r="AR10" s="804"/>
      <c r="AS10" s="804"/>
      <c r="AT10" s="804"/>
      <c r="AU10" s="804"/>
      <c r="AV10" s="804"/>
      <c r="AW10" s="804"/>
      <c r="AX10" s="804"/>
      <c r="AY10" s="804"/>
      <c r="AZ10" s="833"/>
      <c r="BA10" s="803" t="s">
        <v>465</v>
      </c>
      <c r="BB10" s="804"/>
      <c r="BC10" s="804"/>
      <c r="BD10" s="804"/>
      <c r="BE10" s="804"/>
      <c r="BF10" s="804"/>
      <c r="BG10" s="804"/>
      <c r="BH10" s="804"/>
      <c r="BI10" s="804"/>
      <c r="BJ10" s="804"/>
      <c r="BK10" s="804"/>
      <c r="BL10" s="804"/>
      <c r="BM10" s="804"/>
      <c r="BN10" s="804"/>
      <c r="BO10" s="804"/>
      <c r="BP10" s="804"/>
      <c r="BQ10" s="804"/>
      <c r="BR10" s="804"/>
      <c r="BS10" s="804"/>
      <c r="BT10" s="804"/>
      <c r="BU10" s="804"/>
      <c r="BV10" s="804"/>
      <c r="BW10" s="804"/>
      <c r="BX10" s="804"/>
      <c r="BY10" s="804"/>
      <c r="BZ10" s="804"/>
      <c r="CA10" s="804"/>
      <c r="CB10" s="804"/>
      <c r="CC10" s="804"/>
      <c r="CD10" s="804"/>
      <c r="CE10" s="804"/>
      <c r="CF10" s="804"/>
      <c r="CG10" s="804"/>
      <c r="CH10" s="804"/>
      <c r="CI10" s="805"/>
    </row>
    <row r="11" spans="1:87" ht="33.75" customHeight="1">
      <c r="A11" s="793" t="s">
        <v>461</v>
      </c>
      <c r="B11" s="794"/>
      <c r="C11" s="654"/>
      <c r="D11" s="655"/>
      <c r="E11" s="655"/>
      <c r="F11" s="655"/>
      <c r="G11" s="655"/>
      <c r="H11" s="655"/>
      <c r="I11" s="656"/>
      <c r="J11" s="801" t="s">
        <v>444</v>
      </c>
      <c r="K11" s="802"/>
      <c r="L11" s="802"/>
      <c r="M11" s="802"/>
      <c r="N11" s="802"/>
      <c r="O11" s="802"/>
      <c r="P11" s="848"/>
      <c r="Q11" s="762" t="s">
        <v>445</v>
      </c>
      <c r="R11" s="763"/>
      <c r="S11" s="763"/>
      <c r="T11" s="763"/>
      <c r="U11" s="763"/>
      <c r="V11" s="763"/>
      <c r="W11" s="764"/>
      <c r="X11" s="849" t="s">
        <v>331</v>
      </c>
      <c r="Y11" s="850"/>
      <c r="Z11" s="850"/>
      <c r="AA11" s="851"/>
      <c r="AB11" s="827" t="s">
        <v>332</v>
      </c>
      <c r="AC11" s="828"/>
      <c r="AD11" s="827" t="s">
        <v>333</v>
      </c>
      <c r="AE11" s="828"/>
      <c r="AF11" s="647"/>
      <c r="AG11" s="648"/>
      <c r="AH11" s="648"/>
      <c r="AI11" s="649"/>
      <c r="AJ11" s="647"/>
      <c r="AK11" s="648"/>
      <c r="AL11" s="648"/>
      <c r="AM11" s="648"/>
      <c r="AN11" s="648"/>
      <c r="AO11" s="649"/>
      <c r="AP11" s="832" t="s">
        <v>334</v>
      </c>
      <c r="AQ11" s="804"/>
      <c r="AR11" s="804"/>
      <c r="AS11" s="804"/>
      <c r="AT11" s="804"/>
      <c r="AU11" s="804"/>
      <c r="AV11" s="804"/>
      <c r="AW11" s="804"/>
      <c r="AX11" s="804"/>
      <c r="AY11" s="804"/>
      <c r="AZ11" s="833"/>
      <c r="BA11" s="803" t="s">
        <v>446</v>
      </c>
      <c r="BB11" s="804"/>
      <c r="BC11" s="804"/>
      <c r="BD11" s="804"/>
      <c r="BE11" s="804"/>
      <c r="BF11" s="804"/>
      <c r="BG11" s="804"/>
      <c r="BH11" s="804"/>
      <c r="BI11" s="804"/>
      <c r="BJ11" s="804"/>
      <c r="BK11" s="804"/>
      <c r="BL11" s="804"/>
      <c r="BM11" s="804"/>
      <c r="BN11" s="804"/>
      <c r="BO11" s="804"/>
      <c r="BP11" s="804"/>
      <c r="BQ11" s="804"/>
      <c r="BR11" s="804"/>
      <c r="BS11" s="804"/>
      <c r="BT11" s="804"/>
      <c r="BU11" s="804"/>
      <c r="BV11" s="804"/>
      <c r="BW11" s="804"/>
      <c r="BX11" s="804"/>
      <c r="BY11" s="804"/>
      <c r="BZ11" s="804"/>
      <c r="CA11" s="804"/>
      <c r="CB11" s="804"/>
      <c r="CC11" s="804"/>
      <c r="CD11" s="804"/>
      <c r="CE11" s="804"/>
      <c r="CF11" s="804"/>
      <c r="CG11" s="804"/>
      <c r="CH11" s="804"/>
      <c r="CI11" s="805"/>
    </row>
    <row r="12" spans="1:87" ht="45.75" customHeight="1">
      <c r="A12" s="793" t="s">
        <v>462</v>
      </c>
      <c r="B12" s="794"/>
      <c r="C12" s="777"/>
      <c r="D12" s="778"/>
      <c r="E12" s="778"/>
      <c r="F12" s="778"/>
      <c r="G12" s="778"/>
      <c r="H12" s="778"/>
      <c r="I12" s="779"/>
      <c r="J12" s="801" t="s">
        <v>447</v>
      </c>
      <c r="K12" s="802"/>
      <c r="L12" s="802"/>
      <c r="M12" s="802"/>
      <c r="N12" s="802"/>
      <c r="O12" s="802"/>
      <c r="P12" s="848"/>
      <c r="Q12" s="762" t="s">
        <v>337</v>
      </c>
      <c r="R12" s="763"/>
      <c r="S12" s="763"/>
      <c r="T12" s="763"/>
      <c r="U12" s="763"/>
      <c r="V12" s="763"/>
      <c r="W12" s="764"/>
      <c r="X12" s="849" t="s">
        <v>331</v>
      </c>
      <c r="Y12" s="850"/>
      <c r="Z12" s="850"/>
      <c r="AA12" s="851"/>
      <c r="AB12" s="827" t="s">
        <v>329</v>
      </c>
      <c r="AC12" s="828"/>
      <c r="AD12" s="827" t="s">
        <v>333</v>
      </c>
      <c r="AE12" s="828"/>
      <c r="AF12" s="647"/>
      <c r="AG12" s="648"/>
      <c r="AH12" s="648"/>
      <c r="AI12" s="649"/>
      <c r="AJ12" s="647"/>
      <c r="AK12" s="648"/>
      <c r="AL12" s="648"/>
      <c r="AM12" s="648"/>
      <c r="AN12" s="648"/>
      <c r="AO12" s="649"/>
      <c r="AP12" s="801"/>
      <c r="AQ12" s="802"/>
      <c r="AR12" s="802"/>
      <c r="AS12" s="802"/>
      <c r="AT12" s="802"/>
      <c r="AU12" s="802"/>
      <c r="AV12" s="802"/>
      <c r="AW12" s="802"/>
      <c r="AX12" s="802"/>
      <c r="AY12" s="802"/>
      <c r="AZ12" s="848"/>
      <c r="BA12" s="803" t="s">
        <v>448</v>
      </c>
      <c r="BB12" s="804"/>
      <c r="BC12" s="804"/>
      <c r="BD12" s="804"/>
      <c r="BE12" s="804"/>
      <c r="BF12" s="804"/>
      <c r="BG12" s="804"/>
      <c r="BH12" s="804"/>
      <c r="BI12" s="804"/>
      <c r="BJ12" s="804"/>
      <c r="BK12" s="804"/>
      <c r="BL12" s="804"/>
      <c r="BM12" s="804"/>
      <c r="BN12" s="804"/>
      <c r="BO12" s="804"/>
      <c r="BP12" s="804"/>
      <c r="BQ12" s="804"/>
      <c r="BR12" s="804"/>
      <c r="BS12" s="804"/>
      <c r="BT12" s="804"/>
      <c r="BU12" s="804"/>
      <c r="BV12" s="804"/>
      <c r="BW12" s="804"/>
      <c r="BX12" s="804"/>
      <c r="BY12" s="804"/>
      <c r="BZ12" s="804"/>
      <c r="CA12" s="804"/>
      <c r="CB12" s="804"/>
      <c r="CC12" s="804"/>
      <c r="CD12" s="804"/>
      <c r="CE12" s="804"/>
      <c r="CF12" s="804"/>
      <c r="CG12" s="804"/>
      <c r="CH12" s="804"/>
      <c r="CI12" s="805"/>
    </row>
    <row r="13" spans="1:87" ht="15.75" customHeight="1">
      <c r="A13" s="793" t="s">
        <v>463</v>
      </c>
      <c r="B13" s="794"/>
      <c r="C13" s="777"/>
      <c r="D13" s="778"/>
      <c r="E13" s="778"/>
      <c r="F13" s="778"/>
      <c r="G13" s="778"/>
      <c r="H13" s="778"/>
      <c r="I13" s="779"/>
      <c r="J13" s="777" t="s">
        <v>449</v>
      </c>
      <c r="K13" s="778"/>
      <c r="L13" s="778"/>
      <c r="M13" s="778"/>
      <c r="N13" s="778"/>
      <c r="O13" s="778"/>
      <c r="P13" s="779"/>
      <c r="Q13" s="837" t="s">
        <v>336</v>
      </c>
      <c r="R13" s="838"/>
      <c r="S13" s="838"/>
      <c r="T13" s="838"/>
      <c r="U13" s="838"/>
      <c r="V13" s="838"/>
      <c r="W13" s="839"/>
      <c r="X13" s="840" t="s">
        <v>328</v>
      </c>
      <c r="Y13" s="841"/>
      <c r="Z13" s="841"/>
      <c r="AA13" s="842"/>
      <c r="AB13" s="827" t="s">
        <v>329</v>
      </c>
      <c r="AC13" s="828"/>
      <c r="AD13" s="827" t="s">
        <v>333</v>
      </c>
      <c r="AE13" s="828"/>
      <c r="AF13" s="829" t="s">
        <v>302</v>
      </c>
      <c r="AG13" s="830"/>
      <c r="AH13" s="830"/>
      <c r="AI13" s="831"/>
      <c r="AJ13" s="834"/>
      <c r="AK13" s="835"/>
      <c r="AL13" s="835"/>
      <c r="AM13" s="835"/>
      <c r="AN13" s="835"/>
      <c r="AO13" s="836"/>
      <c r="AP13" s="832" t="s">
        <v>302</v>
      </c>
      <c r="AQ13" s="804"/>
      <c r="AR13" s="804"/>
      <c r="AS13" s="804"/>
      <c r="AT13" s="804"/>
      <c r="AU13" s="804"/>
      <c r="AV13" s="804"/>
      <c r="AW13" s="804"/>
      <c r="AX13" s="804"/>
      <c r="AY13" s="804"/>
      <c r="AZ13" s="833"/>
      <c r="BA13" s="803" t="s">
        <v>419</v>
      </c>
      <c r="BB13" s="804"/>
      <c r="BC13" s="804"/>
      <c r="BD13" s="804"/>
      <c r="BE13" s="804"/>
      <c r="BF13" s="804"/>
      <c r="BG13" s="804"/>
      <c r="BH13" s="804"/>
      <c r="BI13" s="804"/>
      <c r="BJ13" s="804"/>
      <c r="BK13" s="804"/>
      <c r="BL13" s="804"/>
      <c r="BM13" s="804"/>
      <c r="BN13" s="804"/>
      <c r="BO13" s="804"/>
      <c r="BP13" s="804"/>
      <c r="BQ13" s="804"/>
      <c r="BR13" s="804"/>
      <c r="BS13" s="804"/>
      <c r="BT13" s="804"/>
      <c r="BU13" s="804"/>
      <c r="BV13" s="804"/>
      <c r="BW13" s="804"/>
      <c r="BX13" s="804"/>
      <c r="BY13" s="804"/>
      <c r="BZ13" s="804"/>
      <c r="CA13" s="804"/>
      <c r="CB13" s="804"/>
      <c r="CC13" s="804"/>
      <c r="CD13" s="804"/>
      <c r="CE13" s="804"/>
      <c r="CF13" s="804"/>
      <c r="CG13" s="804"/>
      <c r="CH13" s="804"/>
      <c r="CI13" s="805"/>
    </row>
    <row r="14" spans="1:87">
      <c r="A14" s="793" t="s">
        <v>464</v>
      </c>
      <c r="B14" s="794"/>
      <c r="C14" s="777"/>
      <c r="D14" s="778"/>
      <c r="E14" s="778"/>
      <c r="F14" s="778"/>
      <c r="G14" s="778"/>
      <c r="H14" s="778"/>
      <c r="I14" s="779"/>
      <c r="J14" s="777" t="s">
        <v>450</v>
      </c>
      <c r="K14" s="778"/>
      <c r="L14" s="778"/>
      <c r="M14" s="778"/>
      <c r="N14" s="778"/>
      <c r="O14" s="778"/>
      <c r="P14" s="779"/>
      <c r="Q14" s="837" t="s">
        <v>336</v>
      </c>
      <c r="R14" s="838"/>
      <c r="S14" s="838"/>
      <c r="T14" s="838"/>
      <c r="U14" s="838"/>
      <c r="V14" s="838"/>
      <c r="W14" s="839"/>
      <c r="X14" s="840" t="s">
        <v>328</v>
      </c>
      <c r="Y14" s="841"/>
      <c r="Z14" s="841"/>
      <c r="AA14" s="842"/>
      <c r="AB14" s="827" t="s">
        <v>329</v>
      </c>
      <c r="AC14" s="828"/>
      <c r="AD14" s="827" t="s">
        <v>333</v>
      </c>
      <c r="AE14" s="828"/>
      <c r="AF14" s="829" t="s">
        <v>302</v>
      </c>
      <c r="AG14" s="830"/>
      <c r="AH14" s="830"/>
      <c r="AI14" s="831"/>
      <c r="AJ14" s="834"/>
      <c r="AK14" s="835"/>
      <c r="AL14" s="835"/>
      <c r="AM14" s="835"/>
      <c r="AN14" s="835"/>
      <c r="AO14" s="836"/>
      <c r="AP14" s="832" t="s">
        <v>302</v>
      </c>
      <c r="AQ14" s="804"/>
      <c r="AR14" s="804"/>
      <c r="AS14" s="804"/>
      <c r="AT14" s="804"/>
      <c r="AU14" s="804"/>
      <c r="AV14" s="804"/>
      <c r="AW14" s="804"/>
      <c r="AX14" s="804"/>
      <c r="AY14" s="804"/>
      <c r="AZ14" s="833"/>
      <c r="BA14" s="803" t="s">
        <v>451</v>
      </c>
      <c r="BB14" s="804"/>
      <c r="BC14" s="804"/>
      <c r="BD14" s="804"/>
      <c r="BE14" s="804"/>
      <c r="BF14" s="804"/>
      <c r="BG14" s="804"/>
      <c r="BH14" s="804"/>
      <c r="BI14" s="804"/>
      <c r="BJ14" s="804"/>
      <c r="BK14" s="804"/>
      <c r="BL14" s="804"/>
      <c r="BM14" s="804"/>
      <c r="BN14" s="804"/>
      <c r="BO14" s="804"/>
      <c r="BP14" s="804"/>
      <c r="BQ14" s="804"/>
      <c r="BR14" s="804"/>
      <c r="BS14" s="804"/>
      <c r="BT14" s="804"/>
      <c r="BU14" s="804"/>
      <c r="BV14" s="804"/>
      <c r="BW14" s="804"/>
      <c r="BX14" s="804"/>
      <c r="BY14" s="804"/>
      <c r="BZ14" s="804"/>
      <c r="CA14" s="804"/>
      <c r="CB14" s="804"/>
      <c r="CC14" s="804"/>
      <c r="CD14" s="804"/>
      <c r="CE14" s="804"/>
      <c r="CF14" s="804"/>
      <c r="CG14" s="804"/>
      <c r="CH14" s="804"/>
      <c r="CI14" s="805"/>
    </row>
    <row r="15" spans="1:87" ht="15.75" customHeight="1">
      <c r="A15" s="823"/>
      <c r="B15" s="824"/>
      <c r="C15" s="777"/>
      <c r="D15" s="778"/>
      <c r="E15" s="778"/>
      <c r="F15" s="778"/>
      <c r="G15" s="778"/>
      <c r="H15" s="778"/>
      <c r="I15" s="779"/>
      <c r="J15" s="657"/>
      <c r="K15" s="825"/>
      <c r="L15" s="825"/>
      <c r="M15" s="825"/>
      <c r="N15" s="825"/>
      <c r="O15" s="825"/>
      <c r="P15" s="826"/>
      <c r="Q15" s="795"/>
      <c r="R15" s="796"/>
      <c r="S15" s="796"/>
      <c r="T15" s="796"/>
      <c r="U15" s="796"/>
      <c r="V15" s="796"/>
      <c r="W15" s="797"/>
      <c r="X15" s="798"/>
      <c r="Y15" s="799"/>
      <c r="Z15" s="799"/>
      <c r="AA15" s="800"/>
      <c r="AB15" s="827"/>
      <c r="AC15" s="828"/>
      <c r="AD15" s="827"/>
      <c r="AE15" s="828"/>
      <c r="AF15" s="829"/>
      <c r="AG15" s="830"/>
      <c r="AH15" s="830"/>
      <c r="AI15" s="831"/>
      <c r="AJ15" s="829"/>
      <c r="AK15" s="830"/>
      <c r="AL15" s="830"/>
      <c r="AM15" s="830"/>
      <c r="AN15" s="830"/>
      <c r="AO15" s="831"/>
      <c r="AP15" s="832"/>
      <c r="AQ15" s="804"/>
      <c r="AR15" s="804"/>
      <c r="AS15" s="804"/>
      <c r="AT15" s="804"/>
      <c r="AU15" s="804"/>
      <c r="AV15" s="804"/>
      <c r="AW15" s="804"/>
      <c r="AX15" s="804"/>
      <c r="AY15" s="804"/>
      <c r="AZ15" s="833"/>
      <c r="BA15" s="803"/>
      <c r="BB15" s="804"/>
      <c r="BC15" s="804"/>
      <c r="BD15" s="804"/>
      <c r="BE15" s="804"/>
      <c r="BF15" s="804"/>
      <c r="BG15" s="804"/>
      <c r="BH15" s="804"/>
      <c r="BI15" s="804"/>
      <c r="BJ15" s="804"/>
      <c r="BK15" s="804"/>
      <c r="BL15" s="804"/>
      <c r="BM15" s="804"/>
      <c r="BN15" s="804"/>
      <c r="BO15" s="804"/>
      <c r="BP15" s="804"/>
      <c r="BQ15" s="804"/>
      <c r="BR15" s="804"/>
      <c r="BS15" s="804"/>
      <c r="BT15" s="804"/>
      <c r="BU15" s="804"/>
      <c r="BV15" s="804"/>
      <c r="BW15" s="804"/>
      <c r="BX15" s="804"/>
      <c r="BY15" s="804"/>
      <c r="BZ15" s="804"/>
      <c r="CA15" s="804"/>
      <c r="CB15" s="804"/>
      <c r="CC15" s="804"/>
      <c r="CD15" s="804"/>
      <c r="CE15" s="804"/>
      <c r="CF15" s="804"/>
      <c r="CG15" s="804"/>
      <c r="CH15" s="804"/>
      <c r="CI15" s="805"/>
    </row>
    <row r="16" spans="1:87" ht="15.75" customHeight="1">
      <c r="A16" s="793"/>
      <c r="B16" s="794"/>
      <c r="C16" s="644"/>
      <c r="D16" s="645"/>
      <c r="E16" s="645"/>
      <c r="F16" s="645"/>
      <c r="G16" s="645"/>
      <c r="H16" s="645"/>
      <c r="I16" s="646"/>
      <c r="J16" s="777"/>
      <c r="K16" s="778"/>
      <c r="L16" s="778"/>
      <c r="M16" s="778"/>
      <c r="N16" s="778"/>
      <c r="O16" s="778"/>
      <c r="P16" s="779"/>
      <c r="Q16" s="795"/>
      <c r="R16" s="796"/>
      <c r="S16" s="796"/>
      <c r="T16" s="796"/>
      <c r="U16" s="796"/>
      <c r="V16" s="796"/>
      <c r="W16" s="797"/>
      <c r="X16" s="798"/>
      <c r="Y16" s="799"/>
      <c r="Z16" s="799"/>
      <c r="AA16" s="800"/>
      <c r="AB16" s="600"/>
      <c r="AC16" s="601"/>
      <c r="AD16" s="600"/>
      <c r="AE16" s="601"/>
      <c r="AF16" s="647"/>
      <c r="AG16" s="648"/>
      <c r="AH16" s="648"/>
      <c r="AI16" s="648"/>
      <c r="AJ16" s="647"/>
      <c r="AK16" s="648"/>
      <c r="AL16" s="648"/>
      <c r="AM16" s="648"/>
      <c r="AN16" s="648"/>
      <c r="AO16" s="649"/>
      <c r="AP16" s="801"/>
      <c r="AQ16" s="802"/>
      <c r="AR16" s="802"/>
      <c r="AS16" s="802"/>
      <c r="AT16" s="802"/>
      <c r="AU16" s="802"/>
      <c r="AV16" s="802"/>
      <c r="AW16" s="802"/>
      <c r="AX16" s="802"/>
      <c r="AY16" s="802"/>
      <c r="AZ16" s="650"/>
      <c r="BA16" s="803"/>
      <c r="BB16" s="804"/>
      <c r="BC16" s="804"/>
      <c r="BD16" s="804"/>
      <c r="BE16" s="804"/>
      <c r="BF16" s="804"/>
      <c r="BG16" s="804"/>
      <c r="BH16" s="804"/>
      <c r="BI16" s="804"/>
      <c r="BJ16" s="804"/>
      <c r="BK16" s="804"/>
      <c r="BL16" s="804"/>
      <c r="BM16" s="804"/>
      <c r="BN16" s="804"/>
      <c r="BO16" s="804"/>
      <c r="BP16" s="804"/>
      <c r="BQ16" s="804"/>
      <c r="BR16" s="804"/>
      <c r="BS16" s="804"/>
      <c r="BT16" s="804"/>
      <c r="BU16" s="804"/>
      <c r="BV16" s="804"/>
      <c r="BW16" s="804"/>
      <c r="BX16" s="804"/>
      <c r="BY16" s="804"/>
      <c r="BZ16" s="804"/>
      <c r="CA16" s="804"/>
      <c r="CB16" s="804"/>
      <c r="CC16" s="804"/>
      <c r="CD16" s="804"/>
      <c r="CE16" s="804"/>
      <c r="CF16" s="804"/>
      <c r="CG16" s="804"/>
      <c r="CH16" s="804"/>
      <c r="CI16" s="805"/>
    </row>
    <row r="17" spans="1:87" ht="15.75" customHeight="1">
      <c r="A17" s="793"/>
      <c r="B17" s="794"/>
      <c r="C17" s="644"/>
      <c r="D17" s="645"/>
      <c r="E17" s="645"/>
      <c r="F17" s="645"/>
      <c r="G17" s="645"/>
      <c r="H17" s="645"/>
      <c r="I17" s="646"/>
      <c r="J17" s="777"/>
      <c r="K17" s="778"/>
      <c r="L17" s="778"/>
      <c r="M17" s="778"/>
      <c r="N17" s="778"/>
      <c r="O17" s="778"/>
      <c r="P17" s="779"/>
      <c r="Q17" s="795"/>
      <c r="R17" s="796"/>
      <c r="S17" s="796"/>
      <c r="T17" s="796"/>
      <c r="U17" s="796"/>
      <c r="V17" s="796"/>
      <c r="W17" s="797"/>
      <c r="X17" s="798"/>
      <c r="Y17" s="799"/>
      <c r="Z17" s="799"/>
      <c r="AA17" s="800"/>
      <c r="AB17" s="600"/>
      <c r="AC17" s="601"/>
      <c r="AD17" s="600"/>
      <c r="AE17" s="601"/>
      <c r="AF17" s="647"/>
      <c r="AG17" s="648"/>
      <c r="AH17" s="648"/>
      <c r="AI17" s="648"/>
      <c r="AJ17" s="647"/>
      <c r="AK17" s="648"/>
      <c r="AL17" s="648"/>
      <c r="AM17" s="648"/>
      <c r="AN17" s="648"/>
      <c r="AO17" s="649"/>
      <c r="AP17" s="801"/>
      <c r="AQ17" s="802"/>
      <c r="AR17" s="802"/>
      <c r="AS17" s="802"/>
      <c r="AT17" s="802"/>
      <c r="AU17" s="802"/>
      <c r="AV17" s="802"/>
      <c r="AW17" s="802"/>
      <c r="AX17" s="802"/>
      <c r="AY17" s="802"/>
      <c r="AZ17" s="650"/>
      <c r="BA17" s="803"/>
      <c r="BB17" s="804"/>
      <c r="BC17" s="804"/>
      <c r="BD17" s="804"/>
      <c r="BE17" s="804"/>
      <c r="BF17" s="804"/>
      <c r="BG17" s="804"/>
      <c r="BH17" s="804"/>
      <c r="BI17" s="804"/>
      <c r="BJ17" s="804"/>
      <c r="BK17" s="804"/>
      <c r="BL17" s="804"/>
      <c r="BM17" s="804"/>
      <c r="BN17" s="804"/>
      <c r="BO17" s="804"/>
      <c r="BP17" s="804"/>
      <c r="BQ17" s="804"/>
      <c r="BR17" s="804"/>
      <c r="BS17" s="804"/>
      <c r="BT17" s="804"/>
      <c r="BU17" s="804"/>
      <c r="BV17" s="804"/>
      <c r="BW17" s="804"/>
      <c r="BX17" s="804"/>
      <c r="BY17" s="804"/>
      <c r="BZ17" s="804"/>
      <c r="CA17" s="804"/>
      <c r="CB17" s="804"/>
      <c r="CC17" s="804"/>
      <c r="CD17" s="804"/>
      <c r="CE17" s="804"/>
      <c r="CF17" s="804"/>
      <c r="CG17" s="804"/>
      <c r="CH17" s="804"/>
      <c r="CI17" s="805"/>
    </row>
    <row r="18" spans="1:87">
      <c r="A18" s="641"/>
      <c r="B18" s="641"/>
      <c r="C18" s="641"/>
      <c r="D18" s="641"/>
      <c r="E18" s="641"/>
      <c r="F18" s="641"/>
      <c r="G18" s="641"/>
      <c r="H18" s="641"/>
      <c r="I18" s="641"/>
      <c r="J18" s="641"/>
      <c r="K18" s="641"/>
      <c r="L18" s="641"/>
      <c r="M18" s="641"/>
      <c r="N18" s="641"/>
      <c r="O18" s="641"/>
      <c r="P18" s="641"/>
      <c r="Q18" s="641"/>
      <c r="R18" s="641"/>
      <c r="S18" s="641"/>
      <c r="T18" s="641"/>
      <c r="U18" s="641"/>
      <c r="V18" s="641"/>
      <c r="W18" s="641"/>
      <c r="X18" s="641"/>
      <c r="Y18" s="641"/>
      <c r="Z18" s="641"/>
      <c r="AA18" s="641"/>
      <c r="AB18" s="641"/>
      <c r="AC18" s="641"/>
      <c r="AD18" s="641"/>
      <c r="AE18" s="641"/>
      <c r="AF18" s="641"/>
      <c r="AG18" s="641"/>
      <c r="AH18" s="641"/>
      <c r="AI18" s="641"/>
      <c r="AJ18" s="658"/>
      <c r="AK18" s="658"/>
      <c r="AL18" s="658"/>
      <c r="AM18" s="658"/>
      <c r="AN18" s="641"/>
      <c r="AO18" s="641"/>
      <c r="AP18" s="641"/>
      <c r="AQ18" s="641"/>
      <c r="AR18" s="641"/>
      <c r="AS18" s="641"/>
      <c r="AT18" s="641"/>
      <c r="AU18" s="641"/>
      <c r="AV18" s="641"/>
      <c r="AW18" s="641"/>
      <c r="AX18" s="641"/>
      <c r="AY18" s="641"/>
      <c r="AZ18" s="641"/>
      <c r="BA18" s="641"/>
      <c r="BB18" s="641"/>
      <c r="BC18" s="641"/>
      <c r="BD18" s="641"/>
      <c r="BE18" s="641"/>
      <c r="BF18" s="641"/>
      <c r="BG18" s="641"/>
      <c r="BH18" s="641"/>
      <c r="BI18" s="641"/>
      <c r="BJ18" s="641"/>
      <c r="BK18" s="641"/>
      <c r="BL18" s="641"/>
      <c r="BM18" s="641"/>
      <c r="BN18" s="641"/>
      <c r="BO18" s="641"/>
      <c r="BP18" s="641"/>
      <c r="BQ18" s="641"/>
      <c r="BR18" s="641"/>
      <c r="BS18" s="641"/>
      <c r="BT18" s="641"/>
      <c r="BU18" s="641"/>
      <c r="BV18" s="641"/>
      <c r="BW18" s="641"/>
      <c r="BX18" s="641"/>
      <c r="BY18" s="641"/>
      <c r="BZ18" s="641"/>
      <c r="CA18" s="641"/>
      <c r="CB18" s="641"/>
      <c r="CC18" s="641"/>
      <c r="CD18" s="641"/>
      <c r="CE18" s="641"/>
      <c r="CF18" s="641"/>
      <c r="CG18" s="641"/>
      <c r="CH18" s="641"/>
      <c r="CI18" s="641"/>
    </row>
    <row r="19" spans="1:87">
      <c r="A19" s="806" t="s">
        <v>339</v>
      </c>
      <c r="B19" s="806"/>
      <c r="C19" s="806"/>
      <c r="D19" s="806"/>
      <c r="E19" s="806"/>
      <c r="F19" s="806"/>
      <c r="G19" s="806"/>
      <c r="H19" s="806"/>
      <c r="I19" s="641"/>
      <c r="J19" s="641"/>
      <c r="K19" s="641"/>
      <c r="L19" s="641"/>
      <c r="M19" s="641"/>
      <c r="N19" s="641"/>
      <c r="O19" s="641"/>
      <c r="P19" s="641"/>
      <c r="Q19" s="641"/>
      <c r="R19" s="641"/>
      <c r="S19" s="641"/>
      <c r="T19" s="641"/>
      <c r="U19" s="641"/>
      <c r="V19" s="641"/>
      <c r="W19" s="641"/>
      <c r="X19" s="641"/>
      <c r="Y19" s="641"/>
      <c r="Z19" s="641"/>
      <c r="AA19" s="641"/>
      <c r="AB19" s="641"/>
      <c r="AC19" s="641"/>
      <c r="AD19" s="641"/>
      <c r="AE19" s="641"/>
      <c r="AF19" s="641"/>
      <c r="AG19" s="641"/>
      <c r="AH19" s="641"/>
      <c r="AI19" s="641"/>
      <c r="AJ19" s="641"/>
      <c r="AK19" s="641"/>
      <c r="AL19" s="641"/>
      <c r="AM19" s="641"/>
      <c r="AN19" s="641"/>
      <c r="AO19" s="641"/>
      <c r="AP19" s="641"/>
      <c r="AQ19" s="641"/>
      <c r="AR19" s="641"/>
      <c r="AS19" s="641"/>
      <c r="AT19" s="641"/>
      <c r="AU19" s="641"/>
      <c r="AV19" s="641"/>
      <c r="AW19" s="641"/>
      <c r="AX19" s="641"/>
      <c r="AY19" s="641"/>
      <c r="AZ19" s="641"/>
      <c r="BA19" s="641"/>
      <c r="BB19" s="641"/>
      <c r="BC19" s="641"/>
      <c r="BD19" s="641"/>
      <c r="BE19" s="641"/>
      <c r="BF19" s="641"/>
      <c r="BG19" s="641"/>
      <c r="BH19" s="641"/>
      <c r="BI19" s="641"/>
      <c r="BJ19" s="641"/>
      <c r="BK19" s="641"/>
      <c r="BL19" s="641"/>
      <c r="BM19" s="641"/>
      <c r="BN19" s="641"/>
      <c r="BO19" s="641"/>
      <c r="BP19" s="641"/>
      <c r="BQ19" s="641"/>
      <c r="BR19" s="641"/>
      <c r="BS19" s="641"/>
      <c r="BT19" s="641"/>
      <c r="BU19" s="641"/>
      <c r="BV19" s="641"/>
      <c r="BW19" s="641"/>
      <c r="BX19" s="641"/>
      <c r="BY19" s="641"/>
      <c r="BZ19" s="641"/>
      <c r="CA19" s="641"/>
      <c r="CB19" s="641"/>
      <c r="CC19" s="641"/>
      <c r="CD19" s="641"/>
      <c r="CE19" s="641"/>
      <c r="CF19" s="641"/>
      <c r="CG19" s="641"/>
      <c r="CH19" s="642"/>
      <c r="CI19" s="642"/>
    </row>
    <row r="20" spans="1:87" ht="21.25" customHeight="1">
      <c r="A20" s="807" t="s">
        <v>340</v>
      </c>
      <c r="B20" s="808"/>
      <c r="C20" s="811" t="s">
        <v>341</v>
      </c>
      <c r="D20" s="812"/>
      <c r="E20" s="812"/>
      <c r="F20" s="812"/>
      <c r="G20" s="812"/>
      <c r="H20" s="812"/>
      <c r="I20" s="812"/>
      <c r="J20" s="815" t="s">
        <v>342</v>
      </c>
      <c r="K20" s="816"/>
      <c r="L20" s="816"/>
      <c r="M20" s="816"/>
      <c r="N20" s="816"/>
      <c r="O20" s="816"/>
      <c r="P20" s="816"/>
      <c r="Q20" s="816"/>
      <c r="R20" s="816"/>
      <c r="S20" s="816"/>
      <c r="T20" s="816"/>
      <c r="U20" s="816"/>
      <c r="V20" s="816"/>
      <c r="W20" s="817"/>
      <c r="X20" s="815" t="s">
        <v>343</v>
      </c>
      <c r="Y20" s="816"/>
      <c r="Z20" s="816"/>
      <c r="AA20" s="816"/>
      <c r="AB20" s="816"/>
      <c r="AC20" s="816"/>
      <c r="AD20" s="816"/>
      <c r="AE20" s="807" t="s">
        <v>344</v>
      </c>
      <c r="AF20" s="821"/>
      <c r="AG20" s="821"/>
      <c r="AH20" s="821"/>
      <c r="AI20" s="821"/>
      <c r="AJ20" s="821"/>
      <c r="AK20" s="821"/>
      <c r="AL20" s="808"/>
      <c r="AM20" s="815" t="s">
        <v>345</v>
      </c>
      <c r="AN20" s="816"/>
      <c r="AO20" s="816"/>
      <c r="AP20" s="816"/>
      <c r="AQ20" s="816"/>
      <c r="AR20" s="816"/>
      <c r="AS20" s="816"/>
      <c r="AT20" s="816"/>
      <c r="AU20" s="816"/>
      <c r="AV20" s="817"/>
      <c r="AW20" s="815" t="s">
        <v>346</v>
      </c>
      <c r="AX20" s="816"/>
      <c r="AY20" s="816"/>
      <c r="AZ20" s="816"/>
      <c r="BA20" s="816"/>
      <c r="BB20" s="816"/>
      <c r="BC20" s="816"/>
      <c r="BD20" s="816"/>
      <c r="BE20" s="816"/>
      <c r="BF20" s="816"/>
      <c r="BG20" s="816"/>
      <c r="BH20" s="816"/>
      <c r="BI20" s="816"/>
      <c r="BJ20" s="816"/>
      <c r="BK20" s="816"/>
      <c r="BL20" s="816"/>
      <c r="BM20" s="816"/>
      <c r="BN20" s="816"/>
      <c r="BO20" s="816"/>
      <c r="BP20" s="816"/>
      <c r="BQ20" s="816"/>
      <c r="BR20" s="816"/>
      <c r="BS20" s="816"/>
      <c r="BT20" s="816"/>
      <c r="BU20" s="816"/>
      <c r="BV20" s="816"/>
      <c r="BW20" s="816"/>
      <c r="BX20" s="816"/>
      <c r="BY20" s="816"/>
      <c r="BZ20" s="816"/>
      <c r="CA20" s="816"/>
      <c r="CB20" s="816"/>
      <c r="CC20" s="816"/>
      <c r="CD20" s="816"/>
      <c r="CE20" s="816"/>
      <c r="CF20" s="816"/>
      <c r="CG20" s="816"/>
      <c r="CH20" s="816"/>
      <c r="CI20" s="817"/>
    </row>
    <row r="21" spans="1:87" ht="21.25" customHeight="1">
      <c r="A21" s="809"/>
      <c r="B21" s="810"/>
      <c r="C21" s="813"/>
      <c r="D21" s="814"/>
      <c r="E21" s="814"/>
      <c r="F21" s="814"/>
      <c r="G21" s="814"/>
      <c r="H21" s="814"/>
      <c r="I21" s="814"/>
      <c r="J21" s="818"/>
      <c r="K21" s="819"/>
      <c r="L21" s="819"/>
      <c r="M21" s="819"/>
      <c r="N21" s="819"/>
      <c r="O21" s="819"/>
      <c r="P21" s="819"/>
      <c r="Q21" s="819"/>
      <c r="R21" s="819"/>
      <c r="S21" s="819"/>
      <c r="T21" s="819"/>
      <c r="U21" s="819"/>
      <c r="V21" s="819"/>
      <c r="W21" s="820"/>
      <c r="X21" s="818"/>
      <c r="Y21" s="819"/>
      <c r="Z21" s="819"/>
      <c r="AA21" s="819"/>
      <c r="AB21" s="819"/>
      <c r="AC21" s="819"/>
      <c r="AD21" s="819"/>
      <c r="AE21" s="809"/>
      <c r="AF21" s="822"/>
      <c r="AG21" s="822"/>
      <c r="AH21" s="822"/>
      <c r="AI21" s="822"/>
      <c r="AJ21" s="822"/>
      <c r="AK21" s="822"/>
      <c r="AL21" s="810"/>
      <c r="AM21" s="818"/>
      <c r="AN21" s="819"/>
      <c r="AO21" s="819"/>
      <c r="AP21" s="819"/>
      <c r="AQ21" s="819"/>
      <c r="AR21" s="819"/>
      <c r="AS21" s="819"/>
      <c r="AT21" s="819"/>
      <c r="AU21" s="819"/>
      <c r="AV21" s="820"/>
      <c r="AW21" s="818"/>
      <c r="AX21" s="819"/>
      <c r="AY21" s="819"/>
      <c r="AZ21" s="819"/>
      <c r="BA21" s="819"/>
      <c r="BB21" s="819"/>
      <c r="BC21" s="819"/>
      <c r="BD21" s="819"/>
      <c r="BE21" s="819"/>
      <c r="BF21" s="819"/>
      <c r="BG21" s="819"/>
      <c r="BH21" s="819"/>
      <c r="BI21" s="819"/>
      <c r="BJ21" s="819"/>
      <c r="BK21" s="819"/>
      <c r="BL21" s="819"/>
      <c r="BM21" s="819"/>
      <c r="BN21" s="819"/>
      <c r="BO21" s="819"/>
      <c r="BP21" s="819"/>
      <c r="BQ21" s="819"/>
      <c r="BR21" s="819"/>
      <c r="BS21" s="819"/>
      <c r="BT21" s="819"/>
      <c r="BU21" s="819"/>
      <c r="BV21" s="819"/>
      <c r="BW21" s="819"/>
      <c r="BX21" s="819"/>
      <c r="BY21" s="819"/>
      <c r="BZ21" s="819"/>
      <c r="CA21" s="819"/>
      <c r="CB21" s="819"/>
      <c r="CC21" s="819"/>
      <c r="CD21" s="819"/>
      <c r="CE21" s="819"/>
      <c r="CF21" s="819"/>
      <c r="CG21" s="819"/>
      <c r="CH21" s="819"/>
      <c r="CI21" s="820"/>
    </row>
    <row r="22" spans="1:87" s="642" customFormat="1" ht="15.75" customHeight="1">
      <c r="A22" s="760">
        <v>1</v>
      </c>
      <c r="B22" s="761"/>
      <c r="C22" s="777" t="s">
        <v>452</v>
      </c>
      <c r="D22" s="778"/>
      <c r="E22" s="778"/>
      <c r="F22" s="778"/>
      <c r="G22" s="778"/>
      <c r="H22" s="778"/>
      <c r="I22" s="779"/>
      <c r="J22" s="777" t="s">
        <v>453</v>
      </c>
      <c r="K22" s="778"/>
      <c r="L22" s="778"/>
      <c r="M22" s="778"/>
      <c r="N22" s="778"/>
      <c r="O22" s="778"/>
      <c r="P22" s="779"/>
      <c r="Q22" s="777" t="s">
        <v>453</v>
      </c>
      <c r="R22" s="778"/>
      <c r="S22" s="778"/>
      <c r="T22" s="778"/>
      <c r="U22" s="778"/>
      <c r="V22" s="778"/>
      <c r="W22" s="779"/>
      <c r="X22" s="768" t="s">
        <v>348</v>
      </c>
      <c r="Y22" s="769"/>
      <c r="Z22" s="769"/>
      <c r="AA22" s="769"/>
      <c r="AB22" s="769"/>
      <c r="AC22" s="769"/>
      <c r="AD22" s="770"/>
      <c r="AE22" s="771" t="s">
        <v>347</v>
      </c>
      <c r="AF22" s="769"/>
      <c r="AG22" s="769"/>
      <c r="AH22" s="769"/>
      <c r="AI22" s="769"/>
      <c r="AJ22" s="769"/>
      <c r="AK22" s="769"/>
      <c r="AL22" s="772"/>
      <c r="AM22" s="773" t="s">
        <v>454</v>
      </c>
      <c r="AN22" s="774"/>
      <c r="AO22" s="774"/>
      <c r="AP22" s="774"/>
      <c r="AQ22" s="774"/>
      <c r="AR22" s="774"/>
      <c r="AS22" s="774"/>
      <c r="AT22" s="774"/>
      <c r="AU22" s="774"/>
      <c r="AV22" s="775"/>
      <c r="AW22" s="790" t="s">
        <v>455</v>
      </c>
      <c r="AX22" s="791"/>
      <c r="AY22" s="791"/>
      <c r="AZ22" s="791"/>
      <c r="BA22" s="791"/>
      <c r="BB22" s="791"/>
      <c r="BC22" s="791"/>
      <c r="BD22" s="791"/>
      <c r="BE22" s="791"/>
      <c r="BF22" s="791"/>
      <c r="BG22" s="791"/>
      <c r="BH22" s="791"/>
      <c r="BI22" s="791"/>
      <c r="BJ22" s="791"/>
      <c r="BK22" s="791"/>
      <c r="BL22" s="791"/>
      <c r="BM22" s="791"/>
      <c r="BN22" s="791"/>
      <c r="BO22" s="791"/>
      <c r="BP22" s="791"/>
      <c r="BQ22" s="791"/>
      <c r="BR22" s="791"/>
      <c r="BS22" s="791"/>
      <c r="BT22" s="791"/>
      <c r="BU22" s="791"/>
      <c r="BV22" s="791"/>
      <c r="BW22" s="791"/>
      <c r="BX22" s="791"/>
      <c r="BY22" s="791"/>
      <c r="BZ22" s="791"/>
      <c r="CA22" s="791"/>
      <c r="CB22" s="791"/>
      <c r="CC22" s="791"/>
      <c r="CD22" s="791"/>
      <c r="CE22" s="791"/>
      <c r="CF22" s="791"/>
      <c r="CG22" s="791"/>
      <c r="CH22" s="791"/>
      <c r="CI22" s="792"/>
    </row>
    <row r="23" spans="1:87" s="642" customFormat="1" ht="57.75" customHeight="1">
      <c r="A23" s="760">
        <v>2</v>
      </c>
      <c r="B23" s="761"/>
      <c r="C23" s="765" t="s">
        <v>456</v>
      </c>
      <c r="D23" s="766"/>
      <c r="E23" s="766"/>
      <c r="F23" s="766"/>
      <c r="G23" s="766"/>
      <c r="H23" s="766"/>
      <c r="I23" s="767"/>
      <c r="J23" s="765" t="s">
        <v>457</v>
      </c>
      <c r="K23" s="766"/>
      <c r="L23" s="766"/>
      <c r="M23" s="766"/>
      <c r="N23" s="766"/>
      <c r="O23" s="766"/>
      <c r="P23" s="767"/>
      <c r="Q23" s="765" t="s">
        <v>457</v>
      </c>
      <c r="R23" s="766"/>
      <c r="S23" s="766"/>
      <c r="T23" s="766"/>
      <c r="U23" s="766"/>
      <c r="V23" s="766"/>
      <c r="W23" s="767"/>
      <c r="X23" s="768" t="s">
        <v>348</v>
      </c>
      <c r="Y23" s="769"/>
      <c r="Z23" s="769"/>
      <c r="AA23" s="769"/>
      <c r="AB23" s="769"/>
      <c r="AC23" s="769"/>
      <c r="AD23" s="770"/>
      <c r="AE23" s="771" t="s">
        <v>347</v>
      </c>
      <c r="AF23" s="769"/>
      <c r="AG23" s="769"/>
      <c r="AH23" s="769"/>
      <c r="AI23" s="769"/>
      <c r="AJ23" s="769"/>
      <c r="AK23" s="769"/>
      <c r="AL23" s="772"/>
      <c r="AM23" s="773" t="s">
        <v>458</v>
      </c>
      <c r="AN23" s="774"/>
      <c r="AO23" s="774"/>
      <c r="AP23" s="774"/>
      <c r="AQ23" s="774"/>
      <c r="AR23" s="774"/>
      <c r="AS23" s="774"/>
      <c r="AT23" s="774"/>
      <c r="AU23" s="774"/>
      <c r="AV23" s="775"/>
      <c r="AW23" s="790" t="s">
        <v>459</v>
      </c>
      <c r="AX23" s="791"/>
      <c r="AY23" s="791"/>
      <c r="AZ23" s="791"/>
      <c r="BA23" s="791"/>
      <c r="BB23" s="791"/>
      <c r="BC23" s="791"/>
      <c r="BD23" s="791"/>
      <c r="BE23" s="791"/>
      <c r="BF23" s="791"/>
      <c r="BG23" s="791"/>
      <c r="BH23" s="791"/>
      <c r="BI23" s="791"/>
      <c r="BJ23" s="791"/>
      <c r="BK23" s="791"/>
      <c r="BL23" s="791"/>
      <c r="BM23" s="791"/>
      <c r="BN23" s="791"/>
      <c r="BO23" s="791"/>
      <c r="BP23" s="791"/>
      <c r="BQ23" s="791"/>
      <c r="BR23" s="791"/>
      <c r="BS23" s="791"/>
      <c r="BT23" s="791"/>
      <c r="BU23" s="791"/>
      <c r="BV23" s="791"/>
      <c r="BW23" s="791"/>
      <c r="BX23" s="791"/>
      <c r="BY23" s="791"/>
      <c r="BZ23" s="791"/>
      <c r="CA23" s="791"/>
      <c r="CB23" s="791"/>
      <c r="CC23" s="791"/>
      <c r="CD23" s="791"/>
      <c r="CE23" s="791"/>
      <c r="CF23" s="791"/>
      <c r="CG23" s="791"/>
      <c r="CH23" s="791"/>
      <c r="CI23" s="792"/>
    </row>
    <row r="24" spans="1:87" s="642" customFormat="1">
      <c r="A24" s="760">
        <v>4</v>
      </c>
      <c r="B24" s="761"/>
      <c r="C24" s="780"/>
      <c r="D24" s="781"/>
      <c r="E24" s="781"/>
      <c r="F24" s="781"/>
      <c r="G24" s="781"/>
      <c r="H24" s="781"/>
      <c r="I24" s="782"/>
      <c r="J24" s="765"/>
      <c r="K24" s="766"/>
      <c r="L24" s="766"/>
      <c r="M24" s="766"/>
      <c r="N24" s="766"/>
      <c r="O24" s="766"/>
      <c r="P24" s="767"/>
      <c r="Q24" s="783"/>
      <c r="R24" s="784"/>
      <c r="S24" s="784"/>
      <c r="T24" s="784"/>
      <c r="U24" s="784"/>
      <c r="V24" s="784"/>
      <c r="W24" s="785"/>
      <c r="X24" s="768"/>
      <c r="Y24" s="769"/>
      <c r="Z24" s="769"/>
      <c r="AA24" s="769"/>
      <c r="AB24" s="769"/>
      <c r="AC24" s="769"/>
      <c r="AD24" s="770"/>
      <c r="AE24" s="771"/>
      <c r="AF24" s="769"/>
      <c r="AG24" s="769"/>
      <c r="AH24" s="769"/>
      <c r="AI24" s="769"/>
      <c r="AJ24" s="769"/>
      <c r="AK24" s="769"/>
      <c r="AL24" s="772"/>
      <c r="AM24" s="773"/>
      <c r="AN24" s="774"/>
      <c r="AO24" s="774"/>
      <c r="AP24" s="774"/>
      <c r="AQ24" s="774"/>
      <c r="AR24" s="774"/>
      <c r="AS24" s="774"/>
      <c r="AT24" s="774"/>
      <c r="AU24" s="774"/>
      <c r="AV24" s="775"/>
      <c r="AW24" s="786"/>
      <c r="AX24" s="776"/>
      <c r="AY24" s="776"/>
      <c r="AZ24" s="776"/>
      <c r="BA24" s="776"/>
      <c r="BB24" s="776"/>
      <c r="BC24" s="776"/>
      <c r="BD24" s="776"/>
      <c r="BE24" s="776"/>
      <c r="BF24" s="776"/>
      <c r="BG24" s="776"/>
      <c r="BH24" s="776"/>
      <c r="BI24" s="776"/>
      <c r="BJ24" s="776"/>
      <c r="BK24" s="776"/>
      <c r="BL24" s="776"/>
      <c r="BM24" s="776"/>
      <c r="BN24" s="776"/>
      <c r="BO24" s="776"/>
      <c r="BP24" s="776"/>
      <c r="BQ24" s="776"/>
      <c r="BR24" s="776"/>
      <c r="BS24" s="776"/>
      <c r="BT24" s="776"/>
      <c r="BU24" s="776"/>
      <c r="BV24" s="776"/>
      <c r="BW24" s="776"/>
      <c r="BX24" s="776"/>
      <c r="BY24" s="776"/>
      <c r="BZ24" s="776"/>
      <c r="CA24" s="776"/>
      <c r="CB24" s="776"/>
      <c r="CC24" s="776"/>
      <c r="CD24" s="776"/>
      <c r="CE24" s="776"/>
      <c r="CF24" s="776"/>
      <c r="CG24" s="776"/>
      <c r="CH24" s="776"/>
      <c r="CI24" s="776"/>
    </row>
    <row r="25" spans="1:87" s="642" customFormat="1">
      <c r="A25" s="760">
        <v>5</v>
      </c>
      <c r="B25" s="761"/>
      <c r="C25" s="762"/>
      <c r="D25" s="763"/>
      <c r="E25" s="763"/>
      <c r="F25" s="763"/>
      <c r="G25" s="763"/>
      <c r="H25" s="763"/>
      <c r="I25" s="764"/>
      <c r="J25" s="765"/>
      <c r="K25" s="766"/>
      <c r="L25" s="766"/>
      <c r="M25" s="766"/>
      <c r="N25" s="766"/>
      <c r="O25" s="766"/>
      <c r="P25" s="767"/>
      <c r="Q25" s="762"/>
      <c r="R25" s="763"/>
      <c r="S25" s="763"/>
      <c r="T25" s="763"/>
      <c r="U25" s="763"/>
      <c r="V25" s="763"/>
      <c r="W25" s="764"/>
      <c r="X25" s="768"/>
      <c r="Y25" s="769"/>
      <c r="Z25" s="769"/>
      <c r="AA25" s="769"/>
      <c r="AB25" s="769"/>
      <c r="AC25" s="769"/>
      <c r="AD25" s="770"/>
      <c r="AE25" s="771"/>
      <c r="AF25" s="769"/>
      <c r="AG25" s="769"/>
      <c r="AH25" s="769"/>
      <c r="AI25" s="769"/>
      <c r="AJ25" s="769"/>
      <c r="AK25" s="769"/>
      <c r="AL25" s="772"/>
      <c r="AM25" s="787"/>
      <c r="AN25" s="788"/>
      <c r="AO25" s="788"/>
      <c r="AP25" s="788"/>
      <c r="AQ25" s="788"/>
      <c r="AR25" s="788"/>
      <c r="AS25" s="788"/>
      <c r="AT25" s="788"/>
      <c r="AU25" s="788"/>
      <c r="AV25" s="789"/>
      <c r="AW25" s="776"/>
      <c r="AX25" s="776"/>
      <c r="AY25" s="776"/>
      <c r="AZ25" s="776"/>
      <c r="BA25" s="776"/>
      <c r="BB25" s="776"/>
      <c r="BC25" s="776"/>
      <c r="BD25" s="776"/>
      <c r="BE25" s="776"/>
      <c r="BF25" s="776"/>
      <c r="BG25" s="776"/>
      <c r="BH25" s="776"/>
      <c r="BI25" s="776"/>
      <c r="BJ25" s="776"/>
      <c r="BK25" s="776"/>
      <c r="BL25" s="776"/>
      <c r="BM25" s="776"/>
      <c r="BN25" s="776"/>
      <c r="BO25" s="776"/>
      <c r="BP25" s="776"/>
      <c r="BQ25" s="776"/>
      <c r="BR25" s="776"/>
      <c r="BS25" s="776"/>
      <c r="BT25" s="776"/>
      <c r="BU25" s="776"/>
      <c r="BV25" s="776"/>
      <c r="BW25" s="776"/>
      <c r="BX25" s="776"/>
      <c r="BY25" s="776"/>
      <c r="BZ25" s="776"/>
      <c r="CA25" s="776"/>
      <c r="CB25" s="776"/>
      <c r="CC25" s="776"/>
      <c r="CD25" s="776"/>
      <c r="CE25" s="776"/>
      <c r="CF25" s="776"/>
      <c r="CG25" s="776"/>
      <c r="CH25" s="776"/>
      <c r="CI25" s="776"/>
    </row>
    <row r="26" spans="1:87" s="642" customFormat="1">
      <c r="A26" s="760">
        <v>6</v>
      </c>
      <c r="B26" s="761"/>
      <c r="C26" s="762"/>
      <c r="D26" s="763"/>
      <c r="E26" s="763"/>
      <c r="F26" s="763"/>
      <c r="G26" s="763"/>
      <c r="H26" s="763"/>
      <c r="I26" s="764"/>
      <c r="J26" s="765"/>
      <c r="K26" s="766"/>
      <c r="L26" s="766"/>
      <c r="M26" s="766"/>
      <c r="N26" s="766"/>
      <c r="O26" s="766"/>
      <c r="P26" s="767"/>
      <c r="Q26" s="762"/>
      <c r="R26" s="763"/>
      <c r="S26" s="763"/>
      <c r="T26" s="763"/>
      <c r="U26" s="763"/>
      <c r="V26" s="763"/>
      <c r="W26" s="764"/>
      <c r="X26" s="768"/>
      <c r="Y26" s="769"/>
      <c r="Z26" s="769"/>
      <c r="AA26" s="769"/>
      <c r="AB26" s="769"/>
      <c r="AC26" s="769"/>
      <c r="AD26" s="770"/>
      <c r="AE26" s="771"/>
      <c r="AF26" s="769"/>
      <c r="AG26" s="769"/>
      <c r="AH26" s="769"/>
      <c r="AI26" s="769"/>
      <c r="AJ26" s="769"/>
      <c r="AK26" s="769"/>
      <c r="AL26" s="772"/>
      <c r="AM26" s="773"/>
      <c r="AN26" s="774"/>
      <c r="AO26" s="774"/>
      <c r="AP26" s="774"/>
      <c r="AQ26" s="774"/>
      <c r="AR26" s="774"/>
      <c r="AS26" s="774"/>
      <c r="AT26" s="774"/>
      <c r="AU26" s="774"/>
      <c r="AV26" s="775"/>
      <c r="AW26" s="776"/>
      <c r="AX26" s="776"/>
      <c r="AY26" s="776"/>
      <c r="AZ26" s="776"/>
      <c r="BA26" s="776"/>
      <c r="BB26" s="776"/>
      <c r="BC26" s="776"/>
      <c r="BD26" s="776"/>
      <c r="BE26" s="776"/>
      <c r="BF26" s="776"/>
      <c r="BG26" s="776"/>
      <c r="BH26" s="776"/>
      <c r="BI26" s="776"/>
      <c r="BJ26" s="776"/>
      <c r="BK26" s="776"/>
      <c r="BL26" s="776"/>
      <c r="BM26" s="776"/>
      <c r="BN26" s="776"/>
      <c r="BO26" s="776"/>
      <c r="BP26" s="776"/>
      <c r="BQ26" s="776"/>
      <c r="BR26" s="776"/>
      <c r="BS26" s="776"/>
      <c r="BT26" s="776"/>
      <c r="BU26" s="776"/>
      <c r="BV26" s="776"/>
      <c r="BW26" s="776"/>
      <c r="BX26" s="776"/>
      <c r="BY26" s="776"/>
      <c r="BZ26" s="776"/>
      <c r="CA26" s="776"/>
      <c r="CB26" s="776"/>
      <c r="CC26" s="776"/>
      <c r="CD26" s="776"/>
      <c r="CE26" s="776"/>
      <c r="CF26" s="776"/>
      <c r="CG26" s="776"/>
      <c r="CH26" s="776"/>
      <c r="CI26" s="776"/>
    </row>
    <row r="27" spans="1:87">
      <c r="A27" s="760">
        <v>7</v>
      </c>
      <c r="B27" s="761"/>
      <c r="C27" s="777"/>
      <c r="D27" s="778"/>
      <c r="E27" s="778"/>
      <c r="F27" s="778"/>
      <c r="G27" s="778"/>
      <c r="H27" s="778"/>
      <c r="I27" s="779"/>
      <c r="J27" s="765"/>
      <c r="K27" s="766"/>
      <c r="L27" s="766"/>
      <c r="M27" s="766"/>
      <c r="N27" s="766"/>
      <c r="O27" s="766"/>
      <c r="P27" s="767"/>
      <c r="Q27" s="777"/>
      <c r="R27" s="778"/>
      <c r="S27" s="778"/>
      <c r="T27" s="778"/>
      <c r="U27" s="778"/>
      <c r="V27" s="778"/>
      <c r="W27" s="779"/>
      <c r="X27" s="768"/>
      <c r="Y27" s="769"/>
      <c r="Z27" s="769"/>
      <c r="AA27" s="769"/>
      <c r="AB27" s="769"/>
      <c r="AC27" s="769"/>
      <c r="AD27" s="770"/>
      <c r="AE27" s="771"/>
      <c r="AF27" s="769"/>
      <c r="AG27" s="769"/>
      <c r="AH27" s="769"/>
      <c r="AI27" s="769"/>
      <c r="AJ27" s="769"/>
      <c r="AK27" s="769"/>
      <c r="AL27" s="772"/>
      <c r="AM27" s="773"/>
      <c r="AN27" s="774"/>
      <c r="AO27" s="774"/>
      <c r="AP27" s="774"/>
      <c r="AQ27" s="774"/>
      <c r="AR27" s="774"/>
      <c r="AS27" s="774"/>
      <c r="AT27" s="774"/>
      <c r="AU27" s="774"/>
      <c r="AV27" s="775"/>
      <c r="AW27" s="776"/>
      <c r="AX27" s="776"/>
      <c r="AY27" s="776"/>
      <c r="AZ27" s="776"/>
      <c r="BA27" s="776"/>
      <c r="BB27" s="776"/>
      <c r="BC27" s="776"/>
      <c r="BD27" s="776"/>
      <c r="BE27" s="776"/>
      <c r="BF27" s="776"/>
      <c r="BG27" s="776"/>
      <c r="BH27" s="776"/>
      <c r="BI27" s="776"/>
      <c r="BJ27" s="776"/>
      <c r="BK27" s="776"/>
      <c r="BL27" s="776"/>
      <c r="BM27" s="776"/>
      <c r="BN27" s="776"/>
      <c r="BO27" s="776"/>
      <c r="BP27" s="776"/>
      <c r="BQ27" s="776"/>
      <c r="BR27" s="776"/>
      <c r="BS27" s="776"/>
      <c r="BT27" s="776"/>
      <c r="BU27" s="776"/>
      <c r="BV27" s="776"/>
      <c r="BW27" s="776"/>
      <c r="BX27" s="776"/>
      <c r="BY27" s="776"/>
      <c r="BZ27" s="776"/>
      <c r="CA27" s="776"/>
      <c r="CB27" s="776"/>
      <c r="CC27" s="776"/>
      <c r="CD27" s="776"/>
      <c r="CE27" s="776"/>
      <c r="CF27" s="776"/>
      <c r="CG27" s="776"/>
      <c r="CH27" s="776"/>
      <c r="CI27" s="776"/>
    </row>
    <row r="28" spans="1:87">
      <c r="A28" s="760">
        <v>8</v>
      </c>
      <c r="B28" s="761"/>
      <c r="C28" s="762"/>
      <c r="D28" s="763"/>
      <c r="E28" s="763"/>
      <c r="F28" s="763"/>
      <c r="G28" s="763"/>
      <c r="H28" s="763"/>
      <c r="I28" s="764"/>
      <c r="J28" s="765"/>
      <c r="K28" s="766"/>
      <c r="L28" s="766"/>
      <c r="M28" s="766"/>
      <c r="N28" s="766"/>
      <c r="O28" s="766"/>
      <c r="P28" s="767"/>
      <c r="Q28" s="762"/>
      <c r="R28" s="763"/>
      <c r="S28" s="763"/>
      <c r="T28" s="763"/>
      <c r="U28" s="763"/>
      <c r="V28" s="763"/>
      <c r="W28" s="764"/>
      <c r="X28" s="768"/>
      <c r="Y28" s="769"/>
      <c r="Z28" s="769"/>
      <c r="AA28" s="769"/>
      <c r="AB28" s="769"/>
      <c r="AC28" s="769"/>
      <c r="AD28" s="770"/>
      <c r="AE28" s="771"/>
      <c r="AF28" s="769"/>
      <c r="AG28" s="769"/>
      <c r="AH28" s="769"/>
      <c r="AI28" s="769"/>
      <c r="AJ28" s="769"/>
      <c r="AK28" s="769"/>
      <c r="AL28" s="772"/>
      <c r="AM28" s="773"/>
      <c r="AN28" s="774"/>
      <c r="AO28" s="774"/>
      <c r="AP28" s="774"/>
      <c r="AQ28" s="774"/>
      <c r="AR28" s="774"/>
      <c r="AS28" s="774"/>
      <c r="AT28" s="774"/>
      <c r="AU28" s="774"/>
      <c r="AV28" s="775"/>
      <c r="AW28" s="776"/>
      <c r="AX28" s="776"/>
      <c r="AY28" s="776"/>
      <c r="AZ28" s="776"/>
      <c r="BA28" s="776"/>
      <c r="BB28" s="776"/>
      <c r="BC28" s="776"/>
      <c r="BD28" s="776"/>
      <c r="BE28" s="776"/>
      <c r="BF28" s="776"/>
      <c r="BG28" s="776"/>
      <c r="BH28" s="776"/>
      <c r="BI28" s="776"/>
      <c r="BJ28" s="776"/>
      <c r="BK28" s="776"/>
      <c r="BL28" s="776"/>
      <c r="BM28" s="776"/>
      <c r="BN28" s="776"/>
      <c r="BO28" s="776"/>
      <c r="BP28" s="776"/>
      <c r="BQ28" s="776"/>
      <c r="BR28" s="776"/>
      <c r="BS28" s="776"/>
      <c r="BT28" s="776"/>
      <c r="BU28" s="776"/>
      <c r="BV28" s="776"/>
      <c r="BW28" s="776"/>
      <c r="BX28" s="776"/>
      <c r="BY28" s="776"/>
      <c r="BZ28" s="776"/>
      <c r="CA28" s="776"/>
      <c r="CB28" s="776"/>
      <c r="CC28" s="776"/>
      <c r="CD28" s="776"/>
      <c r="CE28" s="776"/>
      <c r="CF28" s="776"/>
      <c r="CG28" s="776"/>
      <c r="CH28" s="776"/>
      <c r="CI28" s="776"/>
    </row>
    <row r="31" spans="1:87">
      <c r="C31" s="659" t="s">
        <v>349</v>
      </c>
      <c r="D31" s="660"/>
      <c r="E31" s="661"/>
      <c r="F31" s="662"/>
      <c r="G31" s="662"/>
      <c r="H31" s="662"/>
      <c r="I31" s="662"/>
      <c r="J31" s="662"/>
      <c r="K31" s="662"/>
      <c r="L31" s="663"/>
      <c r="P31" s="664" t="s">
        <v>350</v>
      </c>
      <c r="Q31" s="665"/>
      <c r="R31" s="665"/>
      <c r="S31" s="666"/>
      <c r="T31" s="667"/>
      <c r="U31" s="664" t="s">
        <v>310</v>
      </c>
      <c r="V31" s="666"/>
      <c r="Y31" s="651" t="s">
        <v>311</v>
      </c>
      <c r="Z31" s="652"/>
      <c r="AA31" s="651"/>
      <c r="AB31" s="652"/>
      <c r="AC31" s="652"/>
      <c r="AD31" s="652"/>
      <c r="AE31" s="653"/>
    </row>
    <row r="32" spans="1:87">
      <c r="C32" s="668" t="s">
        <v>351</v>
      </c>
      <c r="D32" s="661"/>
      <c r="E32" s="661"/>
      <c r="F32" s="662"/>
      <c r="G32" s="662"/>
      <c r="H32" s="662"/>
      <c r="I32" s="661"/>
      <c r="J32" s="662"/>
      <c r="K32" s="662"/>
      <c r="L32" s="663"/>
      <c r="P32" s="669" t="s">
        <v>352</v>
      </c>
      <c r="Q32" s="670"/>
      <c r="R32" s="670"/>
      <c r="S32" s="671"/>
      <c r="T32" s="667"/>
      <c r="U32" s="669" t="s">
        <v>332</v>
      </c>
      <c r="V32" s="671"/>
      <c r="Y32" s="651" t="s">
        <v>353</v>
      </c>
      <c r="Z32" s="652"/>
      <c r="AA32" s="651" t="s">
        <v>354</v>
      </c>
      <c r="AB32" s="652"/>
      <c r="AC32" s="652"/>
      <c r="AD32" s="652"/>
      <c r="AE32" s="653"/>
    </row>
    <row r="33" spans="3:59">
      <c r="C33" s="668" t="s">
        <v>355</v>
      </c>
      <c r="D33" s="661"/>
      <c r="E33" s="661"/>
      <c r="F33" s="662"/>
      <c r="G33" s="662"/>
      <c r="H33" s="662"/>
      <c r="I33" s="661"/>
      <c r="J33" s="662"/>
      <c r="K33" s="662"/>
      <c r="L33" s="663"/>
      <c r="P33" s="669" t="s">
        <v>356</v>
      </c>
      <c r="Q33" s="670"/>
      <c r="R33" s="670"/>
      <c r="S33" s="671"/>
      <c r="T33" s="667"/>
      <c r="U33" s="669" t="s">
        <v>329</v>
      </c>
      <c r="V33" s="671"/>
      <c r="Y33" s="651" t="s">
        <v>357</v>
      </c>
      <c r="Z33" s="652"/>
      <c r="AA33" s="651" t="s">
        <v>358</v>
      </c>
      <c r="AB33" s="652"/>
      <c r="AC33" s="652"/>
      <c r="AD33" s="652"/>
      <c r="AE33" s="653"/>
    </row>
    <row r="34" spans="3:59">
      <c r="C34" s="668" t="s">
        <v>359</v>
      </c>
      <c r="D34" s="661"/>
      <c r="E34" s="661"/>
      <c r="F34" s="662"/>
      <c r="G34" s="662"/>
      <c r="H34" s="662"/>
      <c r="I34" s="661"/>
      <c r="J34" s="662"/>
      <c r="K34" s="662"/>
      <c r="L34" s="663"/>
      <c r="T34" s="667"/>
      <c r="U34" s="669" t="s">
        <v>310</v>
      </c>
      <c r="V34" s="671"/>
      <c r="Y34" s="672" t="s">
        <v>360</v>
      </c>
      <c r="Z34" s="673"/>
      <c r="AA34" s="672" t="s">
        <v>361</v>
      </c>
      <c r="AB34" s="673"/>
      <c r="AC34" s="673"/>
      <c r="AD34" s="673"/>
      <c r="AE34" s="674"/>
    </row>
    <row r="35" spans="3:59">
      <c r="C35" s="668" t="s">
        <v>362</v>
      </c>
      <c r="D35" s="661"/>
      <c r="E35" s="661"/>
      <c r="F35" s="662"/>
      <c r="G35" s="662"/>
      <c r="H35" s="662"/>
      <c r="I35" s="661"/>
      <c r="J35" s="662"/>
      <c r="K35" s="662"/>
      <c r="L35" s="663"/>
      <c r="T35" s="667"/>
      <c r="U35" s="669" t="s">
        <v>334</v>
      </c>
      <c r="V35" s="671"/>
      <c r="Z35" s="675"/>
      <c r="AA35" s="675"/>
      <c r="AB35" s="675"/>
      <c r="AC35" s="675"/>
      <c r="AD35" s="675"/>
      <c r="AE35" s="675"/>
      <c r="AF35" s="675"/>
      <c r="AG35" s="675"/>
      <c r="AH35" s="675"/>
      <c r="AI35" s="675"/>
      <c r="AJ35" s="675"/>
      <c r="AK35" s="675"/>
      <c r="AL35" s="675"/>
      <c r="AM35" s="675"/>
      <c r="AN35" s="675"/>
      <c r="AO35" s="675"/>
      <c r="AP35" s="675"/>
      <c r="AQ35" s="675"/>
      <c r="AR35" s="675"/>
      <c r="AS35" s="675"/>
      <c r="AT35" s="675"/>
      <c r="AU35" s="676"/>
      <c r="AV35" s="676"/>
      <c r="AW35" s="676"/>
      <c r="AX35" s="676"/>
      <c r="AY35" s="675"/>
      <c r="AZ35" s="675"/>
      <c r="BA35" s="675"/>
      <c r="BB35" s="675"/>
      <c r="BC35" s="675"/>
      <c r="BD35" s="675"/>
      <c r="BE35" s="675"/>
      <c r="BF35" s="675"/>
      <c r="BG35" s="675"/>
    </row>
    <row r="36" spans="3:59">
      <c r="C36" s="668" t="s">
        <v>363</v>
      </c>
      <c r="D36" s="661"/>
      <c r="E36" s="661"/>
      <c r="F36" s="662"/>
      <c r="G36" s="662"/>
      <c r="H36" s="662"/>
      <c r="I36" s="661"/>
      <c r="J36" s="662"/>
      <c r="K36" s="662"/>
      <c r="L36" s="663"/>
      <c r="Z36" s="677"/>
      <c r="AA36" s="677"/>
      <c r="AB36" s="677"/>
      <c r="AC36" s="677"/>
      <c r="AD36" s="677"/>
      <c r="AE36" s="677"/>
      <c r="AF36" s="677"/>
      <c r="AG36" s="677"/>
      <c r="AH36" s="677"/>
      <c r="AI36" s="677"/>
      <c r="AJ36" s="677"/>
      <c r="AK36" s="677"/>
      <c r="AL36" s="677"/>
      <c r="AM36" s="677"/>
      <c r="AN36" s="677"/>
      <c r="AO36" s="677"/>
      <c r="AP36" s="678"/>
      <c r="AQ36" s="678"/>
      <c r="AR36" s="678"/>
      <c r="AS36" s="678"/>
      <c r="AT36" s="678"/>
      <c r="AU36" s="679"/>
      <c r="AV36" s="679"/>
      <c r="AW36" s="679"/>
      <c r="AX36" s="679"/>
      <c r="AY36" s="680"/>
      <c r="AZ36" s="680"/>
      <c r="BA36" s="680"/>
      <c r="BB36" s="680"/>
      <c r="BC36" s="680"/>
      <c r="BD36" s="680"/>
      <c r="BE36" s="680"/>
      <c r="BF36" s="680"/>
      <c r="BG36" s="680"/>
    </row>
    <row r="37" spans="3:59">
      <c r="C37" s="668" t="s">
        <v>364</v>
      </c>
      <c r="D37" s="661"/>
      <c r="E37" s="661"/>
      <c r="F37" s="662"/>
      <c r="G37" s="662"/>
      <c r="H37" s="662"/>
      <c r="I37" s="661"/>
      <c r="J37" s="662"/>
      <c r="K37" s="662"/>
      <c r="L37" s="663"/>
      <c r="Z37" s="677"/>
      <c r="AA37" s="677"/>
      <c r="AB37" s="677"/>
      <c r="AC37" s="677"/>
      <c r="AD37" s="677"/>
      <c r="AE37" s="677"/>
      <c r="AF37" s="677"/>
      <c r="AG37" s="677"/>
      <c r="AH37" s="677"/>
      <c r="AI37" s="677"/>
      <c r="AJ37" s="677"/>
      <c r="AK37" s="677"/>
      <c r="AL37" s="677"/>
      <c r="AM37" s="677"/>
      <c r="AN37" s="677"/>
      <c r="AO37" s="677"/>
      <c r="AP37" s="678"/>
      <c r="AQ37" s="678"/>
      <c r="AR37" s="678"/>
      <c r="AS37" s="678"/>
      <c r="AT37" s="678"/>
      <c r="AU37" s="679"/>
      <c r="AV37" s="679"/>
      <c r="AW37" s="679"/>
      <c r="AX37" s="679"/>
      <c r="AY37" s="680"/>
      <c r="AZ37" s="680"/>
      <c r="BA37" s="680"/>
      <c r="BB37" s="680"/>
      <c r="BC37" s="680"/>
      <c r="BD37" s="680"/>
      <c r="BE37" s="680"/>
      <c r="BF37" s="680"/>
      <c r="BG37" s="680"/>
    </row>
    <row r="38" spans="3:59">
      <c r="C38" s="668" t="s">
        <v>365</v>
      </c>
      <c r="D38" s="661"/>
      <c r="E38" s="661"/>
      <c r="F38" s="662"/>
      <c r="G38" s="662"/>
      <c r="H38" s="662"/>
      <c r="I38" s="661"/>
      <c r="J38" s="662"/>
      <c r="K38" s="662"/>
      <c r="L38" s="663"/>
      <c r="Z38" s="677"/>
      <c r="AA38" s="677"/>
      <c r="AB38" s="677"/>
      <c r="AC38" s="677"/>
      <c r="AD38" s="677"/>
      <c r="AE38" s="677"/>
      <c r="AF38" s="677"/>
      <c r="AG38" s="677"/>
      <c r="AH38" s="677"/>
      <c r="AI38" s="677"/>
      <c r="AJ38" s="677"/>
      <c r="AK38" s="677"/>
      <c r="AL38" s="677"/>
      <c r="AM38" s="677"/>
      <c r="AN38" s="677"/>
      <c r="AO38" s="677"/>
      <c r="AP38" s="678"/>
      <c r="AQ38" s="678"/>
      <c r="AR38" s="678"/>
      <c r="AS38" s="678"/>
      <c r="AT38" s="678"/>
      <c r="AU38" s="679"/>
      <c r="AV38" s="679"/>
      <c r="AW38" s="679"/>
      <c r="AX38" s="679"/>
      <c r="AY38" s="680"/>
      <c r="AZ38" s="680"/>
      <c r="BA38" s="680"/>
      <c r="BB38" s="680"/>
      <c r="BC38" s="680"/>
      <c r="BD38" s="680"/>
      <c r="BE38" s="680"/>
      <c r="BF38" s="680"/>
      <c r="BG38" s="680"/>
    </row>
    <row r="39" spans="3:59">
      <c r="C39" s="668" t="s">
        <v>366</v>
      </c>
      <c r="D39" s="661"/>
      <c r="E39" s="661"/>
      <c r="F39" s="662"/>
      <c r="G39" s="662"/>
      <c r="H39" s="662"/>
      <c r="I39" s="661"/>
      <c r="J39" s="662"/>
      <c r="K39" s="662"/>
      <c r="L39" s="663"/>
      <c r="Z39" s="677"/>
      <c r="AA39" s="677"/>
      <c r="AB39" s="677"/>
      <c r="AC39" s="677"/>
      <c r="AD39" s="677"/>
      <c r="AE39" s="677"/>
      <c r="AF39" s="677"/>
      <c r="AG39" s="677"/>
      <c r="AH39" s="677"/>
      <c r="AI39" s="677"/>
      <c r="AJ39" s="677"/>
      <c r="AK39" s="677"/>
      <c r="AL39" s="677"/>
      <c r="AM39" s="677"/>
      <c r="AN39" s="677"/>
      <c r="AO39" s="677"/>
      <c r="AP39" s="678"/>
      <c r="AQ39" s="678"/>
      <c r="AR39" s="678"/>
      <c r="AS39" s="678"/>
      <c r="AT39" s="678"/>
      <c r="AU39" s="679"/>
      <c r="AV39" s="679"/>
      <c r="AW39" s="679"/>
      <c r="AX39" s="679"/>
      <c r="AY39" s="680"/>
      <c r="AZ39" s="680"/>
      <c r="BA39" s="680"/>
      <c r="BB39" s="680"/>
      <c r="BC39" s="680"/>
      <c r="BD39" s="680"/>
      <c r="BE39" s="680"/>
      <c r="BF39" s="680"/>
      <c r="BG39" s="680"/>
    </row>
    <row r="40" spans="3:59">
      <c r="C40" s="668" t="s">
        <v>367</v>
      </c>
      <c r="D40" s="661"/>
      <c r="E40" s="661"/>
      <c r="F40" s="662"/>
      <c r="G40" s="662"/>
      <c r="H40" s="662"/>
      <c r="I40" s="661"/>
      <c r="J40" s="662"/>
      <c r="K40" s="662"/>
      <c r="L40" s="663"/>
    </row>
    <row r="41" spans="3:59">
      <c r="C41" s="668" t="s">
        <v>368</v>
      </c>
      <c r="D41" s="661"/>
      <c r="E41" s="661"/>
      <c r="F41" s="662"/>
      <c r="G41" s="662"/>
      <c r="H41" s="662"/>
      <c r="I41" s="661"/>
      <c r="J41" s="662"/>
      <c r="K41" s="662"/>
      <c r="L41" s="663"/>
    </row>
    <row r="42" spans="3:59">
      <c r="C42" s="668" t="s">
        <v>369</v>
      </c>
      <c r="D42" s="661"/>
      <c r="E42" s="661"/>
      <c r="F42" s="662"/>
      <c r="G42" s="662"/>
      <c r="H42" s="662"/>
      <c r="I42" s="661"/>
      <c r="J42" s="662"/>
      <c r="K42" s="662"/>
      <c r="L42" s="663"/>
    </row>
    <row r="43" spans="3:59">
      <c r="C43" s="668" t="s">
        <v>370</v>
      </c>
      <c r="D43" s="661"/>
      <c r="E43" s="661"/>
      <c r="F43" s="662"/>
      <c r="G43" s="662"/>
      <c r="H43" s="662"/>
      <c r="I43" s="661"/>
      <c r="J43" s="662"/>
      <c r="K43" s="662"/>
      <c r="L43" s="663"/>
    </row>
    <row r="44" spans="3:59">
      <c r="C44" s="668" t="s">
        <v>371</v>
      </c>
      <c r="D44" s="661"/>
      <c r="E44" s="661"/>
      <c r="F44" s="662"/>
      <c r="G44" s="662"/>
      <c r="H44" s="662"/>
      <c r="I44" s="661"/>
      <c r="J44" s="662"/>
      <c r="K44" s="662"/>
      <c r="L44" s="663"/>
    </row>
    <row r="45" spans="3:59">
      <c r="C45" s="668" t="s">
        <v>372</v>
      </c>
      <c r="D45" s="661"/>
      <c r="E45" s="661"/>
      <c r="F45" s="662"/>
      <c r="G45" s="662"/>
      <c r="H45" s="662"/>
      <c r="I45" s="661"/>
      <c r="J45" s="662"/>
      <c r="K45" s="662"/>
      <c r="L45" s="663"/>
    </row>
    <row r="46" spans="3:59">
      <c r="C46" s="668" t="s">
        <v>373</v>
      </c>
      <c r="D46" s="661"/>
      <c r="E46" s="661"/>
      <c r="F46" s="662"/>
      <c r="G46" s="662"/>
      <c r="H46" s="662"/>
      <c r="I46" s="661"/>
      <c r="J46" s="662"/>
      <c r="K46" s="662"/>
      <c r="L46" s="663"/>
    </row>
    <row r="47" spans="3:59">
      <c r="C47" s="668" t="s">
        <v>374</v>
      </c>
      <c r="D47" s="661"/>
      <c r="E47" s="661"/>
      <c r="F47" s="662"/>
      <c r="G47" s="662"/>
      <c r="H47" s="662"/>
      <c r="I47" s="661"/>
      <c r="J47" s="662"/>
      <c r="K47" s="662"/>
      <c r="L47" s="663"/>
    </row>
    <row r="48" spans="3:59">
      <c r="C48" s="668" t="s">
        <v>375</v>
      </c>
      <c r="D48" s="661"/>
      <c r="E48" s="661"/>
      <c r="F48" s="662"/>
      <c r="G48" s="662"/>
      <c r="H48" s="662"/>
      <c r="I48" s="661"/>
      <c r="J48" s="662"/>
      <c r="K48" s="662"/>
      <c r="L48" s="663"/>
    </row>
    <row r="49" spans="3:12">
      <c r="C49" s="668" t="s">
        <v>376</v>
      </c>
      <c r="D49" s="661"/>
      <c r="E49" s="661"/>
      <c r="F49" s="662"/>
      <c r="G49" s="662"/>
      <c r="H49" s="662"/>
      <c r="I49" s="661"/>
      <c r="J49" s="662"/>
      <c r="K49" s="662"/>
      <c r="L49" s="663"/>
    </row>
    <row r="50" spans="3:12">
      <c r="C50" s="668" t="s">
        <v>377</v>
      </c>
      <c r="D50" s="661"/>
      <c r="E50" s="661"/>
      <c r="F50" s="662"/>
      <c r="G50" s="662"/>
      <c r="H50" s="662"/>
      <c r="I50" s="661"/>
      <c r="J50" s="662"/>
      <c r="K50" s="662"/>
      <c r="L50" s="663"/>
    </row>
    <row r="51" spans="3:12">
      <c r="C51" s="668" t="s">
        <v>378</v>
      </c>
      <c r="D51" s="661"/>
      <c r="E51" s="661"/>
      <c r="F51" s="662"/>
      <c r="G51" s="662"/>
      <c r="H51" s="662"/>
      <c r="I51" s="661"/>
      <c r="J51" s="662"/>
      <c r="K51" s="662"/>
      <c r="L51" s="663"/>
    </row>
    <row r="52" spans="3:12">
      <c r="C52" s="668" t="s">
        <v>334</v>
      </c>
      <c r="D52" s="661"/>
      <c r="E52" s="661"/>
      <c r="F52" s="662"/>
      <c r="G52" s="662"/>
      <c r="H52" s="662"/>
      <c r="I52" s="661"/>
      <c r="J52" s="662"/>
      <c r="K52" s="662"/>
      <c r="L52" s="663"/>
    </row>
  </sheetData>
  <mergeCells count="207">
    <mergeCell ref="BA5:CI5"/>
    <mergeCell ref="AP5:AZ5"/>
    <mergeCell ref="A5:B5"/>
    <mergeCell ref="A1:I1"/>
    <mergeCell ref="A2:AE2"/>
    <mergeCell ref="AF2:CI2"/>
    <mergeCell ref="A3:B4"/>
    <mergeCell ref="C3:P3"/>
    <mergeCell ref="Q3:W4"/>
    <mergeCell ref="X3:AA4"/>
    <mergeCell ref="AB3:AC4"/>
    <mergeCell ref="AD3:AE4"/>
    <mergeCell ref="C4:I4"/>
    <mergeCell ref="J4:P4"/>
    <mergeCell ref="AF3:AI4"/>
    <mergeCell ref="AJ3:AO4"/>
    <mergeCell ref="AP3:AZ4"/>
    <mergeCell ref="BA3:CI4"/>
    <mergeCell ref="C5:I5"/>
    <mergeCell ref="J5:P5"/>
    <mergeCell ref="Q5:W5"/>
    <mergeCell ref="X5:AA5"/>
    <mergeCell ref="AB5:AC5"/>
    <mergeCell ref="AD5:AE5"/>
    <mergeCell ref="A6:B6"/>
    <mergeCell ref="C6:I6"/>
    <mergeCell ref="J6:P6"/>
    <mergeCell ref="Q6:W6"/>
    <mergeCell ref="X6:AA6"/>
    <mergeCell ref="AB6:AC6"/>
    <mergeCell ref="AD6:AE6"/>
    <mergeCell ref="AF6:AI6"/>
    <mergeCell ref="A7:B7"/>
    <mergeCell ref="C7:I7"/>
    <mergeCell ref="J7:P7"/>
    <mergeCell ref="Q7:W7"/>
    <mergeCell ref="X7:AA7"/>
    <mergeCell ref="AB7:AC7"/>
    <mergeCell ref="AD7:AE7"/>
    <mergeCell ref="AF7:AI7"/>
    <mergeCell ref="AJ7:AO7"/>
    <mergeCell ref="AP7:AZ7"/>
    <mergeCell ref="AD8:AE8"/>
    <mergeCell ref="AF8:AI8"/>
    <mergeCell ref="AJ8:AO8"/>
    <mergeCell ref="AP8:AZ8"/>
    <mergeCell ref="BA6:CI6"/>
    <mergeCell ref="BA7:CI7"/>
    <mergeCell ref="AJ6:AO6"/>
    <mergeCell ref="AP6:AZ6"/>
    <mergeCell ref="AF5:AI5"/>
    <mergeCell ref="AJ5:AO5"/>
    <mergeCell ref="BA8:CI8"/>
    <mergeCell ref="A10:B10"/>
    <mergeCell ref="C10:I10"/>
    <mergeCell ref="J10:P10"/>
    <mergeCell ref="Q10:W10"/>
    <mergeCell ref="X10:AA10"/>
    <mergeCell ref="AD9:AE9"/>
    <mergeCell ref="AF9:AI9"/>
    <mergeCell ref="AJ9:AO9"/>
    <mergeCell ref="AP9:AZ9"/>
    <mergeCell ref="BA9:CI9"/>
    <mergeCell ref="A9:B9"/>
    <mergeCell ref="C9:I9"/>
    <mergeCell ref="J9:P9"/>
    <mergeCell ref="Q9:W9"/>
    <mergeCell ref="X9:AA9"/>
    <mergeCell ref="AB9:AC9"/>
    <mergeCell ref="BA10:CI10"/>
    <mergeCell ref="AB10:AC10"/>
    <mergeCell ref="AD10:AE10"/>
    <mergeCell ref="AF10:AI10"/>
    <mergeCell ref="AJ10:AO10"/>
    <mergeCell ref="A8:B8"/>
    <mergeCell ref="C8:I8"/>
    <mergeCell ref="AB12:AC12"/>
    <mergeCell ref="AD12:AE12"/>
    <mergeCell ref="AP12:AZ12"/>
    <mergeCell ref="AP10:AZ10"/>
    <mergeCell ref="AP11:AZ11"/>
    <mergeCell ref="BA11:CI11"/>
    <mergeCell ref="A12:B12"/>
    <mergeCell ref="C12:I12"/>
    <mergeCell ref="J12:P12"/>
    <mergeCell ref="Q12:W12"/>
    <mergeCell ref="X12:AA12"/>
    <mergeCell ref="A11:B11"/>
    <mergeCell ref="J11:P11"/>
    <mergeCell ref="Q11:W11"/>
    <mergeCell ref="X11:AA11"/>
    <mergeCell ref="AB11:AC11"/>
    <mergeCell ref="AD11:AE11"/>
    <mergeCell ref="BA12:CI12"/>
    <mergeCell ref="J8:P8"/>
    <mergeCell ref="Q8:W8"/>
    <mergeCell ref="X8:AA8"/>
    <mergeCell ref="AB8:AC8"/>
    <mergeCell ref="BA13:CI13"/>
    <mergeCell ref="BA14:CI14"/>
    <mergeCell ref="AB14:AC14"/>
    <mergeCell ref="AD14:AE14"/>
    <mergeCell ref="AF14:AI14"/>
    <mergeCell ref="AJ14:AO14"/>
    <mergeCell ref="AP14:AZ14"/>
    <mergeCell ref="A14:B14"/>
    <mergeCell ref="C14:I14"/>
    <mergeCell ref="J14:P14"/>
    <mergeCell ref="Q14:W14"/>
    <mergeCell ref="X14:AA14"/>
    <mergeCell ref="AD13:AE13"/>
    <mergeCell ref="AF13:AI13"/>
    <mergeCell ref="AJ13:AO13"/>
    <mergeCell ref="AP13:AZ13"/>
    <mergeCell ref="A13:B13"/>
    <mergeCell ref="C13:I13"/>
    <mergeCell ref="J13:P13"/>
    <mergeCell ref="Q13:W13"/>
    <mergeCell ref="X13:AA13"/>
    <mergeCell ref="AB13:AC13"/>
    <mergeCell ref="BA15:CI15"/>
    <mergeCell ref="A15:B15"/>
    <mergeCell ref="C15:I15"/>
    <mergeCell ref="K15:P15"/>
    <mergeCell ref="Q15:W15"/>
    <mergeCell ref="X15:AA15"/>
    <mergeCell ref="AB15:AC15"/>
    <mergeCell ref="BA16:CI16"/>
    <mergeCell ref="A16:B16"/>
    <mergeCell ref="J16:P16"/>
    <mergeCell ref="Q16:W16"/>
    <mergeCell ref="X16:AA16"/>
    <mergeCell ref="AP16:AY16"/>
    <mergeCell ref="AD15:AE15"/>
    <mergeCell ref="AF15:AI15"/>
    <mergeCell ref="AJ15:AO15"/>
    <mergeCell ref="AP15:AZ15"/>
    <mergeCell ref="A17:B17"/>
    <mergeCell ref="J17:P17"/>
    <mergeCell ref="Q17:W17"/>
    <mergeCell ref="X17:AA17"/>
    <mergeCell ref="AP17:AY17"/>
    <mergeCell ref="BA17:CI17"/>
    <mergeCell ref="A19:H19"/>
    <mergeCell ref="A20:B21"/>
    <mergeCell ref="C20:I21"/>
    <mergeCell ref="J20:W21"/>
    <mergeCell ref="X20:AD21"/>
    <mergeCell ref="AE20:AL21"/>
    <mergeCell ref="AM20:AV21"/>
    <mergeCell ref="AW20:CI21"/>
    <mergeCell ref="A23:B23"/>
    <mergeCell ref="C23:I23"/>
    <mergeCell ref="J23:P23"/>
    <mergeCell ref="Q23:W23"/>
    <mergeCell ref="X23:AD23"/>
    <mergeCell ref="AE23:AL23"/>
    <mergeCell ref="AM23:AV23"/>
    <mergeCell ref="AW23:CI23"/>
    <mergeCell ref="A22:B22"/>
    <mergeCell ref="C22:I22"/>
    <mergeCell ref="J22:P22"/>
    <mergeCell ref="Q22:W22"/>
    <mergeCell ref="X22:AD22"/>
    <mergeCell ref="AE22:AL22"/>
    <mergeCell ref="AM22:AV22"/>
    <mergeCell ref="AW22:CI22"/>
    <mergeCell ref="A24:B24"/>
    <mergeCell ref="C24:I24"/>
    <mergeCell ref="J24:P24"/>
    <mergeCell ref="Q24:W24"/>
    <mergeCell ref="X24:AD24"/>
    <mergeCell ref="AE24:AL24"/>
    <mergeCell ref="AM24:AV24"/>
    <mergeCell ref="AW24:CI24"/>
    <mergeCell ref="A25:B25"/>
    <mergeCell ref="C25:I25"/>
    <mergeCell ref="J25:P25"/>
    <mergeCell ref="Q25:W25"/>
    <mergeCell ref="X25:AD25"/>
    <mergeCell ref="AE25:AL25"/>
    <mergeCell ref="AM25:AV25"/>
    <mergeCell ref="AW25:CI25"/>
    <mergeCell ref="A28:B28"/>
    <mergeCell ref="C28:I28"/>
    <mergeCell ref="J28:P28"/>
    <mergeCell ref="Q28:W28"/>
    <mergeCell ref="X28:AD28"/>
    <mergeCell ref="AE28:AL28"/>
    <mergeCell ref="AM28:AV28"/>
    <mergeCell ref="AW28:CI28"/>
    <mergeCell ref="A26:B26"/>
    <mergeCell ref="C26:I26"/>
    <mergeCell ref="J26:P26"/>
    <mergeCell ref="Q26:W26"/>
    <mergeCell ref="X26:AD26"/>
    <mergeCell ref="AE26:AL26"/>
    <mergeCell ref="AM26:AV26"/>
    <mergeCell ref="AW26:CI26"/>
    <mergeCell ref="A27:B27"/>
    <mergeCell ref="C27:I27"/>
    <mergeCell ref="J27:P27"/>
    <mergeCell ref="Q27:W27"/>
    <mergeCell ref="X27:AD27"/>
    <mergeCell ref="AE27:AL27"/>
    <mergeCell ref="AM27:AV27"/>
    <mergeCell ref="AW27:CI27"/>
  </mergeCells>
  <phoneticPr fontId="56"/>
  <conditionalFormatting sqref="AF6 AJ6 AP6 BA6">
    <cfRule type="expression" dxfId="52" priority="18" stopIfTrue="1">
      <formula>FIND("○",$AD6:$AE17)</formula>
    </cfRule>
  </conditionalFormatting>
  <conditionalFormatting sqref="AF8:AI8">
    <cfRule type="expression" dxfId="51" priority="29" stopIfTrue="1">
      <formula>FIND("○",$AD8:$AE15)</formula>
    </cfRule>
  </conditionalFormatting>
  <conditionalFormatting sqref="AF7:AO7 BA7">
    <cfRule type="expression" dxfId="50" priority="12" stopIfTrue="1">
      <formula>FIND("○",$AD7:$AE13)</formula>
    </cfRule>
  </conditionalFormatting>
  <conditionalFormatting sqref="AF11:AO12">
    <cfRule type="expression" dxfId="49" priority="14" stopIfTrue="1">
      <formula>FIND("○",$AD11:$AE12)</formula>
    </cfRule>
  </conditionalFormatting>
  <conditionalFormatting sqref="AF5:AP5 BA5">
    <cfRule type="expression" dxfId="48" priority="19" stopIfTrue="1">
      <formula>FIND("○",$AD5:$AE17)</formula>
    </cfRule>
  </conditionalFormatting>
  <conditionalFormatting sqref="AF9:AP9 BA9">
    <cfRule type="expression" dxfId="47" priority="13" stopIfTrue="1">
      <formula>FIND("○",$AD9:$AE12)</formula>
    </cfRule>
  </conditionalFormatting>
  <conditionalFormatting sqref="AF10:AP10 BA10:BA11">
    <cfRule type="expression" dxfId="46" priority="15" stopIfTrue="1">
      <formula>FIND("○",$AD10:$AE12)</formula>
    </cfRule>
  </conditionalFormatting>
  <conditionalFormatting sqref="AF15:AP15 AF16:AO17 BA17">
    <cfRule type="expression" dxfId="45" priority="17" stopIfTrue="1">
      <formula>FIND("○",$AD15:$AE47)</formula>
    </cfRule>
  </conditionalFormatting>
  <conditionalFormatting sqref="AJ8 BA8">
    <cfRule type="expression" dxfId="44" priority="6" stopIfTrue="1">
      <formula>FIND("○",$AD8:$AE12)</formula>
    </cfRule>
  </conditionalFormatting>
  <conditionalFormatting sqref="AP7:AP8">
    <cfRule type="expression" dxfId="43" priority="3" stopIfTrue="1">
      <formula>FIND("○",$AD7:$AE12)</formula>
    </cfRule>
  </conditionalFormatting>
  <conditionalFormatting sqref="AP11">
    <cfRule type="expression" dxfId="42" priority="7" stopIfTrue="1">
      <formula>FIND("○",$AD11:$AE13)</formula>
    </cfRule>
  </conditionalFormatting>
  <conditionalFormatting sqref="AP12 AF13:AO14">
    <cfRule type="expression" dxfId="41" priority="11" stopIfTrue="1">
      <formula>FIND("○",$AD12:$AE17)</formula>
    </cfRule>
  </conditionalFormatting>
  <conditionalFormatting sqref="AP13:AP14 BA13:BA16 AP16:AP17">
    <cfRule type="expression" dxfId="40" priority="33" stopIfTrue="1">
      <formula>FIND("○",$AD13:$AE34)</formula>
    </cfRule>
  </conditionalFormatting>
  <conditionalFormatting sqref="BA12">
    <cfRule type="expression" dxfId="39" priority="16" stopIfTrue="1">
      <formula>FIND("○",$AD12:$AE12)</formula>
    </cfRule>
  </conditionalFormatting>
  <dataValidations count="9">
    <dataValidation type="list" allowBlank="1" showInputMessage="1" showErrorMessage="1" sqref="AC5:AC7 AB5:AB17 AC12:AC17" xr:uid="{499F17A8-3406-407A-8B25-555E7CEFA76F}">
      <formula1>$U$32:$U$34</formula1>
    </dataValidation>
    <dataValidation type="list" allowBlank="1" showInputMessage="1" showErrorMessage="1" sqref="WKV983022:WKW983059 AD5:AD12 WUR5:WUS17 IF5:IG17 SB5:SC17 ABX5:ABY17 ALT5:ALU17 AVP5:AVQ17 BFL5:BFM17 BPH5:BPI17 BZD5:BZE17 CIZ5:CJA17 CSV5:CSW17 DCR5:DCS17 DMN5:DMO17 DWJ5:DWK17 EGF5:EGG17 EQB5:EQC17 EZX5:EZY17 FJT5:FJU17 FTP5:FTQ17 GDL5:GDM17 GNH5:GNI17 GXD5:GXE17 HGZ5:HHA17 HQV5:HQW17 IAR5:IAS17 IKN5:IKO17 IUJ5:IUK17 JEF5:JEG17 JOB5:JOC17 JXX5:JXY17 KHT5:KHU17 KRP5:KRQ17 LBL5:LBM17 LLH5:LLI17 LVD5:LVE17 MEZ5:MFA17 MOV5:MOW17 MYR5:MYS17 NIN5:NIO17 NSJ5:NSK17 OCF5:OCG17 OMB5:OMC17 OVX5:OVY17 PFT5:PFU17 PPP5:PPQ17 PZL5:PZM17 QJH5:QJI17 QTD5:QTE17 RCZ5:RDA17 RMV5:RMW17 RWR5:RWS17 SGN5:SGO17 SQJ5:SQK17 TAF5:TAG17 TKB5:TKC17 TTX5:TTY17 UDT5:UDU17 UNP5:UNQ17 UXL5:UXM17 VHH5:VHI17 VRD5:VRE17 WAZ5:WBA17 WKV5:WKW17 WUR983022:WUS983059 WAZ983022:WBA983059 VRD983022:VRE983059 VHH983022:VHI983059 UXL983022:UXM983059 UNP983022:UNQ983059 UDT983022:UDU983059 TTX983022:TTY983059 TKB983022:TKC983059 TAF983022:TAG983059 SQJ983022:SQK983059 SGN983022:SGO983059 RWR983022:RWS983059 RMV983022:RMW983059 RCZ983022:RDA983059 QTD983022:QTE983059 QJH983022:QJI983059 PZL983022:PZM983059 PPP983022:PPQ983059 PFT983022:PFU983059 OVX983022:OVY983059 OMB983022:OMC983059 OCF983022:OCG983059 NSJ983022:NSK983059 NIN983022:NIO983059 MYR983022:MYS983059 MOV983022:MOW983059 MEZ983022:MFA983059 LVD983022:LVE983059 LLH983022:LLI983059 LBL983022:LBM983059 KRP983022:KRQ983059 KHT983022:KHU983059 JXX983022:JXY983059 JOB983022:JOC983059 JEF983022:JEG983059 IUJ983022:IUK983059 IKN983022:IKO983059 IAR983022:IAS983059 HQV983022:HQW983059 HGZ983022:HHA983059 GXD983022:GXE983059 GNH983022:GNI983059 GDL983022:GDM983059 FTP983022:FTQ983059 FJT983022:FJU983059 EZX983022:EZY983059 EQB983022:EQC983059 EGF983022:EGG983059 DWJ983022:DWK983059 DMN983022:DMO983059 DCR983022:DCS983059 CSV983022:CSW983059 CIZ983022:CJA983059 BZD983022:BZE983059 BPH983022:BPI983059 BFL983022:BFM983059 AVP983022:AVQ983059 ALT983022:ALU983059 ABX983022:ABY983059 SB983022:SC983059 IF983022:IG983059 AD983022:AE983059 WUR917486:WUS917523 WKV917486:WKW917523 WAZ917486:WBA917523 VRD917486:VRE917523 VHH917486:VHI917523 UXL917486:UXM917523 UNP917486:UNQ917523 UDT917486:UDU917523 TTX917486:TTY917523 TKB917486:TKC917523 TAF917486:TAG917523 SQJ917486:SQK917523 SGN917486:SGO917523 RWR917486:RWS917523 RMV917486:RMW917523 RCZ917486:RDA917523 QTD917486:QTE917523 QJH917486:QJI917523 PZL917486:PZM917523 PPP917486:PPQ917523 PFT917486:PFU917523 OVX917486:OVY917523 OMB917486:OMC917523 OCF917486:OCG917523 NSJ917486:NSK917523 NIN917486:NIO917523 MYR917486:MYS917523 MOV917486:MOW917523 MEZ917486:MFA917523 LVD917486:LVE917523 LLH917486:LLI917523 LBL917486:LBM917523 KRP917486:KRQ917523 KHT917486:KHU917523 JXX917486:JXY917523 JOB917486:JOC917523 JEF917486:JEG917523 IUJ917486:IUK917523 IKN917486:IKO917523 IAR917486:IAS917523 HQV917486:HQW917523 HGZ917486:HHA917523 GXD917486:GXE917523 GNH917486:GNI917523 GDL917486:GDM917523 FTP917486:FTQ917523 FJT917486:FJU917523 EZX917486:EZY917523 EQB917486:EQC917523 EGF917486:EGG917523 DWJ917486:DWK917523 DMN917486:DMO917523 DCR917486:DCS917523 CSV917486:CSW917523 CIZ917486:CJA917523 BZD917486:BZE917523 BPH917486:BPI917523 BFL917486:BFM917523 AVP917486:AVQ917523 ALT917486:ALU917523 ABX917486:ABY917523 SB917486:SC917523 IF917486:IG917523 AD917486:AE917523 WUR851950:WUS851987 WKV851950:WKW851987 WAZ851950:WBA851987 VRD851950:VRE851987 VHH851950:VHI851987 UXL851950:UXM851987 UNP851950:UNQ851987 UDT851950:UDU851987 TTX851950:TTY851987 TKB851950:TKC851987 TAF851950:TAG851987 SQJ851950:SQK851987 SGN851950:SGO851987 RWR851950:RWS851987 RMV851950:RMW851987 RCZ851950:RDA851987 QTD851950:QTE851987 QJH851950:QJI851987 PZL851950:PZM851987 PPP851950:PPQ851987 PFT851950:PFU851987 OVX851950:OVY851987 OMB851950:OMC851987 OCF851950:OCG851987 NSJ851950:NSK851987 NIN851950:NIO851987 MYR851950:MYS851987 MOV851950:MOW851987 MEZ851950:MFA851987 LVD851950:LVE851987 LLH851950:LLI851987 LBL851950:LBM851987 KRP851950:KRQ851987 KHT851950:KHU851987 JXX851950:JXY851987 JOB851950:JOC851987 JEF851950:JEG851987 IUJ851950:IUK851987 IKN851950:IKO851987 IAR851950:IAS851987 HQV851950:HQW851987 HGZ851950:HHA851987 GXD851950:GXE851987 GNH851950:GNI851987 GDL851950:GDM851987 FTP851950:FTQ851987 FJT851950:FJU851987 EZX851950:EZY851987 EQB851950:EQC851987 EGF851950:EGG851987 DWJ851950:DWK851987 DMN851950:DMO851987 DCR851950:DCS851987 CSV851950:CSW851987 CIZ851950:CJA851987 BZD851950:BZE851987 BPH851950:BPI851987 BFL851950:BFM851987 AVP851950:AVQ851987 ALT851950:ALU851987 ABX851950:ABY851987 SB851950:SC851987 IF851950:IG851987 AD851950:AE851987 WUR786414:WUS786451 WKV786414:WKW786451 WAZ786414:WBA786451 VRD786414:VRE786451 VHH786414:VHI786451 UXL786414:UXM786451 UNP786414:UNQ786451 UDT786414:UDU786451 TTX786414:TTY786451 TKB786414:TKC786451 TAF786414:TAG786451 SQJ786414:SQK786451 SGN786414:SGO786451 RWR786414:RWS786451 RMV786414:RMW786451 RCZ786414:RDA786451 QTD786414:QTE786451 QJH786414:QJI786451 PZL786414:PZM786451 PPP786414:PPQ786451 PFT786414:PFU786451 OVX786414:OVY786451 OMB786414:OMC786451 OCF786414:OCG786451 NSJ786414:NSK786451 NIN786414:NIO786451 MYR786414:MYS786451 MOV786414:MOW786451 MEZ786414:MFA786451 LVD786414:LVE786451 LLH786414:LLI786451 LBL786414:LBM786451 KRP786414:KRQ786451 KHT786414:KHU786451 JXX786414:JXY786451 JOB786414:JOC786451 JEF786414:JEG786451 IUJ786414:IUK786451 IKN786414:IKO786451 IAR786414:IAS786451 HQV786414:HQW786451 HGZ786414:HHA786451 GXD786414:GXE786451 GNH786414:GNI786451 GDL786414:GDM786451 FTP786414:FTQ786451 FJT786414:FJU786451 EZX786414:EZY786451 EQB786414:EQC786451 EGF786414:EGG786451 DWJ786414:DWK786451 DMN786414:DMO786451 DCR786414:DCS786451 CSV786414:CSW786451 CIZ786414:CJA786451 BZD786414:BZE786451 BPH786414:BPI786451 BFL786414:BFM786451 AVP786414:AVQ786451 ALT786414:ALU786451 ABX786414:ABY786451 SB786414:SC786451 IF786414:IG786451 AD786414:AE786451 WUR720878:WUS720915 WKV720878:WKW720915 WAZ720878:WBA720915 VRD720878:VRE720915 VHH720878:VHI720915 UXL720878:UXM720915 UNP720878:UNQ720915 UDT720878:UDU720915 TTX720878:TTY720915 TKB720878:TKC720915 TAF720878:TAG720915 SQJ720878:SQK720915 SGN720878:SGO720915 RWR720878:RWS720915 RMV720878:RMW720915 RCZ720878:RDA720915 QTD720878:QTE720915 QJH720878:QJI720915 PZL720878:PZM720915 PPP720878:PPQ720915 PFT720878:PFU720915 OVX720878:OVY720915 OMB720878:OMC720915 OCF720878:OCG720915 NSJ720878:NSK720915 NIN720878:NIO720915 MYR720878:MYS720915 MOV720878:MOW720915 MEZ720878:MFA720915 LVD720878:LVE720915 LLH720878:LLI720915 LBL720878:LBM720915 KRP720878:KRQ720915 KHT720878:KHU720915 JXX720878:JXY720915 JOB720878:JOC720915 JEF720878:JEG720915 IUJ720878:IUK720915 IKN720878:IKO720915 IAR720878:IAS720915 HQV720878:HQW720915 HGZ720878:HHA720915 GXD720878:GXE720915 GNH720878:GNI720915 GDL720878:GDM720915 FTP720878:FTQ720915 FJT720878:FJU720915 EZX720878:EZY720915 EQB720878:EQC720915 EGF720878:EGG720915 DWJ720878:DWK720915 DMN720878:DMO720915 DCR720878:DCS720915 CSV720878:CSW720915 CIZ720878:CJA720915 BZD720878:BZE720915 BPH720878:BPI720915 BFL720878:BFM720915 AVP720878:AVQ720915 ALT720878:ALU720915 ABX720878:ABY720915 SB720878:SC720915 IF720878:IG720915 AD720878:AE720915 WUR655342:WUS655379 WKV655342:WKW655379 WAZ655342:WBA655379 VRD655342:VRE655379 VHH655342:VHI655379 UXL655342:UXM655379 UNP655342:UNQ655379 UDT655342:UDU655379 TTX655342:TTY655379 TKB655342:TKC655379 TAF655342:TAG655379 SQJ655342:SQK655379 SGN655342:SGO655379 RWR655342:RWS655379 RMV655342:RMW655379 RCZ655342:RDA655379 QTD655342:QTE655379 QJH655342:QJI655379 PZL655342:PZM655379 PPP655342:PPQ655379 PFT655342:PFU655379 OVX655342:OVY655379 OMB655342:OMC655379 OCF655342:OCG655379 NSJ655342:NSK655379 NIN655342:NIO655379 MYR655342:MYS655379 MOV655342:MOW655379 MEZ655342:MFA655379 LVD655342:LVE655379 LLH655342:LLI655379 LBL655342:LBM655379 KRP655342:KRQ655379 KHT655342:KHU655379 JXX655342:JXY655379 JOB655342:JOC655379 JEF655342:JEG655379 IUJ655342:IUK655379 IKN655342:IKO655379 IAR655342:IAS655379 HQV655342:HQW655379 HGZ655342:HHA655379 GXD655342:GXE655379 GNH655342:GNI655379 GDL655342:GDM655379 FTP655342:FTQ655379 FJT655342:FJU655379 EZX655342:EZY655379 EQB655342:EQC655379 EGF655342:EGG655379 DWJ655342:DWK655379 DMN655342:DMO655379 DCR655342:DCS655379 CSV655342:CSW655379 CIZ655342:CJA655379 BZD655342:BZE655379 BPH655342:BPI655379 BFL655342:BFM655379 AVP655342:AVQ655379 ALT655342:ALU655379 ABX655342:ABY655379 SB655342:SC655379 IF655342:IG655379 AD655342:AE655379 WUR589806:WUS589843 WKV589806:WKW589843 WAZ589806:WBA589843 VRD589806:VRE589843 VHH589806:VHI589843 UXL589806:UXM589843 UNP589806:UNQ589843 UDT589806:UDU589843 TTX589806:TTY589843 TKB589806:TKC589843 TAF589806:TAG589843 SQJ589806:SQK589843 SGN589806:SGO589843 RWR589806:RWS589843 RMV589806:RMW589843 RCZ589806:RDA589843 QTD589806:QTE589843 QJH589806:QJI589843 PZL589806:PZM589843 PPP589806:PPQ589843 PFT589806:PFU589843 OVX589806:OVY589843 OMB589806:OMC589843 OCF589806:OCG589843 NSJ589806:NSK589843 NIN589806:NIO589843 MYR589806:MYS589843 MOV589806:MOW589843 MEZ589806:MFA589843 LVD589806:LVE589843 LLH589806:LLI589843 LBL589806:LBM589843 KRP589806:KRQ589843 KHT589806:KHU589843 JXX589806:JXY589843 JOB589806:JOC589843 JEF589806:JEG589843 IUJ589806:IUK589843 IKN589806:IKO589843 IAR589806:IAS589843 HQV589806:HQW589843 HGZ589806:HHA589843 GXD589806:GXE589843 GNH589806:GNI589843 GDL589806:GDM589843 FTP589806:FTQ589843 FJT589806:FJU589843 EZX589806:EZY589843 EQB589806:EQC589843 EGF589806:EGG589843 DWJ589806:DWK589843 DMN589806:DMO589843 DCR589806:DCS589843 CSV589806:CSW589843 CIZ589806:CJA589843 BZD589806:BZE589843 BPH589806:BPI589843 BFL589806:BFM589843 AVP589806:AVQ589843 ALT589806:ALU589843 ABX589806:ABY589843 SB589806:SC589843 IF589806:IG589843 AD589806:AE589843 WUR524270:WUS524307 WKV524270:WKW524307 WAZ524270:WBA524307 VRD524270:VRE524307 VHH524270:VHI524307 UXL524270:UXM524307 UNP524270:UNQ524307 UDT524270:UDU524307 TTX524270:TTY524307 TKB524270:TKC524307 TAF524270:TAG524307 SQJ524270:SQK524307 SGN524270:SGO524307 RWR524270:RWS524307 RMV524270:RMW524307 RCZ524270:RDA524307 QTD524270:QTE524307 QJH524270:QJI524307 PZL524270:PZM524307 PPP524270:PPQ524307 PFT524270:PFU524307 OVX524270:OVY524307 OMB524270:OMC524307 OCF524270:OCG524307 NSJ524270:NSK524307 NIN524270:NIO524307 MYR524270:MYS524307 MOV524270:MOW524307 MEZ524270:MFA524307 LVD524270:LVE524307 LLH524270:LLI524307 LBL524270:LBM524307 KRP524270:KRQ524307 KHT524270:KHU524307 JXX524270:JXY524307 JOB524270:JOC524307 JEF524270:JEG524307 IUJ524270:IUK524307 IKN524270:IKO524307 IAR524270:IAS524307 HQV524270:HQW524307 HGZ524270:HHA524307 GXD524270:GXE524307 GNH524270:GNI524307 GDL524270:GDM524307 FTP524270:FTQ524307 FJT524270:FJU524307 EZX524270:EZY524307 EQB524270:EQC524307 EGF524270:EGG524307 DWJ524270:DWK524307 DMN524270:DMO524307 DCR524270:DCS524307 CSV524270:CSW524307 CIZ524270:CJA524307 BZD524270:BZE524307 BPH524270:BPI524307 BFL524270:BFM524307 AVP524270:AVQ524307 ALT524270:ALU524307 ABX524270:ABY524307 SB524270:SC524307 IF524270:IG524307 AD524270:AE524307 WUR458734:WUS458771 WKV458734:WKW458771 WAZ458734:WBA458771 VRD458734:VRE458771 VHH458734:VHI458771 UXL458734:UXM458771 UNP458734:UNQ458771 UDT458734:UDU458771 TTX458734:TTY458771 TKB458734:TKC458771 TAF458734:TAG458771 SQJ458734:SQK458771 SGN458734:SGO458771 RWR458734:RWS458771 RMV458734:RMW458771 RCZ458734:RDA458771 QTD458734:QTE458771 QJH458734:QJI458771 PZL458734:PZM458771 PPP458734:PPQ458771 PFT458734:PFU458771 OVX458734:OVY458771 OMB458734:OMC458771 OCF458734:OCG458771 NSJ458734:NSK458771 NIN458734:NIO458771 MYR458734:MYS458771 MOV458734:MOW458771 MEZ458734:MFA458771 LVD458734:LVE458771 LLH458734:LLI458771 LBL458734:LBM458771 KRP458734:KRQ458771 KHT458734:KHU458771 JXX458734:JXY458771 JOB458734:JOC458771 JEF458734:JEG458771 IUJ458734:IUK458771 IKN458734:IKO458771 IAR458734:IAS458771 HQV458734:HQW458771 HGZ458734:HHA458771 GXD458734:GXE458771 GNH458734:GNI458771 GDL458734:GDM458771 FTP458734:FTQ458771 FJT458734:FJU458771 EZX458734:EZY458771 EQB458734:EQC458771 EGF458734:EGG458771 DWJ458734:DWK458771 DMN458734:DMO458771 DCR458734:DCS458771 CSV458734:CSW458771 CIZ458734:CJA458771 BZD458734:BZE458771 BPH458734:BPI458771 BFL458734:BFM458771 AVP458734:AVQ458771 ALT458734:ALU458771 ABX458734:ABY458771 SB458734:SC458771 IF458734:IG458771 AD458734:AE458771 WUR393198:WUS393235 WKV393198:WKW393235 WAZ393198:WBA393235 VRD393198:VRE393235 VHH393198:VHI393235 UXL393198:UXM393235 UNP393198:UNQ393235 UDT393198:UDU393235 TTX393198:TTY393235 TKB393198:TKC393235 TAF393198:TAG393235 SQJ393198:SQK393235 SGN393198:SGO393235 RWR393198:RWS393235 RMV393198:RMW393235 RCZ393198:RDA393235 QTD393198:QTE393235 QJH393198:QJI393235 PZL393198:PZM393235 PPP393198:PPQ393235 PFT393198:PFU393235 OVX393198:OVY393235 OMB393198:OMC393235 OCF393198:OCG393235 NSJ393198:NSK393235 NIN393198:NIO393235 MYR393198:MYS393235 MOV393198:MOW393235 MEZ393198:MFA393235 LVD393198:LVE393235 LLH393198:LLI393235 LBL393198:LBM393235 KRP393198:KRQ393235 KHT393198:KHU393235 JXX393198:JXY393235 JOB393198:JOC393235 JEF393198:JEG393235 IUJ393198:IUK393235 IKN393198:IKO393235 IAR393198:IAS393235 HQV393198:HQW393235 HGZ393198:HHA393235 GXD393198:GXE393235 GNH393198:GNI393235 GDL393198:GDM393235 FTP393198:FTQ393235 FJT393198:FJU393235 EZX393198:EZY393235 EQB393198:EQC393235 EGF393198:EGG393235 DWJ393198:DWK393235 DMN393198:DMO393235 DCR393198:DCS393235 CSV393198:CSW393235 CIZ393198:CJA393235 BZD393198:BZE393235 BPH393198:BPI393235 BFL393198:BFM393235 AVP393198:AVQ393235 ALT393198:ALU393235 ABX393198:ABY393235 SB393198:SC393235 IF393198:IG393235 AD393198:AE393235 WUR327662:WUS327699 WKV327662:WKW327699 WAZ327662:WBA327699 VRD327662:VRE327699 VHH327662:VHI327699 UXL327662:UXM327699 UNP327662:UNQ327699 UDT327662:UDU327699 TTX327662:TTY327699 TKB327662:TKC327699 TAF327662:TAG327699 SQJ327662:SQK327699 SGN327662:SGO327699 RWR327662:RWS327699 RMV327662:RMW327699 RCZ327662:RDA327699 QTD327662:QTE327699 QJH327662:QJI327699 PZL327662:PZM327699 PPP327662:PPQ327699 PFT327662:PFU327699 OVX327662:OVY327699 OMB327662:OMC327699 OCF327662:OCG327699 NSJ327662:NSK327699 NIN327662:NIO327699 MYR327662:MYS327699 MOV327662:MOW327699 MEZ327662:MFA327699 LVD327662:LVE327699 LLH327662:LLI327699 LBL327662:LBM327699 KRP327662:KRQ327699 KHT327662:KHU327699 JXX327662:JXY327699 JOB327662:JOC327699 JEF327662:JEG327699 IUJ327662:IUK327699 IKN327662:IKO327699 IAR327662:IAS327699 HQV327662:HQW327699 HGZ327662:HHA327699 GXD327662:GXE327699 GNH327662:GNI327699 GDL327662:GDM327699 FTP327662:FTQ327699 FJT327662:FJU327699 EZX327662:EZY327699 EQB327662:EQC327699 EGF327662:EGG327699 DWJ327662:DWK327699 DMN327662:DMO327699 DCR327662:DCS327699 CSV327662:CSW327699 CIZ327662:CJA327699 BZD327662:BZE327699 BPH327662:BPI327699 BFL327662:BFM327699 AVP327662:AVQ327699 ALT327662:ALU327699 ABX327662:ABY327699 SB327662:SC327699 IF327662:IG327699 AD327662:AE327699 WUR262126:WUS262163 WKV262126:WKW262163 WAZ262126:WBA262163 VRD262126:VRE262163 VHH262126:VHI262163 UXL262126:UXM262163 UNP262126:UNQ262163 UDT262126:UDU262163 TTX262126:TTY262163 TKB262126:TKC262163 TAF262126:TAG262163 SQJ262126:SQK262163 SGN262126:SGO262163 RWR262126:RWS262163 RMV262126:RMW262163 RCZ262126:RDA262163 QTD262126:QTE262163 QJH262126:QJI262163 PZL262126:PZM262163 PPP262126:PPQ262163 PFT262126:PFU262163 OVX262126:OVY262163 OMB262126:OMC262163 OCF262126:OCG262163 NSJ262126:NSK262163 NIN262126:NIO262163 MYR262126:MYS262163 MOV262126:MOW262163 MEZ262126:MFA262163 LVD262126:LVE262163 LLH262126:LLI262163 LBL262126:LBM262163 KRP262126:KRQ262163 KHT262126:KHU262163 JXX262126:JXY262163 JOB262126:JOC262163 JEF262126:JEG262163 IUJ262126:IUK262163 IKN262126:IKO262163 IAR262126:IAS262163 HQV262126:HQW262163 HGZ262126:HHA262163 GXD262126:GXE262163 GNH262126:GNI262163 GDL262126:GDM262163 FTP262126:FTQ262163 FJT262126:FJU262163 EZX262126:EZY262163 EQB262126:EQC262163 EGF262126:EGG262163 DWJ262126:DWK262163 DMN262126:DMO262163 DCR262126:DCS262163 CSV262126:CSW262163 CIZ262126:CJA262163 BZD262126:BZE262163 BPH262126:BPI262163 BFL262126:BFM262163 AVP262126:AVQ262163 ALT262126:ALU262163 ABX262126:ABY262163 SB262126:SC262163 IF262126:IG262163 AD262126:AE262163 WUR196590:WUS196627 WKV196590:WKW196627 WAZ196590:WBA196627 VRD196590:VRE196627 VHH196590:VHI196627 UXL196590:UXM196627 UNP196590:UNQ196627 UDT196590:UDU196627 TTX196590:TTY196627 TKB196590:TKC196627 TAF196590:TAG196627 SQJ196590:SQK196627 SGN196590:SGO196627 RWR196590:RWS196627 RMV196590:RMW196627 RCZ196590:RDA196627 QTD196590:QTE196627 QJH196590:QJI196627 PZL196590:PZM196627 PPP196590:PPQ196627 PFT196590:PFU196627 OVX196590:OVY196627 OMB196590:OMC196627 OCF196590:OCG196627 NSJ196590:NSK196627 NIN196590:NIO196627 MYR196590:MYS196627 MOV196590:MOW196627 MEZ196590:MFA196627 LVD196590:LVE196627 LLH196590:LLI196627 LBL196590:LBM196627 KRP196590:KRQ196627 KHT196590:KHU196627 JXX196590:JXY196627 JOB196590:JOC196627 JEF196590:JEG196627 IUJ196590:IUK196627 IKN196590:IKO196627 IAR196590:IAS196627 HQV196590:HQW196627 HGZ196590:HHA196627 GXD196590:GXE196627 GNH196590:GNI196627 GDL196590:GDM196627 FTP196590:FTQ196627 FJT196590:FJU196627 EZX196590:EZY196627 EQB196590:EQC196627 EGF196590:EGG196627 DWJ196590:DWK196627 DMN196590:DMO196627 DCR196590:DCS196627 CSV196590:CSW196627 CIZ196590:CJA196627 BZD196590:BZE196627 BPH196590:BPI196627 BFL196590:BFM196627 AVP196590:AVQ196627 ALT196590:ALU196627 ABX196590:ABY196627 SB196590:SC196627 IF196590:IG196627 AD196590:AE196627 WUR131054:WUS131091 WKV131054:WKW131091 WAZ131054:WBA131091 VRD131054:VRE131091 VHH131054:VHI131091 UXL131054:UXM131091 UNP131054:UNQ131091 UDT131054:UDU131091 TTX131054:TTY131091 TKB131054:TKC131091 TAF131054:TAG131091 SQJ131054:SQK131091 SGN131054:SGO131091 RWR131054:RWS131091 RMV131054:RMW131091 RCZ131054:RDA131091 QTD131054:QTE131091 QJH131054:QJI131091 PZL131054:PZM131091 PPP131054:PPQ131091 PFT131054:PFU131091 OVX131054:OVY131091 OMB131054:OMC131091 OCF131054:OCG131091 NSJ131054:NSK131091 NIN131054:NIO131091 MYR131054:MYS131091 MOV131054:MOW131091 MEZ131054:MFA131091 LVD131054:LVE131091 LLH131054:LLI131091 LBL131054:LBM131091 KRP131054:KRQ131091 KHT131054:KHU131091 JXX131054:JXY131091 JOB131054:JOC131091 JEF131054:JEG131091 IUJ131054:IUK131091 IKN131054:IKO131091 IAR131054:IAS131091 HQV131054:HQW131091 HGZ131054:HHA131091 GXD131054:GXE131091 GNH131054:GNI131091 GDL131054:GDM131091 FTP131054:FTQ131091 FJT131054:FJU131091 EZX131054:EZY131091 EQB131054:EQC131091 EGF131054:EGG131091 DWJ131054:DWK131091 DMN131054:DMO131091 DCR131054:DCS131091 CSV131054:CSW131091 CIZ131054:CJA131091 BZD131054:BZE131091 BPH131054:BPI131091 BFL131054:BFM131091 AVP131054:AVQ131091 ALT131054:ALU131091 ABX131054:ABY131091 SB131054:SC131091 IF131054:IG131091 AD131054:AE131091 WUR65518:WUS65555 WKV65518:WKW65555 WAZ65518:WBA65555 VRD65518:VRE65555 VHH65518:VHI65555 UXL65518:UXM65555 UNP65518:UNQ65555 UDT65518:UDU65555 TTX65518:TTY65555 TKB65518:TKC65555 TAF65518:TAG65555 SQJ65518:SQK65555 SGN65518:SGO65555 RWR65518:RWS65555 RMV65518:RMW65555 RCZ65518:RDA65555 QTD65518:QTE65555 QJH65518:QJI65555 PZL65518:PZM65555 PPP65518:PPQ65555 PFT65518:PFU65555 OVX65518:OVY65555 OMB65518:OMC65555 OCF65518:OCG65555 NSJ65518:NSK65555 NIN65518:NIO65555 MYR65518:MYS65555 MOV65518:MOW65555 MEZ65518:MFA65555 LVD65518:LVE65555 LLH65518:LLI65555 LBL65518:LBM65555 KRP65518:KRQ65555 KHT65518:KHU65555 JXX65518:JXY65555 JOB65518:JOC65555 JEF65518:JEG65555 IUJ65518:IUK65555 IKN65518:IKO65555 IAR65518:IAS65555 HQV65518:HQW65555 HGZ65518:HHA65555 GXD65518:GXE65555 GNH65518:GNI65555 GDL65518:GDM65555 FTP65518:FTQ65555 FJT65518:FJU65555 EZX65518:EZY65555 EQB65518:EQC65555 EGF65518:EGG65555 DWJ65518:DWK65555 DMN65518:DMO65555 DCR65518:DCS65555 CSV65518:CSW65555 CIZ65518:CJA65555 BZD65518:BZE65555 BPH65518:BPI65555 BFL65518:BFM65555 AVP65518:AVQ65555 ALT65518:ALU65555 ABX65518:ABY65555 SB65518:SC65555 IF65518:IG65555 AE5:AE7 AD65518:AE65555 AD13:AE17" xr:uid="{C4ED132A-D8E6-4B24-B44A-430CE62F3BAA}">
      <formula1>$Y$32:$Y$34</formula1>
    </dataValidation>
    <dataValidation type="list" allowBlank="1" showInputMessage="1" showErrorMessage="1" sqref="AE983063:AL983068 IG983063:IN983068 SC983063:SJ983068 ABY983063:ACF983068 ALU983063:AMB983068 AVQ983063:AVX983068 BFM983063:BFT983068 BPI983063:BPP983068 BZE983063:BZL983068 CJA983063:CJH983068 CSW983063:CTD983068 DCS983063:DCZ983068 DMO983063:DMV983068 DWK983063:DWR983068 EGG983063:EGN983068 EQC983063:EQJ983068 EZY983063:FAF983068 FJU983063:FKB983068 FTQ983063:FTX983068 GDM983063:GDT983068 GNI983063:GNP983068 GXE983063:GXL983068 HHA983063:HHH983068 HQW983063:HRD983068 IAS983063:IAZ983068 IKO983063:IKV983068 IUK983063:IUR983068 JEG983063:JEN983068 JOC983063:JOJ983068 JXY983063:JYF983068 KHU983063:KIB983068 KRQ983063:KRX983068 LBM983063:LBT983068 LLI983063:LLP983068 LVE983063:LVL983068 MFA983063:MFH983068 MOW983063:MPD983068 MYS983063:MYZ983068 NIO983063:NIV983068 NSK983063:NSR983068 OCG983063:OCN983068 OMC983063:OMJ983068 OVY983063:OWF983068 PFU983063:PGB983068 PPQ983063:PPX983068 PZM983063:PZT983068 QJI983063:QJP983068 QTE983063:QTL983068 RDA983063:RDH983068 RMW983063:RND983068 RWS983063:RWZ983068 SGO983063:SGV983068 SQK983063:SQR983068 TAG983063:TAN983068 TKC983063:TKJ983068 TTY983063:TUF983068 UDU983063:UEB983068 UNQ983063:UNX983068 UXM983063:UXT983068 VHI983063:VHP983068 VRE983063:VRL983068 WBA983063:WBH983068 WKW983063:WLD983068 WUS983063:WUZ983068 AE65559:AL65564 IG65559:IN65564 SC65559:SJ65564 ABY65559:ACF65564 ALU65559:AMB65564 AVQ65559:AVX65564 BFM65559:BFT65564 BPI65559:BPP65564 BZE65559:BZL65564 CJA65559:CJH65564 CSW65559:CTD65564 DCS65559:DCZ65564 DMO65559:DMV65564 DWK65559:DWR65564 EGG65559:EGN65564 EQC65559:EQJ65564 EZY65559:FAF65564 FJU65559:FKB65564 FTQ65559:FTX65564 GDM65559:GDT65564 GNI65559:GNP65564 GXE65559:GXL65564 HHA65559:HHH65564 HQW65559:HRD65564 IAS65559:IAZ65564 IKO65559:IKV65564 IUK65559:IUR65564 JEG65559:JEN65564 JOC65559:JOJ65564 JXY65559:JYF65564 KHU65559:KIB65564 KRQ65559:KRX65564 LBM65559:LBT65564 LLI65559:LLP65564 LVE65559:LVL65564 MFA65559:MFH65564 MOW65559:MPD65564 MYS65559:MYZ65564 NIO65559:NIV65564 NSK65559:NSR65564 OCG65559:OCN65564 OMC65559:OMJ65564 OVY65559:OWF65564 PFU65559:PGB65564 PPQ65559:PPX65564 PZM65559:PZT65564 QJI65559:QJP65564 QTE65559:QTL65564 RDA65559:RDH65564 RMW65559:RND65564 RWS65559:RWZ65564 SGO65559:SGV65564 SQK65559:SQR65564 TAG65559:TAN65564 TKC65559:TKJ65564 TTY65559:TUF65564 UDU65559:UEB65564 UNQ65559:UNX65564 UXM65559:UXT65564 VHI65559:VHP65564 VRE65559:VRL65564 WBA65559:WBH65564 WKW65559:WLD65564 WUS65559:WUZ65564 AE131095:AL131100 IG131095:IN131100 SC131095:SJ131100 ABY131095:ACF131100 ALU131095:AMB131100 AVQ131095:AVX131100 BFM131095:BFT131100 BPI131095:BPP131100 BZE131095:BZL131100 CJA131095:CJH131100 CSW131095:CTD131100 DCS131095:DCZ131100 DMO131095:DMV131100 DWK131095:DWR131100 EGG131095:EGN131100 EQC131095:EQJ131100 EZY131095:FAF131100 FJU131095:FKB131100 FTQ131095:FTX131100 GDM131095:GDT131100 GNI131095:GNP131100 GXE131095:GXL131100 HHA131095:HHH131100 HQW131095:HRD131100 IAS131095:IAZ131100 IKO131095:IKV131100 IUK131095:IUR131100 JEG131095:JEN131100 JOC131095:JOJ131100 JXY131095:JYF131100 KHU131095:KIB131100 KRQ131095:KRX131100 LBM131095:LBT131100 LLI131095:LLP131100 LVE131095:LVL131100 MFA131095:MFH131100 MOW131095:MPD131100 MYS131095:MYZ131100 NIO131095:NIV131100 NSK131095:NSR131100 OCG131095:OCN131100 OMC131095:OMJ131100 OVY131095:OWF131100 PFU131095:PGB131100 PPQ131095:PPX131100 PZM131095:PZT131100 QJI131095:QJP131100 QTE131095:QTL131100 RDA131095:RDH131100 RMW131095:RND131100 RWS131095:RWZ131100 SGO131095:SGV131100 SQK131095:SQR131100 TAG131095:TAN131100 TKC131095:TKJ131100 TTY131095:TUF131100 UDU131095:UEB131100 UNQ131095:UNX131100 UXM131095:UXT131100 VHI131095:VHP131100 VRE131095:VRL131100 WBA131095:WBH131100 WKW131095:WLD131100 WUS131095:WUZ131100 AE196631:AL196636 IG196631:IN196636 SC196631:SJ196636 ABY196631:ACF196636 ALU196631:AMB196636 AVQ196631:AVX196636 BFM196631:BFT196636 BPI196631:BPP196636 BZE196631:BZL196636 CJA196631:CJH196636 CSW196631:CTD196636 DCS196631:DCZ196636 DMO196631:DMV196636 DWK196631:DWR196636 EGG196631:EGN196636 EQC196631:EQJ196636 EZY196631:FAF196636 FJU196631:FKB196636 FTQ196631:FTX196636 GDM196631:GDT196636 GNI196631:GNP196636 GXE196631:GXL196636 HHA196631:HHH196636 HQW196631:HRD196636 IAS196631:IAZ196636 IKO196631:IKV196636 IUK196631:IUR196636 JEG196631:JEN196636 JOC196631:JOJ196636 JXY196631:JYF196636 KHU196631:KIB196636 KRQ196631:KRX196636 LBM196631:LBT196636 LLI196631:LLP196636 LVE196631:LVL196636 MFA196631:MFH196636 MOW196631:MPD196636 MYS196631:MYZ196636 NIO196631:NIV196636 NSK196631:NSR196636 OCG196631:OCN196636 OMC196631:OMJ196636 OVY196631:OWF196636 PFU196631:PGB196636 PPQ196631:PPX196636 PZM196631:PZT196636 QJI196631:QJP196636 QTE196631:QTL196636 RDA196631:RDH196636 RMW196631:RND196636 RWS196631:RWZ196636 SGO196631:SGV196636 SQK196631:SQR196636 TAG196631:TAN196636 TKC196631:TKJ196636 TTY196631:TUF196636 UDU196631:UEB196636 UNQ196631:UNX196636 UXM196631:UXT196636 VHI196631:VHP196636 VRE196631:VRL196636 WBA196631:WBH196636 WKW196631:WLD196636 WUS196631:WUZ196636 AE262167:AL262172 IG262167:IN262172 SC262167:SJ262172 ABY262167:ACF262172 ALU262167:AMB262172 AVQ262167:AVX262172 BFM262167:BFT262172 BPI262167:BPP262172 BZE262167:BZL262172 CJA262167:CJH262172 CSW262167:CTD262172 DCS262167:DCZ262172 DMO262167:DMV262172 DWK262167:DWR262172 EGG262167:EGN262172 EQC262167:EQJ262172 EZY262167:FAF262172 FJU262167:FKB262172 FTQ262167:FTX262172 GDM262167:GDT262172 GNI262167:GNP262172 GXE262167:GXL262172 HHA262167:HHH262172 HQW262167:HRD262172 IAS262167:IAZ262172 IKO262167:IKV262172 IUK262167:IUR262172 JEG262167:JEN262172 JOC262167:JOJ262172 JXY262167:JYF262172 KHU262167:KIB262172 KRQ262167:KRX262172 LBM262167:LBT262172 LLI262167:LLP262172 LVE262167:LVL262172 MFA262167:MFH262172 MOW262167:MPD262172 MYS262167:MYZ262172 NIO262167:NIV262172 NSK262167:NSR262172 OCG262167:OCN262172 OMC262167:OMJ262172 OVY262167:OWF262172 PFU262167:PGB262172 PPQ262167:PPX262172 PZM262167:PZT262172 QJI262167:QJP262172 QTE262167:QTL262172 RDA262167:RDH262172 RMW262167:RND262172 RWS262167:RWZ262172 SGO262167:SGV262172 SQK262167:SQR262172 TAG262167:TAN262172 TKC262167:TKJ262172 TTY262167:TUF262172 UDU262167:UEB262172 UNQ262167:UNX262172 UXM262167:UXT262172 VHI262167:VHP262172 VRE262167:VRL262172 WBA262167:WBH262172 WKW262167:WLD262172 WUS262167:WUZ262172 AE327703:AL327708 IG327703:IN327708 SC327703:SJ327708 ABY327703:ACF327708 ALU327703:AMB327708 AVQ327703:AVX327708 BFM327703:BFT327708 BPI327703:BPP327708 BZE327703:BZL327708 CJA327703:CJH327708 CSW327703:CTD327708 DCS327703:DCZ327708 DMO327703:DMV327708 DWK327703:DWR327708 EGG327703:EGN327708 EQC327703:EQJ327708 EZY327703:FAF327708 FJU327703:FKB327708 FTQ327703:FTX327708 GDM327703:GDT327708 GNI327703:GNP327708 GXE327703:GXL327708 HHA327703:HHH327708 HQW327703:HRD327708 IAS327703:IAZ327708 IKO327703:IKV327708 IUK327703:IUR327708 JEG327703:JEN327708 JOC327703:JOJ327708 JXY327703:JYF327708 KHU327703:KIB327708 KRQ327703:KRX327708 LBM327703:LBT327708 LLI327703:LLP327708 LVE327703:LVL327708 MFA327703:MFH327708 MOW327703:MPD327708 MYS327703:MYZ327708 NIO327703:NIV327708 NSK327703:NSR327708 OCG327703:OCN327708 OMC327703:OMJ327708 OVY327703:OWF327708 PFU327703:PGB327708 PPQ327703:PPX327708 PZM327703:PZT327708 QJI327703:QJP327708 QTE327703:QTL327708 RDA327703:RDH327708 RMW327703:RND327708 RWS327703:RWZ327708 SGO327703:SGV327708 SQK327703:SQR327708 TAG327703:TAN327708 TKC327703:TKJ327708 TTY327703:TUF327708 UDU327703:UEB327708 UNQ327703:UNX327708 UXM327703:UXT327708 VHI327703:VHP327708 VRE327703:VRL327708 WBA327703:WBH327708 WKW327703:WLD327708 WUS327703:WUZ327708 AE393239:AL393244 IG393239:IN393244 SC393239:SJ393244 ABY393239:ACF393244 ALU393239:AMB393244 AVQ393239:AVX393244 BFM393239:BFT393244 BPI393239:BPP393244 BZE393239:BZL393244 CJA393239:CJH393244 CSW393239:CTD393244 DCS393239:DCZ393244 DMO393239:DMV393244 DWK393239:DWR393244 EGG393239:EGN393244 EQC393239:EQJ393244 EZY393239:FAF393244 FJU393239:FKB393244 FTQ393239:FTX393244 GDM393239:GDT393244 GNI393239:GNP393244 GXE393239:GXL393244 HHA393239:HHH393244 HQW393239:HRD393244 IAS393239:IAZ393244 IKO393239:IKV393244 IUK393239:IUR393244 JEG393239:JEN393244 JOC393239:JOJ393244 JXY393239:JYF393244 KHU393239:KIB393244 KRQ393239:KRX393244 LBM393239:LBT393244 LLI393239:LLP393244 LVE393239:LVL393244 MFA393239:MFH393244 MOW393239:MPD393244 MYS393239:MYZ393244 NIO393239:NIV393244 NSK393239:NSR393244 OCG393239:OCN393244 OMC393239:OMJ393244 OVY393239:OWF393244 PFU393239:PGB393244 PPQ393239:PPX393244 PZM393239:PZT393244 QJI393239:QJP393244 QTE393239:QTL393244 RDA393239:RDH393244 RMW393239:RND393244 RWS393239:RWZ393244 SGO393239:SGV393244 SQK393239:SQR393244 TAG393239:TAN393244 TKC393239:TKJ393244 TTY393239:TUF393244 UDU393239:UEB393244 UNQ393239:UNX393244 UXM393239:UXT393244 VHI393239:VHP393244 VRE393239:VRL393244 WBA393239:WBH393244 WKW393239:WLD393244 WUS393239:WUZ393244 AE458775:AL458780 IG458775:IN458780 SC458775:SJ458780 ABY458775:ACF458780 ALU458775:AMB458780 AVQ458775:AVX458780 BFM458775:BFT458780 BPI458775:BPP458780 BZE458775:BZL458780 CJA458775:CJH458780 CSW458775:CTD458780 DCS458775:DCZ458780 DMO458775:DMV458780 DWK458775:DWR458780 EGG458775:EGN458780 EQC458775:EQJ458780 EZY458775:FAF458780 FJU458775:FKB458780 FTQ458775:FTX458780 GDM458775:GDT458780 GNI458775:GNP458780 GXE458775:GXL458780 HHA458775:HHH458780 HQW458775:HRD458780 IAS458775:IAZ458780 IKO458775:IKV458780 IUK458775:IUR458780 JEG458775:JEN458780 JOC458775:JOJ458780 JXY458775:JYF458780 KHU458775:KIB458780 KRQ458775:KRX458780 LBM458775:LBT458780 LLI458775:LLP458780 LVE458775:LVL458780 MFA458775:MFH458780 MOW458775:MPD458780 MYS458775:MYZ458780 NIO458775:NIV458780 NSK458775:NSR458780 OCG458775:OCN458780 OMC458775:OMJ458780 OVY458775:OWF458780 PFU458775:PGB458780 PPQ458775:PPX458780 PZM458775:PZT458780 QJI458775:QJP458780 QTE458775:QTL458780 RDA458775:RDH458780 RMW458775:RND458780 RWS458775:RWZ458780 SGO458775:SGV458780 SQK458775:SQR458780 TAG458775:TAN458780 TKC458775:TKJ458780 TTY458775:TUF458780 UDU458775:UEB458780 UNQ458775:UNX458780 UXM458775:UXT458780 VHI458775:VHP458780 VRE458775:VRL458780 WBA458775:WBH458780 WKW458775:WLD458780 WUS458775:WUZ458780 AE524311:AL524316 IG524311:IN524316 SC524311:SJ524316 ABY524311:ACF524316 ALU524311:AMB524316 AVQ524311:AVX524316 BFM524311:BFT524316 BPI524311:BPP524316 BZE524311:BZL524316 CJA524311:CJH524316 CSW524311:CTD524316 DCS524311:DCZ524316 DMO524311:DMV524316 DWK524311:DWR524316 EGG524311:EGN524316 EQC524311:EQJ524316 EZY524311:FAF524316 FJU524311:FKB524316 FTQ524311:FTX524316 GDM524311:GDT524316 GNI524311:GNP524316 GXE524311:GXL524316 HHA524311:HHH524316 HQW524311:HRD524316 IAS524311:IAZ524316 IKO524311:IKV524316 IUK524311:IUR524316 JEG524311:JEN524316 JOC524311:JOJ524316 JXY524311:JYF524316 KHU524311:KIB524316 KRQ524311:KRX524316 LBM524311:LBT524316 LLI524311:LLP524316 LVE524311:LVL524316 MFA524311:MFH524316 MOW524311:MPD524316 MYS524311:MYZ524316 NIO524311:NIV524316 NSK524311:NSR524316 OCG524311:OCN524316 OMC524311:OMJ524316 OVY524311:OWF524316 PFU524311:PGB524316 PPQ524311:PPX524316 PZM524311:PZT524316 QJI524311:QJP524316 QTE524311:QTL524316 RDA524311:RDH524316 RMW524311:RND524316 RWS524311:RWZ524316 SGO524311:SGV524316 SQK524311:SQR524316 TAG524311:TAN524316 TKC524311:TKJ524316 TTY524311:TUF524316 UDU524311:UEB524316 UNQ524311:UNX524316 UXM524311:UXT524316 VHI524311:VHP524316 VRE524311:VRL524316 WBA524311:WBH524316 WKW524311:WLD524316 WUS524311:WUZ524316 AE589847:AL589852 IG589847:IN589852 SC589847:SJ589852 ABY589847:ACF589852 ALU589847:AMB589852 AVQ589847:AVX589852 BFM589847:BFT589852 BPI589847:BPP589852 BZE589847:BZL589852 CJA589847:CJH589852 CSW589847:CTD589852 DCS589847:DCZ589852 DMO589847:DMV589852 DWK589847:DWR589852 EGG589847:EGN589852 EQC589847:EQJ589852 EZY589847:FAF589852 FJU589847:FKB589852 FTQ589847:FTX589852 GDM589847:GDT589852 GNI589847:GNP589852 GXE589847:GXL589852 HHA589847:HHH589852 HQW589847:HRD589852 IAS589847:IAZ589852 IKO589847:IKV589852 IUK589847:IUR589852 JEG589847:JEN589852 JOC589847:JOJ589852 JXY589847:JYF589852 KHU589847:KIB589852 KRQ589847:KRX589852 LBM589847:LBT589852 LLI589847:LLP589852 LVE589847:LVL589852 MFA589847:MFH589852 MOW589847:MPD589852 MYS589847:MYZ589852 NIO589847:NIV589852 NSK589847:NSR589852 OCG589847:OCN589852 OMC589847:OMJ589852 OVY589847:OWF589852 PFU589847:PGB589852 PPQ589847:PPX589852 PZM589847:PZT589852 QJI589847:QJP589852 QTE589847:QTL589852 RDA589847:RDH589852 RMW589847:RND589852 RWS589847:RWZ589852 SGO589847:SGV589852 SQK589847:SQR589852 TAG589847:TAN589852 TKC589847:TKJ589852 TTY589847:TUF589852 UDU589847:UEB589852 UNQ589847:UNX589852 UXM589847:UXT589852 VHI589847:VHP589852 VRE589847:VRL589852 WBA589847:WBH589852 WKW589847:WLD589852 WUS589847:WUZ589852 AE655383:AL655388 IG655383:IN655388 SC655383:SJ655388 ABY655383:ACF655388 ALU655383:AMB655388 AVQ655383:AVX655388 BFM655383:BFT655388 BPI655383:BPP655388 BZE655383:BZL655388 CJA655383:CJH655388 CSW655383:CTD655388 DCS655383:DCZ655388 DMO655383:DMV655388 DWK655383:DWR655388 EGG655383:EGN655388 EQC655383:EQJ655388 EZY655383:FAF655388 FJU655383:FKB655388 FTQ655383:FTX655388 GDM655383:GDT655388 GNI655383:GNP655388 GXE655383:GXL655388 HHA655383:HHH655388 HQW655383:HRD655388 IAS655383:IAZ655388 IKO655383:IKV655388 IUK655383:IUR655388 JEG655383:JEN655388 JOC655383:JOJ655388 JXY655383:JYF655388 KHU655383:KIB655388 KRQ655383:KRX655388 LBM655383:LBT655388 LLI655383:LLP655388 LVE655383:LVL655388 MFA655383:MFH655388 MOW655383:MPD655388 MYS655383:MYZ655388 NIO655383:NIV655388 NSK655383:NSR655388 OCG655383:OCN655388 OMC655383:OMJ655388 OVY655383:OWF655388 PFU655383:PGB655388 PPQ655383:PPX655388 PZM655383:PZT655388 QJI655383:QJP655388 QTE655383:QTL655388 RDA655383:RDH655388 RMW655383:RND655388 RWS655383:RWZ655388 SGO655383:SGV655388 SQK655383:SQR655388 TAG655383:TAN655388 TKC655383:TKJ655388 TTY655383:TUF655388 UDU655383:UEB655388 UNQ655383:UNX655388 UXM655383:UXT655388 VHI655383:VHP655388 VRE655383:VRL655388 WBA655383:WBH655388 WKW655383:WLD655388 WUS655383:WUZ655388 AE720919:AL720924 IG720919:IN720924 SC720919:SJ720924 ABY720919:ACF720924 ALU720919:AMB720924 AVQ720919:AVX720924 BFM720919:BFT720924 BPI720919:BPP720924 BZE720919:BZL720924 CJA720919:CJH720924 CSW720919:CTD720924 DCS720919:DCZ720924 DMO720919:DMV720924 DWK720919:DWR720924 EGG720919:EGN720924 EQC720919:EQJ720924 EZY720919:FAF720924 FJU720919:FKB720924 FTQ720919:FTX720924 GDM720919:GDT720924 GNI720919:GNP720924 GXE720919:GXL720924 HHA720919:HHH720924 HQW720919:HRD720924 IAS720919:IAZ720924 IKO720919:IKV720924 IUK720919:IUR720924 JEG720919:JEN720924 JOC720919:JOJ720924 JXY720919:JYF720924 KHU720919:KIB720924 KRQ720919:KRX720924 LBM720919:LBT720924 LLI720919:LLP720924 LVE720919:LVL720924 MFA720919:MFH720924 MOW720919:MPD720924 MYS720919:MYZ720924 NIO720919:NIV720924 NSK720919:NSR720924 OCG720919:OCN720924 OMC720919:OMJ720924 OVY720919:OWF720924 PFU720919:PGB720924 PPQ720919:PPX720924 PZM720919:PZT720924 QJI720919:QJP720924 QTE720919:QTL720924 RDA720919:RDH720924 RMW720919:RND720924 RWS720919:RWZ720924 SGO720919:SGV720924 SQK720919:SQR720924 TAG720919:TAN720924 TKC720919:TKJ720924 TTY720919:TUF720924 UDU720919:UEB720924 UNQ720919:UNX720924 UXM720919:UXT720924 VHI720919:VHP720924 VRE720919:VRL720924 WBA720919:WBH720924 WKW720919:WLD720924 WUS720919:WUZ720924 AE786455:AL786460 IG786455:IN786460 SC786455:SJ786460 ABY786455:ACF786460 ALU786455:AMB786460 AVQ786455:AVX786460 BFM786455:BFT786460 BPI786455:BPP786460 BZE786455:BZL786460 CJA786455:CJH786460 CSW786455:CTD786460 DCS786455:DCZ786460 DMO786455:DMV786460 DWK786455:DWR786460 EGG786455:EGN786460 EQC786455:EQJ786460 EZY786455:FAF786460 FJU786455:FKB786460 FTQ786455:FTX786460 GDM786455:GDT786460 GNI786455:GNP786460 GXE786455:GXL786460 HHA786455:HHH786460 HQW786455:HRD786460 IAS786455:IAZ786460 IKO786455:IKV786460 IUK786455:IUR786460 JEG786455:JEN786460 JOC786455:JOJ786460 JXY786455:JYF786460 KHU786455:KIB786460 KRQ786455:KRX786460 LBM786455:LBT786460 LLI786455:LLP786460 LVE786455:LVL786460 MFA786455:MFH786460 MOW786455:MPD786460 MYS786455:MYZ786460 NIO786455:NIV786460 NSK786455:NSR786460 OCG786455:OCN786460 OMC786455:OMJ786460 OVY786455:OWF786460 PFU786455:PGB786460 PPQ786455:PPX786460 PZM786455:PZT786460 QJI786455:QJP786460 QTE786455:QTL786460 RDA786455:RDH786460 RMW786455:RND786460 RWS786455:RWZ786460 SGO786455:SGV786460 SQK786455:SQR786460 TAG786455:TAN786460 TKC786455:TKJ786460 TTY786455:TUF786460 UDU786455:UEB786460 UNQ786455:UNX786460 UXM786455:UXT786460 VHI786455:VHP786460 VRE786455:VRL786460 WBA786455:WBH786460 WKW786455:WLD786460 WUS786455:WUZ786460 AE851991:AL851996 IG851991:IN851996 SC851991:SJ851996 ABY851991:ACF851996 ALU851991:AMB851996 AVQ851991:AVX851996 BFM851991:BFT851996 BPI851991:BPP851996 BZE851991:BZL851996 CJA851991:CJH851996 CSW851991:CTD851996 DCS851991:DCZ851996 DMO851991:DMV851996 DWK851991:DWR851996 EGG851991:EGN851996 EQC851991:EQJ851996 EZY851991:FAF851996 FJU851991:FKB851996 FTQ851991:FTX851996 GDM851991:GDT851996 GNI851991:GNP851996 GXE851991:GXL851996 HHA851991:HHH851996 HQW851991:HRD851996 IAS851991:IAZ851996 IKO851991:IKV851996 IUK851991:IUR851996 JEG851991:JEN851996 JOC851991:JOJ851996 JXY851991:JYF851996 KHU851991:KIB851996 KRQ851991:KRX851996 LBM851991:LBT851996 LLI851991:LLP851996 LVE851991:LVL851996 MFA851991:MFH851996 MOW851991:MPD851996 MYS851991:MYZ851996 NIO851991:NIV851996 NSK851991:NSR851996 OCG851991:OCN851996 OMC851991:OMJ851996 OVY851991:OWF851996 PFU851991:PGB851996 PPQ851991:PPX851996 PZM851991:PZT851996 QJI851991:QJP851996 QTE851991:QTL851996 RDA851991:RDH851996 RMW851991:RND851996 RWS851991:RWZ851996 SGO851991:SGV851996 SQK851991:SQR851996 TAG851991:TAN851996 TKC851991:TKJ851996 TTY851991:TUF851996 UDU851991:UEB851996 UNQ851991:UNX851996 UXM851991:UXT851996 VHI851991:VHP851996 VRE851991:VRL851996 WBA851991:WBH851996 WKW851991:WLD851996 WUS851991:WUZ851996 AE917527:AL917532 IG917527:IN917532 SC917527:SJ917532 ABY917527:ACF917532 ALU917527:AMB917532 AVQ917527:AVX917532 BFM917527:BFT917532 BPI917527:BPP917532 BZE917527:BZL917532 CJA917527:CJH917532 CSW917527:CTD917532 DCS917527:DCZ917532 DMO917527:DMV917532 DWK917527:DWR917532 EGG917527:EGN917532 EQC917527:EQJ917532 EZY917527:FAF917532 FJU917527:FKB917532 FTQ917527:FTX917532 GDM917527:GDT917532 GNI917527:GNP917532 GXE917527:GXL917532 HHA917527:HHH917532 HQW917527:HRD917532 IAS917527:IAZ917532 IKO917527:IKV917532 IUK917527:IUR917532 JEG917527:JEN917532 JOC917527:JOJ917532 JXY917527:JYF917532 KHU917527:KIB917532 KRQ917527:KRX917532 LBM917527:LBT917532 LLI917527:LLP917532 LVE917527:LVL917532 MFA917527:MFH917532 MOW917527:MPD917532 MYS917527:MYZ917532 NIO917527:NIV917532 NSK917527:NSR917532 OCG917527:OCN917532 OMC917527:OMJ917532 OVY917527:OWF917532 PFU917527:PGB917532 PPQ917527:PPX917532 PZM917527:PZT917532 QJI917527:QJP917532 QTE917527:QTL917532 RDA917527:RDH917532 RMW917527:RND917532 RWS917527:RWZ917532 SGO917527:SGV917532 SQK917527:SQR917532 TAG917527:TAN917532 TKC917527:TKJ917532 TTY917527:TUF917532 UDU917527:UEB917532 UNQ917527:UNX917532 UXM917527:UXT917532 VHI917527:VHP917532 VRE917527:VRL917532 WBA917527:WBH917532 WKW917527:WLD917532 WUS917527:WUZ917532 AE22:AL28 WUS22:WUZ26 IG22:IN26 SC22:SJ26 ABY22:ACF26 ALU22:AMB26 AVQ22:AVX26 BFM22:BFT26 BPI22:BPP26 BZE22:BZL26 CJA22:CJH26 CSW22:CTD26 DCS22:DCZ26 DMO22:DMV26 DWK22:DWR26 EGG22:EGN26 EQC22:EQJ26 EZY22:FAF26 FJU22:FKB26 FTQ22:FTX26 GDM22:GDT26 GNI22:GNP26 GXE22:GXL26 HHA22:HHH26 HQW22:HRD26 IAS22:IAZ26 IKO22:IKV26 IUK22:IUR26 JEG22:JEN26 JOC22:JOJ26 JXY22:JYF26 KHU22:KIB26 KRQ22:KRX26 LBM22:LBT26 LLI22:LLP26 LVE22:LVL26 MFA22:MFH26 MOW22:MPD26 MYS22:MYZ26 NIO22:NIV26 NSK22:NSR26 OCG22:OCN26 OMC22:OMJ26 OVY22:OWF26 PFU22:PGB26 PPQ22:PPX26 PZM22:PZT26 QJI22:QJP26 QTE22:QTL26 RDA22:RDH26 RMW22:RND26 RWS22:RWZ26 SGO22:SGV26 SQK22:SQR26 TAG22:TAN26 TKC22:TKJ26 TTY22:TUF26 UDU22:UEB26 UNQ22:UNX26 UXM22:UXT26 VHI22:VHP26 VRE22:VRL26 WBA22:WBH26 WKW22:WLD26" xr:uid="{38E70801-6EC0-4CA3-9454-EC0ABF5F9215}">
      <formula1>"サーバ,クライアント"</formula1>
    </dataValidation>
    <dataValidation type="list" allowBlank="1" showInputMessage="1" showErrorMessage="1" sqref="WUP983022:WUQ983025 WAX8:WAY12 VRB983022:VRC983025 VHF983022:VHG983025 UXJ983022:UXK983025 UNN983022:UNO983025 UDR983022:UDS983025 TTV983022:TTW983025 TJZ983022:TKA983025 TAD983022:TAE983025 SQH983022:SQI983025 SGL983022:SGM983025 RWP983022:RWQ983025 RMT983022:RMU983025 RCX983022:RCY983025 QTB983022:QTC983025 QJF983022:QJG983025 PZJ983022:PZK983025 PPN983022:PPO983025 PFR983022:PFS983025 OVV983022:OVW983025 OLZ983022:OMA983025 OCD983022:OCE983025 NSH983022:NSI983025 NIL983022:NIM983025 MYP983022:MYQ983025 MOT983022:MOU983025 MEX983022:MEY983025 LVB983022:LVC983025 LLF983022:LLG983025 LBJ983022:LBK983025 KRN983022:KRO983025 KHR983022:KHS983025 JXV983022:JXW983025 JNZ983022:JOA983025 JED983022:JEE983025 IUH983022:IUI983025 IKL983022:IKM983025 IAP983022:IAQ983025 HQT983022:HQU983025 HGX983022:HGY983025 GXB983022:GXC983025 GNF983022:GNG983025 GDJ983022:GDK983025 FTN983022:FTO983025 FJR983022:FJS983025 EZV983022:EZW983025 EPZ983022:EQA983025 EGD983022:EGE983025 DWH983022:DWI983025 DML983022:DMM983025 DCP983022:DCQ983025 CST983022:CSU983025 CIX983022:CIY983025 BZB983022:BZC983025 BPF983022:BPG983025 BFJ983022:BFK983025 AVN983022:AVO983025 ALR983022:ALS983025 ABV983022:ABW983025 RZ983022:SA983025 ID983022:IE983025 AB983022:AC983025 WUP917486:WUQ917489 WKT917486:WKU917489 WAX917486:WAY917489 VRB917486:VRC917489 VHF917486:VHG917489 UXJ917486:UXK917489 UNN917486:UNO917489 UDR917486:UDS917489 TTV917486:TTW917489 TJZ917486:TKA917489 TAD917486:TAE917489 SQH917486:SQI917489 SGL917486:SGM917489 RWP917486:RWQ917489 RMT917486:RMU917489 RCX917486:RCY917489 QTB917486:QTC917489 QJF917486:QJG917489 PZJ917486:PZK917489 PPN917486:PPO917489 PFR917486:PFS917489 OVV917486:OVW917489 OLZ917486:OMA917489 OCD917486:OCE917489 NSH917486:NSI917489 NIL917486:NIM917489 MYP917486:MYQ917489 MOT917486:MOU917489 MEX917486:MEY917489 LVB917486:LVC917489 LLF917486:LLG917489 LBJ917486:LBK917489 KRN917486:KRO917489 KHR917486:KHS917489 JXV917486:JXW917489 JNZ917486:JOA917489 JED917486:JEE917489 IUH917486:IUI917489 IKL917486:IKM917489 IAP917486:IAQ917489 HQT917486:HQU917489 HGX917486:HGY917489 GXB917486:GXC917489 GNF917486:GNG917489 GDJ917486:GDK917489 FTN917486:FTO917489 FJR917486:FJS917489 EZV917486:EZW917489 EPZ917486:EQA917489 EGD917486:EGE917489 DWH917486:DWI917489 DML917486:DMM917489 DCP917486:DCQ917489 CST917486:CSU917489 CIX917486:CIY917489 BZB917486:BZC917489 BPF917486:BPG917489 BFJ917486:BFK917489 AVN917486:AVO917489 ALR917486:ALS917489 ABV917486:ABW917489 RZ917486:SA917489 ID917486:IE917489 AB917486:AC917489 WUP851950:WUQ851953 WKT851950:WKU851953 WAX851950:WAY851953 VRB851950:VRC851953 VHF851950:VHG851953 UXJ851950:UXK851953 UNN851950:UNO851953 UDR851950:UDS851953 TTV851950:TTW851953 TJZ851950:TKA851953 TAD851950:TAE851953 SQH851950:SQI851953 SGL851950:SGM851953 RWP851950:RWQ851953 RMT851950:RMU851953 RCX851950:RCY851953 QTB851950:QTC851953 QJF851950:QJG851953 PZJ851950:PZK851953 PPN851950:PPO851953 PFR851950:PFS851953 OVV851950:OVW851953 OLZ851950:OMA851953 OCD851950:OCE851953 NSH851950:NSI851953 NIL851950:NIM851953 MYP851950:MYQ851953 MOT851950:MOU851953 MEX851950:MEY851953 LVB851950:LVC851953 LLF851950:LLG851953 LBJ851950:LBK851953 KRN851950:KRO851953 KHR851950:KHS851953 JXV851950:JXW851953 JNZ851950:JOA851953 JED851950:JEE851953 IUH851950:IUI851953 IKL851950:IKM851953 IAP851950:IAQ851953 HQT851950:HQU851953 HGX851950:HGY851953 GXB851950:GXC851953 GNF851950:GNG851953 GDJ851950:GDK851953 FTN851950:FTO851953 FJR851950:FJS851953 EZV851950:EZW851953 EPZ851950:EQA851953 EGD851950:EGE851953 DWH851950:DWI851953 DML851950:DMM851953 DCP851950:DCQ851953 CST851950:CSU851953 CIX851950:CIY851953 BZB851950:BZC851953 BPF851950:BPG851953 BFJ851950:BFK851953 AVN851950:AVO851953 ALR851950:ALS851953 ABV851950:ABW851953 RZ851950:SA851953 ID851950:IE851953 AB851950:AC851953 WUP786414:WUQ786417 WKT786414:WKU786417 WAX786414:WAY786417 VRB786414:VRC786417 VHF786414:VHG786417 UXJ786414:UXK786417 UNN786414:UNO786417 UDR786414:UDS786417 TTV786414:TTW786417 TJZ786414:TKA786417 TAD786414:TAE786417 SQH786414:SQI786417 SGL786414:SGM786417 RWP786414:RWQ786417 RMT786414:RMU786417 RCX786414:RCY786417 QTB786414:QTC786417 QJF786414:QJG786417 PZJ786414:PZK786417 PPN786414:PPO786417 PFR786414:PFS786417 OVV786414:OVW786417 OLZ786414:OMA786417 OCD786414:OCE786417 NSH786414:NSI786417 NIL786414:NIM786417 MYP786414:MYQ786417 MOT786414:MOU786417 MEX786414:MEY786417 LVB786414:LVC786417 LLF786414:LLG786417 LBJ786414:LBK786417 KRN786414:KRO786417 KHR786414:KHS786417 JXV786414:JXW786417 JNZ786414:JOA786417 JED786414:JEE786417 IUH786414:IUI786417 IKL786414:IKM786417 IAP786414:IAQ786417 HQT786414:HQU786417 HGX786414:HGY786417 GXB786414:GXC786417 GNF786414:GNG786417 GDJ786414:GDK786417 FTN786414:FTO786417 FJR786414:FJS786417 EZV786414:EZW786417 EPZ786414:EQA786417 EGD786414:EGE786417 DWH786414:DWI786417 DML786414:DMM786417 DCP786414:DCQ786417 CST786414:CSU786417 CIX786414:CIY786417 BZB786414:BZC786417 BPF786414:BPG786417 BFJ786414:BFK786417 AVN786414:AVO786417 ALR786414:ALS786417 ABV786414:ABW786417 RZ786414:SA786417 ID786414:IE786417 AB786414:AC786417 WUP720878:WUQ720881 WKT720878:WKU720881 WAX720878:WAY720881 VRB720878:VRC720881 VHF720878:VHG720881 UXJ720878:UXK720881 UNN720878:UNO720881 UDR720878:UDS720881 TTV720878:TTW720881 TJZ720878:TKA720881 TAD720878:TAE720881 SQH720878:SQI720881 SGL720878:SGM720881 RWP720878:RWQ720881 RMT720878:RMU720881 RCX720878:RCY720881 QTB720878:QTC720881 QJF720878:QJG720881 PZJ720878:PZK720881 PPN720878:PPO720881 PFR720878:PFS720881 OVV720878:OVW720881 OLZ720878:OMA720881 OCD720878:OCE720881 NSH720878:NSI720881 NIL720878:NIM720881 MYP720878:MYQ720881 MOT720878:MOU720881 MEX720878:MEY720881 LVB720878:LVC720881 LLF720878:LLG720881 LBJ720878:LBK720881 KRN720878:KRO720881 KHR720878:KHS720881 JXV720878:JXW720881 JNZ720878:JOA720881 JED720878:JEE720881 IUH720878:IUI720881 IKL720878:IKM720881 IAP720878:IAQ720881 HQT720878:HQU720881 HGX720878:HGY720881 GXB720878:GXC720881 GNF720878:GNG720881 GDJ720878:GDK720881 FTN720878:FTO720881 FJR720878:FJS720881 EZV720878:EZW720881 EPZ720878:EQA720881 EGD720878:EGE720881 DWH720878:DWI720881 DML720878:DMM720881 DCP720878:DCQ720881 CST720878:CSU720881 CIX720878:CIY720881 BZB720878:BZC720881 BPF720878:BPG720881 BFJ720878:BFK720881 AVN720878:AVO720881 ALR720878:ALS720881 ABV720878:ABW720881 RZ720878:SA720881 ID720878:IE720881 AB720878:AC720881 WUP655342:WUQ655345 WKT655342:WKU655345 WAX655342:WAY655345 VRB655342:VRC655345 VHF655342:VHG655345 UXJ655342:UXK655345 UNN655342:UNO655345 UDR655342:UDS655345 TTV655342:TTW655345 TJZ655342:TKA655345 TAD655342:TAE655345 SQH655342:SQI655345 SGL655342:SGM655345 RWP655342:RWQ655345 RMT655342:RMU655345 RCX655342:RCY655345 QTB655342:QTC655345 QJF655342:QJG655345 PZJ655342:PZK655345 PPN655342:PPO655345 PFR655342:PFS655345 OVV655342:OVW655345 OLZ655342:OMA655345 OCD655342:OCE655345 NSH655342:NSI655345 NIL655342:NIM655345 MYP655342:MYQ655345 MOT655342:MOU655345 MEX655342:MEY655345 LVB655342:LVC655345 LLF655342:LLG655345 LBJ655342:LBK655345 KRN655342:KRO655345 KHR655342:KHS655345 JXV655342:JXW655345 JNZ655342:JOA655345 JED655342:JEE655345 IUH655342:IUI655345 IKL655342:IKM655345 IAP655342:IAQ655345 HQT655342:HQU655345 HGX655342:HGY655345 GXB655342:GXC655345 GNF655342:GNG655345 GDJ655342:GDK655345 FTN655342:FTO655345 FJR655342:FJS655345 EZV655342:EZW655345 EPZ655342:EQA655345 EGD655342:EGE655345 DWH655342:DWI655345 DML655342:DMM655345 DCP655342:DCQ655345 CST655342:CSU655345 CIX655342:CIY655345 BZB655342:BZC655345 BPF655342:BPG655345 BFJ655342:BFK655345 AVN655342:AVO655345 ALR655342:ALS655345 ABV655342:ABW655345 RZ655342:SA655345 ID655342:IE655345 AB655342:AC655345 WUP589806:WUQ589809 WKT589806:WKU589809 WAX589806:WAY589809 VRB589806:VRC589809 VHF589806:VHG589809 UXJ589806:UXK589809 UNN589806:UNO589809 UDR589806:UDS589809 TTV589806:TTW589809 TJZ589806:TKA589809 TAD589806:TAE589809 SQH589806:SQI589809 SGL589806:SGM589809 RWP589806:RWQ589809 RMT589806:RMU589809 RCX589806:RCY589809 QTB589806:QTC589809 QJF589806:QJG589809 PZJ589806:PZK589809 PPN589806:PPO589809 PFR589806:PFS589809 OVV589806:OVW589809 OLZ589806:OMA589809 OCD589806:OCE589809 NSH589806:NSI589809 NIL589806:NIM589809 MYP589806:MYQ589809 MOT589806:MOU589809 MEX589806:MEY589809 LVB589806:LVC589809 LLF589806:LLG589809 LBJ589806:LBK589809 KRN589806:KRO589809 KHR589806:KHS589809 JXV589806:JXW589809 JNZ589806:JOA589809 JED589806:JEE589809 IUH589806:IUI589809 IKL589806:IKM589809 IAP589806:IAQ589809 HQT589806:HQU589809 HGX589806:HGY589809 GXB589806:GXC589809 GNF589806:GNG589809 GDJ589806:GDK589809 FTN589806:FTO589809 FJR589806:FJS589809 EZV589806:EZW589809 EPZ589806:EQA589809 EGD589806:EGE589809 DWH589806:DWI589809 DML589806:DMM589809 DCP589806:DCQ589809 CST589806:CSU589809 CIX589806:CIY589809 BZB589806:BZC589809 BPF589806:BPG589809 BFJ589806:BFK589809 AVN589806:AVO589809 ALR589806:ALS589809 ABV589806:ABW589809 RZ589806:SA589809 ID589806:IE589809 AB589806:AC589809 WUP524270:WUQ524273 WKT524270:WKU524273 WAX524270:WAY524273 VRB524270:VRC524273 VHF524270:VHG524273 UXJ524270:UXK524273 UNN524270:UNO524273 UDR524270:UDS524273 TTV524270:TTW524273 TJZ524270:TKA524273 TAD524270:TAE524273 SQH524270:SQI524273 SGL524270:SGM524273 RWP524270:RWQ524273 RMT524270:RMU524273 RCX524270:RCY524273 QTB524270:QTC524273 QJF524270:QJG524273 PZJ524270:PZK524273 PPN524270:PPO524273 PFR524270:PFS524273 OVV524270:OVW524273 OLZ524270:OMA524273 OCD524270:OCE524273 NSH524270:NSI524273 NIL524270:NIM524273 MYP524270:MYQ524273 MOT524270:MOU524273 MEX524270:MEY524273 LVB524270:LVC524273 LLF524270:LLG524273 LBJ524270:LBK524273 KRN524270:KRO524273 KHR524270:KHS524273 JXV524270:JXW524273 JNZ524270:JOA524273 JED524270:JEE524273 IUH524270:IUI524273 IKL524270:IKM524273 IAP524270:IAQ524273 HQT524270:HQU524273 HGX524270:HGY524273 GXB524270:GXC524273 GNF524270:GNG524273 GDJ524270:GDK524273 FTN524270:FTO524273 FJR524270:FJS524273 EZV524270:EZW524273 EPZ524270:EQA524273 EGD524270:EGE524273 DWH524270:DWI524273 DML524270:DMM524273 DCP524270:DCQ524273 CST524270:CSU524273 CIX524270:CIY524273 BZB524270:BZC524273 BPF524270:BPG524273 BFJ524270:BFK524273 AVN524270:AVO524273 ALR524270:ALS524273 ABV524270:ABW524273 RZ524270:SA524273 ID524270:IE524273 AB524270:AC524273 WUP458734:WUQ458737 WKT458734:WKU458737 WAX458734:WAY458737 VRB458734:VRC458737 VHF458734:VHG458737 UXJ458734:UXK458737 UNN458734:UNO458737 UDR458734:UDS458737 TTV458734:TTW458737 TJZ458734:TKA458737 TAD458734:TAE458737 SQH458734:SQI458737 SGL458734:SGM458737 RWP458734:RWQ458737 RMT458734:RMU458737 RCX458734:RCY458737 QTB458734:QTC458737 QJF458734:QJG458737 PZJ458734:PZK458737 PPN458734:PPO458737 PFR458734:PFS458737 OVV458734:OVW458737 OLZ458734:OMA458737 OCD458734:OCE458737 NSH458734:NSI458737 NIL458734:NIM458737 MYP458734:MYQ458737 MOT458734:MOU458737 MEX458734:MEY458737 LVB458734:LVC458737 LLF458734:LLG458737 LBJ458734:LBK458737 KRN458734:KRO458737 KHR458734:KHS458737 JXV458734:JXW458737 JNZ458734:JOA458737 JED458734:JEE458737 IUH458734:IUI458737 IKL458734:IKM458737 IAP458734:IAQ458737 HQT458734:HQU458737 HGX458734:HGY458737 GXB458734:GXC458737 GNF458734:GNG458737 GDJ458734:GDK458737 FTN458734:FTO458737 FJR458734:FJS458737 EZV458734:EZW458737 EPZ458734:EQA458737 EGD458734:EGE458737 DWH458734:DWI458737 DML458734:DMM458737 DCP458734:DCQ458737 CST458734:CSU458737 CIX458734:CIY458737 BZB458734:BZC458737 BPF458734:BPG458737 BFJ458734:BFK458737 AVN458734:AVO458737 ALR458734:ALS458737 ABV458734:ABW458737 RZ458734:SA458737 ID458734:IE458737 AB458734:AC458737 WUP393198:WUQ393201 WKT393198:WKU393201 WAX393198:WAY393201 VRB393198:VRC393201 VHF393198:VHG393201 UXJ393198:UXK393201 UNN393198:UNO393201 UDR393198:UDS393201 TTV393198:TTW393201 TJZ393198:TKA393201 TAD393198:TAE393201 SQH393198:SQI393201 SGL393198:SGM393201 RWP393198:RWQ393201 RMT393198:RMU393201 RCX393198:RCY393201 QTB393198:QTC393201 QJF393198:QJG393201 PZJ393198:PZK393201 PPN393198:PPO393201 PFR393198:PFS393201 OVV393198:OVW393201 OLZ393198:OMA393201 OCD393198:OCE393201 NSH393198:NSI393201 NIL393198:NIM393201 MYP393198:MYQ393201 MOT393198:MOU393201 MEX393198:MEY393201 LVB393198:LVC393201 LLF393198:LLG393201 LBJ393198:LBK393201 KRN393198:KRO393201 KHR393198:KHS393201 JXV393198:JXW393201 JNZ393198:JOA393201 JED393198:JEE393201 IUH393198:IUI393201 IKL393198:IKM393201 IAP393198:IAQ393201 HQT393198:HQU393201 HGX393198:HGY393201 GXB393198:GXC393201 GNF393198:GNG393201 GDJ393198:GDK393201 FTN393198:FTO393201 FJR393198:FJS393201 EZV393198:EZW393201 EPZ393198:EQA393201 EGD393198:EGE393201 DWH393198:DWI393201 DML393198:DMM393201 DCP393198:DCQ393201 CST393198:CSU393201 CIX393198:CIY393201 BZB393198:BZC393201 BPF393198:BPG393201 BFJ393198:BFK393201 AVN393198:AVO393201 ALR393198:ALS393201 ABV393198:ABW393201 RZ393198:SA393201 ID393198:IE393201 AB393198:AC393201 WUP327662:WUQ327665 WKT327662:WKU327665 WAX327662:WAY327665 VRB327662:VRC327665 VHF327662:VHG327665 UXJ327662:UXK327665 UNN327662:UNO327665 UDR327662:UDS327665 TTV327662:TTW327665 TJZ327662:TKA327665 TAD327662:TAE327665 SQH327662:SQI327665 SGL327662:SGM327665 RWP327662:RWQ327665 RMT327662:RMU327665 RCX327662:RCY327665 QTB327662:QTC327665 QJF327662:QJG327665 PZJ327662:PZK327665 PPN327662:PPO327665 PFR327662:PFS327665 OVV327662:OVW327665 OLZ327662:OMA327665 OCD327662:OCE327665 NSH327662:NSI327665 NIL327662:NIM327665 MYP327662:MYQ327665 MOT327662:MOU327665 MEX327662:MEY327665 LVB327662:LVC327665 LLF327662:LLG327665 LBJ327662:LBK327665 KRN327662:KRO327665 KHR327662:KHS327665 JXV327662:JXW327665 JNZ327662:JOA327665 JED327662:JEE327665 IUH327662:IUI327665 IKL327662:IKM327665 IAP327662:IAQ327665 HQT327662:HQU327665 HGX327662:HGY327665 GXB327662:GXC327665 GNF327662:GNG327665 GDJ327662:GDK327665 FTN327662:FTO327665 FJR327662:FJS327665 EZV327662:EZW327665 EPZ327662:EQA327665 EGD327662:EGE327665 DWH327662:DWI327665 DML327662:DMM327665 DCP327662:DCQ327665 CST327662:CSU327665 CIX327662:CIY327665 BZB327662:BZC327665 BPF327662:BPG327665 BFJ327662:BFK327665 AVN327662:AVO327665 ALR327662:ALS327665 ABV327662:ABW327665 RZ327662:SA327665 ID327662:IE327665 AB327662:AC327665 WUP262126:WUQ262129 WKT262126:WKU262129 WAX262126:WAY262129 VRB262126:VRC262129 VHF262126:VHG262129 UXJ262126:UXK262129 UNN262126:UNO262129 UDR262126:UDS262129 TTV262126:TTW262129 TJZ262126:TKA262129 TAD262126:TAE262129 SQH262126:SQI262129 SGL262126:SGM262129 RWP262126:RWQ262129 RMT262126:RMU262129 RCX262126:RCY262129 QTB262126:QTC262129 QJF262126:QJG262129 PZJ262126:PZK262129 PPN262126:PPO262129 PFR262126:PFS262129 OVV262126:OVW262129 OLZ262126:OMA262129 OCD262126:OCE262129 NSH262126:NSI262129 NIL262126:NIM262129 MYP262126:MYQ262129 MOT262126:MOU262129 MEX262126:MEY262129 LVB262126:LVC262129 LLF262126:LLG262129 LBJ262126:LBK262129 KRN262126:KRO262129 KHR262126:KHS262129 JXV262126:JXW262129 JNZ262126:JOA262129 JED262126:JEE262129 IUH262126:IUI262129 IKL262126:IKM262129 IAP262126:IAQ262129 HQT262126:HQU262129 HGX262126:HGY262129 GXB262126:GXC262129 GNF262126:GNG262129 GDJ262126:GDK262129 FTN262126:FTO262129 FJR262126:FJS262129 EZV262126:EZW262129 EPZ262126:EQA262129 EGD262126:EGE262129 DWH262126:DWI262129 DML262126:DMM262129 DCP262126:DCQ262129 CST262126:CSU262129 CIX262126:CIY262129 BZB262126:BZC262129 BPF262126:BPG262129 BFJ262126:BFK262129 AVN262126:AVO262129 ALR262126:ALS262129 ABV262126:ABW262129 RZ262126:SA262129 ID262126:IE262129 AB262126:AC262129 WUP196590:WUQ196593 WKT196590:WKU196593 WAX196590:WAY196593 VRB196590:VRC196593 VHF196590:VHG196593 UXJ196590:UXK196593 UNN196590:UNO196593 UDR196590:UDS196593 TTV196590:TTW196593 TJZ196590:TKA196593 TAD196590:TAE196593 SQH196590:SQI196593 SGL196590:SGM196593 RWP196590:RWQ196593 RMT196590:RMU196593 RCX196590:RCY196593 QTB196590:QTC196593 QJF196590:QJG196593 PZJ196590:PZK196593 PPN196590:PPO196593 PFR196590:PFS196593 OVV196590:OVW196593 OLZ196590:OMA196593 OCD196590:OCE196593 NSH196590:NSI196593 NIL196590:NIM196593 MYP196590:MYQ196593 MOT196590:MOU196593 MEX196590:MEY196593 LVB196590:LVC196593 LLF196590:LLG196593 LBJ196590:LBK196593 KRN196590:KRO196593 KHR196590:KHS196593 JXV196590:JXW196593 JNZ196590:JOA196593 JED196590:JEE196593 IUH196590:IUI196593 IKL196590:IKM196593 IAP196590:IAQ196593 HQT196590:HQU196593 HGX196590:HGY196593 GXB196590:GXC196593 GNF196590:GNG196593 GDJ196590:GDK196593 FTN196590:FTO196593 FJR196590:FJS196593 EZV196590:EZW196593 EPZ196590:EQA196593 EGD196590:EGE196593 DWH196590:DWI196593 DML196590:DMM196593 DCP196590:DCQ196593 CST196590:CSU196593 CIX196590:CIY196593 BZB196590:BZC196593 BPF196590:BPG196593 BFJ196590:BFK196593 AVN196590:AVO196593 ALR196590:ALS196593 ABV196590:ABW196593 RZ196590:SA196593 ID196590:IE196593 AB196590:AC196593 WUP131054:WUQ131057 WKT131054:WKU131057 WAX131054:WAY131057 VRB131054:VRC131057 VHF131054:VHG131057 UXJ131054:UXK131057 UNN131054:UNO131057 UDR131054:UDS131057 TTV131054:TTW131057 TJZ131054:TKA131057 TAD131054:TAE131057 SQH131054:SQI131057 SGL131054:SGM131057 RWP131054:RWQ131057 RMT131054:RMU131057 RCX131054:RCY131057 QTB131054:QTC131057 QJF131054:QJG131057 PZJ131054:PZK131057 PPN131054:PPO131057 PFR131054:PFS131057 OVV131054:OVW131057 OLZ131054:OMA131057 OCD131054:OCE131057 NSH131054:NSI131057 NIL131054:NIM131057 MYP131054:MYQ131057 MOT131054:MOU131057 MEX131054:MEY131057 LVB131054:LVC131057 LLF131054:LLG131057 LBJ131054:LBK131057 KRN131054:KRO131057 KHR131054:KHS131057 JXV131054:JXW131057 JNZ131054:JOA131057 JED131054:JEE131057 IUH131054:IUI131057 IKL131054:IKM131057 IAP131054:IAQ131057 HQT131054:HQU131057 HGX131054:HGY131057 GXB131054:GXC131057 GNF131054:GNG131057 GDJ131054:GDK131057 FTN131054:FTO131057 FJR131054:FJS131057 EZV131054:EZW131057 EPZ131054:EQA131057 EGD131054:EGE131057 DWH131054:DWI131057 DML131054:DMM131057 DCP131054:DCQ131057 CST131054:CSU131057 CIX131054:CIY131057 BZB131054:BZC131057 BPF131054:BPG131057 BFJ131054:BFK131057 AVN131054:AVO131057 ALR131054:ALS131057 ABV131054:ABW131057 RZ131054:SA131057 ID131054:IE131057 AB131054:AC131057 WUP65518:WUQ65521 WKT65518:WKU65521 WAX65518:WAY65521 VRB65518:VRC65521 VHF65518:VHG65521 UXJ65518:UXK65521 UNN65518:UNO65521 UDR65518:UDS65521 TTV65518:TTW65521 TJZ65518:TKA65521 TAD65518:TAE65521 SQH65518:SQI65521 SGL65518:SGM65521 RWP65518:RWQ65521 RMT65518:RMU65521 RCX65518:RCY65521 QTB65518:QTC65521 QJF65518:QJG65521 PZJ65518:PZK65521 PPN65518:PPO65521 PFR65518:PFS65521 OVV65518:OVW65521 OLZ65518:OMA65521 OCD65518:OCE65521 NSH65518:NSI65521 NIL65518:NIM65521 MYP65518:MYQ65521 MOT65518:MOU65521 MEX65518:MEY65521 LVB65518:LVC65521 LLF65518:LLG65521 LBJ65518:LBK65521 KRN65518:KRO65521 KHR65518:KHS65521 JXV65518:JXW65521 JNZ65518:JOA65521 JED65518:JEE65521 IUH65518:IUI65521 IKL65518:IKM65521 IAP65518:IAQ65521 HQT65518:HQU65521 HGX65518:HGY65521 GXB65518:GXC65521 GNF65518:GNG65521 GDJ65518:GDK65521 FTN65518:FTO65521 FJR65518:FJS65521 EZV65518:EZW65521 EPZ65518:EQA65521 EGD65518:EGE65521 DWH65518:DWI65521 DML65518:DMM65521 DCP65518:DCQ65521 CST65518:CSU65521 CIX65518:CIY65521 BZB65518:BZC65521 BPF65518:BPG65521 BFJ65518:BFK65521 AVN65518:AVO65521 ALR65518:ALS65521 ABV65518:ABW65521 RZ65518:SA65521 ID65518:IE65521 AB65518:AC65521 WKT983022:WKU983025 WUP5:WUQ6 WKT5:WKU6 WAX5:WAY6 VRB5:VRC6 VHF5:VHG6 UXJ5:UXK6 UNN5:UNO6 UDR5:UDS6 TTV5:TTW6 TJZ5:TKA6 TAD5:TAE6 SQH5:SQI6 SGL5:SGM6 RWP5:RWQ6 RMT5:RMU6 RCX5:RCY6 QTB5:QTC6 QJF5:QJG6 PZJ5:PZK6 PPN5:PPO6 PFR5:PFS6 OVV5:OVW6 OLZ5:OMA6 OCD5:OCE6 NSH5:NSI6 NIL5:NIM6 MYP5:MYQ6 MOT5:MOU6 MEX5:MEY6 LVB5:LVC6 LLF5:LLG6 LBJ5:LBK6 KRN5:KRO6 KHR5:KHS6 JXV5:JXW6 JNZ5:JOA6 JED5:JEE6 IUH5:IUI6 IKL5:IKM6 IAP5:IAQ6 HQT5:HQU6 HGX5:HGY6 GXB5:GXC6 GNF5:GNG6 GDJ5:GDK6 FTN5:FTO6 FJR5:FJS6 EZV5:EZW6 EPZ5:EQA6 EGD5:EGE6 DWH5:DWI6 DML5:DMM6 DCP5:DCQ6 CST5:CSU6 CIX5:CIY6 BZB5:BZC6 BPF5:BPG6 BFJ5:BFK6 AVN5:AVO6 ALR5:ALS6 ABV5:ABW6 RZ5:SA6 ID5:IE6 WAX983022:WAY983025 WKT8:WKU12 WUP8:WUQ12 ID8:IE12 RZ8:SA12 ABV8:ABW12 ALR8:ALS12 AVN8:AVO12 BFJ8:BFK12 BPF8:BPG12 BZB8:BZC12 CIX8:CIY12 CST8:CSU12 DCP8:DCQ12 DML8:DMM12 DWH8:DWI12 EGD8:EGE12 EPZ8:EQA12 EZV8:EZW12 FJR8:FJS12 FTN8:FTO12 GDJ8:GDK12 GNF8:GNG12 GXB8:GXC12 HGX8:HGY12 HQT8:HQU12 IAP8:IAQ12 IKL8:IKM12 IUH8:IUI12 JED8:JEE12 JNZ8:JOA12 JXV8:JXW12 KHR8:KHS12 KRN8:KRO12 LBJ8:LBK12 LLF8:LLG12 LVB8:LVC12 MEX8:MEY12 MOT8:MOU12 MYP8:MYQ12 NIL8:NIM12 NSH8:NSI12 OCD8:OCE12 OLZ8:OMA12 OVV8:OVW12 PFR8:PFS12 PPN8:PPO12 PZJ8:PZK12 QJF8:QJG12 QTB8:QTC12 RCX8:RCY12 RMT8:RMU12 RWP8:RWQ12 SGL8:SGM12 SQH8:SQI12 TAD8:TAE12 TJZ8:TKA12 TTV8:TTW12 UDR8:UDS12 UNN8:UNO12 UXJ8:UXK12 VHF8:VHG12 VRB8:VRC12" xr:uid="{B1936DF7-8BB7-44A9-8B9A-67EF63B3A7B9}">
      <formula1>$U$41:$U$44</formula1>
    </dataValidation>
    <dataValidation type="list" allowBlank="1" showInputMessage="1" showErrorMessage="1" sqref="WUP983026:WUQ983059 WAX983026:WAY983059 VRB983026:VRC983059 VHF983026:VHG983059 UXJ983026:UXK983059 UNN983026:UNO983059 UDR983026:UDS983059 TTV983026:TTW983059 TJZ983026:TKA983059 TAD983026:TAE983059 SQH983026:SQI983059 SGL983026:SGM983059 RWP983026:RWQ983059 RMT983026:RMU983059 RCX983026:RCY983059 QTB983026:QTC983059 QJF983026:QJG983059 PZJ983026:PZK983059 PPN983026:PPO983059 PFR983026:PFS983059 OVV983026:OVW983059 OLZ983026:OMA983059 OCD983026:OCE983059 NSH983026:NSI983059 NIL983026:NIM983059 MYP983026:MYQ983059 MOT983026:MOU983059 MEX983026:MEY983059 LVB983026:LVC983059 LLF983026:LLG983059 LBJ983026:LBK983059 KRN983026:KRO983059 KHR983026:KHS983059 JXV983026:JXW983059 JNZ983026:JOA983059 JED983026:JEE983059 IUH983026:IUI983059 IKL983026:IKM983059 IAP983026:IAQ983059 HQT983026:HQU983059 HGX983026:HGY983059 GXB983026:GXC983059 GNF983026:GNG983059 GDJ983026:GDK983059 FTN983026:FTO983059 FJR983026:FJS983059 EZV983026:EZW983059 EPZ983026:EQA983059 EGD983026:EGE983059 DWH983026:DWI983059 DML983026:DMM983059 DCP983026:DCQ983059 CST983026:CSU983059 CIX983026:CIY983059 BZB983026:BZC983059 BPF983026:BPG983059 BFJ983026:BFK983059 AVN983026:AVO983059 ALR983026:ALS983059 ABV983026:ABW983059 RZ983026:SA983059 ID983026:IE983059 AB983026:AC983059 WUP917490:WUQ917523 WKT917490:WKU917523 WAX917490:WAY917523 VRB917490:VRC917523 VHF917490:VHG917523 UXJ917490:UXK917523 UNN917490:UNO917523 UDR917490:UDS917523 TTV917490:TTW917523 TJZ917490:TKA917523 TAD917490:TAE917523 SQH917490:SQI917523 SGL917490:SGM917523 RWP917490:RWQ917523 RMT917490:RMU917523 RCX917490:RCY917523 QTB917490:QTC917523 QJF917490:QJG917523 PZJ917490:PZK917523 PPN917490:PPO917523 PFR917490:PFS917523 OVV917490:OVW917523 OLZ917490:OMA917523 OCD917490:OCE917523 NSH917490:NSI917523 NIL917490:NIM917523 MYP917490:MYQ917523 MOT917490:MOU917523 MEX917490:MEY917523 LVB917490:LVC917523 LLF917490:LLG917523 LBJ917490:LBK917523 KRN917490:KRO917523 KHR917490:KHS917523 JXV917490:JXW917523 JNZ917490:JOA917523 JED917490:JEE917523 IUH917490:IUI917523 IKL917490:IKM917523 IAP917490:IAQ917523 HQT917490:HQU917523 HGX917490:HGY917523 GXB917490:GXC917523 GNF917490:GNG917523 GDJ917490:GDK917523 FTN917490:FTO917523 FJR917490:FJS917523 EZV917490:EZW917523 EPZ917490:EQA917523 EGD917490:EGE917523 DWH917490:DWI917523 DML917490:DMM917523 DCP917490:DCQ917523 CST917490:CSU917523 CIX917490:CIY917523 BZB917490:BZC917523 BPF917490:BPG917523 BFJ917490:BFK917523 AVN917490:AVO917523 ALR917490:ALS917523 ABV917490:ABW917523 RZ917490:SA917523 ID917490:IE917523 AB917490:AC917523 WUP851954:WUQ851987 WKT851954:WKU851987 WAX851954:WAY851987 VRB851954:VRC851987 VHF851954:VHG851987 UXJ851954:UXK851987 UNN851954:UNO851987 UDR851954:UDS851987 TTV851954:TTW851987 TJZ851954:TKA851987 TAD851954:TAE851987 SQH851954:SQI851987 SGL851954:SGM851987 RWP851954:RWQ851987 RMT851954:RMU851987 RCX851954:RCY851987 QTB851954:QTC851987 QJF851954:QJG851987 PZJ851954:PZK851987 PPN851954:PPO851987 PFR851954:PFS851987 OVV851954:OVW851987 OLZ851954:OMA851987 OCD851954:OCE851987 NSH851954:NSI851987 NIL851954:NIM851987 MYP851954:MYQ851987 MOT851954:MOU851987 MEX851954:MEY851987 LVB851954:LVC851987 LLF851954:LLG851987 LBJ851954:LBK851987 KRN851954:KRO851987 KHR851954:KHS851987 JXV851954:JXW851987 JNZ851954:JOA851987 JED851954:JEE851987 IUH851954:IUI851987 IKL851954:IKM851987 IAP851954:IAQ851987 HQT851954:HQU851987 HGX851954:HGY851987 GXB851954:GXC851987 GNF851954:GNG851987 GDJ851954:GDK851987 FTN851954:FTO851987 FJR851954:FJS851987 EZV851954:EZW851987 EPZ851954:EQA851987 EGD851954:EGE851987 DWH851954:DWI851987 DML851954:DMM851987 DCP851954:DCQ851987 CST851954:CSU851987 CIX851954:CIY851987 BZB851954:BZC851987 BPF851954:BPG851987 BFJ851954:BFK851987 AVN851954:AVO851987 ALR851954:ALS851987 ABV851954:ABW851987 RZ851954:SA851987 ID851954:IE851987 AB851954:AC851987 WUP786418:WUQ786451 WKT786418:WKU786451 WAX786418:WAY786451 VRB786418:VRC786451 VHF786418:VHG786451 UXJ786418:UXK786451 UNN786418:UNO786451 UDR786418:UDS786451 TTV786418:TTW786451 TJZ786418:TKA786451 TAD786418:TAE786451 SQH786418:SQI786451 SGL786418:SGM786451 RWP786418:RWQ786451 RMT786418:RMU786451 RCX786418:RCY786451 QTB786418:QTC786451 QJF786418:QJG786451 PZJ786418:PZK786451 PPN786418:PPO786451 PFR786418:PFS786451 OVV786418:OVW786451 OLZ786418:OMA786451 OCD786418:OCE786451 NSH786418:NSI786451 NIL786418:NIM786451 MYP786418:MYQ786451 MOT786418:MOU786451 MEX786418:MEY786451 LVB786418:LVC786451 LLF786418:LLG786451 LBJ786418:LBK786451 KRN786418:KRO786451 KHR786418:KHS786451 JXV786418:JXW786451 JNZ786418:JOA786451 JED786418:JEE786451 IUH786418:IUI786451 IKL786418:IKM786451 IAP786418:IAQ786451 HQT786418:HQU786451 HGX786418:HGY786451 GXB786418:GXC786451 GNF786418:GNG786451 GDJ786418:GDK786451 FTN786418:FTO786451 FJR786418:FJS786451 EZV786418:EZW786451 EPZ786418:EQA786451 EGD786418:EGE786451 DWH786418:DWI786451 DML786418:DMM786451 DCP786418:DCQ786451 CST786418:CSU786451 CIX786418:CIY786451 BZB786418:BZC786451 BPF786418:BPG786451 BFJ786418:BFK786451 AVN786418:AVO786451 ALR786418:ALS786451 ABV786418:ABW786451 RZ786418:SA786451 ID786418:IE786451 AB786418:AC786451 WUP720882:WUQ720915 WKT720882:WKU720915 WAX720882:WAY720915 VRB720882:VRC720915 VHF720882:VHG720915 UXJ720882:UXK720915 UNN720882:UNO720915 UDR720882:UDS720915 TTV720882:TTW720915 TJZ720882:TKA720915 TAD720882:TAE720915 SQH720882:SQI720915 SGL720882:SGM720915 RWP720882:RWQ720915 RMT720882:RMU720915 RCX720882:RCY720915 QTB720882:QTC720915 QJF720882:QJG720915 PZJ720882:PZK720915 PPN720882:PPO720915 PFR720882:PFS720915 OVV720882:OVW720915 OLZ720882:OMA720915 OCD720882:OCE720915 NSH720882:NSI720915 NIL720882:NIM720915 MYP720882:MYQ720915 MOT720882:MOU720915 MEX720882:MEY720915 LVB720882:LVC720915 LLF720882:LLG720915 LBJ720882:LBK720915 KRN720882:KRO720915 KHR720882:KHS720915 JXV720882:JXW720915 JNZ720882:JOA720915 JED720882:JEE720915 IUH720882:IUI720915 IKL720882:IKM720915 IAP720882:IAQ720915 HQT720882:HQU720915 HGX720882:HGY720915 GXB720882:GXC720915 GNF720882:GNG720915 GDJ720882:GDK720915 FTN720882:FTO720915 FJR720882:FJS720915 EZV720882:EZW720915 EPZ720882:EQA720915 EGD720882:EGE720915 DWH720882:DWI720915 DML720882:DMM720915 DCP720882:DCQ720915 CST720882:CSU720915 CIX720882:CIY720915 BZB720882:BZC720915 BPF720882:BPG720915 BFJ720882:BFK720915 AVN720882:AVO720915 ALR720882:ALS720915 ABV720882:ABW720915 RZ720882:SA720915 ID720882:IE720915 AB720882:AC720915 WUP655346:WUQ655379 WKT655346:WKU655379 WAX655346:WAY655379 VRB655346:VRC655379 VHF655346:VHG655379 UXJ655346:UXK655379 UNN655346:UNO655379 UDR655346:UDS655379 TTV655346:TTW655379 TJZ655346:TKA655379 TAD655346:TAE655379 SQH655346:SQI655379 SGL655346:SGM655379 RWP655346:RWQ655379 RMT655346:RMU655379 RCX655346:RCY655379 QTB655346:QTC655379 QJF655346:QJG655379 PZJ655346:PZK655379 PPN655346:PPO655379 PFR655346:PFS655379 OVV655346:OVW655379 OLZ655346:OMA655379 OCD655346:OCE655379 NSH655346:NSI655379 NIL655346:NIM655379 MYP655346:MYQ655379 MOT655346:MOU655379 MEX655346:MEY655379 LVB655346:LVC655379 LLF655346:LLG655379 LBJ655346:LBK655379 KRN655346:KRO655379 KHR655346:KHS655379 JXV655346:JXW655379 JNZ655346:JOA655379 JED655346:JEE655379 IUH655346:IUI655379 IKL655346:IKM655379 IAP655346:IAQ655379 HQT655346:HQU655379 HGX655346:HGY655379 GXB655346:GXC655379 GNF655346:GNG655379 GDJ655346:GDK655379 FTN655346:FTO655379 FJR655346:FJS655379 EZV655346:EZW655379 EPZ655346:EQA655379 EGD655346:EGE655379 DWH655346:DWI655379 DML655346:DMM655379 DCP655346:DCQ655379 CST655346:CSU655379 CIX655346:CIY655379 BZB655346:BZC655379 BPF655346:BPG655379 BFJ655346:BFK655379 AVN655346:AVO655379 ALR655346:ALS655379 ABV655346:ABW655379 RZ655346:SA655379 ID655346:IE655379 AB655346:AC655379 WUP589810:WUQ589843 WKT589810:WKU589843 WAX589810:WAY589843 VRB589810:VRC589843 VHF589810:VHG589843 UXJ589810:UXK589843 UNN589810:UNO589843 UDR589810:UDS589843 TTV589810:TTW589843 TJZ589810:TKA589843 TAD589810:TAE589843 SQH589810:SQI589843 SGL589810:SGM589843 RWP589810:RWQ589843 RMT589810:RMU589843 RCX589810:RCY589843 QTB589810:QTC589843 QJF589810:QJG589843 PZJ589810:PZK589843 PPN589810:PPO589843 PFR589810:PFS589843 OVV589810:OVW589843 OLZ589810:OMA589843 OCD589810:OCE589843 NSH589810:NSI589843 NIL589810:NIM589843 MYP589810:MYQ589843 MOT589810:MOU589843 MEX589810:MEY589843 LVB589810:LVC589843 LLF589810:LLG589843 LBJ589810:LBK589843 KRN589810:KRO589843 KHR589810:KHS589843 JXV589810:JXW589843 JNZ589810:JOA589843 JED589810:JEE589843 IUH589810:IUI589843 IKL589810:IKM589843 IAP589810:IAQ589843 HQT589810:HQU589843 HGX589810:HGY589843 GXB589810:GXC589843 GNF589810:GNG589843 GDJ589810:GDK589843 FTN589810:FTO589843 FJR589810:FJS589843 EZV589810:EZW589843 EPZ589810:EQA589843 EGD589810:EGE589843 DWH589810:DWI589843 DML589810:DMM589843 DCP589810:DCQ589843 CST589810:CSU589843 CIX589810:CIY589843 BZB589810:BZC589843 BPF589810:BPG589843 BFJ589810:BFK589843 AVN589810:AVO589843 ALR589810:ALS589843 ABV589810:ABW589843 RZ589810:SA589843 ID589810:IE589843 AB589810:AC589843 WUP524274:WUQ524307 WKT524274:WKU524307 WAX524274:WAY524307 VRB524274:VRC524307 VHF524274:VHG524307 UXJ524274:UXK524307 UNN524274:UNO524307 UDR524274:UDS524307 TTV524274:TTW524307 TJZ524274:TKA524307 TAD524274:TAE524307 SQH524274:SQI524307 SGL524274:SGM524307 RWP524274:RWQ524307 RMT524274:RMU524307 RCX524274:RCY524307 QTB524274:QTC524307 QJF524274:QJG524307 PZJ524274:PZK524307 PPN524274:PPO524307 PFR524274:PFS524307 OVV524274:OVW524307 OLZ524274:OMA524307 OCD524274:OCE524307 NSH524274:NSI524307 NIL524274:NIM524307 MYP524274:MYQ524307 MOT524274:MOU524307 MEX524274:MEY524307 LVB524274:LVC524307 LLF524274:LLG524307 LBJ524274:LBK524307 KRN524274:KRO524307 KHR524274:KHS524307 JXV524274:JXW524307 JNZ524274:JOA524307 JED524274:JEE524307 IUH524274:IUI524307 IKL524274:IKM524307 IAP524274:IAQ524307 HQT524274:HQU524307 HGX524274:HGY524307 GXB524274:GXC524307 GNF524274:GNG524307 GDJ524274:GDK524307 FTN524274:FTO524307 FJR524274:FJS524307 EZV524274:EZW524307 EPZ524274:EQA524307 EGD524274:EGE524307 DWH524274:DWI524307 DML524274:DMM524307 DCP524274:DCQ524307 CST524274:CSU524307 CIX524274:CIY524307 BZB524274:BZC524307 BPF524274:BPG524307 BFJ524274:BFK524307 AVN524274:AVO524307 ALR524274:ALS524307 ABV524274:ABW524307 RZ524274:SA524307 ID524274:IE524307 AB524274:AC524307 WUP458738:WUQ458771 WKT458738:WKU458771 WAX458738:WAY458771 VRB458738:VRC458771 VHF458738:VHG458771 UXJ458738:UXK458771 UNN458738:UNO458771 UDR458738:UDS458771 TTV458738:TTW458771 TJZ458738:TKA458771 TAD458738:TAE458771 SQH458738:SQI458771 SGL458738:SGM458771 RWP458738:RWQ458771 RMT458738:RMU458771 RCX458738:RCY458771 QTB458738:QTC458771 QJF458738:QJG458771 PZJ458738:PZK458771 PPN458738:PPO458771 PFR458738:PFS458771 OVV458738:OVW458771 OLZ458738:OMA458771 OCD458738:OCE458771 NSH458738:NSI458771 NIL458738:NIM458771 MYP458738:MYQ458771 MOT458738:MOU458771 MEX458738:MEY458771 LVB458738:LVC458771 LLF458738:LLG458771 LBJ458738:LBK458771 KRN458738:KRO458771 KHR458738:KHS458771 JXV458738:JXW458771 JNZ458738:JOA458771 JED458738:JEE458771 IUH458738:IUI458771 IKL458738:IKM458771 IAP458738:IAQ458771 HQT458738:HQU458771 HGX458738:HGY458771 GXB458738:GXC458771 GNF458738:GNG458771 GDJ458738:GDK458771 FTN458738:FTO458771 FJR458738:FJS458771 EZV458738:EZW458771 EPZ458738:EQA458771 EGD458738:EGE458771 DWH458738:DWI458771 DML458738:DMM458771 DCP458738:DCQ458771 CST458738:CSU458771 CIX458738:CIY458771 BZB458738:BZC458771 BPF458738:BPG458771 BFJ458738:BFK458771 AVN458738:AVO458771 ALR458738:ALS458771 ABV458738:ABW458771 RZ458738:SA458771 ID458738:IE458771 AB458738:AC458771 WUP393202:WUQ393235 WKT393202:WKU393235 WAX393202:WAY393235 VRB393202:VRC393235 VHF393202:VHG393235 UXJ393202:UXK393235 UNN393202:UNO393235 UDR393202:UDS393235 TTV393202:TTW393235 TJZ393202:TKA393235 TAD393202:TAE393235 SQH393202:SQI393235 SGL393202:SGM393235 RWP393202:RWQ393235 RMT393202:RMU393235 RCX393202:RCY393235 QTB393202:QTC393235 QJF393202:QJG393235 PZJ393202:PZK393235 PPN393202:PPO393235 PFR393202:PFS393235 OVV393202:OVW393235 OLZ393202:OMA393235 OCD393202:OCE393235 NSH393202:NSI393235 NIL393202:NIM393235 MYP393202:MYQ393235 MOT393202:MOU393235 MEX393202:MEY393235 LVB393202:LVC393235 LLF393202:LLG393235 LBJ393202:LBK393235 KRN393202:KRO393235 KHR393202:KHS393235 JXV393202:JXW393235 JNZ393202:JOA393235 JED393202:JEE393235 IUH393202:IUI393235 IKL393202:IKM393235 IAP393202:IAQ393235 HQT393202:HQU393235 HGX393202:HGY393235 GXB393202:GXC393235 GNF393202:GNG393235 GDJ393202:GDK393235 FTN393202:FTO393235 FJR393202:FJS393235 EZV393202:EZW393235 EPZ393202:EQA393235 EGD393202:EGE393235 DWH393202:DWI393235 DML393202:DMM393235 DCP393202:DCQ393235 CST393202:CSU393235 CIX393202:CIY393235 BZB393202:BZC393235 BPF393202:BPG393235 BFJ393202:BFK393235 AVN393202:AVO393235 ALR393202:ALS393235 ABV393202:ABW393235 RZ393202:SA393235 ID393202:IE393235 AB393202:AC393235 WUP327666:WUQ327699 WKT327666:WKU327699 WAX327666:WAY327699 VRB327666:VRC327699 VHF327666:VHG327699 UXJ327666:UXK327699 UNN327666:UNO327699 UDR327666:UDS327699 TTV327666:TTW327699 TJZ327666:TKA327699 TAD327666:TAE327699 SQH327666:SQI327699 SGL327666:SGM327699 RWP327666:RWQ327699 RMT327666:RMU327699 RCX327666:RCY327699 QTB327666:QTC327699 QJF327666:QJG327699 PZJ327666:PZK327699 PPN327666:PPO327699 PFR327666:PFS327699 OVV327666:OVW327699 OLZ327666:OMA327699 OCD327666:OCE327699 NSH327666:NSI327699 NIL327666:NIM327699 MYP327666:MYQ327699 MOT327666:MOU327699 MEX327666:MEY327699 LVB327666:LVC327699 LLF327666:LLG327699 LBJ327666:LBK327699 KRN327666:KRO327699 KHR327666:KHS327699 JXV327666:JXW327699 JNZ327666:JOA327699 JED327666:JEE327699 IUH327666:IUI327699 IKL327666:IKM327699 IAP327666:IAQ327699 HQT327666:HQU327699 HGX327666:HGY327699 GXB327666:GXC327699 GNF327666:GNG327699 GDJ327666:GDK327699 FTN327666:FTO327699 FJR327666:FJS327699 EZV327666:EZW327699 EPZ327666:EQA327699 EGD327666:EGE327699 DWH327666:DWI327699 DML327666:DMM327699 DCP327666:DCQ327699 CST327666:CSU327699 CIX327666:CIY327699 BZB327666:BZC327699 BPF327666:BPG327699 BFJ327666:BFK327699 AVN327666:AVO327699 ALR327666:ALS327699 ABV327666:ABW327699 RZ327666:SA327699 ID327666:IE327699 AB327666:AC327699 WUP262130:WUQ262163 WKT262130:WKU262163 WAX262130:WAY262163 VRB262130:VRC262163 VHF262130:VHG262163 UXJ262130:UXK262163 UNN262130:UNO262163 UDR262130:UDS262163 TTV262130:TTW262163 TJZ262130:TKA262163 TAD262130:TAE262163 SQH262130:SQI262163 SGL262130:SGM262163 RWP262130:RWQ262163 RMT262130:RMU262163 RCX262130:RCY262163 QTB262130:QTC262163 QJF262130:QJG262163 PZJ262130:PZK262163 PPN262130:PPO262163 PFR262130:PFS262163 OVV262130:OVW262163 OLZ262130:OMA262163 OCD262130:OCE262163 NSH262130:NSI262163 NIL262130:NIM262163 MYP262130:MYQ262163 MOT262130:MOU262163 MEX262130:MEY262163 LVB262130:LVC262163 LLF262130:LLG262163 LBJ262130:LBK262163 KRN262130:KRO262163 KHR262130:KHS262163 JXV262130:JXW262163 JNZ262130:JOA262163 JED262130:JEE262163 IUH262130:IUI262163 IKL262130:IKM262163 IAP262130:IAQ262163 HQT262130:HQU262163 HGX262130:HGY262163 GXB262130:GXC262163 GNF262130:GNG262163 GDJ262130:GDK262163 FTN262130:FTO262163 FJR262130:FJS262163 EZV262130:EZW262163 EPZ262130:EQA262163 EGD262130:EGE262163 DWH262130:DWI262163 DML262130:DMM262163 DCP262130:DCQ262163 CST262130:CSU262163 CIX262130:CIY262163 BZB262130:BZC262163 BPF262130:BPG262163 BFJ262130:BFK262163 AVN262130:AVO262163 ALR262130:ALS262163 ABV262130:ABW262163 RZ262130:SA262163 ID262130:IE262163 AB262130:AC262163 WUP196594:WUQ196627 WKT196594:WKU196627 WAX196594:WAY196627 VRB196594:VRC196627 VHF196594:VHG196627 UXJ196594:UXK196627 UNN196594:UNO196627 UDR196594:UDS196627 TTV196594:TTW196627 TJZ196594:TKA196627 TAD196594:TAE196627 SQH196594:SQI196627 SGL196594:SGM196627 RWP196594:RWQ196627 RMT196594:RMU196627 RCX196594:RCY196627 QTB196594:QTC196627 QJF196594:QJG196627 PZJ196594:PZK196627 PPN196594:PPO196627 PFR196594:PFS196627 OVV196594:OVW196627 OLZ196594:OMA196627 OCD196594:OCE196627 NSH196594:NSI196627 NIL196594:NIM196627 MYP196594:MYQ196627 MOT196594:MOU196627 MEX196594:MEY196627 LVB196594:LVC196627 LLF196594:LLG196627 LBJ196594:LBK196627 KRN196594:KRO196627 KHR196594:KHS196627 JXV196594:JXW196627 JNZ196594:JOA196627 JED196594:JEE196627 IUH196594:IUI196627 IKL196594:IKM196627 IAP196594:IAQ196627 HQT196594:HQU196627 HGX196594:HGY196627 GXB196594:GXC196627 GNF196594:GNG196627 GDJ196594:GDK196627 FTN196594:FTO196627 FJR196594:FJS196627 EZV196594:EZW196627 EPZ196594:EQA196627 EGD196594:EGE196627 DWH196594:DWI196627 DML196594:DMM196627 DCP196594:DCQ196627 CST196594:CSU196627 CIX196594:CIY196627 BZB196594:BZC196627 BPF196594:BPG196627 BFJ196594:BFK196627 AVN196594:AVO196627 ALR196594:ALS196627 ABV196594:ABW196627 RZ196594:SA196627 ID196594:IE196627 AB196594:AC196627 WUP131058:WUQ131091 WKT131058:WKU131091 WAX131058:WAY131091 VRB131058:VRC131091 VHF131058:VHG131091 UXJ131058:UXK131091 UNN131058:UNO131091 UDR131058:UDS131091 TTV131058:TTW131091 TJZ131058:TKA131091 TAD131058:TAE131091 SQH131058:SQI131091 SGL131058:SGM131091 RWP131058:RWQ131091 RMT131058:RMU131091 RCX131058:RCY131091 QTB131058:QTC131091 QJF131058:QJG131091 PZJ131058:PZK131091 PPN131058:PPO131091 PFR131058:PFS131091 OVV131058:OVW131091 OLZ131058:OMA131091 OCD131058:OCE131091 NSH131058:NSI131091 NIL131058:NIM131091 MYP131058:MYQ131091 MOT131058:MOU131091 MEX131058:MEY131091 LVB131058:LVC131091 LLF131058:LLG131091 LBJ131058:LBK131091 KRN131058:KRO131091 KHR131058:KHS131091 JXV131058:JXW131091 JNZ131058:JOA131091 JED131058:JEE131091 IUH131058:IUI131091 IKL131058:IKM131091 IAP131058:IAQ131091 HQT131058:HQU131091 HGX131058:HGY131091 GXB131058:GXC131091 GNF131058:GNG131091 GDJ131058:GDK131091 FTN131058:FTO131091 FJR131058:FJS131091 EZV131058:EZW131091 EPZ131058:EQA131091 EGD131058:EGE131091 DWH131058:DWI131091 DML131058:DMM131091 DCP131058:DCQ131091 CST131058:CSU131091 CIX131058:CIY131091 BZB131058:BZC131091 BPF131058:BPG131091 BFJ131058:BFK131091 AVN131058:AVO131091 ALR131058:ALS131091 ABV131058:ABW131091 RZ131058:SA131091 ID131058:IE131091 AB131058:AC131091 WUP65522:WUQ65555 WKT65522:WKU65555 WAX65522:WAY65555 VRB65522:VRC65555 VHF65522:VHG65555 UXJ65522:UXK65555 UNN65522:UNO65555 UDR65522:UDS65555 TTV65522:TTW65555 TJZ65522:TKA65555 TAD65522:TAE65555 SQH65522:SQI65555 SGL65522:SGM65555 RWP65522:RWQ65555 RMT65522:RMU65555 RCX65522:RCY65555 QTB65522:QTC65555 QJF65522:QJG65555 PZJ65522:PZK65555 PPN65522:PPO65555 PFR65522:PFS65555 OVV65522:OVW65555 OLZ65522:OMA65555 OCD65522:OCE65555 NSH65522:NSI65555 NIL65522:NIM65555 MYP65522:MYQ65555 MOT65522:MOU65555 MEX65522:MEY65555 LVB65522:LVC65555 LLF65522:LLG65555 LBJ65522:LBK65555 KRN65522:KRO65555 KHR65522:KHS65555 JXV65522:JXW65555 JNZ65522:JOA65555 JED65522:JEE65555 IUH65522:IUI65555 IKL65522:IKM65555 IAP65522:IAQ65555 HQT65522:HQU65555 HGX65522:HGY65555 GXB65522:GXC65555 GNF65522:GNG65555 GDJ65522:GDK65555 FTN65522:FTO65555 FJR65522:FJS65555 EZV65522:EZW65555 EPZ65522:EQA65555 EGD65522:EGE65555 DWH65522:DWI65555 DML65522:DMM65555 DCP65522:DCQ65555 CST65522:CSU65555 CIX65522:CIY65555 BZB65522:BZC65555 BPF65522:BPG65555 BFJ65522:BFK65555 AVN65522:AVO65555 ALR65522:ALS65555 ABV65522:ABW65555 RZ65522:SA65555 ID65522:IE65555 AB65522:AC65555 WKT983026:WKU983059 WUP7:WUQ7 ID7:IE7 RZ7:SA7 ABV7:ABW7 ALR7:ALS7 AVN7:AVO7 BFJ7:BFK7 BPF7:BPG7 BZB7:BZC7 CIX7:CIY7 CST7:CSU7 DCP7:DCQ7 DML7:DMM7 DWH7:DWI7 EGD7:EGE7 EPZ7:EQA7 EZV7:EZW7 FJR7:FJS7 FTN7:FTO7 GDJ7:GDK7 GNF7:GNG7 GXB7:GXC7 HGX7:HGY7 HQT7:HQU7 IAP7:IAQ7 IKL7:IKM7 IUH7:IUI7 JED7:JEE7 JNZ7:JOA7 JXV7:JXW7 KHR7:KHS7 KRN7:KRO7 LBJ7:LBK7 LLF7:LLG7 LVB7:LVC7 MEX7:MEY7 MOT7:MOU7 MYP7:MYQ7 NIL7:NIM7 NSH7:NSI7 OCD7:OCE7 OLZ7:OMA7 OVV7:OVW7 PFR7:PFS7 PPN7:PPO7 PZJ7:PZK7 QJF7:QJG7 QTB7:QTC7 RCX7:RCY7 RMT7:RMU7 RWP7:RWQ7 SGL7:SGM7 SQH7:SQI7 TAD7:TAE7 TJZ7:TKA7 TTV7:TTW7 UDR7:UDS7 UNN7:UNO7 UXJ7:UXK7 VHF7:VHG7 VRB7:VRC7 WAX7:WAY7 WKT7:WKU7 WAX13:WAY17 VRB13:VRC17 VHF13:VHG17 UXJ13:UXK17 UNN13:UNO17 UDR13:UDS17 TTV13:TTW17 TJZ13:TKA17 TAD13:TAE17 SQH13:SQI17 SGL13:SGM17 RWP13:RWQ17 RMT13:RMU17 RCX13:RCY17 QTB13:QTC17 QJF13:QJG17 PZJ13:PZK17 PPN13:PPO17 PFR13:PFS17 OVV13:OVW17 OLZ13:OMA17 OCD13:OCE17 NSH13:NSI17 NIL13:NIM17 MYP13:MYQ17 MOT13:MOU17 MEX13:MEY17 LVB13:LVC17 LLF13:LLG17 LBJ13:LBK17 KRN13:KRO17 KHR13:KHS17 JXV13:JXW17 JNZ13:JOA17 JED13:JEE17 IUH13:IUI17 IKL13:IKM17 IAP13:IAQ17 HQT13:HQU17 HGX13:HGY17 GXB13:GXC17 GNF13:GNG17 GDJ13:GDK17 FTN13:FTO17 FJR13:FJS17 EZV13:EZW17 EPZ13:EQA17 EGD13:EGE17 DWH13:DWI17 DML13:DMM17 DCP13:DCQ17 CST13:CSU17 CIX13:CIY17 BZB13:BZC17 BPF13:BPG17 BFJ13:BFK17 AVN13:AVO17 ALR13:ALS17 ABV13:ABW17 RZ13:SA17 ID13:IE17 WUP13:WUQ17 WKT13:WKU17" xr:uid="{330D16A3-89D8-42A7-8866-82CF763BCEA5}">
      <formula1>$U$32:$U$35</formula1>
    </dataValidation>
    <dataValidation type="list" allowBlank="1" showInputMessage="1" showErrorMessage="1" sqref="WUE983022:WUO983059 Q5:W17 WUE5:WUO17 HS5:IC17 RO5:RY17 ABK5:ABU17 ALG5:ALQ17 AVC5:AVM17 BEY5:BFI17 BOU5:BPE17 BYQ5:BZA17 CIM5:CIW17 CSI5:CSS17 DCE5:DCO17 DMA5:DMK17 DVW5:DWG17 EFS5:EGC17 EPO5:EPY17 EZK5:EZU17 FJG5:FJQ17 FTC5:FTM17 GCY5:GDI17 GMU5:GNE17 GWQ5:GXA17 HGM5:HGW17 HQI5:HQS17 IAE5:IAO17 IKA5:IKK17 ITW5:IUG17 JDS5:JEC17 JNO5:JNY17 JXK5:JXU17 KHG5:KHQ17 KRC5:KRM17 LAY5:LBI17 LKU5:LLE17 LUQ5:LVA17 MEM5:MEW17 MOI5:MOS17 MYE5:MYO17 NIA5:NIK17 NRW5:NSG17 OBS5:OCC17 OLO5:OLY17 OVK5:OVU17 PFG5:PFQ17 PPC5:PPM17 PYY5:PZI17 QIU5:QJE17 QSQ5:QTA17 RCM5:RCW17 RMI5:RMS17 RWE5:RWO17 SGA5:SGK17 SPW5:SQG17 SZS5:TAC17 TJO5:TJY17 TTK5:TTU17 UDG5:UDQ17 UNC5:UNM17 UWY5:UXI17 VGU5:VHE17 VQQ5:VRA17 WAM5:WAW17 WKI5:WKS17 WKI983022:WKS983059 WAM983022:WAW983059 VQQ983022:VRA983059 VGU983022:VHE983059 UWY983022:UXI983059 UNC983022:UNM983059 UDG983022:UDQ983059 TTK983022:TTU983059 TJO983022:TJY983059 SZS983022:TAC983059 SPW983022:SQG983059 SGA983022:SGK983059 RWE983022:RWO983059 RMI983022:RMS983059 RCM983022:RCW983059 QSQ983022:QTA983059 QIU983022:QJE983059 PYY983022:PZI983059 PPC983022:PPM983059 PFG983022:PFQ983059 OVK983022:OVU983059 OLO983022:OLY983059 OBS983022:OCC983059 NRW983022:NSG983059 NIA983022:NIK983059 MYE983022:MYO983059 MOI983022:MOS983059 MEM983022:MEW983059 LUQ983022:LVA983059 LKU983022:LLE983059 LAY983022:LBI983059 KRC983022:KRM983059 KHG983022:KHQ983059 JXK983022:JXU983059 JNO983022:JNY983059 JDS983022:JEC983059 ITW983022:IUG983059 IKA983022:IKK983059 IAE983022:IAO983059 HQI983022:HQS983059 HGM983022:HGW983059 GWQ983022:GXA983059 GMU983022:GNE983059 GCY983022:GDI983059 FTC983022:FTM983059 FJG983022:FJQ983059 EZK983022:EZU983059 EPO983022:EPY983059 EFS983022:EGC983059 DVW983022:DWG983059 DMA983022:DMK983059 DCE983022:DCO983059 CSI983022:CSS983059 CIM983022:CIW983059 BYQ983022:BZA983059 BOU983022:BPE983059 BEY983022:BFI983059 AVC983022:AVM983059 ALG983022:ALQ983059 ABK983022:ABU983059 RO983022:RY983059 HS983022:IC983059 Q983022:AA983059 WUE917486:WUO917523 WKI917486:WKS917523 WAM917486:WAW917523 VQQ917486:VRA917523 VGU917486:VHE917523 UWY917486:UXI917523 UNC917486:UNM917523 UDG917486:UDQ917523 TTK917486:TTU917523 TJO917486:TJY917523 SZS917486:TAC917523 SPW917486:SQG917523 SGA917486:SGK917523 RWE917486:RWO917523 RMI917486:RMS917523 RCM917486:RCW917523 QSQ917486:QTA917523 QIU917486:QJE917523 PYY917486:PZI917523 PPC917486:PPM917523 PFG917486:PFQ917523 OVK917486:OVU917523 OLO917486:OLY917523 OBS917486:OCC917523 NRW917486:NSG917523 NIA917486:NIK917523 MYE917486:MYO917523 MOI917486:MOS917523 MEM917486:MEW917523 LUQ917486:LVA917523 LKU917486:LLE917523 LAY917486:LBI917523 KRC917486:KRM917523 KHG917486:KHQ917523 JXK917486:JXU917523 JNO917486:JNY917523 JDS917486:JEC917523 ITW917486:IUG917523 IKA917486:IKK917523 IAE917486:IAO917523 HQI917486:HQS917523 HGM917486:HGW917523 GWQ917486:GXA917523 GMU917486:GNE917523 GCY917486:GDI917523 FTC917486:FTM917523 FJG917486:FJQ917523 EZK917486:EZU917523 EPO917486:EPY917523 EFS917486:EGC917523 DVW917486:DWG917523 DMA917486:DMK917523 DCE917486:DCO917523 CSI917486:CSS917523 CIM917486:CIW917523 BYQ917486:BZA917523 BOU917486:BPE917523 BEY917486:BFI917523 AVC917486:AVM917523 ALG917486:ALQ917523 ABK917486:ABU917523 RO917486:RY917523 HS917486:IC917523 Q917486:AA917523 WUE851950:WUO851987 WKI851950:WKS851987 WAM851950:WAW851987 VQQ851950:VRA851987 VGU851950:VHE851987 UWY851950:UXI851987 UNC851950:UNM851987 UDG851950:UDQ851987 TTK851950:TTU851987 TJO851950:TJY851987 SZS851950:TAC851987 SPW851950:SQG851987 SGA851950:SGK851987 RWE851950:RWO851987 RMI851950:RMS851987 RCM851950:RCW851987 QSQ851950:QTA851987 QIU851950:QJE851987 PYY851950:PZI851987 PPC851950:PPM851987 PFG851950:PFQ851987 OVK851950:OVU851987 OLO851950:OLY851987 OBS851950:OCC851987 NRW851950:NSG851987 NIA851950:NIK851987 MYE851950:MYO851987 MOI851950:MOS851987 MEM851950:MEW851987 LUQ851950:LVA851987 LKU851950:LLE851987 LAY851950:LBI851987 KRC851950:KRM851987 KHG851950:KHQ851987 JXK851950:JXU851987 JNO851950:JNY851987 JDS851950:JEC851987 ITW851950:IUG851987 IKA851950:IKK851987 IAE851950:IAO851987 HQI851950:HQS851987 HGM851950:HGW851987 GWQ851950:GXA851987 GMU851950:GNE851987 GCY851950:GDI851987 FTC851950:FTM851987 FJG851950:FJQ851987 EZK851950:EZU851987 EPO851950:EPY851987 EFS851950:EGC851987 DVW851950:DWG851987 DMA851950:DMK851987 DCE851950:DCO851987 CSI851950:CSS851987 CIM851950:CIW851987 BYQ851950:BZA851987 BOU851950:BPE851987 BEY851950:BFI851987 AVC851950:AVM851987 ALG851950:ALQ851987 ABK851950:ABU851987 RO851950:RY851987 HS851950:IC851987 Q851950:AA851987 WUE786414:WUO786451 WKI786414:WKS786451 WAM786414:WAW786451 VQQ786414:VRA786451 VGU786414:VHE786451 UWY786414:UXI786451 UNC786414:UNM786451 UDG786414:UDQ786451 TTK786414:TTU786451 TJO786414:TJY786451 SZS786414:TAC786451 SPW786414:SQG786451 SGA786414:SGK786451 RWE786414:RWO786451 RMI786414:RMS786451 RCM786414:RCW786451 QSQ786414:QTA786451 QIU786414:QJE786451 PYY786414:PZI786451 PPC786414:PPM786451 PFG786414:PFQ786451 OVK786414:OVU786451 OLO786414:OLY786451 OBS786414:OCC786451 NRW786414:NSG786451 NIA786414:NIK786451 MYE786414:MYO786451 MOI786414:MOS786451 MEM786414:MEW786451 LUQ786414:LVA786451 LKU786414:LLE786451 LAY786414:LBI786451 KRC786414:KRM786451 KHG786414:KHQ786451 JXK786414:JXU786451 JNO786414:JNY786451 JDS786414:JEC786451 ITW786414:IUG786451 IKA786414:IKK786451 IAE786414:IAO786451 HQI786414:HQS786451 HGM786414:HGW786451 GWQ786414:GXA786451 GMU786414:GNE786451 GCY786414:GDI786451 FTC786414:FTM786451 FJG786414:FJQ786451 EZK786414:EZU786451 EPO786414:EPY786451 EFS786414:EGC786451 DVW786414:DWG786451 DMA786414:DMK786451 DCE786414:DCO786451 CSI786414:CSS786451 CIM786414:CIW786451 BYQ786414:BZA786451 BOU786414:BPE786451 BEY786414:BFI786451 AVC786414:AVM786451 ALG786414:ALQ786451 ABK786414:ABU786451 RO786414:RY786451 HS786414:IC786451 Q786414:AA786451 WUE720878:WUO720915 WKI720878:WKS720915 WAM720878:WAW720915 VQQ720878:VRA720915 VGU720878:VHE720915 UWY720878:UXI720915 UNC720878:UNM720915 UDG720878:UDQ720915 TTK720878:TTU720915 TJO720878:TJY720915 SZS720878:TAC720915 SPW720878:SQG720915 SGA720878:SGK720915 RWE720878:RWO720915 RMI720878:RMS720915 RCM720878:RCW720915 QSQ720878:QTA720915 QIU720878:QJE720915 PYY720878:PZI720915 PPC720878:PPM720915 PFG720878:PFQ720915 OVK720878:OVU720915 OLO720878:OLY720915 OBS720878:OCC720915 NRW720878:NSG720915 NIA720878:NIK720915 MYE720878:MYO720915 MOI720878:MOS720915 MEM720878:MEW720915 LUQ720878:LVA720915 LKU720878:LLE720915 LAY720878:LBI720915 KRC720878:KRM720915 KHG720878:KHQ720915 JXK720878:JXU720915 JNO720878:JNY720915 JDS720878:JEC720915 ITW720878:IUG720915 IKA720878:IKK720915 IAE720878:IAO720915 HQI720878:HQS720915 HGM720878:HGW720915 GWQ720878:GXA720915 GMU720878:GNE720915 GCY720878:GDI720915 FTC720878:FTM720915 FJG720878:FJQ720915 EZK720878:EZU720915 EPO720878:EPY720915 EFS720878:EGC720915 DVW720878:DWG720915 DMA720878:DMK720915 DCE720878:DCO720915 CSI720878:CSS720915 CIM720878:CIW720915 BYQ720878:BZA720915 BOU720878:BPE720915 BEY720878:BFI720915 AVC720878:AVM720915 ALG720878:ALQ720915 ABK720878:ABU720915 RO720878:RY720915 HS720878:IC720915 Q720878:AA720915 WUE655342:WUO655379 WKI655342:WKS655379 WAM655342:WAW655379 VQQ655342:VRA655379 VGU655342:VHE655379 UWY655342:UXI655379 UNC655342:UNM655379 UDG655342:UDQ655379 TTK655342:TTU655379 TJO655342:TJY655379 SZS655342:TAC655379 SPW655342:SQG655379 SGA655342:SGK655379 RWE655342:RWO655379 RMI655342:RMS655379 RCM655342:RCW655379 QSQ655342:QTA655379 QIU655342:QJE655379 PYY655342:PZI655379 PPC655342:PPM655379 PFG655342:PFQ655379 OVK655342:OVU655379 OLO655342:OLY655379 OBS655342:OCC655379 NRW655342:NSG655379 NIA655342:NIK655379 MYE655342:MYO655379 MOI655342:MOS655379 MEM655342:MEW655379 LUQ655342:LVA655379 LKU655342:LLE655379 LAY655342:LBI655379 KRC655342:KRM655379 KHG655342:KHQ655379 JXK655342:JXU655379 JNO655342:JNY655379 JDS655342:JEC655379 ITW655342:IUG655379 IKA655342:IKK655379 IAE655342:IAO655379 HQI655342:HQS655379 HGM655342:HGW655379 GWQ655342:GXA655379 GMU655342:GNE655379 GCY655342:GDI655379 FTC655342:FTM655379 FJG655342:FJQ655379 EZK655342:EZU655379 EPO655342:EPY655379 EFS655342:EGC655379 DVW655342:DWG655379 DMA655342:DMK655379 DCE655342:DCO655379 CSI655342:CSS655379 CIM655342:CIW655379 BYQ655342:BZA655379 BOU655342:BPE655379 BEY655342:BFI655379 AVC655342:AVM655379 ALG655342:ALQ655379 ABK655342:ABU655379 RO655342:RY655379 HS655342:IC655379 Q655342:AA655379 WUE589806:WUO589843 WKI589806:WKS589843 WAM589806:WAW589843 VQQ589806:VRA589843 VGU589806:VHE589843 UWY589806:UXI589843 UNC589806:UNM589843 UDG589806:UDQ589843 TTK589806:TTU589843 TJO589806:TJY589843 SZS589806:TAC589843 SPW589806:SQG589843 SGA589806:SGK589843 RWE589806:RWO589843 RMI589806:RMS589843 RCM589806:RCW589843 QSQ589806:QTA589843 QIU589806:QJE589843 PYY589806:PZI589843 PPC589806:PPM589843 PFG589806:PFQ589843 OVK589806:OVU589843 OLO589806:OLY589843 OBS589806:OCC589843 NRW589806:NSG589843 NIA589806:NIK589843 MYE589806:MYO589843 MOI589806:MOS589843 MEM589806:MEW589843 LUQ589806:LVA589843 LKU589806:LLE589843 LAY589806:LBI589843 KRC589806:KRM589843 KHG589806:KHQ589843 JXK589806:JXU589843 JNO589806:JNY589843 JDS589806:JEC589843 ITW589806:IUG589843 IKA589806:IKK589843 IAE589806:IAO589843 HQI589806:HQS589843 HGM589806:HGW589843 GWQ589806:GXA589843 GMU589806:GNE589843 GCY589806:GDI589843 FTC589806:FTM589843 FJG589806:FJQ589843 EZK589806:EZU589843 EPO589806:EPY589843 EFS589806:EGC589843 DVW589806:DWG589843 DMA589806:DMK589843 DCE589806:DCO589843 CSI589806:CSS589843 CIM589806:CIW589843 BYQ589806:BZA589843 BOU589806:BPE589843 BEY589806:BFI589843 AVC589806:AVM589843 ALG589806:ALQ589843 ABK589806:ABU589843 RO589806:RY589843 HS589806:IC589843 Q589806:AA589843 WUE524270:WUO524307 WKI524270:WKS524307 WAM524270:WAW524307 VQQ524270:VRA524307 VGU524270:VHE524307 UWY524270:UXI524307 UNC524270:UNM524307 UDG524270:UDQ524307 TTK524270:TTU524307 TJO524270:TJY524307 SZS524270:TAC524307 SPW524270:SQG524307 SGA524270:SGK524307 RWE524270:RWO524307 RMI524270:RMS524307 RCM524270:RCW524307 QSQ524270:QTA524307 QIU524270:QJE524307 PYY524270:PZI524307 PPC524270:PPM524307 PFG524270:PFQ524307 OVK524270:OVU524307 OLO524270:OLY524307 OBS524270:OCC524307 NRW524270:NSG524307 NIA524270:NIK524307 MYE524270:MYO524307 MOI524270:MOS524307 MEM524270:MEW524307 LUQ524270:LVA524307 LKU524270:LLE524307 LAY524270:LBI524307 KRC524270:KRM524307 KHG524270:KHQ524307 JXK524270:JXU524307 JNO524270:JNY524307 JDS524270:JEC524307 ITW524270:IUG524307 IKA524270:IKK524307 IAE524270:IAO524307 HQI524270:HQS524307 HGM524270:HGW524307 GWQ524270:GXA524307 GMU524270:GNE524307 GCY524270:GDI524307 FTC524270:FTM524307 FJG524270:FJQ524307 EZK524270:EZU524307 EPO524270:EPY524307 EFS524270:EGC524307 DVW524270:DWG524307 DMA524270:DMK524307 DCE524270:DCO524307 CSI524270:CSS524307 CIM524270:CIW524307 BYQ524270:BZA524307 BOU524270:BPE524307 BEY524270:BFI524307 AVC524270:AVM524307 ALG524270:ALQ524307 ABK524270:ABU524307 RO524270:RY524307 HS524270:IC524307 Q524270:AA524307 WUE458734:WUO458771 WKI458734:WKS458771 WAM458734:WAW458771 VQQ458734:VRA458771 VGU458734:VHE458771 UWY458734:UXI458771 UNC458734:UNM458771 UDG458734:UDQ458771 TTK458734:TTU458771 TJO458734:TJY458771 SZS458734:TAC458771 SPW458734:SQG458771 SGA458734:SGK458771 RWE458734:RWO458771 RMI458734:RMS458771 RCM458734:RCW458771 QSQ458734:QTA458771 QIU458734:QJE458771 PYY458734:PZI458771 PPC458734:PPM458771 PFG458734:PFQ458771 OVK458734:OVU458771 OLO458734:OLY458771 OBS458734:OCC458771 NRW458734:NSG458771 NIA458734:NIK458771 MYE458734:MYO458771 MOI458734:MOS458771 MEM458734:MEW458771 LUQ458734:LVA458771 LKU458734:LLE458771 LAY458734:LBI458771 KRC458734:KRM458771 KHG458734:KHQ458771 JXK458734:JXU458771 JNO458734:JNY458771 JDS458734:JEC458771 ITW458734:IUG458771 IKA458734:IKK458771 IAE458734:IAO458771 HQI458734:HQS458771 HGM458734:HGW458771 GWQ458734:GXA458771 GMU458734:GNE458771 GCY458734:GDI458771 FTC458734:FTM458771 FJG458734:FJQ458771 EZK458734:EZU458771 EPO458734:EPY458771 EFS458734:EGC458771 DVW458734:DWG458771 DMA458734:DMK458771 DCE458734:DCO458771 CSI458734:CSS458771 CIM458734:CIW458771 BYQ458734:BZA458771 BOU458734:BPE458771 BEY458734:BFI458771 AVC458734:AVM458771 ALG458734:ALQ458771 ABK458734:ABU458771 RO458734:RY458771 HS458734:IC458771 Q458734:AA458771 WUE393198:WUO393235 WKI393198:WKS393235 WAM393198:WAW393235 VQQ393198:VRA393235 VGU393198:VHE393235 UWY393198:UXI393235 UNC393198:UNM393235 UDG393198:UDQ393235 TTK393198:TTU393235 TJO393198:TJY393235 SZS393198:TAC393235 SPW393198:SQG393235 SGA393198:SGK393235 RWE393198:RWO393235 RMI393198:RMS393235 RCM393198:RCW393235 QSQ393198:QTA393235 QIU393198:QJE393235 PYY393198:PZI393235 PPC393198:PPM393235 PFG393198:PFQ393235 OVK393198:OVU393235 OLO393198:OLY393235 OBS393198:OCC393235 NRW393198:NSG393235 NIA393198:NIK393235 MYE393198:MYO393235 MOI393198:MOS393235 MEM393198:MEW393235 LUQ393198:LVA393235 LKU393198:LLE393235 LAY393198:LBI393235 KRC393198:KRM393235 KHG393198:KHQ393235 JXK393198:JXU393235 JNO393198:JNY393235 JDS393198:JEC393235 ITW393198:IUG393235 IKA393198:IKK393235 IAE393198:IAO393235 HQI393198:HQS393235 HGM393198:HGW393235 GWQ393198:GXA393235 GMU393198:GNE393235 GCY393198:GDI393235 FTC393198:FTM393235 FJG393198:FJQ393235 EZK393198:EZU393235 EPO393198:EPY393235 EFS393198:EGC393235 DVW393198:DWG393235 DMA393198:DMK393235 DCE393198:DCO393235 CSI393198:CSS393235 CIM393198:CIW393235 BYQ393198:BZA393235 BOU393198:BPE393235 BEY393198:BFI393235 AVC393198:AVM393235 ALG393198:ALQ393235 ABK393198:ABU393235 RO393198:RY393235 HS393198:IC393235 Q393198:AA393235 WUE327662:WUO327699 WKI327662:WKS327699 WAM327662:WAW327699 VQQ327662:VRA327699 VGU327662:VHE327699 UWY327662:UXI327699 UNC327662:UNM327699 UDG327662:UDQ327699 TTK327662:TTU327699 TJO327662:TJY327699 SZS327662:TAC327699 SPW327662:SQG327699 SGA327662:SGK327699 RWE327662:RWO327699 RMI327662:RMS327699 RCM327662:RCW327699 QSQ327662:QTA327699 QIU327662:QJE327699 PYY327662:PZI327699 PPC327662:PPM327699 PFG327662:PFQ327699 OVK327662:OVU327699 OLO327662:OLY327699 OBS327662:OCC327699 NRW327662:NSG327699 NIA327662:NIK327699 MYE327662:MYO327699 MOI327662:MOS327699 MEM327662:MEW327699 LUQ327662:LVA327699 LKU327662:LLE327699 LAY327662:LBI327699 KRC327662:KRM327699 KHG327662:KHQ327699 JXK327662:JXU327699 JNO327662:JNY327699 JDS327662:JEC327699 ITW327662:IUG327699 IKA327662:IKK327699 IAE327662:IAO327699 HQI327662:HQS327699 HGM327662:HGW327699 GWQ327662:GXA327699 GMU327662:GNE327699 GCY327662:GDI327699 FTC327662:FTM327699 FJG327662:FJQ327699 EZK327662:EZU327699 EPO327662:EPY327699 EFS327662:EGC327699 DVW327662:DWG327699 DMA327662:DMK327699 DCE327662:DCO327699 CSI327662:CSS327699 CIM327662:CIW327699 BYQ327662:BZA327699 BOU327662:BPE327699 BEY327662:BFI327699 AVC327662:AVM327699 ALG327662:ALQ327699 ABK327662:ABU327699 RO327662:RY327699 HS327662:IC327699 Q327662:AA327699 WUE262126:WUO262163 WKI262126:WKS262163 WAM262126:WAW262163 VQQ262126:VRA262163 VGU262126:VHE262163 UWY262126:UXI262163 UNC262126:UNM262163 UDG262126:UDQ262163 TTK262126:TTU262163 TJO262126:TJY262163 SZS262126:TAC262163 SPW262126:SQG262163 SGA262126:SGK262163 RWE262126:RWO262163 RMI262126:RMS262163 RCM262126:RCW262163 QSQ262126:QTA262163 QIU262126:QJE262163 PYY262126:PZI262163 PPC262126:PPM262163 PFG262126:PFQ262163 OVK262126:OVU262163 OLO262126:OLY262163 OBS262126:OCC262163 NRW262126:NSG262163 NIA262126:NIK262163 MYE262126:MYO262163 MOI262126:MOS262163 MEM262126:MEW262163 LUQ262126:LVA262163 LKU262126:LLE262163 LAY262126:LBI262163 KRC262126:KRM262163 KHG262126:KHQ262163 JXK262126:JXU262163 JNO262126:JNY262163 JDS262126:JEC262163 ITW262126:IUG262163 IKA262126:IKK262163 IAE262126:IAO262163 HQI262126:HQS262163 HGM262126:HGW262163 GWQ262126:GXA262163 GMU262126:GNE262163 GCY262126:GDI262163 FTC262126:FTM262163 FJG262126:FJQ262163 EZK262126:EZU262163 EPO262126:EPY262163 EFS262126:EGC262163 DVW262126:DWG262163 DMA262126:DMK262163 DCE262126:DCO262163 CSI262126:CSS262163 CIM262126:CIW262163 BYQ262126:BZA262163 BOU262126:BPE262163 BEY262126:BFI262163 AVC262126:AVM262163 ALG262126:ALQ262163 ABK262126:ABU262163 RO262126:RY262163 HS262126:IC262163 Q262126:AA262163 WUE196590:WUO196627 WKI196590:WKS196627 WAM196590:WAW196627 VQQ196590:VRA196627 VGU196590:VHE196627 UWY196590:UXI196627 UNC196590:UNM196627 UDG196590:UDQ196627 TTK196590:TTU196627 TJO196590:TJY196627 SZS196590:TAC196627 SPW196590:SQG196627 SGA196590:SGK196627 RWE196590:RWO196627 RMI196590:RMS196627 RCM196590:RCW196627 QSQ196590:QTA196627 QIU196590:QJE196627 PYY196590:PZI196627 PPC196590:PPM196627 PFG196590:PFQ196627 OVK196590:OVU196627 OLO196590:OLY196627 OBS196590:OCC196627 NRW196590:NSG196627 NIA196590:NIK196627 MYE196590:MYO196627 MOI196590:MOS196627 MEM196590:MEW196627 LUQ196590:LVA196627 LKU196590:LLE196627 LAY196590:LBI196627 KRC196590:KRM196627 KHG196590:KHQ196627 JXK196590:JXU196627 JNO196590:JNY196627 JDS196590:JEC196627 ITW196590:IUG196627 IKA196590:IKK196627 IAE196590:IAO196627 HQI196590:HQS196627 HGM196590:HGW196627 GWQ196590:GXA196627 GMU196590:GNE196627 GCY196590:GDI196627 FTC196590:FTM196627 FJG196590:FJQ196627 EZK196590:EZU196627 EPO196590:EPY196627 EFS196590:EGC196627 DVW196590:DWG196627 DMA196590:DMK196627 DCE196590:DCO196627 CSI196590:CSS196627 CIM196590:CIW196627 BYQ196590:BZA196627 BOU196590:BPE196627 BEY196590:BFI196627 AVC196590:AVM196627 ALG196590:ALQ196627 ABK196590:ABU196627 RO196590:RY196627 HS196590:IC196627 Q196590:AA196627 WUE131054:WUO131091 WKI131054:WKS131091 WAM131054:WAW131091 VQQ131054:VRA131091 VGU131054:VHE131091 UWY131054:UXI131091 UNC131054:UNM131091 UDG131054:UDQ131091 TTK131054:TTU131091 TJO131054:TJY131091 SZS131054:TAC131091 SPW131054:SQG131091 SGA131054:SGK131091 RWE131054:RWO131091 RMI131054:RMS131091 RCM131054:RCW131091 QSQ131054:QTA131091 QIU131054:QJE131091 PYY131054:PZI131091 PPC131054:PPM131091 PFG131054:PFQ131091 OVK131054:OVU131091 OLO131054:OLY131091 OBS131054:OCC131091 NRW131054:NSG131091 NIA131054:NIK131091 MYE131054:MYO131091 MOI131054:MOS131091 MEM131054:MEW131091 LUQ131054:LVA131091 LKU131054:LLE131091 LAY131054:LBI131091 KRC131054:KRM131091 KHG131054:KHQ131091 JXK131054:JXU131091 JNO131054:JNY131091 JDS131054:JEC131091 ITW131054:IUG131091 IKA131054:IKK131091 IAE131054:IAO131091 HQI131054:HQS131091 HGM131054:HGW131091 GWQ131054:GXA131091 GMU131054:GNE131091 GCY131054:GDI131091 FTC131054:FTM131091 FJG131054:FJQ131091 EZK131054:EZU131091 EPO131054:EPY131091 EFS131054:EGC131091 DVW131054:DWG131091 DMA131054:DMK131091 DCE131054:DCO131091 CSI131054:CSS131091 CIM131054:CIW131091 BYQ131054:BZA131091 BOU131054:BPE131091 BEY131054:BFI131091 AVC131054:AVM131091 ALG131054:ALQ131091 ABK131054:ABU131091 RO131054:RY131091 HS131054:IC131091 Q131054:AA131091 WUE65518:WUO65555 WKI65518:WKS65555 WAM65518:WAW65555 VQQ65518:VRA65555 VGU65518:VHE65555 UWY65518:UXI65555 UNC65518:UNM65555 UDG65518:UDQ65555 TTK65518:TTU65555 TJO65518:TJY65555 SZS65518:TAC65555 SPW65518:SQG65555 SGA65518:SGK65555 RWE65518:RWO65555 RMI65518:RMS65555 RCM65518:RCW65555 QSQ65518:QTA65555 QIU65518:QJE65555 PYY65518:PZI65555 PPC65518:PPM65555 PFG65518:PFQ65555 OVK65518:OVU65555 OLO65518:OLY65555 OBS65518:OCC65555 NRW65518:NSG65555 NIA65518:NIK65555 MYE65518:MYO65555 MOI65518:MOS65555 MEM65518:MEW65555 LUQ65518:LVA65555 LKU65518:LLE65555 LAY65518:LBI65555 KRC65518:KRM65555 KHG65518:KHQ65555 JXK65518:JXU65555 JNO65518:JNY65555 JDS65518:JEC65555 ITW65518:IUG65555 IKA65518:IKK65555 IAE65518:IAO65555 HQI65518:HQS65555 HGM65518:HGW65555 GWQ65518:GXA65555 GMU65518:GNE65555 GCY65518:GDI65555 FTC65518:FTM65555 FJG65518:FJQ65555 EZK65518:EZU65555 EPO65518:EPY65555 EFS65518:EGC65555 DVW65518:DWG65555 DMA65518:DMK65555 DCE65518:DCO65555 CSI65518:CSS65555 CIM65518:CIW65555 BYQ65518:BZA65555 BOU65518:BPE65555 BEY65518:BFI65555 AVC65518:AVM65555 ALG65518:ALQ65555 ABK65518:ABU65555 RO65518:RY65555 HS65518:IC65555 Q65518:AA65555" xr:uid="{0B01900A-E2C7-4D0E-B710-82D8D2EFFFCE}">
      <formula1>$C$32:$C$52</formula1>
    </dataValidation>
    <dataValidation type="list" allowBlank="1" showInputMessage="1" showErrorMessage="1" sqref="AU36:AX39 IW36:IZ39 SS36:SV39 ACO36:ACR39 AMK36:AMN39 AWG36:AWJ39 BGC36:BGF39 BPY36:BQB39 BZU36:BZX39 CJQ36:CJT39 CTM36:CTP39 DDI36:DDL39 DNE36:DNH39 DXA36:DXD39 EGW36:EGZ39 EQS36:EQV39 FAO36:FAR39 FKK36:FKN39 FUG36:FUJ39 GEC36:GEF39 GNY36:GOB39 GXU36:GXX39 HHQ36:HHT39 HRM36:HRP39 IBI36:IBL39 ILE36:ILH39 IVA36:IVD39 JEW36:JEZ39 JOS36:JOV39 JYO36:JYR39 KIK36:KIN39 KSG36:KSJ39 LCC36:LCF39 LLY36:LMB39 LVU36:LVX39 MFQ36:MFT39 MPM36:MPP39 MZI36:MZL39 NJE36:NJH39 NTA36:NTD39 OCW36:OCZ39 OMS36:OMV39 OWO36:OWR39 PGK36:PGN39 PQG36:PQJ39 QAC36:QAF39 QJY36:QKB39 QTU36:QTX39 RDQ36:RDT39 RNM36:RNP39 RXI36:RXL39 SHE36:SHH39 SRA36:SRD39 TAW36:TAZ39 TKS36:TKV39 TUO36:TUR39 UEK36:UEN39 UOG36:UOJ39 UYC36:UYF39 VHY36:VIB39 VRU36:VRX39 WBQ36:WBT39 WLM36:WLP39 WVI36:WVL39 AU65572:AX65575 IW65572:IZ65575 SS65572:SV65575 ACO65572:ACR65575 AMK65572:AMN65575 AWG65572:AWJ65575 BGC65572:BGF65575 BPY65572:BQB65575 BZU65572:BZX65575 CJQ65572:CJT65575 CTM65572:CTP65575 DDI65572:DDL65575 DNE65572:DNH65575 DXA65572:DXD65575 EGW65572:EGZ65575 EQS65572:EQV65575 FAO65572:FAR65575 FKK65572:FKN65575 FUG65572:FUJ65575 GEC65572:GEF65575 GNY65572:GOB65575 GXU65572:GXX65575 HHQ65572:HHT65575 HRM65572:HRP65575 IBI65572:IBL65575 ILE65572:ILH65575 IVA65572:IVD65575 JEW65572:JEZ65575 JOS65572:JOV65575 JYO65572:JYR65575 KIK65572:KIN65575 KSG65572:KSJ65575 LCC65572:LCF65575 LLY65572:LMB65575 LVU65572:LVX65575 MFQ65572:MFT65575 MPM65572:MPP65575 MZI65572:MZL65575 NJE65572:NJH65575 NTA65572:NTD65575 OCW65572:OCZ65575 OMS65572:OMV65575 OWO65572:OWR65575 PGK65572:PGN65575 PQG65572:PQJ65575 QAC65572:QAF65575 QJY65572:QKB65575 QTU65572:QTX65575 RDQ65572:RDT65575 RNM65572:RNP65575 RXI65572:RXL65575 SHE65572:SHH65575 SRA65572:SRD65575 TAW65572:TAZ65575 TKS65572:TKV65575 TUO65572:TUR65575 UEK65572:UEN65575 UOG65572:UOJ65575 UYC65572:UYF65575 VHY65572:VIB65575 VRU65572:VRX65575 WBQ65572:WBT65575 WLM65572:WLP65575 WVI65572:WVL65575 AU131108:AX131111 IW131108:IZ131111 SS131108:SV131111 ACO131108:ACR131111 AMK131108:AMN131111 AWG131108:AWJ131111 BGC131108:BGF131111 BPY131108:BQB131111 BZU131108:BZX131111 CJQ131108:CJT131111 CTM131108:CTP131111 DDI131108:DDL131111 DNE131108:DNH131111 DXA131108:DXD131111 EGW131108:EGZ131111 EQS131108:EQV131111 FAO131108:FAR131111 FKK131108:FKN131111 FUG131108:FUJ131111 GEC131108:GEF131111 GNY131108:GOB131111 GXU131108:GXX131111 HHQ131108:HHT131111 HRM131108:HRP131111 IBI131108:IBL131111 ILE131108:ILH131111 IVA131108:IVD131111 JEW131108:JEZ131111 JOS131108:JOV131111 JYO131108:JYR131111 KIK131108:KIN131111 KSG131108:KSJ131111 LCC131108:LCF131111 LLY131108:LMB131111 LVU131108:LVX131111 MFQ131108:MFT131111 MPM131108:MPP131111 MZI131108:MZL131111 NJE131108:NJH131111 NTA131108:NTD131111 OCW131108:OCZ131111 OMS131108:OMV131111 OWO131108:OWR131111 PGK131108:PGN131111 PQG131108:PQJ131111 QAC131108:QAF131111 QJY131108:QKB131111 QTU131108:QTX131111 RDQ131108:RDT131111 RNM131108:RNP131111 RXI131108:RXL131111 SHE131108:SHH131111 SRA131108:SRD131111 TAW131108:TAZ131111 TKS131108:TKV131111 TUO131108:TUR131111 UEK131108:UEN131111 UOG131108:UOJ131111 UYC131108:UYF131111 VHY131108:VIB131111 VRU131108:VRX131111 WBQ131108:WBT131111 WLM131108:WLP131111 WVI131108:WVL131111 AU196644:AX196647 IW196644:IZ196647 SS196644:SV196647 ACO196644:ACR196647 AMK196644:AMN196647 AWG196644:AWJ196647 BGC196644:BGF196647 BPY196644:BQB196647 BZU196644:BZX196647 CJQ196644:CJT196647 CTM196644:CTP196647 DDI196644:DDL196647 DNE196644:DNH196647 DXA196644:DXD196647 EGW196644:EGZ196647 EQS196644:EQV196647 FAO196644:FAR196647 FKK196644:FKN196647 FUG196644:FUJ196647 GEC196644:GEF196647 GNY196644:GOB196647 GXU196644:GXX196647 HHQ196644:HHT196647 HRM196644:HRP196647 IBI196644:IBL196647 ILE196644:ILH196647 IVA196644:IVD196647 JEW196644:JEZ196647 JOS196644:JOV196647 JYO196644:JYR196647 KIK196644:KIN196647 KSG196644:KSJ196647 LCC196644:LCF196647 LLY196644:LMB196647 LVU196644:LVX196647 MFQ196644:MFT196647 MPM196644:MPP196647 MZI196644:MZL196647 NJE196644:NJH196647 NTA196644:NTD196647 OCW196644:OCZ196647 OMS196644:OMV196647 OWO196644:OWR196647 PGK196644:PGN196647 PQG196644:PQJ196647 QAC196644:QAF196647 QJY196644:QKB196647 QTU196644:QTX196647 RDQ196644:RDT196647 RNM196644:RNP196647 RXI196644:RXL196647 SHE196644:SHH196647 SRA196644:SRD196647 TAW196644:TAZ196647 TKS196644:TKV196647 TUO196644:TUR196647 UEK196644:UEN196647 UOG196644:UOJ196647 UYC196644:UYF196647 VHY196644:VIB196647 VRU196644:VRX196647 WBQ196644:WBT196647 WLM196644:WLP196647 WVI196644:WVL196647 AU262180:AX262183 IW262180:IZ262183 SS262180:SV262183 ACO262180:ACR262183 AMK262180:AMN262183 AWG262180:AWJ262183 BGC262180:BGF262183 BPY262180:BQB262183 BZU262180:BZX262183 CJQ262180:CJT262183 CTM262180:CTP262183 DDI262180:DDL262183 DNE262180:DNH262183 DXA262180:DXD262183 EGW262180:EGZ262183 EQS262180:EQV262183 FAO262180:FAR262183 FKK262180:FKN262183 FUG262180:FUJ262183 GEC262180:GEF262183 GNY262180:GOB262183 GXU262180:GXX262183 HHQ262180:HHT262183 HRM262180:HRP262183 IBI262180:IBL262183 ILE262180:ILH262183 IVA262180:IVD262183 JEW262180:JEZ262183 JOS262180:JOV262183 JYO262180:JYR262183 KIK262180:KIN262183 KSG262180:KSJ262183 LCC262180:LCF262183 LLY262180:LMB262183 LVU262180:LVX262183 MFQ262180:MFT262183 MPM262180:MPP262183 MZI262180:MZL262183 NJE262180:NJH262183 NTA262180:NTD262183 OCW262180:OCZ262183 OMS262180:OMV262183 OWO262180:OWR262183 PGK262180:PGN262183 PQG262180:PQJ262183 QAC262180:QAF262183 QJY262180:QKB262183 QTU262180:QTX262183 RDQ262180:RDT262183 RNM262180:RNP262183 RXI262180:RXL262183 SHE262180:SHH262183 SRA262180:SRD262183 TAW262180:TAZ262183 TKS262180:TKV262183 TUO262180:TUR262183 UEK262180:UEN262183 UOG262180:UOJ262183 UYC262180:UYF262183 VHY262180:VIB262183 VRU262180:VRX262183 WBQ262180:WBT262183 WLM262180:WLP262183 WVI262180:WVL262183 AU327716:AX327719 IW327716:IZ327719 SS327716:SV327719 ACO327716:ACR327719 AMK327716:AMN327719 AWG327716:AWJ327719 BGC327716:BGF327719 BPY327716:BQB327719 BZU327716:BZX327719 CJQ327716:CJT327719 CTM327716:CTP327719 DDI327716:DDL327719 DNE327716:DNH327719 DXA327716:DXD327719 EGW327716:EGZ327719 EQS327716:EQV327719 FAO327716:FAR327719 FKK327716:FKN327719 FUG327716:FUJ327719 GEC327716:GEF327719 GNY327716:GOB327719 GXU327716:GXX327719 HHQ327716:HHT327719 HRM327716:HRP327719 IBI327716:IBL327719 ILE327716:ILH327719 IVA327716:IVD327719 JEW327716:JEZ327719 JOS327716:JOV327719 JYO327716:JYR327719 KIK327716:KIN327719 KSG327716:KSJ327719 LCC327716:LCF327719 LLY327716:LMB327719 LVU327716:LVX327719 MFQ327716:MFT327719 MPM327716:MPP327719 MZI327716:MZL327719 NJE327716:NJH327719 NTA327716:NTD327719 OCW327716:OCZ327719 OMS327716:OMV327719 OWO327716:OWR327719 PGK327716:PGN327719 PQG327716:PQJ327719 QAC327716:QAF327719 QJY327716:QKB327719 QTU327716:QTX327719 RDQ327716:RDT327719 RNM327716:RNP327719 RXI327716:RXL327719 SHE327716:SHH327719 SRA327716:SRD327719 TAW327716:TAZ327719 TKS327716:TKV327719 TUO327716:TUR327719 UEK327716:UEN327719 UOG327716:UOJ327719 UYC327716:UYF327719 VHY327716:VIB327719 VRU327716:VRX327719 WBQ327716:WBT327719 WLM327716:WLP327719 WVI327716:WVL327719 AU393252:AX393255 IW393252:IZ393255 SS393252:SV393255 ACO393252:ACR393255 AMK393252:AMN393255 AWG393252:AWJ393255 BGC393252:BGF393255 BPY393252:BQB393255 BZU393252:BZX393255 CJQ393252:CJT393255 CTM393252:CTP393255 DDI393252:DDL393255 DNE393252:DNH393255 DXA393252:DXD393255 EGW393252:EGZ393255 EQS393252:EQV393255 FAO393252:FAR393255 FKK393252:FKN393255 FUG393252:FUJ393255 GEC393252:GEF393255 GNY393252:GOB393255 GXU393252:GXX393255 HHQ393252:HHT393255 HRM393252:HRP393255 IBI393252:IBL393255 ILE393252:ILH393255 IVA393252:IVD393255 JEW393252:JEZ393255 JOS393252:JOV393255 JYO393252:JYR393255 KIK393252:KIN393255 KSG393252:KSJ393255 LCC393252:LCF393255 LLY393252:LMB393255 LVU393252:LVX393255 MFQ393252:MFT393255 MPM393252:MPP393255 MZI393252:MZL393255 NJE393252:NJH393255 NTA393252:NTD393255 OCW393252:OCZ393255 OMS393252:OMV393255 OWO393252:OWR393255 PGK393252:PGN393255 PQG393252:PQJ393255 QAC393252:QAF393255 QJY393252:QKB393255 QTU393252:QTX393255 RDQ393252:RDT393255 RNM393252:RNP393255 RXI393252:RXL393255 SHE393252:SHH393255 SRA393252:SRD393255 TAW393252:TAZ393255 TKS393252:TKV393255 TUO393252:TUR393255 UEK393252:UEN393255 UOG393252:UOJ393255 UYC393252:UYF393255 VHY393252:VIB393255 VRU393252:VRX393255 WBQ393252:WBT393255 WLM393252:WLP393255 WVI393252:WVL393255 AU458788:AX458791 IW458788:IZ458791 SS458788:SV458791 ACO458788:ACR458791 AMK458788:AMN458791 AWG458788:AWJ458791 BGC458788:BGF458791 BPY458788:BQB458791 BZU458788:BZX458791 CJQ458788:CJT458791 CTM458788:CTP458791 DDI458788:DDL458791 DNE458788:DNH458791 DXA458788:DXD458791 EGW458788:EGZ458791 EQS458788:EQV458791 FAO458788:FAR458791 FKK458788:FKN458791 FUG458788:FUJ458791 GEC458788:GEF458791 GNY458788:GOB458791 GXU458788:GXX458791 HHQ458788:HHT458791 HRM458788:HRP458791 IBI458788:IBL458791 ILE458788:ILH458791 IVA458788:IVD458791 JEW458788:JEZ458791 JOS458788:JOV458791 JYO458788:JYR458791 KIK458788:KIN458791 KSG458788:KSJ458791 LCC458788:LCF458791 LLY458788:LMB458791 LVU458788:LVX458791 MFQ458788:MFT458791 MPM458788:MPP458791 MZI458788:MZL458791 NJE458788:NJH458791 NTA458788:NTD458791 OCW458788:OCZ458791 OMS458788:OMV458791 OWO458788:OWR458791 PGK458788:PGN458791 PQG458788:PQJ458791 QAC458788:QAF458791 QJY458788:QKB458791 QTU458788:QTX458791 RDQ458788:RDT458791 RNM458788:RNP458791 RXI458788:RXL458791 SHE458788:SHH458791 SRA458788:SRD458791 TAW458788:TAZ458791 TKS458788:TKV458791 TUO458788:TUR458791 UEK458788:UEN458791 UOG458788:UOJ458791 UYC458788:UYF458791 VHY458788:VIB458791 VRU458788:VRX458791 WBQ458788:WBT458791 WLM458788:WLP458791 WVI458788:WVL458791 AU524324:AX524327 IW524324:IZ524327 SS524324:SV524327 ACO524324:ACR524327 AMK524324:AMN524327 AWG524324:AWJ524327 BGC524324:BGF524327 BPY524324:BQB524327 BZU524324:BZX524327 CJQ524324:CJT524327 CTM524324:CTP524327 DDI524324:DDL524327 DNE524324:DNH524327 DXA524324:DXD524327 EGW524324:EGZ524327 EQS524324:EQV524327 FAO524324:FAR524327 FKK524324:FKN524327 FUG524324:FUJ524327 GEC524324:GEF524327 GNY524324:GOB524327 GXU524324:GXX524327 HHQ524324:HHT524327 HRM524324:HRP524327 IBI524324:IBL524327 ILE524324:ILH524327 IVA524324:IVD524327 JEW524324:JEZ524327 JOS524324:JOV524327 JYO524324:JYR524327 KIK524324:KIN524327 KSG524324:KSJ524327 LCC524324:LCF524327 LLY524324:LMB524327 LVU524324:LVX524327 MFQ524324:MFT524327 MPM524324:MPP524327 MZI524324:MZL524327 NJE524324:NJH524327 NTA524324:NTD524327 OCW524324:OCZ524327 OMS524324:OMV524327 OWO524324:OWR524327 PGK524324:PGN524327 PQG524324:PQJ524327 QAC524324:QAF524327 QJY524324:QKB524327 QTU524324:QTX524327 RDQ524324:RDT524327 RNM524324:RNP524327 RXI524324:RXL524327 SHE524324:SHH524327 SRA524324:SRD524327 TAW524324:TAZ524327 TKS524324:TKV524327 TUO524324:TUR524327 UEK524324:UEN524327 UOG524324:UOJ524327 UYC524324:UYF524327 VHY524324:VIB524327 VRU524324:VRX524327 WBQ524324:WBT524327 WLM524324:WLP524327 WVI524324:WVL524327 AU589860:AX589863 IW589860:IZ589863 SS589860:SV589863 ACO589860:ACR589863 AMK589860:AMN589863 AWG589860:AWJ589863 BGC589860:BGF589863 BPY589860:BQB589863 BZU589860:BZX589863 CJQ589860:CJT589863 CTM589860:CTP589863 DDI589860:DDL589863 DNE589860:DNH589863 DXA589860:DXD589863 EGW589860:EGZ589863 EQS589860:EQV589863 FAO589860:FAR589863 FKK589860:FKN589863 FUG589860:FUJ589863 GEC589860:GEF589863 GNY589860:GOB589863 GXU589860:GXX589863 HHQ589860:HHT589863 HRM589860:HRP589863 IBI589860:IBL589863 ILE589860:ILH589863 IVA589860:IVD589863 JEW589860:JEZ589863 JOS589860:JOV589863 JYO589860:JYR589863 KIK589860:KIN589863 KSG589860:KSJ589863 LCC589860:LCF589863 LLY589860:LMB589863 LVU589860:LVX589863 MFQ589860:MFT589863 MPM589860:MPP589863 MZI589860:MZL589863 NJE589860:NJH589863 NTA589860:NTD589863 OCW589860:OCZ589863 OMS589860:OMV589863 OWO589860:OWR589863 PGK589860:PGN589863 PQG589860:PQJ589863 QAC589860:QAF589863 QJY589860:QKB589863 QTU589860:QTX589863 RDQ589860:RDT589863 RNM589860:RNP589863 RXI589860:RXL589863 SHE589860:SHH589863 SRA589860:SRD589863 TAW589860:TAZ589863 TKS589860:TKV589863 TUO589860:TUR589863 UEK589860:UEN589863 UOG589860:UOJ589863 UYC589860:UYF589863 VHY589860:VIB589863 VRU589860:VRX589863 WBQ589860:WBT589863 WLM589860:WLP589863 WVI589860:WVL589863 AU655396:AX655399 IW655396:IZ655399 SS655396:SV655399 ACO655396:ACR655399 AMK655396:AMN655399 AWG655396:AWJ655399 BGC655396:BGF655399 BPY655396:BQB655399 BZU655396:BZX655399 CJQ655396:CJT655399 CTM655396:CTP655399 DDI655396:DDL655399 DNE655396:DNH655399 DXA655396:DXD655399 EGW655396:EGZ655399 EQS655396:EQV655399 FAO655396:FAR655399 FKK655396:FKN655399 FUG655396:FUJ655399 GEC655396:GEF655399 GNY655396:GOB655399 GXU655396:GXX655399 HHQ655396:HHT655399 HRM655396:HRP655399 IBI655396:IBL655399 ILE655396:ILH655399 IVA655396:IVD655399 JEW655396:JEZ655399 JOS655396:JOV655399 JYO655396:JYR655399 KIK655396:KIN655399 KSG655396:KSJ655399 LCC655396:LCF655399 LLY655396:LMB655399 LVU655396:LVX655399 MFQ655396:MFT655399 MPM655396:MPP655399 MZI655396:MZL655399 NJE655396:NJH655399 NTA655396:NTD655399 OCW655396:OCZ655399 OMS655396:OMV655399 OWO655396:OWR655399 PGK655396:PGN655399 PQG655396:PQJ655399 QAC655396:QAF655399 QJY655396:QKB655399 QTU655396:QTX655399 RDQ655396:RDT655399 RNM655396:RNP655399 RXI655396:RXL655399 SHE655396:SHH655399 SRA655396:SRD655399 TAW655396:TAZ655399 TKS655396:TKV655399 TUO655396:TUR655399 UEK655396:UEN655399 UOG655396:UOJ655399 UYC655396:UYF655399 VHY655396:VIB655399 VRU655396:VRX655399 WBQ655396:WBT655399 WLM655396:WLP655399 WVI655396:WVL655399 AU720932:AX720935 IW720932:IZ720935 SS720932:SV720935 ACO720932:ACR720935 AMK720932:AMN720935 AWG720932:AWJ720935 BGC720932:BGF720935 BPY720932:BQB720935 BZU720932:BZX720935 CJQ720932:CJT720935 CTM720932:CTP720935 DDI720932:DDL720935 DNE720932:DNH720935 DXA720932:DXD720935 EGW720932:EGZ720935 EQS720932:EQV720935 FAO720932:FAR720935 FKK720932:FKN720935 FUG720932:FUJ720935 GEC720932:GEF720935 GNY720932:GOB720935 GXU720932:GXX720935 HHQ720932:HHT720935 HRM720932:HRP720935 IBI720932:IBL720935 ILE720932:ILH720935 IVA720932:IVD720935 JEW720932:JEZ720935 JOS720932:JOV720935 JYO720932:JYR720935 KIK720932:KIN720935 KSG720932:KSJ720935 LCC720932:LCF720935 LLY720932:LMB720935 LVU720932:LVX720935 MFQ720932:MFT720935 MPM720932:MPP720935 MZI720932:MZL720935 NJE720932:NJH720935 NTA720932:NTD720935 OCW720932:OCZ720935 OMS720932:OMV720935 OWO720932:OWR720935 PGK720932:PGN720935 PQG720932:PQJ720935 QAC720932:QAF720935 QJY720932:QKB720935 QTU720932:QTX720935 RDQ720932:RDT720935 RNM720932:RNP720935 RXI720932:RXL720935 SHE720932:SHH720935 SRA720932:SRD720935 TAW720932:TAZ720935 TKS720932:TKV720935 TUO720932:TUR720935 UEK720932:UEN720935 UOG720932:UOJ720935 UYC720932:UYF720935 VHY720932:VIB720935 VRU720932:VRX720935 WBQ720932:WBT720935 WLM720932:WLP720935 WVI720932:WVL720935 AU786468:AX786471 IW786468:IZ786471 SS786468:SV786471 ACO786468:ACR786471 AMK786468:AMN786471 AWG786468:AWJ786471 BGC786468:BGF786471 BPY786468:BQB786471 BZU786468:BZX786471 CJQ786468:CJT786471 CTM786468:CTP786471 DDI786468:DDL786471 DNE786468:DNH786471 DXA786468:DXD786471 EGW786468:EGZ786471 EQS786468:EQV786471 FAO786468:FAR786471 FKK786468:FKN786471 FUG786468:FUJ786471 GEC786468:GEF786471 GNY786468:GOB786471 GXU786468:GXX786471 HHQ786468:HHT786471 HRM786468:HRP786471 IBI786468:IBL786471 ILE786468:ILH786471 IVA786468:IVD786471 JEW786468:JEZ786471 JOS786468:JOV786471 JYO786468:JYR786471 KIK786468:KIN786471 KSG786468:KSJ786471 LCC786468:LCF786471 LLY786468:LMB786471 LVU786468:LVX786471 MFQ786468:MFT786471 MPM786468:MPP786471 MZI786468:MZL786471 NJE786468:NJH786471 NTA786468:NTD786471 OCW786468:OCZ786471 OMS786468:OMV786471 OWO786468:OWR786471 PGK786468:PGN786471 PQG786468:PQJ786471 QAC786468:QAF786471 QJY786468:QKB786471 QTU786468:QTX786471 RDQ786468:RDT786471 RNM786468:RNP786471 RXI786468:RXL786471 SHE786468:SHH786471 SRA786468:SRD786471 TAW786468:TAZ786471 TKS786468:TKV786471 TUO786468:TUR786471 UEK786468:UEN786471 UOG786468:UOJ786471 UYC786468:UYF786471 VHY786468:VIB786471 VRU786468:VRX786471 WBQ786468:WBT786471 WLM786468:WLP786471 WVI786468:WVL786471 AU852004:AX852007 IW852004:IZ852007 SS852004:SV852007 ACO852004:ACR852007 AMK852004:AMN852007 AWG852004:AWJ852007 BGC852004:BGF852007 BPY852004:BQB852007 BZU852004:BZX852007 CJQ852004:CJT852007 CTM852004:CTP852007 DDI852004:DDL852007 DNE852004:DNH852007 DXA852004:DXD852007 EGW852004:EGZ852007 EQS852004:EQV852007 FAO852004:FAR852007 FKK852004:FKN852007 FUG852004:FUJ852007 GEC852004:GEF852007 GNY852004:GOB852007 GXU852004:GXX852007 HHQ852004:HHT852007 HRM852004:HRP852007 IBI852004:IBL852007 ILE852004:ILH852007 IVA852004:IVD852007 JEW852004:JEZ852007 JOS852004:JOV852007 JYO852004:JYR852007 KIK852004:KIN852007 KSG852004:KSJ852007 LCC852004:LCF852007 LLY852004:LMB852007 LVU852004:LVX852007 MFQ852004:MFT852007 MPM852004:MPP852007 MZI852004:MZL852007 NJE852004:NJH852007 NTA852004:NTD852007 OCW852004:OCZ852007 OMS852004:OMV852007 OWO852004:OWR852007 PGK852004:PGN852007 PQG852004:PQJ852007 QAC852004:QAF852007 QJY852004:QKB852007 QTU852004:QTX852007 RDQ852004:RDT852007 RNM852004:RNP852007 RXI852004:RXL852007 SHE852004:SHH852007 SRA852004:SRD852007 TAW852004:TAZ852007 TKS852004:TKV852007 TUO852004:TUR852007 UEK852004:UEN852007 UOG852004:UOJ852007 UYC852004:UYF852007 VHY852004:VIB852007 VRU852004:VRX852007 WBQ852004:WBT852007 WLM852004:WLP852007 WVI852004:WVL852007 AU917540:AX917543 IW917540:IZ917543 SS917540:SV917543 ACO917540:ACR917543 AMK917540:AMN917543 AWG917540:AWJ917543 BGC917540:BGF917543 BPY917540:BQB917543 BZU917540:BZX917543 CJQ917540:CJT917543 CTM917540:CTP917543 DDI917540:DDL917543 DNE917540:DNH917543 DXA917540:DXD917543 EGW917540:EGZ917543 EQS917540:EQV917543 FAO917540:FAR917543 FKK917540:FKN917543 FUG917540:FUJ917543 GEC917540:GEF917543 GNY917540:GOB917543 GXU917540:GXX917543 HHQ917540:HHT917543 HRM917540:HRP917543 IBI917540:IBL917543 ILE917540:ILH917543 IVA917540:IVD917543 JEW917540:JEZ917543 JOS917540:JOV917543 JYO917540:JYR917543 KIK917540:KIN917543 KSG917540:KSJ917543 LCC917540:LCF917543 LLY917540:LMB917543 LVU917540:LVX917543 MFQ917540:MFT917543 MPM917540:MPP917543 MZI917540:MZL917543 NJE917540:NJH917543 NTA917540:NTD917543 OCW917540:OCZ917543 OMS917540:OMV917543 OWO917540:OWR917543 PGK917540:PGN917543 PQG917540:PQJ917543 QAC917540:QAF917543 QJY917540:QKB917543 QTU917540:QTX917543 RDQ917540:RDT917543 RNM917540:RNP917543 RXI917540:RXL917543 SHE917540:SHH917543 SRA917540:SRD917543 TAW917540:TAZ917543 TKS917540:TKV917543 TUO917540:TUR917543 UEK917540:UEN917543 UOG917540:UOJ917543 UYC917540:UYF917543 VHY917540:VIB917543 VRU917540:VRX917543 WBQ917540:WBT917543 WLM917540:WLP917543 WVI917540:WVL917543 AU983076:AX983079 IW983076:IZ983079 SS983076:SV983079 ACO983076:ACR983079 AMK983076:AMN983079 AWG983076:AWJ983079 BGC983076:BGF983079 BPY983076:BQB983079 BZU983076:BZX983079 CJQ983076:CJT983079 CTM983076:CTP983079 DDI983076:DDL983079 DNE983076:DNH983079 DXA983076:DXD983079 EGW983076:EGZ983079 EQS983076:EQV983079 FAO983076:FAR983079 FKK983076:FKN983079 FUG983076:FUJ983079 GEC983076:GEF983079 GNY983076:GOB983079 GXU983076:GXX983079 HHQ983076:HHT983079 HRM983076:HRP983079 IBI983076:IBL983079 ILE983076:ILH983079 IVA983076:IVD983079 JEW983076:JEZ983079 JOS983076:JOV983079 JYO983076:JYR983079 KIK983076:KIN983079 KSG983076:KSJ983079 LCC983076:LCF983079 LLY983076:LMB983079 LVU983076:LVX983079 MFQ983076:MFT983079 MPM983076:MPP983079 MZI983076:MZL983079 NJE983076:NJH983079 NTA983076:NTD983079 OCW983076:OCZ983079 OMS983076:OMV983079 OWO983076:OWR983079 PGK983076:PGN983079 PQG983076:PQJ983079 QAC983076:QAF983079 QJY983076:QKB983079 QTU983076:QTX983079 RDQ983076:RDT983079 RNM983076:RNP983079 RXI983076:RXL983079 SHE983076:SHH983079 SRA983076:SRD983079 TAW983076:TAZ983079 TKS983076:TKV983079 TUO983076:TUR983079 UEK983076:UEN983079 UOG983076:UOJ983079 UYC983076:UYF983079 VHY983076:VIB983079 VRU983076:VRX983079 WBQ983076:WBT983079 WLM983076:WLP983079 WVI983076:WVL983079 AP65566:AS65566 IR65566:IU65566 SN65566:SQ65566 ACJ65566:ACM65566 AMF65566:AMI65566 AWB65566:AWE65566 BFX65566:BGA65566 BPT65566:BPW65566 BZP65566:BZS65566 CJL65566:CJO65566 CTH65566:CTK65566 DDD65566:DDG65566 DMZ65566:DNC65566 DWV65566:DWY65566 EGR65566:EGU65566 EQN65566:EQQ65566 FAJ65566:FAM65566 FKF65566:FKI65566 FUB65566:FUE65566 GDX65566:GEA65566 GNT65566:GNW65566 GXP65566:GXS65566 HHL65566:HHO65566 HRH65566:HRK65566 IBD65566:IBG65566 IKZ65566:ILC65566 IUV65566:IUY65566 JER65566:JEU65566 JON65566:JOQ65566 JYJ65566:JYM65566 KIF65566:KII65566 KSB65566:KSE65566 LBX65566:LCA65566 LLT65566:LLW65566 LVP65566:LVS65566 MFL65566:MFO65566 MPH65566:MPK65566 MZD65566:MZG65566 NIZ65566:NJC65566 NSV65566:NSY65566 OCR65566:OCU65566 OMN65566:OMQ65566 OWJ65566:OWM65566 PGF65566:PGI65566 PQB65566:PQE65566 PZX65566:QAA65566 QJT65566:QJW65566 QTP65566:QTS65566 RDL65566:RDO65566 RNH65566:RNK65566 RXD65566:RXG65566 SGZ65566:SHC65566 SQV65566:SQY65566 TAR65566:TAU65566 TKN65566:TKQ65566 TUJ65566:TUM65566 UEF65566:UEI65566 UOB65566:UOE65566 UXX65566:UYA65566 VHT65566:VHW65566 VRP65566:VRS65566 WBL65566:WBO65566 WLH65566:WLK65566 WVD65566:WVG65566 AP131102:AS131102 IR131102:IU131102 SN131102:SQ131102 ACJ131102:ACM131102 AMF131102:AMI131102 AWB131102:AWE131102 BFX131102:BGA131102 BPT131102:BPW131102 BZP131102:BZS131102 CJL131102:CJO131102 CTH131102:CTK131102 DDD131102:DDG131102 DMZ131102:DNC131102 DWV131102:DWY131102 EGR131102:EGU131102 EQN131102:EQQ131102 FAJ131102:FAM131102 FKF131102:FKI131102 FUB131102:FUE131102 GDX131102:GEA131102 GNT131102:GNW131102 GXP131102:GXS131102 HHL131102:HHO131102 HRH131102:HRK131102 IBD131102:IBG131102 IKZ131102:ILC131102 IUV131102:IUY131102 JER131102:JEU131102 JON131102:JOQ131102 JYJ131102:JYM131102 KIF131102:KII131102 KSB131102:KSE131102 LBX131102:LCA131102 LLT131102:LLW131102 LVP131102:LVS131102 MFL131102:MFO131102 MPH131102:MPK131102 MZD131102:MZG131102 NIZ131102:NJC131102 NSV131102:NSY131102 OCR131102:OCU131102 OMN131102:OMQ131102 OWJ131102:OWM131102 PGF131102:PGI131102 PQB131102:PQE131102 PZX131102:QAA131102 QJT131102:QJW131102 QTP131102:QTS131102 RDL131102:RDO131102 RNH131102:RNK131102 RXD131102:RXG131102 SGZ131102:SHC131102 SQV131102:SQY131102 TAR131102:TAU131102 TKN131102:TKQ131102 TUJ131102:TUM131102 UEF131102:UEI131102 UOB131102:UOE131102 UXX131102:UYA131102 VHT131102:VHW131102 VRP131102:VRS131102 WBL131102:WBO131102 WLH131102:WLK131102 WVD131102:WVG131102 AP196638:AS196638 IR196638:IU196638 SN196638:SQ196638 ACJ196638:ACM196638 AMF196638:AMI196638 AWB196638:AWE196638 BFX196638:BGA196638 BPT196638:BPW196638 BZP196638:BZS196638 CJL196638:CJO196638 CTH196638:CTK196638 DDD196638:DDG196638 DMZ196638:DNC196638 DWV196638:DWY196638 EGR196638:EGU196638 EQN196638:EQQ196638 FAJ196638:FAM196638 FKF196638:FKI196638 FUB196638:FUE196638 GDX196638:GEA196638 GNT196638:GNW196638 GXP196638:GXS196638 HHL196638:HHO196638 HRH196638:HRK196638 IBD196638:IBG196638 IKZ196638:ILC196638 IUV196638:IUY196638 JER196638:JEU196638 JON196638:JOQ196638 JYJ196638:JYM196638 KIF196638:KII196638 KSB196638:KSE196638 LBX196638:LCA196638 LLT196638:LLW196638 LVP196638:LVS196638 MFL196638:MFO196638 MPH196638:MPK196638 MZD196638:MZG196638 NIZ196638:NJC196638 NSV196638:NSY196638 OCR196638:OCU196638 OMN196638:OMQ196638 OWJ196638:OWM196638 PGF196638:PGI196638 PQB196638:PQE196638 PZX196638:QAA196638 QJT196638:QJW196638 QTP196638:QTS196638 RDL196638:RDO196638 RNH196638:RNK196638 RXD196638:RXG196638 SGZ196638:SHC196638 SQV196638:SQY196638 TAR196638:TAU196638 TKN196638:TKQ196638 TUJ196638:TUM196638 UEF196638:UEI196638 UOB196638:UOE196638 UXX196638:UYA196638 VHT196638:VHW196638 VRP196638:VRS196638 WBL196638:WBO196638 WLH196638:WLK196638 WVD196638:WVG196638 AP262174:AS262174 IR262174:IU262174 SN262174:SQ262174 ACJ262174:ACM262174 AMF262174:AMI262174 AWB262174:AWE262174 BFX262174:BGA262174 BPT262174:BPW262174 BZP262174:BZS262174 CJL262174:CJO262174 CTH262174:CTK262174 DDD262174:DDG262174 DMZ262174:DNC262174 DWV262174:DWY262174 EGR262174:EGU262174 EQN262174:EQQ262174 FAJ262174:FAM262174 FKF262174:FKI262174 FUB262174:FUE262174 GDX262174:GEA262174 GNT262174:GNW262174 GXP262174:GXS262174 HHL262174:HHO262174 HRH262174:HRK262174 IBD262174:IBG262174 IKZ262174:ILC262174 IUV262174:IUY262174 JER262174:JEU262174 JON262174:JOQ262174 JYJ262174:JYM262174 KIF262174:KII262174 KSB262174:KSE262174 LBX262174:LCA262174 LLT262174:LLW262174 LVP262174:LVS262174 MFL262174:MFO262174 MPH262174:MPK262174 MZD262174:MZG262174 NIZ262174:NJC262174 NSV262174:NSY262174 OCR262174:OCU262174 OMN262174:OMQ262174 OWJ262174:OWM262174 PGF262174:PGI262174 PQB262174:PQE262174 PZX262174:QAA262174 QJT262174:QJW262174 QTP262174:QTS262174 RDL262174:RDO262174 RNH262174:RNK262174 RXD262174:RXG262174 SGZ262174:SHC262174 SQV262174:SQY262174 TAR262174:TAU262174 TKN262174:TKQ262174 TUJ262174:TUM262174 UEF262174:UEI262174 UOB262174:UOE262174 UXX262174:UYA262174 VHT262174:VHW262174 VRP262174:VRS262174 WBL262174:WBO262174 WLH262174:WLK262174 WVD262174:WVG262174 AP327710:AS327710 IR327710:IU327710 SN327710:SQ327710 ACJ327710:ACM327710 AMF327710:AMI327710 AWB327710:AWE327710 BFX327710:BGA327710 BPT327710:BPW327710 BZP327710:BZS327710 CJL327710:CJO327710 CTH327710:CTK327710 DDD327710:DDG327710 DMZ327710:DNC327710 DWV327710:DWY327710 EGR327710:EGU327710 EQN327710:EQQ327710 FAJ327710:FAM327710 FKF327710:FKI327710 FUB327710:FUE327710 GDX327710:GEA327710 GNT327710:GNW327710 GXP327710:GXS327710 HHL327710:HHO327710 HRH327710:HRK327710 IBD327710:IBG327710 IKZ327710:ILC327710 IUV327710:IUY327710 JER327710:JEU327710 JON327710:JOQ327710 JYJ327710:JYM327710 KIF327710:KII327710 KSB327710:KSE327710 LBX327710:LCA327710 LLT327710:LLW327710 LVP327710:LVS327710 MFL327710:MFO327710 MPH327710:MPK327710 MZD327710:MZG327710 NIZ327710:NJC327710 NSV327710:NSY327710 OCR327710:OCU327710 OMN327710:OMQ327710 OWJ327710:OWM327710 PGF327710:PGI327710 PQB327710:PQE327710 PZX327710:QAA327710 QJT327710:QJW327710 QTP327710:QTS327710 RDL327710:RDO327710 RNH327710:RNK327710 RXD327710:RXG327710 SGZ327710:SHC327710 SQV327710:SQY327710 TAR327710:TAU327710 TKN327710:TKQ327710 TUJ327710:TUM327710 UEF327710:UEI327710 UOB327710:UOE327710 UXX327710:UYA327710 VHT327710:VHW327710 VRP327710:VRS327710 WBL327710:WBO327710 WLH327710:WLK327710 WVD327710:WVG327710 AP393246:AS393246 IR393246:IU393246 SN393246:SQ393246 ACJ393246:ACM393246 AMF393246:AMI393246 AWB393246:AWE393246 BFX393246:BGA393246 BPT393246:BPW393246 BZP393246:BZS393246 CJL393246:CJO393246 CTH393246:CTK393246 DDD393246:DDG393246 DMZ393246:DNC393246 DWV393246:DWY393246 EGR393246:EGU393246 EQN393246:EQQ393246 FAJ393246:FAM393246 FKF393246:FKI393246 FUB393246:FUE393246 GDX393246:GEA393246 GNT393246:GNW393246 GXP393246:GXS393246 HHL393246:HHO393246 HRH393246:HRK393246 IBD393246:IBG393246 IKZ393246:ILC393246 IUV393246:IUY393246 JER393246:JEU393246 JON393246:JOQ393246 JYJ393246:JYM393246 KIF393246:KII393246 KSB393246:KSE393246 LBX393246:LCA393246 LLT393246:LLW393246 LVP393246:LVS393246 MFL393246:MFO393246 MPH393246:MPK393246 MZD393246:MZG393246 NIZ393246:NJC393246 NSV393246:NSY393246 OCR393246:OCU393246 OMN393246:OMQ393246 OWJ393246:OWM393246 PGF393246:PGI393246 PQB393246:PQE393246 PZX393246:QAA393246 QJT393246:QJW393246 QTP393246:QTS393246 RDL393246:RDO393246 RNH393246:RNK393246 RXD393246:RXG393246 SGZ393246:SHC393246 SQV393246:SQY393246 TAR393246:TAU393246 TKN393246:TKQ393246 TUJ393246:TUM393246 UEF393246:UEI393246 UOB393246:UOE393246 UXX393246:UYA393246 VHT393246:VHW393246 VRP393246:VRS393246 WBL393246:WBO393246 WLH393246:WLK393246 WVD393246:WVG393246 AP458782:AS458782 IR458782:IU458782 SN458782:SQ458782 ACJ458782:ACM458782 AMF458782:AMI458782 AWB458782:AWE458782 BFX458782:BGA458782 BPT458782:BPW458782 BZP458782:BZS458782 CJL458782:CJO458782 CTH458782:CTK458782 DDD458782:DDG458782 DMZ458782:DNC458782 DWV458782:DWY458782 EGR458782:EGU458782 EQN458782:EQQ458782 FAJ458782:FAM458782 FKF458782:FKI458782 FUB458782:FUE458782 GDX458782:GEA458782 GNT458782:GNW458782 GXP458782:GXS458782 HHL458782:HHO458782 HRH458782:HRK458782 IBD458782:IBG458782 IKZ458782:ILC458782 IUV458782:IUY458782 JER458782:JEU458782 JON458782:JOQ458782 JYJ458782:JYM458782 KIF458782:KII458782 KSB458782:KSE458782 LBX458782:LCA458782 LLT458782:LLW458782 LVP458782:LVS458782 MFL458782:MFO458782 MPH458782:MPK458782 MZD458782:MZG458782 NIZ458782:NJC458782 NSV458782:NSY458782 OCR458782:OCU458782 OMN458782:OMQ458782 OWJ458782:OWM458782 PGF458782:PGI458782 PQB458782:PQE458782 PZX458782:QAA458782 QJT458782:QJW458782 QTP458782:QTS458782 RDL458782:RDO458782 RNH458782:RNK458782 RXD458782:RXG458782 SGZ458782:SHC458782 SQV458782:SQY458782 TAR458782:TAU458782 TKN458782:TKQ458782 TUJ458782:TUM458782 UEF458782:UEI458782 UOB458782:UOE458782 UXX458782:UYA458782 VHT458782:VHW458782 VRP458782:VRS458782 WBL458782:WBO458782 WLH458782:WLK458782 WVD458782:WVG458782 AP524318:AS524318 IR524318:IU524318 SN524318:SQ524318 ACJ524318:ACM524318 AMF524318:AMI524318 AWB524318:AWE524318 BFX524318:BGA524318 BPT524318:BPW524318 BZP524318:BZS524318 CJL524318:CJO524318 CTH524318:CTK524318 DDD524318:DDG524318 DMZ524318:DNC524318 DWV524318:DWY524318 EGR524318:EGU524318 EQN524318:EQQ524318 FAJ524318:FAM524318 FKF524318:FKI524318 FUB524318:FUE524318 GDX524318:GEA524318 GNT524318:GNW524318 GXP524318:GXS524318 HHL524318:HHO524318 HRH524318:HRK524318 IBD524318:IBG524318 IKZ524318:ILC524318 IUV524318:IUY524318 JER524318:JEU524318 JON524318:JOQ524318 JYJ524318:JYM524318 KIF524318:KII524318 KSB524318:KSE524318 LBX524318:LCA524318 LLT524318:LLW524318 LVP524318:LVS524318 MFL524318:MFO524318 MPH524318:MPK524318 MZD524318:MZG524318 NIZ524318:NJC524318 NSV524318:NSY524318 OCR524318:OCU524318 OMN524318:OMQ524318 OWJ524318:OWM524318 PGF524318:PGI524318 PQB524318:PQE524318 PZX524318:QAA524318 QJT524318:QJW524318 QTP524318:QTS524318 RDL524318:RDO524318 RNH524318:RNK524318 RXD524318:RXG524318 SGZ524318:SHC524318 SQV524318:SQY524318 TAR524318:TAU524318 TKN524318:TKQ524318 TUJ524318:TUM524318 UEF524318:UEI524318 UOB524318:UOE524318 UXX524318:UYA524318 VHT524318:VHW524318 VRP524318:VRS524318 WBL524318:WBO524318 WLH524318:WLK524318 WVD524318:WVG524318 AP589854:AS589854 IR589854:IU589854 SN589854:SQ589854 ACJ589854:ACM589854 AMF589854:AMI589854 AWB589854:AWE589854 BFX589854:BGA589854 BPT589854:BPW589854 BZP589854:BZS589854 CJL589854:CJO589854 CTH589854:CTK589854 DDD589854:DDG589854 DMZ589854:DNC589854 DWV589854:DWY589854 EGR589854:EGU589854 EQN589854:EQQ589854 FAJ589854:FAM589854 FKF589854:FKI589854 FUB589854:FUE589854 GDX589854:GEA589854 GNT589854:GNW589854 GXP589854:GXS589854 HHL589854:HHO589854 HRH589854:HRK589854 IBD589854:IBG589854 IKZ589854:ILC589854 IUV589854:IUY589854 JER589854:JEU589854 JON589854:JOQ589854 JYJ589854:JYM589854 KIF589854:KII589854 KSB589854:KSE589854 LBX589854:LCA589854 LLT589854:LLW589854 LVP589854:LVS589854 MFL589854:MFO589854 MPH589854:MPK589854 MZD589854:MZG589854 NIZ589854:NJC589854 NSV589854:NSY589854 OCR589854:OCU589854 OMN589854:OMQ589854 OWJ589854:OWM589854 PGF589854:PGI589854 PQB589854:PQE589854 PZX589854:QAA589854 QJT589854:QJW589854 QTP589854:QTS589854 RDL589854:RDO589854 RNH589854:RNK589854 RXD589854:RXG589854 SGZ589854:SHC589854 SQV589854:SQY589854 TAR589854:TAU589854 TKN589854:TKQ589854 TUJ589854:TUM589854 UEF589854:UEI589854 UOB589854:UOE589854 UXX589854:UYA589854 VHT589854:VHW589854 VRP589854:VRS589854 WBL589854:WBO589854 WLH589854:WLK589854 WVD589854:WVG589854 AP655390:AS655390 IR655390:IU655390 SN655390:SQ655390 ACJ655390:ACM655390 AMF655390:AMI655390 AWB655390:AWE655390 BFX655390:BGA655390 BPT655390:BPW655390 BZP655390:BZS655390 CJL655390:CJO655390 CTH655390:CTK655390 DDD655390:DDG655390 DMZ655390:DNC655390 DWV655390:DWY655390 EGR655390:EGU655390 EQN655390:EQQ655390 FAJ655390:FAM655390 FKF655390:FKI655390 FUB655390:FUE655390 GDX655390:GEA655390 GNT655390:GNW655390 GXP655390:GXS655390 HHL655390:HHO655390 HRH655390:HRK655390 IBD655390:IBG655390 IKZ655390:ILC655390 IUV655390:IUY655390 JER655390:JEU655390 JON655390:JOQ655390 JYJ655390:JYM655390 KIF655390:KII655390 KSB655390:KSE655390 LBX655390:LCA655390 LLT655390:LLW655390 LVP655390:LVS655390 MFL655390:MFO655390 MPH655390:MPK655390 MZD655390:MZG655390 NIZ655390:NJC655390 NSV655390:NSY655390 OCR655390:OCU655390 OMN655390:OMQ655390 OWJ655390:OWM655390 PGF655390:PGI655390 PQB655390:PQE655390 PZX655390:QAA655390 QJT655390:QJW655390 QTP655390:QTS655390 RDL655390:RDO655390 RNH655390:RNK655390 RXD655390:RXG655390 SGZ655390:SHC655390 SQV655390:SQY655390 TAR655390:TAU655390 TKN655390:TKQ655390 TUJ655390:TUM655390 UEF655390:UEI655390 UOB655390:UOE655390 UXX655390:UYA655390 VHT655390:VHW655390 VRP655390:VRS655390 WBL655390:WBO655390 WLH655390:WLK655390 WVD655390:WVG655390 AP720926:AS720926 IR720926:IU720926 SN720926:SQ720926 ACJ720926:ACM720926 AMF720926:AMI720926 AWB720926:AWE720926 BFX720926:BGA720926 BPT720926:BPW720926 BZP720926:BZS720926 CJL720926:CJO720926 CTH720926:CTK720926 DDD720926:DDG720926 DMZ720926:DNC720926 DWV720926:DWY720926 EGR720926:EGU720926 EQN720926:EQQ720926 FAJ720926:FAM720926 FKF720926:FKI720926 FUB720926:FUE720926 GDX720926:GEA720926 GNT720926:GNW720926 GXP720926:GXS720926 HHL720926:HHO720926 HRH720926:HRK720926 IBD720926:IBG720926 IKZ720926:ILC720926 IUV720926:IUY720926 JER720926:JEU720926 JON720926:JOQ720926 JYJ720926:JYM720926 KIF720926:KII720926 KSB720926:KSE720926 LBX720926:LCA720926 LLT720926:LLW720926 LVP720926:LVS720926 MFL720926:MFO720926 MPH720926:MPK720926 MZD720926:MZG720926 NIZ720926:NJC720926 NSV720926:NSY720926 OCR720926:OCU720926 OMN720926:OMQ720926 OWJ720926:OWM720926 PGF720926:PGI720926 PQB720926:PQE720926 PZX720926:QAA720926 QJT720926:QJW720926 QTP720926:QTS720926 RDL720926:RDO720926 RNH720926:RNK720926 RXD720926:RXG720926 SGZ720926:SHC720926 SQV720926:SQY720926 TAR720926:TAU720926 TKN720926:TKQ720926 TUJ720926:TUM720926 UEF720926:UEI720926 UOB720926:UOE720926 UXX720926:UYA720926 VHT720926:VHW720926 VRP720926:VRS720926 WBL720926:WBO720926 WLH720926:WLK720926 WVD720926:WVG720926 AP786462:AS786462 IR786462:IU786462 SN786462:SQ786462 ACJ786462:ACM786462 AMF786462:AMI786462 AWB786462:AWE786462 BFX786462:BGA786462 BPT786462:BPW786462 BZP786462:BZS786462 CJL786462:CJO786462 CTH786462:CTK786462 DDD786462:DDG786462 DMZ786462:DNC786462 DWV786462:DWY786462 EGR786462:EGU786462 EQN786462:EQQ786462 FAJ786462:FAM786462 FKF786462:FKI786462 FUB786462:FUE786462 GDX786462:GEA786462 GNT786462:GNW786462 GXP786462:GXS786462 HHL786462:HHO786462 HRH786462:HRK786462 IBD786462:IBG786462 IKZ786462:ILC786462 IUV786462:IUY786462 JER786462:JEU786462 JON786462:JOQ786462 JYJ786462:JYM786462 KIF786462:KII786462 KSB786462:KSE786462 LBX786462:LCA786462 LLT786462:LLW786462 LVP786462:LVS786462 MFL786462:MFO786462 MPH786462:MPK786462 MZD786462:MZG786462 NIZ786462:NJC786462 NSV786462:NSY786462 OCR786462:OCU786462 OMN786462:OMQ786462 OWJ786462:OWM786462 PGF786462:PGI786462 PQB786462:PQE786462 PZX786462:QAA786462 QJT786462:QJW786462 QTP786462:QTS786462 RDL786462:RDO786462 RNH786462:RNK786462 RXD786462:RXG786462 SGZ786462:SHC786462 SQV786462:SQY786462 TAR786462:TAU786462 TKN786462:TKQ786462 TUJ786462:TUM786462 UEF786462:UEI786462 UOB786462:UOE786462 UXX786462:UYA786462 VHT786462:VHW786462 VRP786462:VRS786462 WBL786462:WBO786462 WLH786462:WLK786462 WVD786462:WVG786462 AP851998:AS851998 IR851998:IU851998 SN851998:SQ851998 ACJ851998:ACM851998 AMF851998:AMI851998 AWB851998:AWE851998 BFX851998:BGA851998 BPT851998:BPW851998 BZP851998:BZS851998 CJL851998:CJO851998 CTH851998:CTK851998 DDD851998:DDG851998 DMZ851998:DNC851998 DWV851998:DWY851998 EGR851998:EGU851998 EQN851998:EQQ851998 FAJ851998:FAM851998 FKF851998:FKI851998 FUB851998:FUE851998 GDX851998:GEA851998 GNT851998:GNW851998 GXP851998:GXS851998 HHL851998:HHO851998 HRH851998:HRK851998 IBD851998:IBG851998 IKZ851998:ILC851998 IUV851998:IUY851998 JER851998:JEU851998 JON851998:JOQ851998 JYJ851998:JYM851998 KIF851998:KII851998 KSB851998:KSE851998 LBX851998:LCA851998 LLT851998:LLW851998 LVP851998:LVS851998 MFL851998:MFO851998 MPH851998:MPK851998 MZD851998:MZG851998 NIZ851998:NJC851998 NSV851998:NSY851998 OCR851998:OCU851998 OMN851998:OMQ851998 OWJ851998:OWM851998 PGF851998:PGI851998 PQB851998:PQE851998 PZX851998:QAA851998 QJT851998:QJW851998 QTP851998:QTS851998 RDL851998:RDO851998 RNH851998:RNK851998 RXD851998:RXG851998 SGZ851998:SHC851998 SQV851998:SQY851998 TAR851998:TAU851998 TKN851998:TKQ851998 TUJ851998:TUM851998 UEF851998:UEI851998 UOB851998:UOE851998 UXX851998:UYA851998 VHT851998:VHW851998 VRP851998:VRS851998 WBL851998:WBO851998 WLH851998:WLK851998 WVD851998:WVG851998 AP917534:AS917534 IR917534:IU917534 SN917534:SQ917534 ACJ917534:ACM917534 AMF917534:AMI917534 AWB917534:AWE917534 BFX917534:BGA917534 BPT917534:BPW917534 BZP917534:BZS917534 CJL917534:CJO917534 CTH917534:CTK917534 DDD917534:DDG917534 DMZ917534:DNC917534 DWV917534:DWY917534 EGR917534:EGU917534 EQN917534:EQQ917534 FAJ917534:FAM917534 FKF917534:FKI917534 FUB917534:FUE917534 GDX917534:GEA917534 GNT917534:GNW917534 GXP917534:GXS917534 HHL917534:HHO917534 HRH917534:HRK917534 IBD917534:IBG917534 IKZ917534:ILC917534 IUV917534:IUY917534 JER917534:JEU917534 JON917534:JOQ917534 JYJ917534:JYM917534 KIF917534:KII917534 KSB917534:KSE917534 LBX917534:LCA917534 LLT917534:LLW917534 LVP917534:LVS917534 MFL917534:MFO917534 MPH917534:MPK917534 MZD917534:MZG917534 NIZ917534:NJC917534 NSV917534:NSY917534 OCR917534:OCU917534 OMN917534:OMQ917534 OWJ917534:OWM917534 PGF917534:PGI917534 PQB917534:PQE917534 PZX917534:QAA917534 QJT917534:QJW917534 QTP917534:QTS917534 RDL917534:RDO917534 RNH917534:RNK917534 RXD917534:RXG917534 SGZ917534:SHC917534 SQV917534:SQY917534 TAR917534:TAU917534 TKN917534:TKQ917534 TUJ917534:TUM917534 UEF917534:UEI917534 UOB917534:UOE917534 UXX917534:UYA917534 VHT917534:VHW917534 VRP917534:VRS917534 WBL917534:WBO917534 WLH917534:WLK917534 WVD917534:WVG917534 AP983070:AS983070 IR983070:IU983070 SN983070:SQ983070 ACJ983070:ACM983070 AMF983070:AMI983070 AWB983070:AWE983070 BFX983070:BGA983070 BPT983070:BPW983070 BZP983070:BZS983070 CJL983070:CJO983070 CTH983070:CTK983070 DDD983070:DDG983070 DMZ983070:DNC983070 DWV983070:DWY983070 EGR983070:EGU983070 EQN983070:EQQ983070 FAJ983070:FAM983070 FKF983070:FKI983070 FUB983070:FUE983070 GDX983070:GEA983070 GNT983070:GNW983070 GXP983070:GXS983070 HHL983070:HHO983070 HRH983070:HRK983070 IBD983070:IBG983070 IKZ983070:ILC983070 IUV983070:IUY983070 JER983070:JEU983070 JON983070:JOQ983070 JYJ983070:JYM983070 KIF983070:KII983070 KSB983070:KSE983070 LBX983070:LCA983070 LLT983070:LLW983070 LVP983070:LVS983070 MFL983070:MFO983070 MPH983070:MPK983070 MZD983070:MZG983070 NIZ983070:NJC983070 NSV983070:NSY983070 OCR983070:OCU983070 OMN983070:OMQ983070 OWJ983070:OWM983070 PGF983070:PGI983070 PQB983070:PQE983070 PZX983070:QAA983070 QJT983070:QJW983070 QTP983070:QTS983070 RDL983070:RDO983070 RNH983070:RNK983070 RXD983070:RXG983070 SGZ983070:SHC983070 SQV983070:SQY983070 TAR983070:TAU983070 TKN983070:TKQ983070 TUJ983070:TUM983070 UEF983070:UEI983070 UOB983070:UOE983070 UXX983070:UYA983070 VHT983070:VHW983070 VRP983070:VRS983070 WBL983070:WBO983070 WLH983070:WLK983070 WVD983070:WVG983070 AK983069:AN983069 IM983069:IP983069 SI983069:SL983069 ACE983069:ACH983069 AMA983069:AMD983069 AVW983069:AVZ983069 BFS983069:BFV983069 BPO983069:BPR983069 BZK983069:BZN983069 CJG983069:CJJ983069 CTC983069:CTF983069 DCY983069:DDB983069 DMU983069:DMX983069 DWQ983069:DWT983069 EGM983069:EGP983069 EQI983069:EQL983069 FAE983069:FAH983069 FKA983069:FKD983069 FTW983069:FTZ983069 GDS983069:GDV983069 GNO983069:GNR983069 GXK983069:GXN983069 HHG983069:HHJ983069 HRC983069:HRF983069 IAY983069:IBB983069 IKU983069:IKX983069 IUQ983069:IUT983069 JEM983069:JEP983069 JOI983069:JOL983069 JYE983069:JYH983069 KIA983069:KID983069 KRW983069:KRZ983069 LBS983069:LBV983069 LLO983069:LLR983069 LVK983069:LVN983069 MFG983069:MFJ983069 MPC983069:MPF983069 MYY983069:MZB983069 NIU983069:NIX983069 NSQ983069:NST983069 OCM983069:OCP983069 OMI983069:OML983069 OWE983069:OWH983069 PGA983069:PGD983069 PPW983069:PPZ983069 PZS983069:PZV983069 QJO983069:QJR983069 QTK983069:QTN983069 RDG983069:RDJ983069 RNC983069:RNF983069 RWY983069:RXB983069 SGU983069:SGX983069 SQQ983069:SQT983069 TAM983069:TAP983069 TKI983069:TKL983069 TUE983069:TUH983069 UEA983069:UED983069 UNW983069:UNZ983069 UXS983069:UXV983069 VHO983069:VHR983069 VRK983069:VRN983069 WBG983069:WBJ983069 WLC983069:WLF983069 WUY983069:WVB983069 AK65565:AN65565 IM65565:IP65565 SI65565:SL65565 ACE65565:ACH65565 AMA65565:AMD65565 AVW65565:AVZ65565 BFS65565:BFV65565 BPO65565:BPR65565 BZK65565:BZN65565 CJG65565:CJJ65565 CTC65565:CTF65565 DCY65565:DDB65565 DMU65565:DMX65565 DWQ65565:DWT65565 EGM65565:EGP65565 EQI65565:EQL65565 FAE65565:FAH65565 FKA65565:FKD65565 FTW65565:FTZ65565 GDS65565:GDV65565 GNO65565:GNR65565 GXK65565:GXN65565 HHG65565:HHJ65565 HRC65565:HRF65565 IAY65565:IBB65565 IKU65565:IKX65565 IUQ65565:IUT65565 JEM65565:JEP65565 JOI65565:JOL65565 JYE65565:JYH65565 KIA65565:KID65565 KRW65565:KRZ65565 LBS65565:LBV65565 LLO65565:LLR65565 LVK65565:LVN65565 MFG65565:MFJ65565 MPC65565:MPF65565 MYY65565:MZB65565 NIU65565:NIX65565 NSQ65565:NST65565 OCM65565:OCP65565 OMI65565:OML65565 OWE65565:OWH65565 PGA65565:PGD65565 PPW65565:PPZ65565 PZS65565:PZV65565 QJO65565:QJR65565 QTK65565:QTN65565 RDG65565:RDJ65565 RNC65565:RNF65565 RWY65565:RXB65565 SGU65565:SGX65565 SQQ65565:SQT65565 TAM65565:TAP65565 TKI65565:TKL65565 TUE65565:TUH65565 UEA65565:UED65565 UNW65565:UNZ65565 UXS65565:UXV65565 VHO65565:VHR65565 VRK65565:VRN65565 WBG65565:WBJ65565 WLC65565:WLF65565 WUY65565:WVB65565 AK131101:AN131101 IM131101:IP131101 SI131101:SL131101 ACE131101:ACH131101 AMA131101:AMD131101 AVW131101:AVZ131101 BFS131101:BFV131101 BPO131101:BPR131101 BZK131101:BZN131101 CJG131101:CJJ131101 CTC131101:CTF131101 DCY131101:DDB131101 DMU131101:DMX131101 DWQ131101:DWT131101 EGM131101:EGP131101 EQI131101:EQL131101 FAE131101:FAH131101 FKA131101:FKD131101 FTW131101:FTZ131101 GDS131101:GDV131101 GNO131101:GNR131101 GXK131101:GXN131101 HHG131101:HHJ131101 HRC131101:HRF131101 IAY131101:IBB131101 IKU131101:IKX131101 IUQ131101:IUT131101 JEM131101:JEP131101 JOI131101:JOL131101 JYE131101:JYH131101 KIA131101:KID131101 KRW131101:KRZ131101 LBS131101:LBV131101 LLO131101:LLR131101 LVK131101:LVN131101 MFG131101:MFJ131101 MPC131101:MPF131101 MYY131101:MZB131101 NIU131101:NIX131101 NSQ131101:NST131101 OCM131101:OCP131101 OMI131101:OML131101 OWE131101:OWH131101 PGA131101:PGD131101 PPW131101:PPZ131101 PZS131101:PZV131101 QJO131101:QJR131101 QTK131101:QTN131101 RDG131101:RDJ131101 RNC131101:RNF131101 RWY131101:RXB131101 SGU131101:SGX131101 SQQ131101:SQT131101 TAM131101:TAP131101 TKI131101:TKL131101 TUE131101:TUH131101 UEA131101:UED131101 UNW131101:UNZ131101 UXS131101:UXV131101 VHO131101:VHR131101 VRK131101:VRN131101 WBG131101:WBJ131101 WLC131101:WLF131101 WUY131101:WVB131101 AK196637:AN196637 IM196637:IP196637 SI196637:SL196637 ACE196637:ACH196637 AMA196637:AMD196637 AVW196637:AVZ196637 BFS196637:BFV196637 BPO196637:BPR196637 BZK196637:BZN196637 CJG196637:CJJ196637 CTC196637:CTF196637 DCY196637:DDB196637 DMU196637:DMX196637 DWQ196637:DWT196637 EGM196637:EGP196637 EQI196637:EQL196637 FAE196637:FAH196637 FKA196637:FKD196637 FTW196637:FTZ196637 GDS196637:GDV196637 GNO196637:GNR196637 GXK196637:GXN196637 HHG196637:HHJ196637 HRC196637:HRF196637 IAY196637:IBB196637 IKU196637:IKX196637 IUQ196637:IUT196637 JEM196637:JEP196637 JOI196637:JOL196637 JYE196637:JYH196637 KIA196637:KID196637 KRW196637:KRZ196637 LBS196637:LBV196637 LLO196637:LLR196637 LVK196637:LVN196637 MFG196637:MFJ196637 MPC196637:MPF196637 MYY196637:MZB196637 NIU196637:NIX196637 NSQ196637:NST196637 OCM196637:OCP196637 OMI196637:OML196637 OWE196637:OWH196637 PGA196637:PGD196637 PPW196637:PPZ196637 PZS196637:PZV196637 QJO196637:QJR196637 QTK196637:QTN196637 RDG196637:RDJ196637 RNC196637:RNF196637 RWY196637:RXB196637 SGU196637:SGX196637 SQQ196637:SQT196637 TAM196637:TAP196637 TKI196637:TKL196637 TUE196637:TUH196637 UEA196637:UED196637 UNW196637:UNZ196637 UXS196637:UXV196637 VHO196637:VHR196637 VRK196637:VRN196637 WBG196637:WBJ196637 WLC196637:WLF196637 WUY196637:WVB196637 AK262173:AN262173 IM262173:IP262173 SI262173:SL262173 ACE262173:ACH262173 AMA262173:AMD262173 AVW262173:AVZ262173 BFS262173:BFV262173 BPO262173:BPR262173 BZK262173:BZN262173 CJG262173:CJJ262173 CTC262173:CTF262173 DCY262173:DDB262173 DMU262173:DMX262173 DWQ262173:DWT262173 EGM262173:EGP262173 EQI262173:EQL262173 FAE262173:FAH262173 FKA262173:FKD262173 FTW262173:FTZ262173 GDS262173:GDV262173 GNO262173:GNR262173 GXK262173:GXN262173 HHG262173:HHJ262173 HRC262173:HRF262173 IAY262173:IBB262173 IKU262173:IKX262173 IUQ262173:IUT262173 JEM262173:JEP262173 JOI262173:JOL262173 JYE262173:JYH262173 KIA262173:KID262173 KRW262173:KRZ262173 LBS262173:LBV262173 LLO262173:LLR262173 LVK262173:LVN262173 MFG262173:MFJ262173 MPC262173:MPF262173 MYY262173:MZB262173 NIU262173:NIX262173 NSQ262173:NST262173 OCM262173:OCP262173 OMI262173:OML262173 OWE262173:OWH262173 PGA262173:PGD262173 PPW262173:PPZ262173 PZS262173:PZV262173 QJO262173:QJR262173 QTK262173:QTN262173 RDG262173:RDJ262173 RNC262173:RNF262173 RWY262173:RXB262173 SGU262173:SGX262173 SQQ262173:SQT262173 TAM262173:TAP262173 TKI262173:TKL262173 TUE262173:TUH262173 UEA262173:UED262173 UNW262173:UNZ262173 UXS262173:UXV262173 VHO262173:VHR262173 VRK262173:VRN262173 WBG262173:WBJ262173 WLC262173:WLF262173 WUY262173:WVB262173 AK327709:AN327709 IM327709:IP327709 SI327709:SL327709 ACE327709:ACH327709 AMA327709:AMD327709 AVW327709:AVZ327709 BFS327709:BFV327709 BPO327709:BPR327709 BZK327709:BZN327709 CJG327709:CJJ327709 CTC327709:CTF327709 DCY327709:DDB327709 DMU327709:DMX327709 DWQ327709:DWT327709 EGM327709:EGP327709 EQI327709:EQL327709 FAE327709:FAH327709 FKA327709:FKD327709 FTW327709:FTZ327709 GDS327709:GDV327709 GNO327709:GNR327709 GXK327709:GXN327709 HHG327709:HHJ327709 HRC327709:HRF327709 IAY327709:IBB327709 IKU327709:IKX327709 IUQ327709:IUT327709 JEM327709:JEP327709 JOI327709:JOL327709 JYE327709:JYH327709 KIA327709:KID327709 KRW327709:KRZ327709 LBS327709:LBV327709 LLO327709:LLR327709 LVK327709:LVN327709 MFG327709:MFJ327709 MPC327709:MPF327709 MYY327709:MZB327709 NIU327709:NIX327709 NSQ327709:NST327709 OCM327709:OCP327709 OMI327709:OML327709 OWE327709:OWH327709 PGA327709:PGD327709 PPW327709:PPZ327709 PZS327709:PZV327709 QJO327709:QJR327709 QTK327709:QTN327709 RDG327709:RDJ327709 RNC327709:RNF327709 RWY327709:RXB327709 SGU327709:SGX327709 SQQ327709:SQT327709 TAM327709:TAP327709 TKI327709:TKL327709 TUE327709:TUH327709 UEA327709:UED327709 UNW327709:UNZ327709 UXS327709:UXV327709 VHO327709:VHR327709 VRK327709:VRN327709 WBG327709:WBJ327709 WLC327709:WLF327709 WUY327709:WVB327709 AK393245:AN393245 IM393245:IP393245 SI393245:SL393245 ACE393245:ACH393245 AMA393245:AMD393245 AVW393245:AVZ393245 BFS393245:BFV393245 BPO393245:BPR393245 BZK393245:BZN393245 CJG393245:CJJ393245 CTC393245:CTF393245 DCY393245:DDB393245 DMU393245:DMX393245 DWQ393245:DWT393245 EGM393245:EGP393245 EQI393245:EQL393245 FAE393245:FAH393245 FKA393245:FKD393245 FTW393245:FTZ393245 GDS393245:GDV393245 GNO393245:GNR393245 GXK393245:GXN393245 HHG393245:HHJ393245 HRC393245:HRF393245 IAY393245:IBB393245 IKU393245:IKX393245 IUQ393245:IUT393245 JEM393245:JEP393245 JOI393245:JOL393245 JYE393245:JYH393245 KIA393245:KID393245 KRW393245:KRZ393245 LBS393245:LBV393245 LLO393245:LLR393245 LVK393245:LVN393245 MFG393245:MFJ393245 MPC393245:MPF393245 MYY393245:MZB393245 NIU393245:NIX393245 NSQ393245:NST393245 OCM393245:OCP393245 OMI393245:OML393245 OWE393245:OWH393245 PGA393245:PGD393245 PPW393245:PPZ393245 PZS393245:PZV393245 QJO393245:QJR393245 QTK393245:QTN393245 RDG393245:RDJ393245 RNC393245:RNF393245 RWY393245:RXB393245 SGU393245:SGX393245 SQQ393245:SQT393245 TAM393245:TAP393245 TKI393245:TKL393245 TUE393245:TUH393245 UEA393245:UED393245 UNW393245:UNZ393245 UXS393245:UXV393245 VHO393245:VHR393245 VRK393245:VRN393245 WBG393245:WBJ393245 WLC393245:WLF393245 WUY393245:WVB393245 AK458781:AN458781 IM458781:IP458781 SI458781:SL458781 ACE458781:ACH458781 AMA458781:AMD458781 AVW458781:AVZ458781 BFS458781:BFV458781 BPO458781:BPR458781 BZK458781:BZN458781 CJG458781:CJJ458781 CTC458781:CTF458781 DCY458781:DDB458781 DMU458781:DMX458781 DWQ458781:DWT458781 EGM458781:EGP458781 EQI458781:EQL458781 FAE458781:FAH458781 FKA458781:FKD458781 FTW458781:FTZ458781 GDS458781:GDV458781 GNO458781:GNR458781 GXK458781:GXN458781 HHG458781:HHJ458781 HRC458781:HRF458781 IAY458781:IBB458781 IKU458781:IKX458781 IUQ458781:IUT458781 JEM458781:JEP458781 JOI458781:JOL458781 JYE458781:JYH458781 KIA458781:KID458781 KRW458781:KRZ458781 LBS458781:LBV458781 LLO458781:LLR458781 LVK458781:LVN458781 MFG458781:MFJ458781 MPC458781:MPF458781 MYY458781:MZB458781 NIU458781:NIX458781 NSQ458781:NST458781 OCM458781:OCP458781 OMI458781:OML458781 OWE458781:OWH458781 PGA458781:PGD458781 PPW458781:PPZ458781 PZS458781:PZV458781 QJO458781:QJR458781 QTK458781:QTN458781 RDG458781:RDJ458781 RNC458781:RNF458781 RWY458781:RXB458781 SGU458781:SGX458781 SQQ458781:SQT458781 TAM458781:TAP458781 TKI458781:TKL458781 TUE458781:TUH458781 UEA458781:UED458781 UNW458781:UNZ458781 UXS458781:UXV458781 VHO458781:VHR458781 VRK458781:VRN458781 WBG458781:WBJ458781 WLC458781:WLF458781 WUY458781:WVB458781 AK524317:AN524317 IM524317:IP524317 SI524317:SL524317 ACE524317:ACH524317 AMA524317:AMD524317 AVW524317:AVZ524317 BFS524317:BFV524317 BPO524317:BPR524317 BZK524317:BZN524317 CJG524317:CJJ524317 CTC524317:CTF524317 DCY524317:DDB524317 DMU524317:DMX524317 DWQ524317:DWT524317 EGM524317:EGP524317 EQI524317:EQL524317 FAE524317:FAH524317 FKA524317:FKD524317 FTW524317:FTZ524317 GDS524317:GDV524317 GNO524317:GNR524317 GXK524317:GXN524317 HHG524317:HHJ524317 HRC524317:HRF524317 IAY524317:IBB524317 IKU524317:IKX524317 IUQ524317:IUT524317 JEM524317:JEP524317 JOI524317:JOL524317 JYE524317:JYH524317 KIA524317:KID524317 KRW524317:KRZ524317 LBS524317:LBV524317 LLO524317:LLR524317 LVK524317:LVN524317 MFG524317:MFJ524317 MPC524317:MPF524317 MYY524317:MZB524317 NIU524317:NIX524317 NSQ524317:NST524317 OCM524317:OCP524317 OMI524317:OML524317 OWE524317:OWH524317 PGA524317:PGD524317 PPW524317:PPZ524317 PZS524317:PZV524317 QJO524317:QJR524317 QTK524317:QTN524317 RDG524317:RDJ524317 RNC524317:RNF524317 RWY524317:RXB524317 SGU524317:SGX524317 SQQ524317:SQT524317 TAM524317:TAP524317 TKI524317:TKL524317 TUE524317:TUH524317 UEA524317:UED524317 UNW524317:UNZ524317 UXS524317:UXV524317 VHO524317:VHR524317 VRK524317:VRN524317 WBG524317:WBJ524317 WLC524317:WLF524317 WUY524317:WVB524317 AK589853:AN589853 IM589853:IP589853 SI589853:SL589853 ACE589853:ACH589853 AMA589853:AMD589853 AVW589853:AVZ589853 BFS589853:BFV589853 BPO589853:BPR589853 BZK589853:BZN589853 CJG589853:CJJ589853 CTC589853:CTF589853 DCY589853:DDB589853 DMU589853:DMX589853 DWQ589853:DWT589853 EGM589853:EGP589853 EQI589853:EQL589853 FAE589853:FAH589853 FKA589853:FKD589853 FTW589853:FTZ589853 GDS589853:GDV589853 GNO589853:GNR589853 GXK589853:GXN589853 HHG589853:HHJ589853 HRC589853:HRF589853 IAY589853:IBB589853 IKU589853:IKX589853 IUQ589853:IUT589853 JEM589853:JEP589853 JOI589853:JOL589853 JYE589853:JYH589853 KIA589853:KID589853 KRW589853:KRZ589853 LBS589853:LBV589853 LLO589853:LLR589853 LVK589853:LVN589853 MFG589853:MFJ589853 MPC589853:MPF589853 MYY589853:MZB589853 NIU589853:NIX589853 NSQ589853:NST589853 OCM589853:OCP589853 OMI589853:OML589853 OWE589853:OWH589853 PGA589853:PGD589853 PPW589853:PPZ589853 PZS589853:PZV589853 QJO589853:QJR589853 QTK589853:QTN589853 RDG589853:RDJ589853 RNC589853:RNF589853 RWY589853:RXB589853 SGU589853:SGX589853 SQQ589853:SQT589853 TAM589853:TAP589853 TKI589853:TKL589853 TUE589853:TUH589853 UEA589853:UED589853 UNW589853:UNZ589853 UXS589853:UXV589853 VHO589853:VHR589853 VRK589853:VRN589853 WBG589853:WBJ589853 WLC589853:WLF589853 WUY589853:WVB589853 AK655389:AN655389 IM655389:IP655389 SI655389:SL655389 ACE655389:ACH655389 AMA655389:AMD655389 AVW655389:AVZ655389 BFS655389:BFV655389 BPO655389:BPR655389 BZK655389:BZN655389 CJG655389:CJJ655389 CTC655389:CTF655389 DCY655389:DDB655389 DMU655389:DMX655389 DWQ655389:DWT655389 EGM655389:EGP655389 EQI655389:EQL655389 FAE655389:FAH655389 FKA655389:FKD655389 FTW655389:FTZ655389 GDS655389:GDV655389 GNO655389:GNR655389 GXK655389:GXN655389 HHG655389:HHJ655389 HRC655389:HRF655389 IAY655389:IBB655389 IKU655389:IKX655389 IUQ655389:IUT655389 JEM655389:JEP655389 JOI655389:JOL655389 JYE655389:JYH655389 KIA655389:KID655389 KRW655389:KRZ655389 LBS655389:LBV655389 LLO655389:LLR655389 LVK655389:LVN655389 MFG655389:MFJ655389 MPC655389:MPF655389 MYY655389:MZB655389 NIU655389:NIX655389 NSQ655389:NST655389 OCM655389:OCP655389 OMI655389:OML655389 OWE655389:OWH655389 PGA655389:PGD655389 PPW655389:PPZ655389 PZS655389:PZV655389 QJO655389:QJR655389 QTK655389:QTN655389 RDG655389:RDJ655389 RNC655389:RNF655389 RWY655389:RXB655389 SGU655389:SGX655389 SQQ655389:SQT655389 TAM655389:TAP655389 TKI655389:TKL655389 TUE655389:TUH655389 UEA655389:UED655389 UNW655389:UNZ655389 UXS655389:UXV655389 VHO655389:VHR655389 VRK655389:VRN655389 WBG655389:WBJ655389 WLC655389:WLF655389 WUY655389:WVB655389 AK720925:AN720925 IM720925:IP720925 SI720925:SL720925 ACE720925:ACH720925 AMA720925:AMD720925 AVW720925:AVZ720925 BFS720925:BFV720925 BPO720925:BPR720925 BZK720925:BZN720925 CJG720925:CJJ720925 CTC720925:CTF720925 DCY720925:DDB720925 DMU720925:DMX720925 DWQ720925:DWT720925 EGM720925:EGP720925 EQI720925:EQL720925 FAE720925:FAH720925 FKA720925:FKD720925 FTW720925:FTZ720925 GDS720925:GDV720925 GNO720925:GNR720925 GXK720925:GXN720925 HHG720925:HHJ720925 HRC720925:HRF720925 IAY720925:IBB720925 IKU720925:IKX720925 IUQ720925:IUT720925 JEM720925:JEP720925 JOI720925:JOL720925 JYE720925:JYH720925 KIA720925:KID720925 KRW720925:KRZ720925 LBS720925:LBV720925 LLO720925:LLR720925 LVK720925:LVN720925 MFG720925:MFJ720925 MPC720925:MPF720925 MYY720925:MZB720925 NIU720925:NIX720925 NSQ720925:NST720925 OCM720925:OCP720925 OMI720925:OML720925 OWE720925:OWH720925 PGA720925:PGD720925 PPW720925:PPZ720925 PZS720925:PZV720925 QJO720925:QJR720925 QTK720925:QTN720925 RDG720925:RDJ720925 RNC720925:RNF720925 RWY720925:RXB720925 SGU720925:SGX720925 SQQ720925:SQT720925 TAM720925:TAP720925 TKI720925:TKL720925 TUE720925:TUH720925 UEA720925:UED720925 UNW720925:UNZ720925 UXS720925:UXV720925 VHO720925:VHR720925 VRK720925:VRN720925 WBG720925:WBJ720925 WLC720925:WLF720925 WUY720925:WVB720925 AK786461:AN786461 IM786461:IP786461 SI786461:SL786461 ACE786461:ACH786461 AMA786461:AMD786461 AVW786461:AVZ786461 BFS786461:BFV786461 BPO786461:BPR786461 BZK786461:BZN786461 CJG786461:CJJ786461 CTC786461:CTF786461 DCY786461:DDB786461 DMU786461:DMX786461 DWQ786461:DWT786461 EGM786461:EGP786461 EQI786461:EQL786461 FAE786461:FAH786461 FKA786461:FKD786461 FTW786461:FTZ786461 GDS786461:GDV786461 GNO786461:GNR786461 GXK786461:GXN786461 HHG786461:HHJ786461 HRC786461:HRF786461 IAY786461:IBB786461 IKU786461:IKX786461 IUQ786461:IUT786461 JEM786461:JEP786461 JOI786461:JOL786461 JYE786461:JYH786461 KIA786461:KID786461 KRW786461:KRZ786461 LBS786461:LBV786461 LLO786461:LLR786461 LVK786461:LVN786461 MFG786461:MFJ786461 MPC786461:MPF786461 MYY786461:MZB786461 NIU786461:NIX786461 NSQ786461:NST786461 OCM786461:OCP786461 OMI786461:OML786461 OWE786461:OWH786461 PGA786461:PGD786461 PPW786461:PPZ786461 PZS786461:PZV786461 QJO786461:QJR786461 QTK786461:QTN786461 RDG786461:RDJ786461 RNC786461:RNF786461 RWY786461:RXB786461 SGU786461:SGX786461 SQQ786461:SQT786461 TAM786461:TAP786461 TKI786461:TKL786461 TUE786461:TUH786461 UEA786461:UED786461 UNW786461:UNZ786461 UXS786461:UXV786461 VHO786461:VHR786461 VRK786461:VRN786461 WBG786461:WBJ786461 WLC786461:WLF786461 WUY786461:WVB786461 AK851997:AN851997 IM851997:IP851997 SI851997:SL851997 ACE851997:ACH851997 AMA851997:AMD851997 AVW851997:AVZ851997 BFS851997:BFV851997 BPO851997:BPR851997 BZK851997:BZN851997 CJG851997:CJJ851997 CTC851997:CTF851997 DCY851997:DDB851997 DMU851997:DMX851997 DWQ851997:DWT851997 EGM851997:EGP851997 EQI851997:EQL851997 FAE851997:FAH851997 FKA851997:FKD851997 FTW851997:FTZ851997 GDS851997:GDV851997 GNO851997:GNR851997 GXK851997:GXN851997 HHG851997:HHJ851997 HRC851997:HRF851997 IAY851997:IBB851997 IKU851997:IKX851997 IUQ851997:IUT851997 JEM851997:JEP851997 JOI851997:JOL851997 JYE851997:JYH851997 KIA851997:KID851997 KRW851997:KRZ851997 LBS851997:LBV851997 LLO851997:LLR851997 LVK851997:LVN851997 MFG851997:MFJ851997 MPC851997:MPF851997 MYY851997:MZB851997 NIU851997:NIX851997 NSQ851997:NST851997 OCM851997:OCP851997 OMI851997:OML851997 OWE851997:OWH851997 PGA851997:PGD851997 PPW851997:PPZ851997 PZS851997:PZV851997 QJO851997:QJR851997 QTK851997:QTN851997 RDG851997:RDJ851997 RNC851997:RNF851997 RWY851997:RXB851997 SGU851997:SGX851997 SQQ851997:SQT851997 TAM851997:TAP851997 TKI851997:TKL851997 TUE851997:TUH851997 UEA851997:UED851997 UNW851997:UNZ851997 UXS851997:UXV851997 VHO851997:VHR851997 VRK851997:VRN851997 WBG851997:WBJ851997 WLC851997:WLF851997 WUY851997:WVB851997 AK917533:AN917533 IM917533:IP917533 SI917533:SL917533 ACE917533:ACH917533 AMA917533:AMD917533 AVW917533:AVZ917533 BFS917533:BFV917533 BPO917533:BPR917533 BZK917533:BZN917533 CJG917533:CJJ917533 CTC917533:CTF917533 DCY917533:DDB917533 DMU917533:DMX917533 DWQ917533:DWT917533 EGM917533:EGP917533 EQI917533:EQL917533 FAE917533:FAH917533 FKA917533:FKD917533 FTW917533:FTZ917533 GDS917533:GDV917533 GNO917533:GNR917533 GXK917533:GXN917533 HHG917533:HHJ917533 HRC917533:HRF917533 IAY917533:IBB917533 IKU917533:IKX917533 IUQ917533:IUT917533 JEM917533:JEP917533 JOI917533:JOL917533 JYE917533:JYH917533 KIA917533:KID917533 KRW917533:KRZ917533 LBS917533:LBV917533 LLO917533:LLR917533 LVK917533:LVN917533 MFG917533:MFJ917533 MPC917533:MPF917533 MYY917533:MZB917533 NIU917533:NIX917533 NSQ917533:NST917533 OCM917533:OCP917533 OMI917533:OML917533 OWE917533:OWH917533 PGA917533:PGD917533 PPW917533:PPZ917533 PZS917533:PZV917533 QJO917533:QJR917533 QTK917533:QTN917533 RDG917533:RDJ917533 RNC917533:RNF917533 RWY917533:RXB917533 SGU917533:SGX917533 SQQ917533:SQT917533 TAM917533:TAP917533 TKI917533:TKL917533 TUE917533:TUH917533 UEA917533:UED917533 UNW917533:UNZ917533 UXS917533:UXV917533 VHO917533:VHR917533 VRK917533:VRN917533 WBG917533:WBJ917533 WLC917533:WLF917533 WUY917533:WVB917533" xr:uid="{BBC32FCA-F27E-4303-BEB1-085300B4CFF2}">
      <formula1>"○"</formula1>
    </dataValidation>
    <dataValidation type="list" allowBlank="1" showInputMessage="1" showErrorMessage="1" sqref="AT65566:AW65566 IV65566:IY65566 SR65566:SU65566 ACN65566:ACQ65566 AMJ65566:AMM65566 AWF65566:AWI65566 BGB65566:BGE65566 BPX65566:BQA65566 BZT65566:BZW65566 CJP65566:CJS65566 CTL65566:CTO65566 DDH65566:DDK65566 DND65566:DNG65566 DWZ65566:DXC65566 EGV65566:EGY65566 EQR65566:EQU65566 FAN65566:FAQ65566 FKJ65566:FKM65566 FUF65566:FUI65566 GEB65566:GEE65566 GNX65566:GOA65566 GXT65566:GXW65566 HHP65566:HHS65566 HRL65566:HRO65566 IBH65566:IBK65566 ILD65566:ILG65566 IUZ65566:IVC65566 JEV65566:JEY65566 JOR65566:JOU65566 JYN65566:JYQ65566 KIJ65566:KIM65566 KSF65566:KSI65566 LCB65566:LCE65566 LLX65566:LMA65566 LVT65566:LVW65566 MFP65566:MFS65566 MPL65566:MPO65566 MZH65566:MZK65566 NJD65566:NJG65566 NSZ65566:NTC65566 OCV65566:OCY65566 OMR65566:OMU65566 OWN65566:OWQ65566 PGJ65566:PGM65566 PQF65566:PQI65566 QAB65566:QAE65566 QJX65566:QKA65566 QTT65566:QTW65566 RDP65566:RDS65566 RNL65566:RNO65566 RXH65566:RXK65566 SHD65566:SHG65566 SQZ65566:SRC65566 TAV65566:TAY65566 TKR65566:TKU65566 TUN65566:TUQ65566 UEJ65566:UEM65566 UOF65566:UOI65566 UYB65566:UYE65566 VHX65566:VIA65566 VRT65566:VRW65566 WBP65566:WBS65566 WLL65566:WLO65566 WVH65566:WVK65566 AT131102:AW131102 IV131102:IY131102 SR131102:SU131102 ACN131102:ACQ131102 AMJ131102:AMM131102 AWF131102:AWI131102 BGB131102:BGE131102 BPX131102:BQA131102 BZT131102:BZW131102 CJP131102:CJS131102 CTL131102:CTO131102 DDH131102:DDK131102 DND131102:DNG131102 DWZ131102:DXC131102 EGV131102:EGY131102 EQR131102:EQU131102 FAN131102:FAQ131102 FKJ131102:FKM131102 FUF131102:FUI131102 GEB131102:GEE131102 GNX131102:GOA131102 GXT131102:GXW131102 HHP131102:HHS131102 HRL131102:HRO131102 IBH131102:IBK131102 ILD131102:ILG131102 IUZ131102:IVC131102 JEV131102:JEY131102 JOR131102:JOU131102 JYN131102:JYQ131102 KIJ131102:KIM131102 KSF131102:KSI131102 LCB131102:LCE131102 LLX131102:LMA131102 LVT131102:LVW131102 MFP131102:MFS131102 MPL131102:MPO131102 MZH131102:MZK131102 NJD131102:NJG131102 NSZ131102:NTC131102 OCV131102:OCY131102 OMR131102:OMU131102 OWN131102:OWQ131102 PGJ131102:PGM131102 PQF131102:PQI131102 QAB131102:QAE131102 QJX131102:QKA131102 QTT131102:QTW131102 RDP131102:RDS131102 RNL131102:RNO131102 RXH131102:RXK131102 SHD131102:SHG131102 SQZ131102:SRC131102 TAV131102:TAY131102 TKR131102:TKU131102 TUN131102:TUQ131102 UEJ131102:UEM131102 UOF131102:UOI131102 UYB131102:UYE131102 VHX131102:VIA131102 VRT131102:VRW131102 WBP131102:WBS131102 WLL131102:WLO131102 WVH131102:WVK131102 AT196638:AW196638 IV196638:IY196638 SR196638:SU196638 ACN196638:ACQ196638 AMJ196638:AMM196638 AWF196638:AWI196638 BGB196638:BGE196638 BPX196638:BQA196638 BZT196638:BZW196638 CJP196638:CJS196638 CTL196638:CTO196638 DDH196638:DDK196638 DND196638:DNG196638 DWZ196638:DXC196638 EGV196638:EGY196638 EQR196638:EQU196638 FAN196638:FAQ196638 FKJ196638:FKM196638 FUF196638:FUI196638 GEB196638:GEE196638 GNX196638:GOA196638 GXT196638:GXW196638 HHP196638:HHS196638 HRL196638:HRO196638 IBH196638:IBK196638 ILD196638:ILG196638 IUZ196638:IVC196638 JEV196638:JEY196638 JOR196638:JOU196638 JYN196638:JYQ196638 KIJ196638:KIM196638 KSF196638:KSI196638 LCB196638:LCE196638 LLX196638:LMA196638 LVT196638:LVW196638 MFP196638:MFS196638 MPL196638:MPO196638 MZH196638:MZK196638 NJD196638:NJG196638 NSZ196638:NTC196638 OCV196638:OCY196638 OMR196638:OMU196638 OWN196638:OWQ196638 PGJ196638:PGM196638 PQF196638:PQI196638 QAB196638:QAE196638 QJX196638:QKA196638 QTT196638:QTW196638 RDP196638:RDS196638 RNL196638:RNO196638 RXH196638:RXK196638 SHD196638:SHG196638 SQZ196638:SRC196638 TAV196638:TAY196638 TKR196638:TKU196638 TUN196638:TUQ196638 UEJ196638:UEM196638 UOF196638:UOI196638 UYB196638:UYE196638 VHX196638:VIA196638 VRT196638:VRW196638 WBP196638:WBS196638 WLL196638:WLO196638 WVH196638:WVK196638 AT262174:AW262174 IV262174:IY262174 SR262174:SU262174 ACN262174:ACQ262174 AMJ262174:AMM262174 AWF262174:AWI262174 BGB262174:BGE262174 BPX262174:BQA262174 BZT262174:BZW262174 CJP262174:CJS262174 CTL262174:CTO262174 DDH262174:DDK262174 DND262174:DNG262174 DWZ262174:DXC262174 EGV262174:EGY262174 EQR262174:EQU262174 FAN262174:FAQ262174 FKJ262174:FKM262174 FUF262174:FUI262174 GEB262174:GEE262174 GNX262174:GOA262174 GXT262174:GXW262174 HHP262174:HHS262174 HRL262174:HRO262174 IBH262174:IBK262174 ILD262174:ILG262174 IUZ262174:IVC262174 JEV262174:JEY262174 JOR262174:JOU262174 JYN262174:JYQ262174 KIJ262174:KIM262174 KSF262174:KSI262174 LCB262174:LCE262174 LLX262174:LMA262174 LVT262174:LVW262174 MFP262174:MFS262174 MPL262174:MPO262174 MZH262174:MZK262174 NJD262174:NJG262174 NSZ262174:NTC262174 OCV262174:OCY262174 OMR262174:OMU262174 OWN262174:OWQ262174 PGJ262174:PGM262174 PQF262174:PQI262174 QAB262174:QAE262174 QJX262174:QKA262174 QTT262174:QTW262174 RDP262174:RDS262174 RNL262174:RNO262174 RXH262174:RXK262174 SHD262174:SHG262174 SQZ262174:SRC262174 TAV262174:TAY262174 TKR262174:TKU262174 TUN262174:TUQ262174 UEJ262174:UEM262174 UOF262174:UOI262174 UYB262174:UYE262174 VHX262174:VIA262174 VRT262174:VRW262174 WBP262174:WBS262174 WLL262174:WLO262174 WVH262174:WVK262174 AT327710:AW327710 IV327710:IY327710 SR327710:SU327710 ACN327710:ACQ327710 AMJ327710:AMM327710 AWF327710:AWI327710 BGB327710:BGE327710 BPX327710:BQA327710 BZT327710:BZW327710 CJP327710:CJS327710 CTL327710:CTO327710 DDH327710:DDK327710 DND327710:DNG327710 DWZ327710:DXC327710 EGV327710:EGY327710 EQR327710:EQU327710 FAN327710:FAQ327710 FKJ327710:FKM327710 FUF327710:FUI327710 GEB327710:GEE327710 GNX327710:GOA327710 GXT327710:GXW327710 HHP327710:HHS327710 HRL327710:HRO327710 IBH327710:IBK327710 ILD327710:ILG327710 IUZ327710:IVC327710 JEV327710:JEY327710 JOR327710:JOU327710 JYN327710:JYQ327710 KIJ327710:KIM327710 KSF327710:KSI327710 LCB327710:LCE327710 LLX327710:LMA327710 LVT327710:LVW327710 MFP327710:MFS327710 MPL327710:MPO327710 MZH327710:MZK327710 NJD327710:NJG327710 NSZ327710:NTC327710 OCV327710:OCY327710 OMR327710:OMU327710 OWN327710:OWQ327710 PGJ327710:PGM327710 PQF327710:PQI327710 QAB327710:QAE327710 QJX327710:QKA327710 QTT327710:QTW327710 RDP327710:RDS327710 RNL327710:RNO327710 RXH327710:RXK327710 SHD327710:SHG327710 SQZ327710:SRC327710 TAV327710:TAY327710 TKR327710:TKU327710 TUN327710:TUQ327710 UEJ327710:UEM327710 UOF327710:UOI327710 UYB327710:UYE327710 VHX327710:VIA327710 VRT327710:VRW327710 WBP327710:WBS327710 WLL327710:WLO327710 WVH327710:WVK327710 AT393246:AW393246 IV393246:IY393246 SR393246:SU393246 ACN393246:ACQ393246 AMJ393246:AMM393246 AWF393246:AWI393246 BGB393246:BGE393246 BPX393246:BQA393246 BZT393246:BZW393246 CJP393246:CJS393246 CTL393246:CTO393246 DDH393246:DDK393246 DND393246:DNG393246 DWZ393246:DXC393246 EGV393246:EGY393246 EQR393246:EQU393246 FAN393246:FAQ393246 FKJ393246:FKM393246 FUF393246:FUI393246 GEB393246:GEE393246 GNX393246:GOA393246 GXT393246:GXW393246 HHP393246:HHS393246 HRL393246:HRO393246 IBH393246:IBK393246 ILD393246:ILG393246 IUZ393246:IVC393246 JEV393246:JEY393246 JOR393246:JOU393246 JYN393246:JYQ393246 KIJ393246:KIM393246 KSF393246:KSI393246 LCB393246:LCE393246 LLX393246:LMA393246 LVT393246:LVW393246 MFP393246:MFS393246 MPL393246:MPO393246 MZH393246:MZK393246 NJD393246:NJG393246 NSZ393246:NTC393246 OCV393246:OCY393246 OMR393246:OMU393246 OWN393246:OWQ393246 PGJ393246:PGM393246 PQF393246:PQI393246 QAB393246:QAE393246 QJX393246:QKA393246 QTT393246:QTW393246 RDP393246:RDS393246 RNL393246:RNO393246 RXH393246:RXK393246 SHD393246:SHG393246 SQZ393246:SRC393246 TAV393246:TAY393246 TKR393246:TKU393246 TUN393246:TUQ393246 UEJ393246:UEM393246 UOF393246:UOI393246 UYB393246:UYE393246 VHX393246:VIA393246 VRT393246:VRW393246 WBP393246:WBS393246 WLL393246:WLO393246 WVH393246:WVK393246 AT458782:AW458782 IV458782:IY458782 SR458782:SU458782 ACN458782:ACQ458782 AMJ458782:AMM458782 AWF458782:AWI458782 BGB458782:BGE458782 BPX458782:BQA458782 BZT458782:BZW458782 CJP458782:CJS458782 CTL458782:CTO458782 DDH458782:DDK458782 DND458782:DNG458782 DWZ458782:DXC458782 EGV458782:EGY458782 EQR458782:EQU458782 FAN458782:FAQ458782 FKJ458782:FKM458782 FUF458782:FUI458782 GEB458782:GEE458782 GNX458782:GOA458782 GXT458782:GXW458782 HHP458782:HHS458782 HRL458782:HRO458782 IBH458782:IBK458782 ILD458782:ILG458782 IUZ458782:IVC458782 JEV458782:JEY458782 JOR458782:JOU458782 JYN458782:JYQ458782 KIJ458782:KIM458782 KSF458782:KSI458782 LCB458782:LCE458782 LLX458782:LMA458782 LVT458782:LVW458782 MFP458782:MFS458782 MPL458782:MPO458782 MZH458782:MZK458782 NJD458782:NJG458782 NSZ458782:NTC458782 OCV458782:OCY458782 OMR458782:OMU458782 OWN458782:OWQ458782 PGJ458782:PGM458782 PQF458782:PQI458782 QAB458782:QAE458782 QJX458782:QKA458782 QTT458782:QTW458782 RDP458782:RDS458782 RNL458782:RNO458782 RXH458782:RXK458782 SHD458782:SHG458782 SQZ458782:SRC458782 TAV458782:TAY458782 TKR458782:TKU458782 TUN458782:TUQ458782 UEJ458782:UEM458782 UOF458782:UOI458782 UYB458782:UYE458782 VHX458782:VIA458782 VRT458782:VRW458782 WBP458782:WBS458782 WLL458782:WLO458782 WVH458782:WVK458782 AT524318:AW524318 IV524318:IY524318 SR524318:SU524318 ACN524318:ACQ524318 AMJ524318:AMM524318 AWF524318:AWI524318 BGB524318:BGE524318 BPX524318:BQA524318 BZT524318:BZW524318 CJP524318:CJS524318 CTL524318:CTO524318 DDH524318:DDK524318 DND524318:DNG524318 DWZ524318:DXC524318 EGV524318:EGY524318 EQR524318:EQU524318 FAN524318:FAQ524318 FKJ524318:FKM524318 FUF524318:FUI524318 GEB524318:GEE524318 GNX524318:GOA524318 GXT524318:GXW524318 HHP524318:HHS524318 HRL524318:HRO524318 IBH524318:IBK524318 ILD524318:ILG524318 IUZ524318:IVC524318 JEV524318:JEY524318 JOR524318:JOU524318 JYN524318:JYQ524318 KIJ524318:KIM524318 KSF524318:KSI524318 LCB524318:LCE524318 LLX524318:LMA524318 LVT524318:LVW524318 MFP524318:MFS524318 MPL524318:MPO524318 MZH524318:MZK524318 NJD524318:NJG524318 NSZ524318:NTC524318 OCV524318:OCY524318 OMR524318:OMU524318 OWN524318:OWQ524318 PGJ524318:PGM524318 PQF524318:PQI524318 QAB524318:QAE524318 QJX524318:QKA524318 QTT524318:QTW524318 RDP524318:RDS524318 RNL524318:RNO524318 RXH524318:RXK524318 SHD524318:SHG524318 SQZ524318:SRC524318 TAV524318:TAY524318 TKR524318:TKU524318 TUN524318:TUQ524318 UEJ524318:UEM524318 UOF524318:UOI524318 UYB524318:UYE524318 VHX524318:VIA524318 VRT524318:VRW524318 WBP524318:WBS524318 WLL524318:WLO524318 WVH524318:WVK524318 AT589854:AW589854 IV589854:IY589854 SR589854:SU589854 ACN589854:ACQ589854 AMJ589854:AMM589854 AWF589854:AWI589854 BGB589854:BGE589854 BPX589854:BQA589854 BZT589854:BZW589854 CJP589854:CJS589854 CTL589854:CTO589854 DDH589854:DDK589854 DND589854:DNG589854 DWZ589854:DXC589854 EGV589854:EGY589854 EQR589854:EQU589854 FAN589854:FAQ589854 FKJ589854:FKM589854 FUF589854:FUI589854 GEB589854:GEE589854 GNX589854:GOA589854 GXT589854:GXW589854 HHP589854:HHS589854 HRL589854:HRO589854 IBH589854:IBK589854 ILD589854:ILG589854 IUZ589854:IVC589854 JEV589854:JEY589854 JOR589854:JOU589854 JYN589854:JYQ589854 KIJ589854:KIM589854 KSF589854:KSI589854 LCB589854:LCE589854 LLX589854:LMA589854 LVT589854:LVW589854 MFP589854:MFS589854 MPL589854:MPO589854 MZH589854:MZK589854 NJD589854:NJG589854 NSZ589854:NTC589854 OCV589854:OCY589854 OMR589854:OMU589854 OWN589854:OWQ589854 PGJ589854:PGM589854 PQF589854:PQI589854 QAB589854:QAE589854 QJX589854:QKA589854 QTT589854:QTW589854 RDP589854:RDS589854 RNL589854:RNO589854 RXH589854:RXK589854 SHD589854:SHG589854 SQZ589854:SRC589854 TAV589854:TAY589854 TKR589854:TKU589854 TUN589854:TUQ589854 UEJ589854:UEM589854 UOF589854:UOI589854 UYB589854:UYE589854 VHX589854:VIA589854 VRT589854:VRW589854 WBP589854:WBS589854 WLL589854:WLO589854 WVH589854:WVK589854 AT655390:AW655390 IV655390:IY655390 SR655390:SU655390 ACN655390:ACQ655390 AMJ655390:AMM655390 AWF655390:AWI655390 BGB655390:BGE655390 BPX655390:BQA655390 BZT655390:BZW655390 CJP655390:CJS655390 CTL655390:CTO655390 DDH655390:DDK655390 DND655390:DNG655390 DWZ655390:DXC655390 EGV655390:EGY655390 EQR655390:EQU655390 FAN655390:FAQ655390 FKJ655390:FKM655390 FUF655390:FUI655390 GEB655390:GEE655390 GNX655390:GOA655390 GXT655390:GXW655390 HHP655390:HHS655390 HRL655390:HRO655390 IBH655390:IBK655390 ILD655390:ILG655390 IUZ655390:IVC655390 JEV655390:JEY655390 JOR655390:JOU655390 JYN655390:JYQ655390 KIJ655390:KIM655390 KSF655390:KSI655390 LCB655390:LCE655390 LLX655390:LMA655390 LVT655390:LVW655390 MFP655390:MFS655390 MPL655390:MPO655390 MZH655390:MZK655390 NJD655390:NJG655390 NSZ655390:NTC655390 OCV655390:OCY655390 OMR655390:OMU655390 OWN655390:OWQ655390 PGJ655390:PGM655390 PQF655390:PQI655390 QAB655390:QAE655390 QJX655390:QKA655390 QTT655390:QTW655390 RDP655390:RDS655390 RNL655390:RNO655390 RXH655390:RXK655390 SHD655390:SHG655390 SQZ655390:SRC655390 TAV655390:TAY655390 TKR655390:TKU655390 TUN655390:TUQ655390 UEJ655390:UEM655390 UOF655390:UOI655390 UYB655390:UYE655390 VHX655390:VIA655390 VRT655390:VRW655390 WBP655390:WBS655390 WLL655390:WLO655390 WVH655390:WVK655390 AT720926:AW720926 IV720926:IY720926 SR720926:SU720926 ACN720926:ACQ720926 AMJ720926:AMM720926 AWF720926:AWI720926 BGB720926:BGE720926 BPX720926:BQA720926 BZT720926:BZW720926 CJP720926:CJS720926 CTL720926:CTO720926 DDH720926:DDK720926 DND720926:DNG720926 DWZ720926:DXC720926 EGV720926:EGY720926 EQR720926:EQU720926 FAN720926:FAQ720926 FKJ720926:FKM720926 FUF720926:FUI720926 GEB720926:GEE720926 GNX720926:GOA720926 GXT720926:GXW720926 HHP720926:HHS720926 HRL720926:HRO720926 IBH720926:IBK720926 ILD720926:ILG720926 IUZ720926:IVC720926 JEV720926:JEY720926 JOR720926:JOU720926 JYN720926:JYQ720926 KIJ720926:KIM720926 KSF720926:KSI720926 LCB720926:LCE720926 LLX720926:LMA720926 LVT720926:LVW720926 MFP720926:MFS720926 MPL720926:MPO720926 MZH720926:MZK720926 NJD720926:NJG720926 NSZ720926:NTC720926 OCV720926:OCY720926 OMR720926:OMU720926 OWN720926:OWQ720926 PGJ720926:PGM720926 PQF720926:PQI720926 QAB720926:QAE720926 QJX720926:QKA720926 QTT720926:QTW720926 RDP720926:RDS720926 RNL720926:RNO720926 RXH720926:RXK720926 SHD720926:SHG720926 SQZ720926:SRC720926 TAV720926:TAY720926 TKR720926:TKU720926 TUN720926:TUQ720926 UEJ720926:UEM720926 UOF720926:UOI720926 UYB720926:UYE720926 VHX720926:VIA720926 VRT720926:VRW720926 WBP720926:WBS720926 WLL720926:WLO720926 WVH720926:WVK720926 AT786462:AW786462 IV786462:IY786462 SR786462:SU786462 ACN786462:ACQ786462 AMJ786462:AMM786462 AWF786462:AWI786462 BGB786462:BGE786462 BPX786462:BQA786462 BZT786462:BZW786462 CJP786462:CJS786462 CTL786462:CTO786462 DDH786462:DDK786462 DND786462:DNG786462 DWZ786462:DXC786462 EGV786462:EGY786462 EQR786462:EQU786462 FAN786462:FAQ786462 FKJ786462:FKM786462 FUF786462:FUI786462 GEB786462:GEE786462 GNX786462:GOA786462 GXT786462:GXW786462 HHP786462:HHS786462 HRL786462:HRO786462 IBH786462:IBK786462 ILD786462:ILG786462 IUZ786462:IVC786462 JEV786462:JEY786462 JOR786462:JOU786462 JYN786462:JYQ786462 KIJ786462:KIM786462 KSF786462:KSI786462 LCB786462:LCE786462 LLX786462:LMA786462 LVT786462:LVW786462 MFP786462:MFS786462 MPL786462:MPO786462 MZH786462:MZK786462 NJD786462:NJG786462 NSZ786462:NTC786462 OCV786462:OCY786462 OMR786462:OMU786462 OWN786462:OWQ786462 PGJ786462:PGM786462 PQF786462:PQI786462 QAB786462:QAE786462 QJX786462:QKA786462 QTT786462:QTW786462 RDP786462:RDS786462 RNL786462:RNO786462 RXH786462:RXK786462 SHD786462:SHG786462 SQZ786462:SRC786462 TAV786462:TAY786462 TKR786462:TKU786462 TUN786462:TUQ786462 UEJ786462:UEM786462 UOF786462:UOI786462 UYB786462:UYE786462 VHX786462:VIA786462 VRT786462:VRW786462 WBP786462:WBS786462 WLL786462:WLO786462 WVH786462:WVK786462 AT851998:AW851998 IV851998:IY851998 SR851998:SU851998 ACN851998:ACQ851998 AMJ851998:AMM851998 AWF851998:AWI851998 BGB851998:BGE851998 BPX851998:BQA851998 BZT851998:BZW851998 CJP851998:CJS851998 CTL851998:CTO851998 DDH851998:DDK851998 DND851998:DNG851998 DWZ851998:DXC851998 EGV851998:EGY851998 EQR851998:EQU851998 FAN851998:FAQ851998 FKJ851998:FKM851998 FUF851998:FUI851998 GEB851998:GEE851998 GNX851998:GOA851998 GXT851998:GXW851998 HHP851998:HHS851998 HRL851998:HRO851998 IBH851998:IBK851998 ILD851998:ILG851998 IUZ851998:IVC851998 JEV851998:JEY851998 JOR851998:JOU851998 JYN851998:JYQ851998 KIJ851998:KIM851998 KSF851998:KSI851998 LCB851998:LCE851998 LLX851998:LMA851998 LVT851998:LVW851998 MFP851998:MFS851998 MPL851998:MPO851998 MZH851998:MZK851998 NJD851998:NJG851998 NSZ851998:NTC851998 OCV851998:OCY851998 OMR851998:OMU851998 OWN851998:OWQ851998 PGJ851998:PGM851998 PQF851998:PQI851998 QAB851998:QAE851998 QJX851998:QKA851998 QTT851998:QTW851998 RDP851998:RDS851998 RNL851998:RNO851998 RXH851998:RXK851998 SHD851998:SHG851998 SQZ851998:SRC851998 TAV851998:TAY851998 TKR851998:TKU851998 TUN851998:TUQ851998 UEJ851998:UEM851998 UOF851998:UOI851998 UYB851998:UYE851998 VHX851998:VIA851998 VRT851998:VRW851998 WBP851998:WBS851998 WLL851998:WLO851998 WVH851998:WVK851998 AT917534:AW917534 IV917534:IY917534 SR917534:SU917534 ACN917534:ACQ917534 AMJ917534:AMM917534 AWF917534:AWI917534 BGB917534:BGE917534 BPX917534:BQA917534 BZT917534:BZW917534 CJP917534:CJS917534 CTL917534:CTO917534 DDH917534:DDK917534 DND917534:DNG917534 DWZ917534:DXC917534 EGV917534:EGY917534 EQR917534:EQU917534 FAN917534:FAQ917534 FKJ917534:FKM917534 FUF917534:FUI917534 GEB917534:GEE917534 GNX917534:GOA917534 GXT917534:GXW917534 HHP917534:HHS917534 HRL917534:HRO917534 IBH917534:IBK917534 ILD917534:ILG917534 IUZ917534:IVC917534 JEV917534:JEY917534 JOR917534:JOU917534 JYN917534:JYQ917534 KIJ917534:KIM917534 KSF917534:KSI917534 LCB917534:LCE917534 LLX917534:LMA917534 LVT917534:LVW917534 MFP917534:MFS917534 MPL917534:MPO917534 MZH917534:MZK917534 NJD917534:NJG917534 NSZ917534:NTC917534 OCV917534:OCY917534 OMR917534:OMU917534 OWN917534:OWQ917534 PGJ917534:PGM917534 PQF917534:PQI917534 QAB917534:QAE917534 QJX917534:QKA917534 QTT917534:QTW917534 RDP917534:RDS917534 RNL917534:RNO917534 RXH917534:RXK917534 SHD917534:SHG917534 SQZ917534:SRC917534 TAV917534:TAY917534 TKR917534:TKU917534 TUN917534:TUQ917534 UEJ917534:UEM917534 UOF917534:UOI917534 UYB917534:UYE917534 VHX917534:VIA917534 VRT917534:VRW917534 WBP917534:WBS917534 WLL917534:WLO917534 WVH917534:WVK917534 AT983070:AW983070 IV983070:IY983070 SR983070:SU983070 ACN983070:ACQ983070 AMJ983070:AMM983070 AWF983070:AWI983070 BGB983070:BGE983070 BPX983070:BQA983070 BZT983070:BZW983070 CJP983070:CJS983070 CTL983070:CTO983070 DDH983070:DDK983070 DND983070:DNG983070 DWZ983070:DXC983070 EGV983070:EGY983070 EQR983070:EQU983070 FAN983070:FAQ983070 FKJ983070:FKM983070 FUF983070:FUI983070 GEB983070:GEE983070 GNX983070:GOA983070 GXT983070:GXW983070 HHP983070:HHS983070 HRL983070:HRO983070 IBH983070:IBK983070 ILD983070:ILG983070 IUZ983070:IVC983070 JEV983070:JEY983070 JOR983070:JOU983070 JYN983070:JYQ983070 KIJ983070:KIM983070 KSF983070:KSI983070 LCB983070:LCE983070 LLX983070:LMA983070 LVT983070:LVW983070 MFP983070:MFS983070 MPL983070:MPO983070 MZH983070:MZK983070 NJD983070:NJG983070 NSZ983070:NTC983070 OCV983070:OCY983070 OMR983070:OMU983070 OWN983070:OWQ983070 PGJ983070:PGM983070 PQF983070:PQI983070 QAB983070:QAE983070 QJX983070:QKA983070 QTT983070:QTW983070 RDP983070:RDS983070 RNL983070:RNO983070 RXH983070:RXK983070 SHD983070:SHG983070 SQZ983070:SRC983070 TAV983070:TAY983070 TKR983070:TKU983070 TUN983070:TUQ983070 UEJ983070:UEM983070 UOF983070:UOI983070 UYB983070:UYE983070 VHX983070:VIA983070 VRT983070:VRW983070 WBP983070:WBS983070 WLL983070:WLO983070 WVH983070:WVK983070 AO983069:AR983069 IQ983069:IT983069 SM983069:SP983069 ACI983069:ACL983069 AME983069:AMH983069 AWA983069:AWD983069 BFW983069:BFZ983069 BPS983069:BPV983069 BZO983069:BZR983069 CJK983069:CJN983069 CTG983069:CTJ983069 DDC983069:DDF983069 DMY983069:DNB983069 DWU983069:DWX983069 EGQ983069:EGT983069 EQM983069:EQP983069 FAI983069:FAL983069 FKE983069:FKH983069 FUA983069:FUD983069 GDW983069:GDZ983069 GNS983069:GNV983069 GXO983069:GXR983069 HHK983069:HHN983069 HRG983069:HRJ983069 IBC983069:IBF983069 IKY983069:ILB983069 IUU983069:IUX983069 JEQ983069:JET983069 JOM983069:JOP983069 JYI983069:JYL983069 KIE983069:KIH983069 KSA983069:KSD983069 LBW983069:LBZ983069 LLS983069:LLV983069 LVO983069:LVR983069 MFK983069:MFN983069 MPG983069:MPJ983069 MZC983069:MZF983069 NIY983069:NJB983069 NSU983069:NSX983069 OCQ983069:OCT983069 OMM983069:OMP983069 OWI983069:OWL983069 PGE983069:PGH983069 PQA983069:PQD983069 PZW983069:PZZ983069 QJS983069:QJV983069 QTO983069:QTR983069 RDK983069:RDN983069 RNG983069:RNJ983069 RXC983069:RXF983069 SGY983069:SHB983069 SQU983069:SQX983069 TAQ983069:TAT983069 TKM983069:TKP983069 TUI983069:TUL983069 UEE983069:UEH983069 UOA983069:UOD983069 UXW983069:UXZ983069 VHS983069:VHV983069 VRO983069:VRR983069 WBK983069:WBN983069 WLG983069:WLJ983069 WVC983069:WVF983069 AO65565:AR65565 IQ65565:IT65565 SM65565:SP65565 ACI65565:ACL65565 AME65565:AMH65565 AWA65565:AWD65565 BFW65565:BFZ65565 BPS65565:BPV65565 BZO65565:BZR65565 CJK65565:CJN65565 CTG65565:CTJ65565 DDC65565:DDF65565 DMY65565:DNB65565 DWU65565:DWX65565 EGQ65565:EGT65565 EQM65565:EQP65565 FAI65565:FAL65565 FKE65565:FKH65565 FUA65565:FUD65565 GDW65565:GDZ65565 GNS65565:GNV65565 GXO65565:GXR65565 HHK65565:HHN65565 HRG65565:HRJ65565 IBC65565:IBF65565 IKY65565:ILB65565 IUU65565:IUX65565 JEQ65565:JET65565 JOM65565:JOP65565 JYI65565:JYL65565 KIE65565:KIH65565 KSA65565:KSD65565 LBW65565:LBZ65565 LLS65565:LLV65565 LVO65565:LVR65565 MFK65565:MFN65565 MPG65565:MPJ65565 MZC65565:MZF65565 NIY65565:NJB65565 NSU65565:NSX65565 OCQ65565:OCT65565 OMM65565:OMP65565 OWI65565:OWL65565 PGE65565:PGH65565 PQA65565:PQD65565 PZW65565:PZZ65565 QJS65565:QJV65565 QTO65565:QTR65565 RDK65565:RDN65565 RNG65565:RNJ65565 RXC65565:RXF65565 SGY65565:SHB65565 SQU65565:SQX65565 TAQ65565:TAT65565 TKM65565:TKP65565 TUI65565:TUL65565 UEE65565:UEH65565 UOA65565:UOD65565 UXW65565:UXZ65565 VHS65565:VHV65565 VRO65565:VRR65565 WBK65565:WBN65565 WLG65565:WLJ65565 WVC65565:WVF65565 AO131101:AR131101 IQ131101:IT131101 SM131101:SP131101 ACI131101:ACL131101 AME131101:AMH131101 AWA131101:AWD131101 BFW131101:BFZ131101 BPS131101:BPV131101 BZO131101:BZR131101 CJK131101:CJN131101 CTG131101:CTJ131101 DDC131101:DDF131101 DMY131101:DNB131101 DWU131101:DWX131101 EGQ131101:EGT131101 EQM131101:EQP131101 FAI131101:FAL131101 FKE131101:FKH131101 FUA131101:FUD131101 GDW131101:GDZ131101 GNS131101:GNV131101 GXO131101:GXR131101 HHK131101:HHN131101 HRG131101:HRJ131101 IBC131101:IBF131101 IKY131101:ILB131101 IUU131101:IUX131101 JEQ131101:JET131101 JOM131101:JOP131101 JYI131101:JYL131101 KIE131101:KIH131101 KSA131101:KSD131101 LBW131101:LBZ131101 LLS131101:LLV131101 LVO131101:LVR131101 MFK131101:MFN131101 MPG131101:MPJ131101 MZC131101:MZF131101 NIY131101:NJB131101 NSU131101:NSX131101 OCQ131101:OCT131101 OMM131101:OMP131101 OWI131101:OWL131101 PGE131101:PGH131101 PQA131101:PQD131101 PZW131101:PZZ131101 QJS131101:QJV131101 QTO131101:QTR131101 RDK131101:RDN131101 RNG131101:RNJ131101 RXC131101:RXF131101 SGY131101:SHB131101 SQU131101:SQX131101 TAQ131101:TAT131101 TKM131101:TKP131101 TUI131101:TUL131101 UEE131101:UEH131101 UOA131101:UOD131101 UXW131101:UXZ131101 VHS131101:VHV131101 VRO131101:VRR131101 WBK131101:WBN131101 WLG131101:WLJ131101 WVC131101:WVF131101 AO196637:AR196637 IQ196637:IT196637 SM196637:SP196637 ACI196637:ACL196637 AME196637:AMH196637 AWA196637:AWD196637 BFW196637:BFZ196637 BPS196637:BPV196637 BZO196637:BZR196637 CJK196637:CJN196637 CTG196637:CTJ196637 DDC196637:DDF196637 DMY196637:DNB196637 DWU196637:DWX196637 EGQ196637:EGT196637 EQM196637:EQP196637 FAI196637:FAL196637 FKE196637:FKH196637 FUA196637:FUD196637 GDW196637:GDZ196637 GNS196637:GNV196637 GXO196637:GXR196637 HHK196637:HHN196637 HRG196637:HRJ196637 IBC196637:IBF196637 IKY196637:ILB196637 IUU196637:IUX196637 JEQ196637:JET196637 JOM196637:JOP196637 JYI196637:JYL196637 KIE196637:KIH196637 KSA196637:KSD196637 LBW196637:LBZ196637 LLS196637:LLV196637 LVO196637:LVR196637 MFK196637:MFN196637 MPG196637:MPJ196637 MZC196637:MZF196637 NIY196637:NJB196637 NSU196637:NSX196637 OCQ196637:OCT196637 OMM196637:OMP196637 OWI196637:OWL196637 PGE196637:PGH196637 PQA196637:PQD196637 PZW196637:PZZ196637 QJS196637:QJV196637 QTO196637:QTR196637 RDK196637:RDN196637 RNG196637:RNJ196637 RXC196637:RXF196637 SGY196637:SHB196637 SQU196637:SQX196637 TAQ196637:TAT196637 TKM196637:TKP196637 TUI196637:TUL196637 UEE196637:UEH196637 UOA196637:UOD196637 UXW196637:UXZ196637 VHS196637:VHV196637 VRO196637:VRR196637 WBK196637:WBN196637 WLG196637:WLJ196637 WVC196637:WVF196637 AO262173:AR262173 IQ262173:IT262173 SM262173:SP262173 ACI262173:ACL262173 AME262173:AMH262173 AWA262173:AWD262173 BFW262173:BFZ262173 BPS262173:BPV262173 BZO262173:BZR262173 CJK262173:CJN262173 CTG262173:CTJ262173 DDC262173:DDF262173 DMY262173:DNB262173 DWU262173:DWX262173 EGQ262173:EGT262173 EQM262173:EQP262173 FAI262173:FAL262173 FKE262173:FKH262173 FUA262173:FUD262173 GDW262173:GDZ262173 GNS262173:GNV262173 GXO262173:GXR262173 HHK262173:HHN262173 HRG262173:HRJ262173 IBC262173:IBF262173 IKY262173:ILB262173 IUU262173:IUX262173 JEQ262173:JET262173 JOM262173:JOP262173 JYI262173:JYL262173 KIE262173:KIH262173 KSA262173:KSD262173 LBW262173:LBZ262173 LLS262173:LLV262173 LVO262173:LVR262173 MFK262173:MFN262173 MPG262173:MPJ262173 MZC262173:MZF262173 NIY262173:NJB262173 NSU262173:NSX262173 OCQ262173:OCT262173 OMM262173:OMP262173 OWI262173:OWL262173 PGE262173:PGH262173 PQA262173:PQD262173 PZW262173:PZZ262173 QJS262173:QJV262173 QTO262173:QTR262173 RDK262173:RDN262173 RNG262173:RNJ262173 RXC262173:RXF262173 SGY262173:SHB262173 SQU262173:SQX262173 TAQ262173:TAT262173 TKM262173:TKP262173 TUI262173:TUL262173 UEE262173:UEH262173 UOA262173:UOD262173 UXW262173:UXZ262173 VHS262173:VHV262173 VRO262173:VRR262173 WBK262173:WBN262173 WLG262173:WLJ262173 WVC262173:WVF262173 AO327709:AR327709 IQ327709:IT327709 SM327709:SP327709 ACI327709:ACL327709 AME327709:AMH327709 AWA327709:AWD327709 BFW327709:BFZ327709 BPS327709:BPV327709 BZO327709:BZR327709 CJK327709:CJN327709 CTG327709:CTJ327709 DDC327709:DDF327709 DMY327709:DNB327709 DWU327709:DWX327709 EGQ327709:EGT327709 EQM327709:EQP327709 FAI327709:FAL327709 FKE327709:FKH327709 FUA327709:FUD327709 GDW327709:GDZ327709 GNS327709:GNV327709 GXO327709:GXR327709 HHK327709:HHN327709 HRG327709:HRJ327709 IBC327709:IBF327709 IKY327709:ILB327709 IUU327709:IUX327709 JEQ327709:JET327709 JOM327709:JOP327709 JYI327709:JYL327709 KIE327709:KIH327709 KSA327709:KSD327709 LBW327709:LBZ327709 LLS327709:LLV327709 LVO327709:LVR327709 MFK327709:MFN327709 MPG327709:MPJ327709 MZC327709:MZF327709 NIY327709:NJB327709 NSU327709:NSX327709 OCQ327709:OCT327709 OMM327709:OMP327709 OWI327709:OWL327709 PGE327709:PGH327709 PQA327709:PQD327709 PZW327709:PZZ327709 QJS327709:QJV327709 QTO327709:QTR327709 RDK327709:RDN327709 RNG327709:RNJ327709 RXC327709:RXF327709 SGY327709:SHB327709 SQU327709:SQX327709 TAQ327709:TAT327709 TKM327709:TKP327709 TUI327709:TUL327709 UEE327709:UEH327709 UOA327709:UOD327709 UXW327709:UXZ327709 VHS327709:VHV327709 VRO327709:VRR327709 WBK327709:WBN327709 WLG327709:WLJ327709 WVC327709:WVF327709 AO393245:AR393245 IQ393245:IT393245 SM393245:SP393245 ACI393245:ACL393245 AME393245:AMH393245 AWA393245:AWD393245 BFW393245:BFZ393245 BPS393245:BPV393245 BZO393245:BZR393245 CJK393245:CJN393245 CTG393245:CTJ393245 DDC393245:DDF393245 DMY393245:DNB393245 DWU393245:DWX393245 EGQ393245:EGT393245 EQM393245:EQP393245 FAI393245:FAL393245 FKE393245:FKH393245 FUA393245:FUD393245 GDW393245:GDZ393245 GNS393245:GNV393245 GXO393245:GXR393245 HHK393245:HHN393245 HRG393245:HRJ393245 IBC393245:IBF393245 IKY393245:ILB393245 IUU393245:IUX393245 JEQ393245:JET393245 JOM393245:JOP393245 JYI393245:JYL393245 KIE393245:KIH393245 KSA393245:KSD393245 LBW393245:LBZ393245 LLS393245:LLV393245 LVO393245:LVR393245 MFK393245:MFN393245 MPG393245:MPJ393245 MZC393245:MZF393245 NIY393245:NJB393245 NSU393245:NSX393245 OCQ393245:OCT393245 OMM393245:OMP393245 OWI393245:OWL393245 PGE393245:PGH393245 PQA393245:PQD393245 PZW393245:PZZ393245 QJS393245:QJV393245 QTO393245:QTR393245 RDK393245:RDN393245 RNG393245:RNJ393245 RXC393245:RXF393245 SGY393245:SHB393245 SQU393245:SQX393245 TAQ393245:TAT393245 TKM393245:TKP393245 TUI393245:TUL393245 UEE393245:UEH393245 UOA393245:UOD393245 UXW393245:UXZ393245 VHS393245:VHV393245 VRO393245:VRR393245 WBK393245:WBN393245 WLG393245:WLJ393245 WVC393245:WVF393245 AO458781:AR458781 IQ458781:IT458781 SM458781:SP458781 ACI458781:ACL458781 AME458781:AMH458781 AWA458781:AWD458781 BFW458781:BFZ458781 BPS458781:BPV458781 BZO458781:BZR458781 CJK458781:CJN458781 CTG458781:CTJ458781 DDC458781:DDF458781 DMY458781:DNB458781 DWU458781:DWX458781 EGQ458781:EGT458781 EQM458781:EQP458781 FAI458781:FAL458781 FKE458781:FKH458781 FUA458781:FUD458781 GDW458781:GDZ458781 GNS458781:GNV458781 GXO458781:GXR458781 HHK458781:HHN458781 HRG458781:HRJ458781 IBC458781:IBF458781 IKY458781:ILB458781 IUU458781:IUX458781 JEQ458781:JET458781 JOM458781:JOP458781 JYI458781:JYL458781 KIE458781:KIH458781 KSA458781:KSD458781 LBW458781:LBZ458781 LLS458781:LLV458781 LVO458781:LVR458781 MFK458781:MFN458781 MPG458781:MPJ458781 MZC458781:MZF458781 NIY458781:NJB458781 NSU458781:NSX458781 OCQ458781:OCT458781 OMM458781:OMP458781 OWI458781:OWL458781 PGE458781:PGH458781 PQA458781:PQD458781 PZW458781:PZZ458781 QJS458781:QJV458781 QTO458781:QTR458781 RDK458781:RDN458781 RNG458781:RNJ458781 RXC458781:RXF458781 SGY458781:SHB458781 SQU458781:SQX458781 TAQ458781:TAT458781 TKM458781:TKP458781 TUI458781:TUL458781 UEE458781:UEH458781 UOA458781:UOD458781 UXW458781:UXZ458781 VHS458781:VHV458781 VRO458781:VRR458781 WBK458781:WBN458781 WLG458781:WLJ458781 WVC458781:WVF458781 AO524317:AR524317 IQ524317:IT524317 SM524317:SP524317 ACI524317:ACL524317 AME524317:AMH524317 AWA524317:AWD524317 BFW524317:BFZ524317 BPS524317:BPV524317 BZO524317:BZR524317 CJK524317:CJN524317 CTG524317:CTJ524317 DDC524317:DDF524317 DMY524317:DNB524317 DWU524317:DWX524317 EGQ524317:EGT524317 EQM524317:EQP524317 FAI524317:FAL524317 FKE524317:FKH524317 FUA524317:FUD524317 GDW524317:GDZ524317 GNS524317:GNV524317 GXO524317:GXR524317 HHK524317:HHN524317 HRG524317:HRJ524317 IBC524317:IBF524317 IKY524317:ILB524317 IUU524317:IUX524317 JEQ524317:JET524317 JOM524317:JOP524317 JYI524317:JYL524317 KIE524317:KIH524317 KSA524317:KSD524317 LBW524317:LBZ524317 LLS524317:LLV524317 LVO524317:LVR524317 MFK524317:MFN524317 MPG524317:MPJ524317 MZC524317:MZF524317 NIY524317:NJB524317 NSU524317:NSX524317 OCQ524317:OCT524317 OMM524317:OMP524317 OWI524317:OWL524317 PGE524317:PGH524317 PQA524317:PQD524317 PZW524317:PZZ524317 QJS524317:QJV524317 QTO524317:QTR524317 RDK524317:RDN524317 RNG524317:RNJ524317 RXC524317:RXF524317 SGY524317:SHB524317 SQU524317:SQX524317 TAQ524317:TAT524317 TKM524317:TKP524317 TUI524317:TUL524317 UEE524317:UEH524317 UOA524317:UOD524317 UXW524317:UXZ524317 VHS524317:VHV524317 VRO524317:VRR524317 WBK524317:WBN524317 WLG524317:WLJ524317 WVC524317:WVF524317 AO589853:AR589853 IQ589853:IT589853 SM589853:SP589853 ACI589853:ACL589853 AME589853:AMH589853 AWA589853:AWD589853 BFW589853:BFZ589853 BPS589853:BPV589853 BZO589853:BZR589853 CJK589853:CJN589853 CTG589853:CTJ589853 DDC589853:DDF589853 DMY589853:DNB589853 DWU589853:DWX589853 EGQ589853:EGT589853 EQM589853:EQP589853 FAI589853:FAL589853 FKE589853:FKH589853 FUA589853:FUD589853 GDW589853:GDZ589853 GNS589853:GNV589853 GXO589853:GXR589853 HHK589853:HHN589853 HRG589853:HRJ589853 IBC589853:IBF589853 IKY589853:ILB589853 IUU589853:IUX589853 JEQ589853:JET589853 JOM589853:JOP589853 JYI589853:JYL589853 KIE589853:KIH589853 KSA589853:KSD589853 LBW589853:LBZ589853 LLS589853:LLV589853 LVO589853:LVR589853 MFK589853:MFN589853 MPG589853:MPJ589853 MZC589853:MZF589853 NIY589853:NJB589853 NSU589853:NSX589853 OCQ589853:OCT589853 OMM589853:OMP589853 OWI589853:OWL589853 PGE589853:PGH589853 PQA589853:PQD589853 PZW589853:PZZ589853 QJS589853:QJV589853 QTO589853:QTR589853 RDK589853:RDN589853 RNG589853:RNJ589853 RXC589853:RXF589853 SGY589853:SHB589853 SQU589853:SQX589853 TAQ589853:TAT589853 TKM589853:TKP589853 TUI589853:TUL589853 UEE589853:UEH589853 UOA589853:UOD589853 UXW589853:UXZ589853 VHS589853:VHV589853 VRO589853:VRR589853 WBK589853:WBN589853 WLG589853:WLJ589853 WVC589853:WVF589853 AO655389:AR655389 IQ655389:IT655389 SM655389:SP655389 ACI655389:ACL655389 AME655389:AMH655389 AWA655389:AWD655389 BFW655389:BFZ655389 BPS655389:BPV655389 BZO655389:BZR655389 CJK655389:CJN655389 CTG655389:CTJ655389 DDC655389:DDF655389 DMY655389:DNB655389 DWU655389:DWX655389 EGQ655389:EGT655389 EQM655389:EQP655389 FAI655389:FAL655389 FKE655389:FKH655389 FUA655389:FUD655389 GDW655389:GDZ655389 GNS655389:GNV655389 GXO655389:GXR655389 HHK655389:HHN655389 HRG655389:HRJ655389 IBC655389:IBF655389 IKY655389:ILB655389 IUU655389:IUX655389 JEQ655389:JET655389 JOM655389:JOP655389 JYI655389:JYL655389 KIE655389:KIH655389 KSA655389:KSD655389 LBW655389:LBZ655389 LLS655389:LLV655389 LVO655389:LVR655389 MFK655389:MFN655389 MPG655389:MPJ655389 MZC655389:MZF655389 NIY655389:NJB655389 NSU655389:NSX655389 OCQ655389:OCT655389 OMM655389:OMP655389 OWI655389:OWL655389 PGE655389:PGH655389 PQA655389:PQD655389 PZW655389:PZZ655389 QJS655389:QJV655389 QTO655389:QTR655389 RDK655389:RDN655389 RNG655389:RNJ655389 RXC655389:RXF655389 SGY655389:SHB655389 SQU655389:SQX655389 TAQ655389:TAT655389 TKM655389:TKP655389 TUI655389:TUL655389 UEE655389:UEH655389 UOA655389:UOD655389 UXW655389:UXZ655389 VHS655389:VHV655389 VRO655389:VRR655389 WBK655389:WBN655389 WLG655389:WLJ655389 WVC655389:WVF655389 AO720925:AR720925 IQ720925:IT720925 SM720925:SP720925 ACI720925:ACL720925 AME720925:AMH720925 AWA720925:AWD720925 BFW720925:BFZ720925 BPS720925:BPV720925 BZO720925:BZR720925 CJK720925:CJN720925 CTG720925:CTJ720925 DDC720925:DDF720925 DMY720925:DNB720925 DWU720925:DWX720925 EGQ720925:EGT720925 EQM720925:EQP720925 FAI720925:FAL720925 FKE720925:FKH720925 FUA720925:FUD720925 GDW720925:GDZ720925 GNS720925:GNV720925 GXO720925:GXR720925 HHK720925:HHN720925 HRG720925:HRJ720925 IBC720925:IBF720925 IKY720925:ILB720925 IUU720925:IUX720925 JEQ720925:JET720925 JOM720925:JOP720925 JYI720925:JYL720925 KIE720925:KIH720925 KSA720925:KSD720925 LBW720925:LBZ720925 LLS720925:LLV720925 LVO720925:LVR720925 MFK720925:MFN720925 MPG720925:MPJ720925 MZC720925:MZF720925 NIY720925:NJB720925 NSU720925:NSX720925 OCQ720925:OCT720925 OMM720925:OMP720925 OWI720925:OWL720925 PGE720925:PGH720925 PQA720925:PQD720925 PZW720925:PZZ720925 QJS720925:QJV720925 QTO720925:QTR720925 RDK720925:RDN720925 RNG720925:RNJ720925 RXC720925:RXF720925 SGY720925:SHB720925 SQU720925:SQX720925 TAQ720925:TAT720925 TKM720925:TKP720925 TUI720925:TUL720925 UEE720925:UEH720925 UOA720925:UOD720925 UXW720925:UXZ720925 VHS720925:VHV720925 VRO720925:VRR720925 WBK720925:WBN720925 WLG720925:WLJ720925 WVC720925:WVF720925 AO786461:AR786461 IQ786461:IT786461 SM786461:SP786461 ACI786461:ACL786461 AME786461:AMH786461 AWA786461:AWD786461 BFW786461:BFZ786461 BPS786461:BPV786461 BZO786461:BZR786461 CJK786461:CJN786461 CTG786461:CTJ786461 DDC786461:DDF786461 DMY786461:DNB786461 DWU786461:DWX786461 EGQ786461:EGT786461 EQM786461:EQP786461 FAI786461:FAL786461 FKE786461:FKH786461 FUA786461:FUD786461 GDW786461:GDZ786461 GNS786461:GNV786461 GXO786461:GXR786461 HHK786461:HHN786461 HRG786461:HRJ786461 IBC786461:IBF786461 IKY786461:ILB786461 IUU786461:IUX786461 JEQ786461:JET786461 JOM786461:JOP786461 JYI786461:JYL786461 KIE786461:KIH786461 KSA786461:KSD786461 LBW786461:LBZ786461 LLS786461:LLV786461 LVO786461:LVR786461 MFK786461:MFN786461 MPG786461:MPJ786461 MZC786461:MZF786461 NIY786461:NJB786461 NSU786461:NSX786461 OCQ786461:OCT786461 OMM786461:OMP786461 OWI786461:OWL786461 PGE786461:PGH786461 PQA786461:PQD786461 PZW786461:PZZ786461 QJS786461:QJV786461 QTO786461:QTR786461 RDK786461:RDN786461 RNG786461:RNJ786461 RXC786461:RXF786461 SGY786461:SHB786461 SQU786461:SQX786461 TAQ786461:TAT786461 TKM786461:TKP786461 TUI786461:TUL786461 UEE786461:UEH786461 UOA786461:UOD786461 UXW786461:UXZ786461 VHS786461:VHV786461 VRO786461:VRR786461 WBK786461:WBN786461 WLG786461:WLJ786461 WVC786461:WVF786461 AO851997:AR851997 IQ851997:IT851997 SM851997:SP851997 ACI851997:ACL851997 AME851997:AMH851997 AWA851997:AWD851997 BFW851997:BFZ851997 BPS851997:BPV851997 BZO851997:BZR851997 CJK851997:CJN851997 CTG851997:CTJ851997 DDC851997:DDF851997 DMY851997:DNB851997 DWU851997:DWX851997 EGQ851997:EGT851997 EQM851997:EQP851997 FAI851997:FAL851997 FKE851997:FKH851997 FUA851997:FUD851997 GDW851997:GDZ851997 GNS851997:GNV851997 GXO851997:GXR851997 HHK851997:HHN851997 HRG851997:HRJ851997 IBC851997:IBF851997 IKY851997:ILB851997 IUU851997:IUX851997 JEQ851997:JET851997 JOM851997:JOP851997 JYI851997:JYL851997 KIE851997:KIH851997 KSA851997:KSD851997 LBW851997:LBZ851997 LLS851997:LLV851997 LVO851997:LVR851997 MFK851997:MFN851997 MPG851997:MPJ851997 MZC851997:MZF851997 NIY851997:NJB851997 NSU851997:NSX851997 OCQ851997:OCT851997 OMM851997:OMP851997 OWI851997:OWL851997 PGE851997:PGH851997 PQA851997:PQD851997 PZW851997:PZZ851997 QJS851997:QJV851997 QTO851997:QTR851997 RDK851997:RDN851997 RNG851997:RNJ851997 RXC851997:RXF851997 SGY851997:SHB851997 SQU851997:SQX851997 TAQ851997:TAT851997 TKM851997:TKP851997 TUI851997:TUL851997 UEE851997:UEH851997 UOA851997:UOD851997 UXW851997:UXZ851997 VHS851997:VHV851997 VRO851997:VRR851997 WBK851997:WBN851997 WLG851997:WLJ851997 WVC851997:WVF851997 AO917533:AR917533 IQ917533:IT917533 SM917533:SP917533 ACI917533:ACL917533 AME917533:AMH917533 AWA917533:AWD917533 BFW917533:BFZ917533 BPS917533:BPV917533 BZO917533:BZR917533 CJK917533:CJN917533 CTG917533:CTJ917533 DDC917533:DDF917533 DMY917533:DNB917533 DWU917533:DWX917533 EGQ917533:EGT917533 EQM917533:EQP917533 FAI917533:FAL917533 FKE917533:FKH917533 FUA917533:FUD917533 GDW917533:GDZ917533 GNS917533:GNV917533 GXO917533:GXR917533 HHK917533:HHN917533 HRG917533:HRJ917533 IBC917533:IBF917533 IKY917533:ILB917533 IUU917533:IUX917533 JEQ917533:JET917533 JOM917533:JOP917533 JYI917533:JYL917533 KIE917533:KIH917533 KSA917533:KSD917533 LBW917533:LBZ917533 LLS917533:LLV917533 LVO917533:LVR917533 MFK917533:MFN917533 MPG917533:MPJ917533 MZC917533:MZF917533 NIY917533:NJB917533 NSU917533:NSX917533 OCQ917533:OCT917533 OMM917533:OMP917533 OWI917533:OWL917533 PGE917533:PGH917533 PQA917533:PQD917533 PZW917533:PZZ917533 QJS917533:QJV917533 QTO917533:QTR917533 RDK917533:RDN917533 RNG917533:RNJ917533 RXC917533:RXF917533 SGY917533:SHB917533 SQU917533:SQX917533 TAQ917533:TAT917533 TKM917533:TKP917533 TUI917533:TUL917533 UEE917533:UEH917533 UOA917533:UOD917533 UXW917533:UXZ917533 VHS917533:VHV917533 VRO917533:VRR917533 WBK917533:WBN917533 WLG917533:WLJ917533 WVC917533:WVF917533" xr:uid="{53C29DC1-0999-47B9-9B02-82B124C1E4C2}">
      <formula1>"○, ○（オンライン処理設計書なし）"</formula1>
    </dataValidation>
    <dataValidation type="list" allowBlank="1" showInputMessage="1" showErrorMessage="1" sqref="X5:AA17" xr:uid="{83B9C60B-DBB6-46B3-92F5-B801B43DA58A}">
      <formula1>$P$32:$P$33</formula1>
    </dataValidation>
  </dataValidations>
  <pageMargins left="0.7" right="0.7" top="0.75" bottom="0.75" header="0.3" footer="0.3"/>
  <pageSetup paperSize="9" scale="58" fitToHeight="0" orientation="landscape"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6A3C1-3036-4B15-9203-43E3AE1EAD5D}">
  <sheetPr>
    <pageSetUpPr fitToPage="1"/>
  </sheetPr>
  <dimension ref="A1:AK22"/>
  <sheetViews>
    <sheetView showGridLines="0" view="pageBreakPreview" zoomScale="80" zoomScaleNormal="85" zoomScaleSheetLayoutView="80" workbookViewId="0">
      <selection sqref="A1:J1"/>
    </sheetView>
  </sheetViews>
  <sheetFormatPr defaultColWidth="2.54296875" defaultRowHeight="15"/>
  <cols>
    <col min="1" max="10" width="2.54296875" style="681" customWidth="1"/>
    <col min="11" max="16" width="3.26953125" style="681" customWidth="1"/>
    <col min="17" max="37" width="2.54296875" style="681" customWidth="1"/>
    <col min="38" max="16384" width="2.54296875" style="681"/>
  </cols>
  <sheetData>
    <row r="1" spans="1:37" ht="13.75" customHeight="1">
      <c r="A1" s="893" t="s">
        <v>466</v>
      </c>
      <c r="B1" s="893"/>
      <c r="C1" s="893"/>
      <c r="D1" s="893"/>
      <c r="E1" s="893"/>
      <c r="F1" s="893"/>
      <c r="G1" s="893"/>
      <c r="H1" s="893"/>
      <c r="I1" s="893"/>
      <c r="J1" s="893"/>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row>
    <row r="2" spans="1:37" ht="13.75" customHeight="1">
      <c r="A2" s="894" t="s">
        <v>340</v>
      </c>
      <c r="B2" s="895"/>
      <c r="C2" s="894" t="s">
        <v>467</v>
      </c>
      <c r="D2" s="895"/>
      <c r="E2" s="895"/>
      <c r="F2" s="895"/>
      <c r="G2" s="895"/>
      <c r="H2" s="895"/>
      <c r="I2" s="895"/>
      <c r="J2" s="895"/>
      <c r="K2" s="895"/>
      <c r="L2" s="895"/>
      <c r="M2" s="895"/>
      <c r="N2" s="895"/>
      <c r="O2" s="895"/>
      <c r="P2" s="895"/>
      <c r="Q2" s="896" t="s">
        <v>468</v>
      </c>
      <c r="R2" s="897"/>
      <c r="S2" s="897"/>
      <c r="T2" s="897"/>
      <c r="U2" s="897"/>
      <c r="V2" s="897"/>
      <c r="W2" s="897"/>
      <c r="X2" s="897"/>
      <c r="Y2" s="897"/>
      <c r="Z2" s="897"/>
      <c r="AA2" s="897"/>
      <c r="AB2" s="897"/>
      <c r="AC2" s="897"/>
      <c r="AD2" s="897"/>
      <c r="AE2" s="897"/>
      <c r="AF2" s="897"/>
      <c r="AG2" s="897"/>
      <c r="AH2" s="897"/>
      <c r="AI2" s="897"/>
      <c r="AJ2" s="897"/>
      <c r="AK2" s="898"/>
    </row>
    <row r="3" spans="1:37" ht="38.25" customHeight="1">
      <c r="A3" s="895"/>
      <c r="B3" s="895"/>
      <c r="C3" s="895"/>
      <c r="D3" s="895"/>
      <c r="E3" s="895"/>
      <c r="F3" s="895"/>
      <c r="G3" s="895"/>
      <c r="H3" s="895"/>
      <c r="I3" s="895"/>
      <c r="J3" s="895"/>
      <c r="K3" s="895"/>
      <c r="L3" s="895"/>
      <c r="M3" s="895"/>
      <c r="N3" s="895"/>
      <c r="O3" s="895"/>
      <c r="P3" s="895"/>
      <c r="Q3" s="892" t="s">
        <v>469</v>
      </c>
      <c r="R3" s="892"/>
      <c r="S3" s="892"/>
      <c r="T3" s="892"/>
      <c r="U3" s="892"/>
      <c r="V3" s="892"/>
      <c r="W3" s="892"/>
      <c r="X3" s="892"/>
      <c r="Y3" s="892"/>
      <c r="Z3" s="892"/>
      <c r="AA3" s="892"/>
      <c r="AB3" s="892"/>
      <c r="AC3" s="892"/>
      <c r="AD3" s="892"/>
      <c r="AE3" s="892"/>
      <c r="AF3" s="892"/>
      <c r="AG3" s="892"/>
      <c r="AH3" s="892"/>
      <c r="AI3" s="892"/>
      <c r="AJ3" s="892"/>
      <c r="AK3" s="892"/>
    </row>
    <row r="4" spans="1:37" ht="13.75" customHeight="1">
      <c r="A4" s="899" t="s">
        <v>323</v>
      </c>
      <c r="B4" s="900"/>
      <c r="C4" s="901" t="s">
        <v>324</v>
      </c>
      <c r="D4" s="902"/>
      <c r="E4" s="902"/>
      <c r="F4" s="902"/>
      <c r="G4" s="902"/>
      <c r="H4" s="902"/>
      <c r="I4" s="903"/>
      <c r="J4" s="904"/>
      <c r="K4" s="905"/>
      <c r="L4" s="905"/>
      <c r="M4" s="905"/>
      <c r="N4" s="905"/>
      <c r="O4" s="905"/>
      <c r="P4" s="906"/>
      <c r="Q4" s="890"/>
      <c r="R4" s="891"/>
      <c r="S4" s="891"/>
      <c r="T4" s="891"/>
      <c r="U4" s="891"/>
      <c r="V4" s="891"/>
      <c r="W4" s="761"/>
      <c r="X4" s="890"/>
      <c r="Y4" s="891"/>
      <c r="Z4" s="891"/>
      <c r="AA4" s="891"/>
      <c r="AB4" s="891"/>
      <c r="AC4" s="891"/>
      <c r="AD4" s="761"/>
      <c r="AE4" s="890"/>
      <c r="AF4" s="891"/>
      <c r="AG4" s="891"/>
      <c r="AH4" s="891"/>
      <c r="AI4" s="891"/>
      <c r="AJ4" s="891"/>
      <c r="AK4" s="761"/>
    </row>
    <row r="5" spans="1:37" ht="13.75" customHeight="1">
      <c r="A5" s="899" t="s">
        <v>325</v>
      </c>
      <c r="B5" s="900"/>
      <c r="C5" s="901"/>
      <c r="D5" s="902"/>
      <c r="E5" s="902"/>
      <c r="F5" s="902"/>
      <c r="G5" s="902"/>
      <c r="H5" s="902"/>
      <c r="I5" s="903"/>
      <c r="J5" s="904" t="s">
        <v>326</v>
      </c>
      <c r="K5" s="905"/>
      <c r="L5" s="905"/>
      <c r="M5" s="905"/>
      <c r="N5" s="905"/>
      <c r="O5" s="905"/>
      <c r="P5" s="906"/>
      <c r="Q5" s="890" t="s">
        <v>330</v>
      </c>
      <c r="R5" s="891"/>
      <c r="S5" s="891"/>
      <c r="T5" s="891"/>
      <c r="U5" s="891"/>
      <c r="V5" s="891"/>
      <c r="W5" s="761"/>
      <c r="X5" s="890"/>
      <c r="Y5" s="891"/>
      <c r="Z5" s="891"/>
      <c r="AA5" s="891"/>
      <c r="AB5" s="891"/>
      <c r="AC5" s="891"/>
      <c r="AD5" s="761"/>
      <c r="AE5" s="890"/>
      <c r="AF5" s="891"/>
      <c r="AG5" s="891"/>
      <c r="AH5" s="891"/>
      <c r="AI5" s="891"/>
      <c r="AJ5" s="891"/>
      <c r="AK5" s="761"/>
    </row>
    <row r="6" spans="1:37" ht="13.75" customHeight="1">
      <c r="A6" s="899" t="s">
        <v>437</v>
      </c>
      <c r="B6" s="900"/>
      <c r="C6" s="907" t="s">
        <v>590</v>
      </c>
      <c r="D6" s="908"/>
      <c r="E6" s="908"/>
      <c r="F6" s="908"/>
      <c r="G6" s="908"/>
      <c r="H6" s="908"/>
      <c r="I6" s="909"/>
      <c r="J6" s="910"/>
      <c r="K6" s="910"/>
      <c r="L6" s="910"/>
      <c r="M6" s="910"/>
      <c r="N6" s="910"/>
      <c r="O6" s="910"/>
      <c r="P6" s="910"/>
      <c r="Q6" s="890"/>
      <c r="R6" s="891"/>
      <c r="S6" s="891"/>
      <c r="T6" s="891"/>
      <c r="U6" s="891"/>
      <c r="V6" s="891"/>
      <c r="W6" s="761"/>
      <c r="X6" s="890"/>
      <c r="Y6" s="891"/>
      <c r="Z6" s="891"/>
      <c r="AA6" s="891"/>
      <c r="AB6" s="891"/>
      <c r="AC6" s="891"/>
      <c r="AD6" s="761"/>
      <c r="AE6" s="890"/>
      <c r="AF6" s="891"/>
      <c r="AG6" s="891"/>
      <c r="AH6" s="891"/>
      <c r="AI6" s="891"/>
      <c r="AJ6" s="891"/>
      <c r="AK6" s="761"/>
    </row>
    <row r="7" spans="1:37" ht="13.75" customHeight="1">
      <c r="A7" s="899">
        <v>2.1</v>
      </c>
      <c r="B7" s="900"/>
      <c r="C7" s="901"/>
      <c r="D7" s="902"/>
      <c r="E7" s="902"/>
      <c r="F7" s="902"/>
      <c r="G7" s="902"/>
      <c r="H7" s="902"/>
      <c r="I7" s="903"/>
      <c r="J7" s="911" t="s">
        <v>594</v>
      </c>
      <c r="K7" s="912"/>
      <c r="L7" s="912"/>
      <c r="M7" s="912"/>
      <c r="N7" s="912"/>
      <c r="O7" s="912"/>
      <c r="P7" s="913"/>
      <c r="Q7" s="890" t="s">
        <v>330</v>
      </c>
      <c r="R7" s="891"/>
      <c r="S7" s="891"/>
      <c r="T7" s="891"/>
      <c r="U7" s="891"/>
      <c r="V7" s="891"/>
      <c r="W7" s="761"/>
      <c r="X7" s="890"/>
      <c r="Y7" s="891"/>
      <c r="Z7" s="891"/>
      <c r="AA7" s="891"/>
      <c r="AB7" s="891"/>
      <c r="AC7" s="891"/>
      <c r="AD7" s="761"/>
      <c r="AE7" s="890"/>
      <c r="AF7" s="891"/>
      <c r="AG7" s="891"/>
      <c r="AH7" s="891"/>
      <c r="AI7" s="891"/>
      <c r="AJ7" s="891"/>
      <c r="AK7" s="761"/>
    </row>
    <row r="8" spans="1:37" ht="13.75" customHeight="1">
      <c r="A8" s="899">
        <v>2.2000000000000002</v>
      </c>
      <c r="B8" s="900"/>
      <c r="C8" s="914"/>
      <c r="D8" s="915"/>
      <c r="E8" s="915"/>
      <c r="F8" s="915"/>
      <c r="G8" s="915"/>
      <c r="H8" s="915"/>
      <c r="I8" s="916"/>
      <c r="J8" s="907" t="s">
        <v>595</v>
      </c>
      <c r="K8" s="908"/>
      <c r="L8" s="908"/>
      <c r="M8" s="908"/>
      <c r="N8" s="908"/>
      <c r="O8" s="908"/>
      <c r="P8" s="909"/>
      <c r="Q8" s="890" t="s">
        <v>330</v>
      </c>
      <c r="R8" s="891"/>
      <c r="S8" s="891"/>
      <c r="T8" s="891"/>
      <c r="U8" s="891"/>
      <c r="V8" s="891"/>
      <c r="W8" s="761"/>
      <c r="X8" s="890"/>
      <c r="Y8" s="891"/>
      <c r="Z8" s="891"/>
      <c r="AA8" s="891"/>
      <c r="AB8" s="891"/>
      <c r="AC8" s="891"/>
      <c r="AD8" s="761"/>
      <c r="AE8" s="890"/>
      <c r="AF8" s="891"/>
      <c r="AG8" s="891"/>
      <c r="AH8" s="891"/>
      <c r="AI8" s="891"/>
      <c r="AJ8" s="891"/>
      <c r="AK8" s="761"/>
    </row>
    <row r="9" spans="1:37" ht="13.75" customHeight="1">
      <c r="A9" s="899" t="s">
        <v>591</v>
      </c>
      <c r="B9" s="900"/>
      <c r="C9" s="914"/>
      <c r="D9" s="915"/>
      <c r="E9" s="915"/>
      <c r="F9" s="915"/>
      <c r="G9" s="915"/>
      <c r="H9" s="915"/>
      <c r="I9" s="916"/>
      <c r="J9" s="907" t="s">
        <v>596</v>
      </c>
      <c r="K9" s="908"/>
      <c r="L9" s="908"/>
      <c r="M9" s="908"/>
      <c r="N9" s="908"/>
      <c r="O9" s="908"/>
      <c r="P9" s="909"/>
      <c r="Q9" s="890" t="s">
        <v>330</v>
      </c>
      <c r="R9" s="891"/>
      <c r="S9" s="891"/>
      <c r="T9" s="891"/>
      <c r="U9" s="891"/>
      <c r="V9" s="891"/>
      <c r="W9" s="761"/>
      <c r="X9" s="890"/>
      <c r="Y9" s="891"/>
      <c r="Z9" s="891"/>
      <c r="AA9" s="891"/>
      <c r="AB9" s="891"/>
      <c r="AC9" s="891"/>
      <c r="AD9" s="761"/>
      <c r="AE9" s="890"/>
      <c r="AF9" s="891"/>
      <c r="AG9" s="891"/>
      <c r="AH9" s="891"/>
      <c r="AI9" s="891"/>
      <c r="AJ9" s="891"/>
      <c r="AK9" s="761"/>
    </row>
    <row r="10" spans="1:37" ht="13.75" customHeight="1">
      <c r="A10" s="899">
        <v>3.2</v>
      </c>
      <c r="B10" s="900"/>
      <c r="C10" s="684"/>
      <c r="D10" s="685"/>
      <c r="E10" s="685"/>
      <c r="F10" s="685"/>
      <c r="G10" s="685"/>
      <c r="H10" s="685"/>
      <c r="I10" s="686"/>
      <c r="J10" s="907" t="s">
        <v>597</v>
      </c>
      <c r="K10" s="908"/>
      <c r="L10" s="908"/>
      <c r="M10" s="908"/>
      <c r="N10" s="908"/>
      <c r="O10" s="908"/>
      <c r="P10" s="909"/>
      <c r="Q10" s="890" t="s">
        <v>330</v>
      </c>
      <c r="R10" s="891"/>
      <c r="S10" s="891"/>
      <c r="T10" s="891"/>
      <c r="U10" s="891"/>
      <c r="V10" s="891"/>
      <c r="W10" s="761"/>
      <c r="X10" s="890"/>
      <c r="Y10" s="891"/>
      <c r="Z10" s="891"/>
      <c r="AA10" s="891"/>
      <c r="AB10" s="891"/>
      <c r="AC10" s="891"/>
      <c r="AD10" s="761"/>
      <c r="AE10" s="890"/>
      <c r="AF10" s="891"/>
      <c r="AG10" s="891"/>
      <c r="AH10" s="891"/>
      <c r="AI10" s="891"/>
      <c r="AJ10" s="891"/>
      <c r="AK10" s="761"/>
    </row>
    <row r="11" spans="1:37" ht="13.75" customHeight="1">
      <c r="A11" s="899" t="s">
        <v>592</v>
      </c>
      <c r="B11" s="900"/>
      <c r="C11" s="914"/>
      <c r="D11" s="915"/>
      <c r="E11" s="915"/>
      <c r="F11" s="915"/>
      <c r="G11" s="915"/>
      <c r="H11" s="915"/>
      <c r="I11" s="916"/>
      <c r="J11" s="907" t="s">
        <v>598</v>
      </c>
      <c r="K11" s="908"/>
      <c r="L11" s="908"/>
      <c r="M11" s="908"/>
      <c r="N11" s="908"/>
      <c r="O11" s="908"/>
      <c r="P11" s="909"/>
      <c r="Q11" s="890" t="s">
        <v>330</v>
      </c>
      <c r="R11" s="891"/>
      <c r="S11" s="891"/>
      <c r="T11" s="891"/>
      <c r="U11" s="891"/>
      <c r="V11" s="891"/>
      <c r="W11" s="761"/>
      <c r="X11" s="890"/>
      <c r="Y11" s="891"/>
      <c r="Z11" s="891"/>
      <c r="AA11" s="891"/>
      <c r="AB11" s="891"/>
      <c r="AC11" s="891"/>
      <c r="AD11" s="761"/>
      <c r="AE11" s="890"/>
      <c r="AF11" s="891"/>
      <c r="AG11" s="891"/>
      <c r="AH11" s="891"/>
      <c r="AI11" s="891"/>
      <c r="AJ11" s="891"/>
      <c r="AK11" s="761"/>
    </row>
    <row r="12" spans="1:37" ht="13.75" customHeight="1">
      <c r="A12" s="899">
        <v>2.6</v>
      </c>
      <c r="B12" s="900"/>
      <c r="C12" s="684"/>
      <c r="D12" s="685"/>
      <c r="E12" s="685"/>
      <c r="F12" s="685"/>
      <c r="G12" s="685"/>
      <c r="H12" s="685"/>
      <c r="I12" s="686"/>
      <c r="J12" s="907" t="s">
        <v>599</v>
      </c>
      <c r="K12" s="908"/>
      <c r="L12" s="908"/>
      <c r="M12" s="908"/>
      <c r="N12" s="908"/>
      <c r="O12" s="908"/>
      <c r="P12" s="909"/>
      <c r="Q12" s="890" t="s">
        <v>330</v>
      </c>
      <c r="R12" s="891"/>
      <c r="S12" s="891"/>
      <c r="T12" s="891"/>
      <c r="U12" s="891"/>
      <c r="V12" s="891"/>
      <c r="W12" s="761"/>
      <c r="X12" s="890"/>
      <c r="Y12" s="891"/>
      <c r="Z12" s="891"/>
      <c r="AA12" s="891"/>
      <c r="AB12" s="891"/>
      <c r="AC12" s="891"/>
      <c r="AD12" s="761"/>
      <c r="AE12" s="890"/>
      <c r="AF12" s="891"/>
      <c r="AG12" s="891"/>
      <c r="AH12" s="891"/>
      <c r="AI12" s="891"/>
      <c r="AJ12" s="891"/>
      <c r="AK12" s="761"/>
    </row>
    <row r="13" spans="1:37" ht="13.75" customHeight="1">
      <c r="A13" s="899" t="s">
        <v>593</v>
      </c>
      <c r="B13" s="900"/>
      <c r="C13" s="914"/>
      <c r="D13" s="915"/>
      <c r="E13" s="915"/>
      <c r="F13" s="915"/>
      <c r="G13" s="915"/>
      <c r="H13" s="915"/>
      <c r="I13" s="916"/>
      <c r="J13" s="907" t="s">
        <v>600</v>
      </c>
      <c r="K13" s="908"/>
      <c r="L13" s="908"/>
      <c r="M13" s="908"/>
      <c r="N13" s="908"/>
      <c r="O13" s="908"/>
      <c r="P13" s="909"/>
      <c r="Q13" s="890" t="s">
        <v>330</v>
      </c>
      <c r="R13" s="891"/>
      <c r="S13" s="891"/>
      <c r="T13" s="891"/>
      <c r="U13" s="891"/>
      <c r="V13" s="891"/>
      <c r="W13" s="761"/>
      <c r="X13" s="890"/>
      <c r="Y13" s="891"/>
      <c r="Z13" s="891"/>
      <c r="AA13" s="891"/>
      <c r="AB13" s="891"/>
      <c r="AC13" s="891"/>
      <c r="AD13" s="761"/>
      <c r="AE13" s="890"/>
      <c r="AF13" s="891"/>
      <c r="AG13" s="891"/>
      <c r="AH13" s="891"/>
      <c r="AI13" s="891"/>
      <c r="AJ13" s="891"/>
      <c r="AK13" s="761"/>
    </row>
    <row r="14" spans="1:37" ht="13.75" customHeight="1">
      <c r="A14" s="899" t="s">
        <v>30</v>
      </c>
      <c r="B14" s="900"/>
      <c r="C14" s="907" t="s">
        <v>30</v>
      </c>
      <c r="D14" s="908"/>
      <c r="E14" s="908"/>
      <c r="F14" s="908"/>
      <c r="G14" s="908"/>
      <c r="H14" s="908"/>
      <c r="I14" s="909"/>
      <c r="J14" s="907" t="s">
        <v>30</v>
      </c>
      <c r="K14" s="908"/>
      <c r="L14" s="908"/>
      <c r="M14" s="908"/>
      <c r="N14" s="908"/>
      <c r="O14" s="908"/>
      <c r="P14" s="909"/>
      <c r="Q14" s="890"/>
      <c r="R14" s="891"/>
      <c r="S14" s="891"/>
      <c r="T14" s="891"/>
      <c r="U14" s="891"/>
      <c r="V14" s="891"/>
      <c r="W14" s="761"/>
      <c r="X14" s="683"/>
      <c r="Y14" s="683"/>
      <c r="Z14" s="683"/>
      <c r="AA14" s="683"/>
      <c r="AB14" s="683"/>
      <c r="AC14" s="683"/>
      <c r="AD14" s="683"/>
      <c r="AE14" s="890"/>
      <c r="AF14" s="891"/>
      <c r="AG14" s="891"/>
      <c r="AH14" s="891"/>
      <c r="AI14" s="891"/>
      <c r="AJ14" s="891"/>
      <c r="AK14" s="761"/>
    </row>
    <row r="15" spans="1:37" ht="15.75" customHeight="1">
      <c r="A15" s="899" t="s">
        <v>30</v>
      </c>
      <c r="B15" s="900"/>
      <c r="C15" s="907"/>
      <c r="D15" s="908"/>
      <c r="E15" s="908"/>
      <c r="F15" s="908"/>
      <c r="G15" s="908"/>
      <c r="H15" s="908"/>
      <c r="I15" s="909"/>
      <c r="J15" s="907" t="s">
        <v>30</v>
      </c>
      <c r="K15" s="908"/>
      <c r="L15" s="908"/>
      <c r="M15" s="908"/>
      <c r="N15" s="908"/>
      <c r="O15" s="908"/>
      <c r="P15" s="909"/>
      <c r="Q15" s="890"/>
      <c r="R15" s="891"/>
      <c r="S15" s="891"/>
      <c r="T15" s="891"/>
      <c r="U15" s="891"/>
      <c r="V15" s="891"/>
      <c r="W15" s="761"/>
      <c r="X15" s="683"/>
      <c r="Y15" s="683"/>
      <c r="Z15" s="683"/>
      <c r="AA15" s="683"/>
      <c r="AB15" s="683"/>
      <c r="AC15" s="683"/>
      <c r="AD15" s="683"/>
      <c r="AE15" s="890"/>
      <c r="AF15" s="891"/>
      <c r="AG15" s="891"/>
      <c r="AH15" s="891"/>
      <c r="AI15" s="891"/>
      <c r="AJ15" s="891"/>
      <c r="AK15" s="761"/>
    </row>
    <row r="16" spans="1:37" ht="15.75" customHeight="1">
      <c r="A16" s="899" t="s">
        <v>30</v>
      </c>
      <c r="B16" s="900"/>
      <c r="C16" s="914"/>
      <c r="D16" s="915"/>
      <c r="E16" s="915"/>
      <c r="F16" s="915"/>
      <c r="G16" s="915"/>
      <c r="H16" s="915"/>
      <c r="I16" s="916"/>
      <c r="J16" s="907" t="s">
        <v>30</v>
      </c>
      <c r="K16" s="908"/>
      <c r="L16" s="908"/>
      <c r="M16" s="908"/>
      <c r="N16" s="908"/>
      <c r="O16" s="908"/>
      <c r="P16" s="909"/>
      <c r="Q16" s="890"/>
      <c r="R16" s="891"/>
      <c r="S16" s="891"/>
      <c r="T16" s="891"/>
      <c r="U16" s="891"/>
      <c r="V16" s="891"/>
      <c r="W16" s="761"/>
      <c r="X16" s="683"/>
      <c r="Y16" s="683"/>
      <c r="Z16" s="683"/>
      <c r="AA16" s="683"/>
      <c r="AB16" s="683"/>
      <c r="AC16" s="683"/>
      <c r="AD16" s="683"/>
      <c r="AE16" s="890"/>
      <c r="AF16" s="891"/>
      <c r="AG16" s="891"/>
      <c r="AH16" s="891"/>
      <c r="AI16" s="891"/>
      <c r="AJ16" s="891"/>
      <c r="AK16" s="761"/>
    </row>
    <row r="17" spans="4:16" ht="13.75" customHeight="1"/>
    <row r="18" spans="4:16" ht="13.75" customHeight="1"/>
    <row r="19" spans="4:16" ht="13.75" customHeight="1">
      <c r="D19" s="919" t="s">
        <v>470</v>
      </c>
      <c r="E19" s="919"/>
      <c r="F19" s="919"/>
      <c r="G19" s="919"/>
      <c r="H19" s="919"/>
      <c r="I19" s="919"/>
      <c r="J19" s="919"/>
      <c r="K19" s="920" t="s">
        <v>471</v>
      </c>
      <c r="L19" s="920"/>
      <c r="M19" s="920"/>
      <c r="N19" s="920"/>
      <c r="O19" s="920"/>
      <c r="P19" s="920"/>
    </row>
    <row r="20" spans="4:16" ht="13.75" customHeight="1">
      <c r="D20" s="917" t="s">
        <v>472</v>
      </c>
      <c r="E20" s="917"/>
      <c r="F20" s="917"/>
      <c r="G20" s="917"/>
      <c r="H20" s="917"/>
      <c r="I20" s="917"/>
      <c r="J20" s="917"/>
      <c r="K20" s="918" t="s">
        <v>353</v>
      </c>
      <c r="L20" s="918"/>
      <c r="M20" s="918"/>
      <c r="N20" s="918"/>
      <c r="O20" s="918"/>
      <c r="P20" s="918"/>
    </row>
    <row r="21" spans="4:16" ht="13.75" customHeight="1">
      <c r="D21" s="917" t="s">
        <v>473</v>
      </c>
      <c r="E21" s="917"/>
      <c r="F21" s="917"/>
      <c r="G21" s="917"/>
      <c r="H21" s="917"/>
      <c r="I21" s="917"/>
      <c r="J21" s="917"/>
      <c r="K21" s="918" t="s">
        <v>474</v>
      </c>
      <c r="L21" s="918"/>
      <c r="M21" s="918"/>
      <c r="N21" s="918"/>
      <c r="O21" s="918"/>
      <c r="P21" s="918"/>
    </row>
    <row r="22" spans="4:16" ht="13.75" customHeight="1">
      <c r="D22" s="917" t="s">
        <v>475</v>
      </c>
      <c r="E22" s="917"/>
      <c r="F22" s="917"/>
      <c r="G22" s="917"/>
      <c r="H22" s="917"/>
      <c r="I22" s="917"/>
      <c r="J22" s="917"/>
      <c r="K22" s="918" t="s">
        <v>360</v>
      </c>
      <c r="L22" s="918"/>
      <c r="M22" s="918"/>
      <c r="N22" s="918"/>
      <c r="O22" s="918"/>
      <c r="P22" s="918"/>
    </row>
  </sheetData>
  <mergeCells count="88">
    <mergeCell ref="D22:J22"/>
    <mergeCell ref="K22:P22"/>
    <mergeCell ref="D19:J19"/>
    <mergeCell ref="K19:P19"/>
    <mergeCell ref="D20:J20"/>
    <mergeCell ref="K20:P20"/>
    <mergeCell ref="D21:J21"/>
    <mergeCell ref="K21:P21"/>
    <mergeCell ref="A16:B16"/>
    <mergeCell ref="C16:I16"/>
    <mergeCell ref="J16:P16"/>
    <mergeCell ref="Q16:W16"/>
    <mergeCell ref="AE16:AK16"/>
    <mergeCell ref="A15:B15"/>
    <mergeCell ref="C15:I15"/>
    <mergeCell ref="J15:P15"/>
    <mergeCell ref="Q15:W15"/>
    <mergeCell ref="AE15:AK15"/>
    <mergeCell ref="A14:B14"/>
    <mergeCell ref="C14:I14"/>
    <mergeCell ref="J14:P14"/>
    <mergeCell ref="Q14:W14"/>
    <mergeCell ref="AE14:AK14"/>
    <mergeCell ref="AE13:AK13"/>
    <mergeCell ref="A12:B12"/>
    <mergeCell ref="J12:P12"/>
    <mergeCell ref="Q12:W12"/>
    <mergeCell ref="X12:AD12"/>
    <mergeCell ref="AE12:AK12"/>
    <mergeCell ref="A13:B13"/>
    <mergeCell ref="C13:I13"/>
    <mergeCell ref="J13:P13"/>
    <mergeCell ref="Q13:W13"/>
    <mergeCell ref="X13:AD13"/>
    <mergeCell ref="AE11:AK11"/>
    <mergeCell ref="A10:B10"/>
    <mergeCell ref="J10:P10"/>
    <mergeCell ref="Q10:W10"/>
    <mergeCell ref="X10:AD10"/>
    <mergeCell ref="AE10:AK10"/>
    <mergeCell ref="A11:B11"/>
    <mergeCell ref="C11:I11"/>
    <mergeCell ref="J11:P11"/>
    <mergeCell ref="Q11:W11"/>
    <mergeCell ref="X11:AD11"/>
    <mergeCell ref="AE9:AK9"/>
    <mergeCell ref="A8:B8"/>
    <mergeCell ref="C8:I8"/>
    <mergeCell ref="J8:P8"/>
    <mergeCell ref="Q8:W8"/>
    <mergeCell ref="X8:AD8"/>
    <mergeCell ref="AE8:AK8"/>
    <mergeCell ref="A9:B9"/>
    <mergeCell ref="C9:I9"/>
    <mergeCell ref="J9:P9"/>
    <mergeCell ref="Q9:W9"/>
    <mergeCell ref="X9:AD9"/>
    <mergeCell ref="AE7:AK7"/>
    <mergeCell ref="A7:B7"/>
    <mergeCell ref="C7:I7"/>
    <mergeCell ref="J7:P7"/>
    <mergeCell ref="Q7:W7"/>
    <mergeCell ref="X7:AD7"/>
    <mergeCell ref="AE6:AK6"/>
    <mergeCell ref="AE5:AK5"/>
    <mergeCell ref="A5:B5"/>
    <mergeCell ref="C5:I5"/>
    <mergeCell ref="J5:P5"/>
    <mergeCell ref="Q5:W5"/>
    <mergeCell ref="X5:AD5"/>
    <mergeCell ref="A6:B6"/>
    <mergeCell ref="C6:I6"/>
    <mergeCell ref="J6:P6"/>
    <mergeCell ref="Q6:W6"/>
    <mergeCell ref="X6:AD6"/>
    <mergeCell ref="AE4:AK4"/>
    <mergeCell ref="X3:AD3"/>
    <mergeCell ref="AE3:AK3"/>
    <mergeCell ref="A1:J1"/>
    <mergeCell ref="A2:B3"/>
    <mergeCell ref="C2:P3"/>
    <mergeCell ref="Q2:AK2"/>
    <mergeCell ref="Q3:W3"/>
    <mergeCell ref="A4:B4"/>
    <mergeCell ref="C4:I4"/>
    <mergeCell ref="J4:P4"/>
    <mergeCell ref="Q4:W4"/>
    <mergeCell ref="X4:AD4"/>
  </mergeCells>
  <phoneticPr fontId="56"/>
  <dataValidations count="1">
    <dataValidation type="list" allowBlank="1" showInputMessage="1" showErrorMessage="1" sqref="Q4:AK16" xr:uid="{B5A994E0-6FA0-4948-972A-344645ED9E26}">
      <formula1>$K$20:$K$22</formula1>
    </dataValidation>
  </dataValidations>
  <pageMargins left="0.7" right="0.7" top="0.75" bottom="0.75" header="0.3" footer="0.3"/>
  <pageSetup paperSize="9" scale="59" fitToHeight="0" orientation="landscape"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5BCCC-6E3B-4EA7-B6EA-E054CAC98B84}">
  <sheetPr>
    <pageSetUpPr fitToPage="1"/>
  </sheetPr>
  <dimension ref="A1:DZ65"/>
  <sheetViews>
    <sheetView showGridLines="0" view="pageBreakPreview" zoomScale="80" zoomScaleNormal="70" zoomScaleSheetLayoutView="80" workbookViewId="0">
      <selection sqref="A1:G1"/>
    </sheetView>
  </sheetViews>
  <sheetFormatPr defaultColWidth="2.54296875" defaultRowHeight="15"/>
  <cols>
    <col min="1" max="1" width="2.54296875" style="681"/>
    <col min="2" max="2" width="2.54296875" style="681" customWidth="1"/>
    <col min="3" max="10" width="2.54296875" style="681"/>
    <col min="11" max="16" width="3.26953125" style="681" customWidth="1"/>
    <col min="17" max="16384" width="2.54296875" style="681"/>
  </cols>
  <sheetData>
    <row r="1" spans="1:130" ht="13.75" customHeight="1">
      <c r="A1" s="893" t="s">
        <v>476</v>
      </c>
      <c r="B1" s="893"/>
      <c r="C1" s="893"/>
      <c r="D1" s="893"/>
      <c r="E1" s="893"/>
      <c r="F1" s="893"/>
      <c r="G1" s="893"/>
      <c r="H1" s="682"/>
      <c r="I1" s="682"/>
      <c r="J1" s="682"/>
      <c r="K1" s="682"/>
      <c r="L1" s="682"/>
      <c r="M1" s="682"/>
      <c r="N1" s="682"/>
      <c r="O1" s="682"/>
      <c r="P1" s="682"/>
      <c r="Q1" s="682"/>
      <c r="R1" s="682"/>
      <c r="S1" s="682"/>
      <c r="T1" s="682"/>
      <c r="U1" s="682"/>
      <c r="V1" s="682"/>
      <c r="W1" s="682"/>
      <c r="X1" s="682"/>
      <c r="Y1" s="682"/>
      <c r="Z1" s="682"/>
      <c r="AA1" s="682"/>
      <c r="AB1" s="682"/>
      <c r="AC1" s="682"/>
      <c r="AD1" s="682"/>
      <c r="AE1" s="682"/>
      <c r="AF1" s="682"/>
      <c r="AG1" s="682"/>
      <c r="AH1" s="682"/>
      <c r="AI1" s="682"/>
      <c r="AJ1" s="682"/>
      <c r="AK1" s="682"/>
      <c r="AL1" s="682"/>
      <c r="AM1" s="682"/>
      <c r="AN1" s="682"/>
      <c r="AO1" s="682"/>
      <c r="AP1" s="682"/>
      <c r="AQ1" s="682"/>
      <c r="AR1" s="682"/>
      <c r="AS1" s="682"/>
      <c r="AT1" s="682"/>
      <c r="AU1" s="682"/>
      <c r="AV1" s="682"/>
      <c r="AW1" s="682"/>
      <c r="AX1" s="682"/>
      <c r="AY1" s="682"/>
      <c r="AZ1" s="682"/>
      <c r="BA1" s="682"/>
      <c r="BB1" s="682"/>
      <c r="BC1" s="682"/>
      <c r="BD1" s="682"/>
      <c r="BE1" s="682"/>
      <c r="BF1" s="682"/>
      <c r="BG1" s="682"/>
      <c r="BH1" s="682"/>
      <c r="BI1" s="682"/>
      <c r="BJ1" s="682"/>
      <c r="BK1" s="682"/>
      <c r="BL1" s="682"/>
      <c r="BM1" s="682"/>
      <c r="BN1" s="682"/>
      <c r="BO1" s="682"/>
      <c r="BP1" s="682"/>
      <c r="BQ1" s="682"/>
      <c r="BR1" s="682"/>
      <c r="BS1" s="682"/>
      <c r="BT1" s="682"/>
      <c r="BU1" s="682"/>
      <c r="BV1" s="682"/>
      <c r="BW1" s="682"/>
      <c r="BX1" s="682"/>
      <c r="BY1" s="682"/>
      <c r="BZ1" s="682"/>
      <c r="CA1" s="682"/>
      <c r="CB1" s="682"/>
      <c r="CC1" s="682"/>
      <c r="CD1" s="682"/>
      <c r="CE1" s="682"/>
      <c r="CF1" s="682"/>
      <c r="CG1" s="682"/>
      <c r="CH1" s="682"/>
      <c r="CI1" s="682"/>
      <c r="CJ1" s="682"/>
      <c r="CK1" s="682"/>
      <c r="CL1" s="682"/>
      <c r="CM1" s="682"/>
      <c r="CN1" s="682"/>
      <c r="CO1" s="682"/>
      <c r="CP1" s="682"/>
      <c r="CQ1" s="682"/>
      <c r="CR1" s="682"/>
      <c r="CS1" s="682"/>
      <c r="CT1" s="682"/>
      <c r="CU1" s="682"/>
      <c r="CV1" s="682"/>
      <c r="CW1" s="682"/>
      <c r="CX1" s="682"/>
      <c r="CY1" s="682"/>
      <c r="CZ1" s="682"/>
      <c r="DA1" s="682"/>
      <c r="DB1" s="682"/>
      <c r="DC1" s="682"/>
      <c r="DD1" s="682"/>
      <c r="DE1" s="682"/>
      <c r="DF1" s="682"/>
      <c r="DG1" s="682"/>
      <c r="DH1" s="682"/>
      <c r="DI1" s="682"/>
      <c r="DJ1" s="682"/>
      <c r="DK1" s="682"/>
      <c r="DL1" s="682"/>
      <c r="DM1" s="688"/>
      <c r="DN1" s="688"/>
      <c r="DO1" s="688"/>
      <c r="DP1" s="688"/>
      <c r="DQ1" s="688"/>
      <c r="DR1" s="688"/>
      <c r="DS1" s="688"/>
      <c r="DT1" s="688"/>
      <c r="DU1" s="688"/>
      <c r="DV1" s="688"/>
      <c r="DW1" s="688"/>
      <c r="DX1" s="688"/>
      <c r="DY1" s="688"/>
      <c r="DZ1" s="688"/>
    </row>
    <row r="2" spans="1:130" ht="13.75" customHeight="1">
      <c r="A2" s="894" t="s">
        <v>340</v>
      </c>
      <c r="B2" s="895"/>
      <c r="C2" s="925" t="s">
        <v>477</v>
      </c>
      <c r="D2" s="926"/>
      <c r="E2" s="926"/>
      <c r="F2" s="926"/>
      <c r="G2" s="926"/>
      <c r="H2" s="926"/>
      <c r="I2" s="927"/>
      <c r="J2" s="894" t="s">
        <v>478</v>
      </c>
      <c r="K2" s="895"/>
      <c r="L2" s="895"/>
      <c r="M2" s="895"/>
      <c r="N2" s="895"/>
      <c r="O2" s="895"/>
      <c r="P2" s="894" t="s">
        <v>479</v>
      </c>
      <c r="Q2" s="895"/>
      <c r="R2" s="895"/>
      <c r="S2" s="895"/>
      <c r="T2" s="895"/>
      <c r="U2" s="895"/>
      <c r="V2" s="895"/>
      <c r="W2" s="895"/>
      <c r="X2" s="894" t="s">
        <v>480</v>
      </c>
      <c r="Y2" s="895"/>
      <c r="Z2" s="895"/>
      <c r="AA2" s="895"/>
      <c r="AB2" s="895"/>
      <c r="AC2" s="895"/>
      <c r="AD2" s="895"/>
      <c r="AE2" s="895"/>
      <c r="AF2" s="925" t="s">
        <v>481</v>
      </c>
      <c r="AG2" s="926"/>
      <c r="AH2" s="926"/>
      <c r="AI2" s="926"/>
      <c r="AJ2" s="926"/>
      <c r="AK2" s="926"/>
      <c r="AL2" s="926"/>
      <c r="AM2" s="926"/>
      <c r="AN2" s="927"/>
      <c r="AO2" s="896" t="s">
        <v>482</v>
      </c>
      <c r="AP2" s="897"/>
      <c r="AQ2" s="897"/>
      <c r="AR2" s="897"/>
      <c r="AS2" s="897"/>
      <c r="AT2" s="897"/>
      <c r="AU2" s="897"/>
      <c r="AV2" s="897"/>
      <c r="AW2" s="897"/>
      <c r="AX2" s="897"/>
      <c r="AY2" s="897"/>
      <c r="AZ2" s="897"/>
      <c r="BA2" s="897"/>
      <c r="BB2" s="897"/>
      <c r="BC2" s="897"/>
      <c r="BD2" s="897"/>
      <c r="BE2" s="897"/>
      <c r="BF2" s="897"/>
      <c r="BG2" s="897"/>
      <c r="BH2" s="897"/>
      <c r="BI2" s="897"/>
      <c r="BJ2" s="897"/>
      <c r="BK2" s="897"/>
      <c r="BL2" s="897"/>
      <c r="BM2" s="897"/>
      <c r="BN2" s="897"/>
      <c r="BO2" s="897"/>
      <c r="BP2" s="897"/>
      <c r="BQ2" s="897"/>
      <c r="BR2" s="897"/>
      <c r="BS2" s="897"/>
      <c r="BT2" s="897"/>
      <c r="BU2" s="897"/>
      <c r="BV2" s="897"/>
      <c r="BW2" s="897"/>
      <c r="BX2" s="897"/>
      <c r="BY2" s="897"/>
      <c r="BZ2" s="897"/>
      <c r="CA2" s="897"/>
      <c r="CB2" s="897"/>
      <c r="CC2" s="897"/>
      <c r="CD2" s="897"/>
      <c r="CE2" s="897"/>
      <c r="CF2" s="897"/>
      <c r="CG2" s="898"/>
      <c r="CH2" s="894" t="s">
        <v>315</v>
      </c>
      <c r="CI2" s="895"/>
      <c r="CJ2" s="895"/>
      <c r="CK2" s="895"/>
      <c r="CL2" s="895"/>
      <c r="CM2" s="895"/>
      <c r="CN2" s="895"/>
      <c r="CO2" s="895"/>
      <c r="CP2" s="688"/>
      <c r="CQ2" s="688"/>
      <c r="CR2" s="688"/>
      <c r="CS2" s="688"/>
      <c r="CT2" s="688"/>
      <c r="CU2" s="688"/>
      <c r="CV2" s="688"/>
      <c r="CW2" s="688"/>
      <c r="CX2" s="688"/>
      <c r="CY2" s="688"/>
      <c r="CZ2" s="688"/>
      <c r="DA2" s="688"/>
      <c r="DB2" s="688"/>
      <c r="DC2" s="688"/>
      <c r="DD2" s="688"/>
      <c r="DE2" s="688"/>
      <c r="DF2" s="688"/>
      <c r="DG2" s="688"/>
      <c r="DH2" s="688"/>
      <c r="DI2" s="688"/>
      <c r="DJ2" s="688"/>
      <c r="DK2" s="688"/>
      <c r="DL2" s="688"/>
      <c r="DM2" s="688"/>
      <c r="DN2" s="688"/>
      <c r="DO2" s="688"/>
      <c r="DP2" s="688"/>
      <c r="DQ2" s="688"/>
      <c r="DR2" s="688"/>
      <c r="DS2" s="688"/>
      <c r="DT2" s="688"/>
      <c r="DU2" s="688"/>
      <c r="DV2" s="688"/>
      <c r="DW2" s="688"/>
      <c r="DX2" s="688"/>
      <c r="DY2" s="688"/>
      <c r="DZ2" s="688"/>
    </row>
    <row r="3" spans="1:130" ht="48.75" customHeight="1">
      <c r="A3" s="895"/>
      <c r="B3" s="895"/>
      <c r="C3" s="928"/>
      <c r="D3" s="929"/>
      <c r="E3" s="929"/>
      <c r="F3" s="929"/>
      <c r="G3" s="929"/>
      <c r="H3" s="929"/>
      <c r="I3" s="930"/>
      <c r="J3" s="895"/>
      <c r="K3" s="895"/>
      <c r="L3" s="895"/>
      <c r="M3" s="895"/>
      <c r="N3" s="895"/>
      <c r="O3" s="895"/>
      <c r="P3" s="895"/>
      <c r="Q3" s="895"/>
      <c r="R3" s="895"/>
      <c r="S3" s="895"/>
      <c r="T3" s="895"/>
      <c r="U3" s="895"/>
      <c r="V3" s="895"/>
      <c r="W3" s="895"/>
      <c r="X3" s="895"/>
      <c r="Y3" s="895"/>
      <c r="Z3" s="895"/>
      <c r="AA3" s="895"/>
      <c r="AB3" s="895"/>
      <c r="AC3" s="895"/>
      <c r="AD3" s="895"/>
      <c r="AE3" s="895"/>
      <c r="AF3" s="928"/>
      <c r="AG3" s="929"/>
      <c r="AH3" s="929"/>
      <c r="AI3" s="929"/>
      <c r="AJ3" s="929"/>
      <c r="AK3" s="929"/>
      <c r="AL3" s="929"/>
      <c r="AM3" s="929"/>
      <c r="AN3" s="930"/>
      <c r="AO3" s="922" t="s">
        <v>483</v>
      </c>
      <c r="AP3" s="923"/>
      <c r="AQ3" s="923"/>
      <c r="AR3" s="923"/>
      <c r="AS3" s="924"/>
      <c r="AT3" s="922" t="s">
        <v>484</v>
      </c>
      <c r="AU3" s="923"/>
      <c r="AV3" s="923"/>
      <c r="AW3" s="923"/>
      <c r="AX3" s="924"/>
      <c r="AY3" s="921"/>
      <c r="AZ3" s="921"/>
      <c r="BA3" s="921"/>
      <c r="BB3" s="921"/>
      <c r="BC3" s="921"/>
      <c r="BD3" s="921"/>
      <c r="BE3" s="921"/>
      <c r="BF3" s="921"/>
      <c r="BG3" s="921"/>
      <c r="BH3" s="921"/>
      <c r="BI3" s="921"/>
      <c r="BJ3" s="921"/>
      <c r="BK3" s="921"/>
      <c r="BL3" s="921"/>
      <c r="BM3" s="921"/>
      <c r="BN3" s="921" t="s">
        <v>30</v>
      </c>
      <c r="BO3" s="921"/>
      <c r="BP3" s="921"/>
      <c r="BQ3" s="921"/>
      <c r="BR3" s="921"/>
      <c r="BS3" s="921" t="s">
        <v>30</v>
      </c>
      <c r="BT3" s="921"/>
      <c r="BU3" s="921"/>
      <c r="BV3" s="921"/>
      <c r="BW3" s="921"/>
      <c r="BX3" s="921" t="s">
        <v>30</v>
      </c>
      <c r="BY3" s="921"/>
      <c r="BZ3" s="921"/>
      <c r="CA3" s="921"/>
      <c r="CB3" s="921"/>
      <c r="CC3" s="921" t="s">
        <v>30</v>
      </c>
      <c r="CD3" s="921"/>
      <c r="CE3" s="921"/>
      <c r="CF3" s="921"/>
      <c r="CG3" s="921"/>
      <c r="CH3" s="895"/>
      <c r="CI3" s="895"/>
      <c r="CJ3" s="895"/>
      <c r="CK3" s="895"/>
      <c r="CL3" s="895"/>
      <c r="CM3" s="895"/>
      <c r="CN3" s="895"/>
      <c r="CO3" s="895"/>
      <c r="CP3" s="688"/>
      <c r="CQ3" s="688"/>
      <c r="CR3" s="688"/>
      <c r="CS3" s="688"/>
      <c r="CT3" s="688"/>
      <c r="CU3" s="688"/>
      <c r="CV3" s="688"/>
      <c r="CW3" s="688"/>
      <c r="CX3" s="688"/>
      <c r="CY3" s="688"/>
      <c r="CZ3" s="688"/>
      <c r="DA3" s="688"/>
      <c r="DB3" s="688"/>
      <c r="DC3" s="688"/>
      <c r="DD3" s="688"/>
      <c r="DE3" s="688"/>
      <c r="DF3" s="688"/>
      <c r="DG3" s="688"/>
      <c r="DH3" s="688"/>
      <c r="DI3" s="688"/>
      <c r="DJ3" s="688"/>
      <c r="DK3" s="688"/>
      <c r="DL3" s="688"/>
      <c r="DM3" s="688"/>
      <c r="DN3" s="688"/>
      <c r="DO3" s="688"/>
      <c r="DP3" s="688"/>
      <c r="DQ3" s="688"/>
      <c r="DR3" s="688"/>
      <c r="DS3" s="688"/>
      <c r="DT3" s="688"/>
      <c r="DU3" s="688"/>
      <c r="DV3" s="688"/>
      <c r="DW3" s="688"/>
      <c r="DX3" s="688"/>
      <c r="DY3" s="688"/>
      <c r="DZ3" s="688"/>
    </row>
    <row r="4" spans="1:130" s="690" customFormat="1" ht="30.25" customHeight="1">
      <c r="A4" s="921">
        <v>1</v>
      </c>
      <c r="B4" s="921"/>
      <c r="C4" s="931" t="s">
        <v>338</v>
      </c>
      <c r="D4" s="932"/>
      <c r="E4" s="932"/>
      <c r="F4" s="932"/>
      <c r="G4" s="932"/>
      <c r="H4" s="932"/>
      <c r="I4" s="933"/>
      <c r="J4" s="892" t="s">
        <v>485</v>
      </c>
      <c r="K4" s="892"/>
      <c r="L4" s="892"/>
      <c r="M4" s="892"/>
      <c r="N4" s="892"/>
      <c r="O4" s="892"/>
      <c r="P4" s="934" t="s">
        <v>302</v>
      </c>
      <c r="Q4" s="934"/>
      <c r="R4" s="934"/>
      <c r="S4" s="934"/>
      <c r="T4" s="934"/>
      <c r="U4" s="935" t="s">
        <v>302</v>
      </c>
      <c r="V4" s="935"/>
      <c r="W4" s="935"/>
      <c r="X4" s="936" t="s">
        <v>486</v>
      </c>
      <c r="Y4" s="835"/>
      <c r="Z4" s="835"/>
      <c r="AA4" s="835"/>
      <c r="AB4" s="835"/>
      <c r="AC4" s="835"/>
      <c r="AD4" s="835"/>
      <c r="AE4" s="937"/>
      <c r="AF4" s="938"/>
      <c r="AG4" s="939"/>
      <c r="AH4" s="939"/>
      <c r="AI4" s="939"/>
      <c r="AJ4" s="939"/>
      <c r="AK4" s="939"/>
      <c r="AL4" s="939"/>
      <c r="AM4" s="939"/>
      <c r="AN4" s="940"/>
      <c r="AO4" s="943" t="s">
        <v>487</v>
      </c>
      <c r="AP4" s="944"/>
      <c r="AQ4" s="944"/>
      <c r="AR4" s="944"/>
      <c r="AS4" s="945"/>
      <c r="AT4" s="943" t="s">
        <v>487</v>
      </c>
      <c r="AU4" s="944"/>
      <c r="AV4" s="944"/>
      <c r="AW4" s="944"/>
      <c r="AX4" s="945"/>
      <c r="AY4" s="892"/>
      <c r="AZ4" s="892"/>
      <c r="BA4" s="892"/>
      <c r="BB4" s="892"/>
      <c r="BC4" s="892"/>
      <c r="BD4" s="892"/>
      <c r="BE4" s="892"/>
      <c r="BF4" s="892"/>
      <c r="BG4" s="892"/>
      <c r="BH4" s="892"/>
      <c r="BI4" s="941"/>
      <c r="BJ4" s="941"/>
      <c r="BK4" s="941"/>
      <c r="BL4" s="941"/>
      <c r="BM4" s="941"/>
      <c r="BN4" s="941"/>
      <c r="BO4" s="941"/>
      <c r="BP4" s="941"/>
      <c r="BQ4" s="941"/>
      <c r="BR4" s="941"/>
      <c r="BS4" s="941"/>
      <c r="BT4" s="941"/>
      <c r="BU4" s="941"/>
      <c r="BV4" s="941"/>
      <c r="BW4" s="941"/>
      <c r="BX4" s="941"/>
      <c r="BY4" s="941"/>
      <c r="BZ4" s="941"/>
      <c r="CA4" s="941"/>
      <c r="CB4" s="941"/>
      <c r="CC4" s="941"/>
      <c r="CD4" s="941"/>
      <c r="CE4" s="941"/>
      <c r="CF4" s="941"/>
      <c r="CG4" s="941"/>
      <c r="CH4" s="942"/>
      <c r="CI4" s="942"/>
      <c r="CJ4" s="942"/>
      <c r="CK4" s="942"/>
      <c r="CL4" s="942"/>
      <c r="CM4" s="942"/>
      <c r="CN4" s="942"/>
      <c r="CO4" s="942"/>
      <c r="CP4" s="689"/>
      <c r="CQ4" s="689"/>
      <c r="CR4" s="689"/>
      <c r="CS4" s="689"/>
      <c r="CT4" s="689"/>
      <c r="CU4" s="689"/>
      <c r="CV4" s="689"/>
      <c r="CW4" s="689"/>
      <c r="CX4" s="689"/>
      <c r="CY4" s="689"/>
      <c r="CZ4" s="689"/>
      <c r="DA4" s="689"/>
      <c r="DB4" s="689"/>
      <c r="DC4" s="689"/>
      <c r="DD4" s="689"/>
      <c r="DE4" s="689"/>
      <c r="DF4" s="689"/>
      <c r="DG4" s="689"/>
      <c r="DH4" s="689"/>
      <c r="DI4" s="689"/>
      <c r="DJ4" s="689"/>
      <c r="DK4" s="689"/>
      <c r="DL4" s="689"/>
      <c r="DM4" s="689"/>
      <c r="DN4" s="689"/>
      <c r="DO4" s="689"/>
      <c r="DP4" s="689"/>
      <c r="DQ4" s="689"/>
      <c r="DR4" s="689"/>
      <c r="DS4" s="689"/>
      <c r="DT4" s="689"/>
      <c r="DU4" s="689"/>
      <c r="DV4" s="689"/>
      <c r="DW4" s="689"/>
      <c r="DX4" s="689"/>
      <c r="DY4" s="689"/>
      <c r="DZ4" s="689"/>
    </row>
    <row r="5" spans="1:130" s="690" customFormat="1" ht="30.25" customHeight="1">
      <c r="A5" s="921">
        <v>2</v>
      </c>
      <c r="B5" s="921"/>
      <c r="C5" s="931" t="s">
        <v>338</v>
      </c>
      <c r="D5" s="932"/>
      <c r="E5" s="932"/>
      <c r="F5" s="932"/>
      <c r="G5" s="932"/>
      <c r="H5" s="932"/>
      <c r="I5" s="933"/>
      <c r="J5" s="892" t="s">
        <v>491</v>
      </c>
      <c r="K5" s="892"/>
      <c r="L5" s="892"/>
      <c r="M5" s="892"/>
      <c r="N5" s="892"/>
      <c r="O5" s="892"/>
      <c r="P5" s="946" t="s">
        <v>492</v>
      </c>
      <c r="Q5" s="946"/>
      <c r="R5" s="946"/>
      <c r="S5" s="946"/>
      <c r="T5" s="946"/>
      <c r="U5" s="947">
        <v>255</v>
      </c>
      <c r="V5" s="947"/>
      <c r="W5" s="947"/>
      <c r="X5" s="936" t="s">
        <v>493</v>
      </c>
      <c r="Y5" s="835"/>
      <c r="Z5" s="835"/>
      <c r="AA5" s="835"/>
      <c r="AB5" s="835"/>
      <c r="AC5" s="835"/>
      <c r="AD5" s="835"/>
      <c r="AE5" s="937"/>
      <c r="AF5" s="938"/>
      <c r="AG5" s="939"/>
      <c r="AH5" s="939"/>
      <c r="AI5" s="939"/>
      <c r="AJ5" s="939"/>
      <c r="AK5" s="939"/>
      <c r="AL5" s="939"/>
      <c r="AM5" s="939"/>
      <c r="AN5" s="940"/>
      <c r="AO5" s="943" t="s">
        <v>487</v>
      </c>
      <c r="AP5" s="944"/>
      <c r="AQ5" s="944"/>
      <c r="AR5" s="944"/>
      <c r="AS5" s="945"/>
      <c r="AT5" s="943" t="s">
        <v>487</v>
      </c>
      <c r="AU5" s="944"/>
      <c r="AV5" s="944"/>
      <c r="AW5" s="944"/>
      <c r="AX5" s="945"/>
      <c r="AY5" s="892"/>
      <c r="AZ5" s="892"/>
      <c r="BA5" s="892"/>
      <c r="BB5" s="892"/>
      <c r="BC5" s="892"/>
      <c r="BD5" s="892"/>
      <c r="BE5" s="892"/>
      <c r="BF5" s="892"/>
      <c r="BG5" s="892"/>
      <c r="BH5" s="892"/>
      <c r="BI5" s="941"/>
      <c r="BJ5" s="941"/>
      <c r="BK5" s="941"/>
      <c r="BL5" s="941"/>
      <c r="BM5" s="941"/>
      <c r="BN5" s="941"/>
      <c r="BO5" s="941"/>
      <c r="BP5" s="941"/>
      <c r="BQ5" s="941"/>
      <c r="BR5" s="941"/>
      <c r="BS5" s="941"/>
      <c r="BT5" s="941"/>
      <c r="BU5" s="941"/>
      <c r="BV5" s="941"/>
      <c r="BW5" s="941"/>
      <c r="BX5" s="941"/>
      <c r="BY5" s="941"/>
      <c r="BZ5" s="941"/>
      <c r="CA5" s="941"/>
      <c r="CB5" s="941"/>
      <c r="CC5" s="941"/>
      <c r="CD5" s="941"/>
      <c r="CE5" s="941"/>
      <c r="CF5" s="941"/>
      <c r="CG5" s="941"/>
      <c r="CH5" s="942"/>
      <c r="CI5" s="942"/>
      <c r="CJ5" s="942"/>
      <c r="CK5" s="942"/>
      <c r="CL5" s="942"/>
      <c r="CM5" s="942"/>
      <c r="CN5" s="942"/>
      <c r="CO5" s="942"/>
      <c r="CP5" s="689"/>
      <c r="CQ5" s="689"/>
      <c r="CR5" s="689"/>
      <c r="CS5" s="689"/>
      <c r="CT5" s="689"/>
      <c r="CU5" s="689"/>
      <c r="CV5" s="689"/>
      <c r="CW5" s="689"/>
      <c r="CX5" s="689"/>
      <c r="CY5" s="689"/>
      <c r="CZ5" s="689"/>
      <c r="DA5" s="689"/>
      <c r="DB5" s="689"/>
      <c r="DC5" s="689"/>
      <c r="DD5" s="689"/>
      <c r="DE5" s="689"/>
      <c r="DF5" s="689"/>
      <c r="DG5" s="689"/>
      <c r="DH5" s="689"/>
      <c r="DI5" s="689"/>
      <c r="DJ5" s="689"/>
      <c r="DK5" s="689"/>
      <c r="DL5" s="689"/>
      <c r="DM5" s="689"/>
      <c r="DN5" s="689"/>
      <c r="DO5" s="689"/>
      <c r="DP5" s="689"/>
      <c r="DQ5" s="689"/>
      <c r="DR5" s="689"/>
      <c r="DS5" s="689"/>
      <c r="DT5" s="689"/>
      <c r="DU5" s="689"/>
      <c r="DV5" s="689"/>
      <c r="DW5" s="689"/>
      <c r="DX5" s="689"/>
      <c r="DY5" s="689"/>
      <c r="DZ5" s="689"/>
    </row>
    <row r="6" spans="1:130" ht="91.5" customHeight="1">
      <c r="A6" s="921">
        <v>3</v>
      </c>
      <c r="B6" s="921"/>
      <c r="C6" s="938" t="s">
        <v>335</v>
      </c>
      <c r="D6" s="939"/>
      <c r="E6" s="939"/>
      <c r="F6" s="939"/>
      <c r="G6" s="939"/>
      <c r="H6" s="939"/>
      <c r="I6" s="940"/>
      <c r="J6" s="892" t="s">
        <v>491</v>
      </c>
      <c r="K6" s="892"/>
      <c r="L6" s="892"/>
      <c r="M6" s="892"/>
      <c r="N6" s="892"/>
      <c r="O6" s="892"/>
      <c r="P6" s="946" t="s">
        <v>492</v>
      </c>
      <c r="Q6" s="946"/>
      <c r="R6" s="946"/>
      <c r="S6" s="946"/>
      <c r="T6" s="946"/>
      <c r="U6" s="952">
        <v>100</v>
      </c>
      <c r="V6" s="952"/>
      <c r="W6" s="952"/>
      <c r="X6" s="936" t="s">
        <v>493</v>
      </c>
      <c r="Y6" s="835"/>
      <c r="Z6" s="835"/>
      <c r="AA6" s="835"/>
      <c r="AB6" s="835"/>
      <c r="AC6" s="835"/>
      <c r="AD6" s="835"/>
      <c r="AE6" s="937"/>
      <c r="AF6" s="938"/>
      <c r="AG6" s="939"/>
      <c r="AH6" s="939"/>
      <c r="AI6" s="939"/>
      <c r="AJ6" s="939"/>
      <c r="AK6" s="939"/>
      <c r="AL6" s="939"/>
      <c r="AM6" s="939"/>
      <c r="AN6" s="940"/>
      <c r="AO6" s="943" t="s">
        <v>487</v>
      </c>
      <c r="AP6" s="944"/>
      <c r="AQ6" s="944"/>
      <c r="AR6" s="944"/>
      <c r="AS6" s="945"/>
      <c r="AT6" s="943" t="s">
        <v>487</v>
      </c>
      <c r="AU6" s="944"/>
      <c r="AV6" s="944"/>
      <c r="AW6" s="944"/>
      <c r="AX6" s="945"/>
      <c r="AY6" s="949"/>
      <c r="AZ6" s="950"/>
      <c r="BA6" s="950"/>
      <c r="BB6" s="950"/>
      <c r="BC6" s="951"/>
      <c r="BD6" s="948"/>
      <c r="BE6" s="948"/>
      <c r="BF6" s="948"/>
      <c r="BG6" s="948"/>
      <c r="BH6" s="948"/>
      <c r="BI6" s="948"/>
      <c r="BJ6" s="948"/>
      <c r="BK6" s="948"/>
      <c r="BL6" s="948"/>
      <c r="BM6" s="948"/>
      <c r="BN6" s="948"/>
      <c r="BO6" s="948"/>
      <c r="BP6" s="948"/>
      <c r="BQ6" s="948"/>
      <c r="BR6" s="948"/>
      <c r="BS6" s="948"/>
      <c r="BT6" s="948"/>
      <c r="BU6" s="948"/>
      <c r="BV6" s="948"/>
      <c r="BW6" s="948"/>
      <c r="BX6" s="948"/>
      <c r="BY6" s="948"/>
      <c r="BZ6" s="948"/>
      <c r="CA6" s="948"/>
      <c r="CB6" s="948"/>
      <c r="CC6" s="948"/>
      <c r="CD6" s="948"/>
      <c r="CE6" s="948"/>
      <c r="CF6" s="948"/>
      <c r="CG6" s="948"/>
      <c r="CH6" s="921"/>
      <c r="CI6" s="921"/>
      <c r="CJ6" s="921"/>
      <c r="CK6" s="921"/>
      <c r="CL6" s="921"/>
      <c r="CM6" s="921"/>
      <c r="CN6" s="921"/>
      <c r="CO6" s="921"/>
      <c r="CP6" s="688"/>
      <c r="CQ6" s="688"/>
      <c r="CR6" s="688"/>
      <c r="CS6" s="688"/>
      <c r="CT6" s="688"/>
      <c r="CU6" s="688"/>
      <c r="CV6" s="688"/>
      <c r="CW6" s="688"/>
      <c r="CX6" s="688"/>
      <c r="CY6" s="688"/>
      <c r="CZ6" s="688"/>
      <c r="DA6" s="688"/>
      <c r="DB6" s="688"/>
      <c r="DC6" s="688"/>
      <c r="DD6" s="688"/>
      <c r="DE6" s="688"/>
      <c r="DF6" s="688"/>
      <c r="DG6" s="688"/>
      <c r="DH6" s="688"/>
      <c r="DI6" s="688"/>
      <c r="DJ6" s="688"/>
      <c r="DK6" s="688"/>
      <c r="DL6" s="688"/>
      <c r="DM6" s="688"/>
      <c r="DN6" s="688"/>
      <c r="DO6" s="688"/>
      <c r="DP6" s="688"/>
      <c r="DQ6" s="688"/>
      <c r="DR6" s="688"/>
      <c r="DS6" s="688"/>
      <c r="DT6" s="688"/>
      <c r="DU6" s="688"/>
      <c r="DV6" s="688"/>
      <c r="DW6" s="688"/>
      <c r="DX6" s="688"/>
      <c r="DY6" s="688"/>
      <c r="DZ6" s="688"/>
    </row>
    <row r="7" spans="1:130" s="690" customFormat="1" ht="30.25" customHeight="1">
      <c r="A7" s="921">
        <v>4</v>
      </c>
      <c r="B7" s="921"/>
      <c r="C7" s="938" t="s">
        <v>442</v>
      </c>
      <c r="D7" s="939"/>
      <c r="E7" s="939"/>
      <c r="F7" s="939"/>
      <c r="G7" s="939"/>
      <c r="H7" s="939"/>
      <c r="I7" s="940"/>
      <c r="J7" s="892" t="s">
        <v>485</v>
      </c>
      <c r="K7" s="892"/>
      <c r="L7" s="892"/>
      <c r="M7" s="892"/>
      <c r="N7" s="892"/>
      <c r="O7" s="892"/>
      <c r="P7" s="934" t="s">
        <v>302</v>
      </c>
      <c r="Q7" s="934"/>
      <c r="R7" s="934"/>
      <c r="S7" s="934"/>
      <c r="T7" s="934"/>
      <c r="U7" s="935" t="s">
        <v>302</v>
      </c>
      <c r="V7" s="935"/>
      <c r="W7" s="935"/>
      <c r="X7" s="936" t="s">
        <v>486</v>
      </c>
      <c r="Y7" s="835"/>
      <c r="Z7" s="835"/>
      <c r="AA7" s="835"/>
      <c r="AB7" s="835"/>
      <c r="AC7" s="835"/>
      <c r="AD7" s="835"/>
      <c r="AE7" s="937"/>
      <c r="AF7" s="938"/>
      <c r="AG7" s="939"/>
      <c r="AH7" s="939"/>
      <c r="AI7" s="939"/>
      <c r="AJ7" s="939"/>
      <c r="AK7" s="939"/>
      <c r="AL7" s="939"/>
      <c r="AM7" s="939"/>
      <c r="AN7" s="940"/>
      <c r="AO7" s="954" t="s">
        <v>302</v>
      </c>
      <c r="AP7" s="944"/>
      <c r="AQ7" s="944"/>
      <c r="AR7" s="944"/>
      <c r="AS7" s="945"/>
      <c r="AT7" s="943" t="s">
        <v>487</v>
      </c>
      <c r="AU7" s="944"/>
      <c r="AV7" s="944"/>
      <c r="AW7" s="944"/>
      <c r="AX7" s="945"/>
      <c r="AY7" s="892"/>
      <c r="AZ7" s="892"/>
      <c r="BA7" s="892"/>
      <c r="BB7" s="892"/>
      <c r="BC7" s="892"/>
      <c r="BD7" s="892"/>
      <c r="BE7" s="892"/>
      <c r="BF7" s="892"/>
      <c r="BG7" s="892"/>
      <c r="BH7" s="892"/>
      <c r="BI7" s="948"/>
      <c r="BJ7" s="948"/>
      <c r="BK7" s="948"/>
      <c r="BL7" s="948"/>
      <c r="BM7" s="948"/>
      <c r="BN7" s="948"/>
      <c r="BO7" s="948"/>
      <c r="BP7" s="948"/>
      <c r="BQ7" s="948"/>
      <c r="BR7" s="948"/>
      <c r="BS7" s="948"/>
      <c r="BT7" s="948"/>
      <c r="BU7" s="948"/>
      <c r="BV7" s="948"/>
      <c r="BW7" s="948"/>
      <c r="BX7" s="948"/>
      <c r="BY7" s="948"/>
      <c r="BZ7" s="948"/>
      <c r="CA7" s="948"/>
      <c r="CB7" s="948"/>
      <c r="CC7" s="948"/>
      <c r="CD7" s="948"/>
      <c r="CE7" s="948"/>
      <c r="CF7" s="948"/>
      <c r="CG7" s="948"/>
      <c r="CH7" s="953"/>
      <c r="CI7" s="953"/>
      <c r="CJ7" s="953"/>
      <c r="CK7" s="953"/>
      <c r="CL7" s="953"/>
      <c r="CM7" s="953"/>
      <c r="CN7" s="953"/>
      <c r="CO7" s="953"/>
      <c r="CP7" s="691"/>
      <c r="CQ7" s="691"/>
      <c r="CR7" s="691"/>
      <c r="CS7" s="691"/>
      <c r="CT7" s="691"/>
      <c r="CU7" s="691"/>
      <c r="CV7" s="691"/>
      <c r="CW7" s="691"/>
      <c r="CX7" s="691"/>
      <c r="CY7" s="691"/>
      <c r="CZ7" s="691"/>
      <c r="DA7" s="691"/>
      <c r="DB7" s="691"/>
      <c r="DC7" s="691"/>
      <c r="DD7" s="691"/>
      <c r="DE7" s="691"/>
      <c r="DF7" s="691"/>
      <c r="DG7" s="691"/>
      <c r="DH7" s="691"/>
      <c r="DI7" s="691"/>
      <c r="DJ7" s="691"/>
      <c r="DK7" s="691"/>
      <c r="DL7" s="691"/>
      <c r="DM7" s="691"/>
      <c r="DN7" s="691"/>
      <c r="DO7" s="691"/>
      <c r="DP7" s="691"/>
      <c r="DQ7" s="691"/>
      <c r="DR7" s="691"/>
      <c r="DS7" s="691"/>
      <c r="DT7" s="691"/>
      <c r="DU7" s="689"/>
      <c r="DV7" s="689"/>
      <c r="DW7" s="689"/>
      <c r="DX7" s="689"/>
      <c r="DY7" s="689"/>
      <c r="DZ7" s="689"/>
    </row>
    <row r="8" spans="1:130" s="690" customFormat="1" ht="131.25" customHeight="1">
      <c r="A8" s="921">
        <v>5</v>
      </c>
      <c r="B8" s="921"/>
      <c r="C8" s="938" t="s">
        <v>442</v>
      </c>
      <c r="D8" s="939"/>
      <c r="E8" s="939"/>
      <c r="F8" s="939"/>
      <c r="G8" s="939"/>
      <c r="H8" s="939"/>
      <c r="I8" s="940"/>
      <c r="J8" s="892" t="s">
        <v>496</v>
      </c>
      <c r="K8" s="892"/>
      <c r="L8" s="892"/>
      <c r="M8" s="892"/>
      <c r="N8" s="892"/>
      <c r="O8" s="892"/>
      <c r="P8" s="946" t="s">
        <v>489</v>
      </c>
      <c r="Q8" s="946"/>
      <c r="R8" s="946"/>
      <c r="S8" s="946"/>
      <c r="T8" s="946"/>
      <c r="U8" s="935" t="s">
        <v>302</v>
      </c>
      <c r="V8" s="935"/>
      <c r="W8" s="935"/>
      <c r="X8" s="936" t="s">
        <v>497</v>
      </c>
      <c r="Y8" s="835"/>
      <c r="Z8" s="835"/>
      <c r="AA8" s="835"/>
      <c r="AB8" s="835"/>
      <c r="AC8" s="835"/>
      <c r="AD8" s="835"/>
      <c r="AE8" s="937"/>
      <c r="AF8" s="938"/>
      <c r="AG8" s="939"/>
      <c r="AH8" s="939"/>
      <c r="AI8" s="939"/>
      <c r="AJ8" s="939"/>
      <c r="AK8" s="939"/>
      <c r="AL8" s="939"/>
      <c r="AM8" s="939"/>
      <c r="AN8" s="940"/>
      <c r="AO8" s="954" t="s">
        <v>302</v>
      </c>
      <c r="AP8" s="944"/>
      <c r="AQ8" s="944"/>
      <c r="AR8" s="944"/>
      <c r="AS8" s="945"/>
      <c r="AT8" s="943" t="s">
        <v>487</v>
      </c>
      <c r="AU8" s="944"/>
      <c r="AV8" s="944"/>
      <c r="AW8" s="944"/>
      <c r="AX8" s="945"/>
      <c r="AY8" s="892"/>
      <c r="AZ8" s="892"/>
      <c r="BA8" s="892"/>
      <c r="BB8" s="892"/>
      <c r="BC8" s="892"/>
      <c r="BD8" s="892"/>
      <c r="BE8" s="892"/>
      <c r="BF8" s="892"/>
      <c r="BG8" s="892"/>
      <c r="BH8" s="892"/>
      <c r="BI8" s="948"/>
      <c r="BJ8" s="948"/>
      <c r="BK8" s="948"/>
      <c r="BL8" s="948"/>
      <c r="BM8" s="948"/>
      <c r="BN8" s="948"/>
      <c r="BO8" s="948"/>
      <c r="BP8" s="948"/>
      <c r="BQ8" s="948"/>
      <c r="BR8" s="948"/>
      <c r="BS8" s="948"/>
      <c r="BT8" s="948"/>
      <c r="BU8" s="948"/>
      <c r="BV8" s="948"/>
      <c r="BW8" s="948"/>
      <c r="BX8" s="948"/>
      <c r="BY8" s="948"/>
      <c r="BZ8" s="948"/>
      <c r="CA8" s="948"/>
      <c r="CB8" s="948"/>
      <c r="CC8" s="948"/>
      <c r="CD8" s="948"/>
      <c r="CE8" s="948"/>
      <c r="CF8" s="948"/>
      <c r="CG8" s="948"/>
      <c r="CH8" s="921" t="s">
        <v>498</v>
      </c>
      <c r="CI8" s="953"/>
      <c r="CJ8" s="953"/>
      <c r="CK8" s="953"/>
      <c r="CL8" s="953"/>
      <c r="CM8" s="953"/>
      <c r="CN8" s="953"/>
      <c r="CO8" s="953"/>
      <c r="CP8" s="691"/>
      <c r="CQ8" s="691"/>
      <c r="CR8" s="691"/>
      <c r="CS8" s="691"/>
      <c r="CT8" s="691"/>
      <c r="CU8" s="691"/>
      <c r="CV8" s="691"/>
      <c r="CW8" s="691"/>
      <c r="CX8" s="691"/>
      <c r="CY8" s="691"/>
      <c r="CZ8" s="691"/>
      <c r="DA8" s="691"/>
      <c r="DB8" s="691"/>
      <c r="DC8" s="691"/>
      <c r="DD8" s="691"/>
      <c r="DE8" s="691"/>
      <c r="DF8" s="691"/>
      <c r="DG8" s="691"/>
      <c r="DH8" s="691"/>
      <c r="DI8" s="691"/>
      <c r="DJ8" s="691"/>
      <c r="DK8" s="691"/>
      <c r="DL8" s="691"/>
      <c r="DM8" s="691"/>
      <c r="DN8" s="691"/>
      <c r="DO8" s="691"/>
      <c r="DP8" s="691"/>
      <c r="DQ8" s="691"/>
      <c r="DR8" s="691"/>
      <c r="DS8" s="691"/>
      <c r="DT8" s="691"/>
      <c r="DU8" s="689"/>
      <c r="DV8" s="689"/>
      <c r="DW8" s="689"/>
      <c r="DX8" s="689"/>
      <c r="DY8" s="689"/>
      <c r="DZ8" s="689"/>
    </row>
    <row r="9" spans="1:130" s="690" customFormat="1" ht="30.25" customHeight="1">
      <c r="A9" s="921">
        <v>6</v>
      </c>
      <c r="B9" s="921"/>
      <c r="C9" s="938" t="s">
        <v>442</v>
      </c>
      <c r="D9" s="939"/>
      <c r="E9" s="939"/>
      <c r="F9" s="939"/>
      <c r="G9" s="939"/>
      <c r="H9" s="939"/>
      <c r="I9" s="940"/>
      <c r="J9" s="892" t="s">
        <v>491</v>
      </c>
      <c r="K9" s="892"/>
      <c r="L9" s="892"/>
      <c r="M9" s="892"/>
      <c r="N9" s="892"/>
      <c r="O9" s="892"/>
      <c r="P9" s="946" t="s">
        <v>492</v>
      </c>
      <c r="Q9" s="946"/>
      <c r="R9" s="946"/>
      <c r="S9" s="946"/>
      <c r="T9" s="946"/>
      <c r="U9" s="955">
        <v>3000</v>
      </c>
      <c r="V9" s="955"/>
      <c r="W9" s="955"/>
      <c r="X9" s="936" t="s">
        <v>493</v>
      </c>
      <c r="Y9" s="835"/>
      <c r="Z9" s="835"/>
      <c r="AA9" s="835"/>
      <c r="AB9" s="835"/>
      <c r="AC9" s="835"/>
      <c r="AD9" s="835"/>
      <c r="AE9" s="937"/>
      <c r="AF9" s="938"/>
      <c r="AG9" s="939"/>
      <c r="AH9" s="939"/>
      <c r="AI9" s="939"/>
      <c r="AJ9" s="939"/>
      <c r="AK9" s="939"/>
      <c r="AL9" s="939"/>
      <c r="AM9" s="939"/>
      <c r="AN9" s="940"/>
      <c r="AO9" s="954" t="s">
        <v>302</v>
      </c>
      <c r="AP9" s="944"/>
      <c r="AQ9" s="944"/>
      <c r="AR9" s="944"/>
      <c r="AS9" s="945"/>
      <c r="AT9" s="943" t="s">
        <v>487</v>
      </c>
      <c r="AU9" s="944"/>
      <c r="AV9" s="944"/>
      <c r="AW9" s="944"/>
      <c r="AX9" s="945"/>
      <c r="AY9" s="892"/>
      <c r="AZ9" s="892"/>
      <c r="BA9" s="892"/>
      <c r="BB9" s="892"/>
      <c r="BC9" s="892"/>
      <c r="BD9" s="892"/>
      <c r="BE9" s="892"/>
      <c r="BF9" s="892"/>
      <c r="BG9" s="892"/>
      <c r="BH9" s="892"/>
      <c r="BI9" s="948"/>
      <c r="BJ9" s="948"/>
      <c r="BK9" s="948"/>
      <c r="BL9" s="948"/>
      <c r="BM9" s="948"/>
      <c r="BN9" s="948"/>
      <c r="BO9" s="948"/>
      <c r="BP9" s="948"/>
      <c r="BQ9" s="948"/>
      <c r="BR9" s="948"/>
      <c r="BS9" s="948"/>
      <c r="BT9" s="948"/>
      <c r="BU9" s="948"/>
      <c r="BV9" s="948"/>
      <c r="BW9" s="948"/>
      <c r="BX9" s="948"/>
      <c r="BY9" s="948"/>
      <c r="BZ9" s="948"/>
      <c r="CA9" s="948"/>
      <c r="CB9" s="948"/>
      <c r="CC9" s="948"/>
      <c r="CD9" s="948"/>
      <c r="CE9" s="948"/>
      <c r="CF9" s="948"/>
      <c r="CG9" s="948"/>
      <c r="CH9" s="953"/>
      <c r="CI9" s="953"/>
      <c r="CJ9" s="953"/>
      <c r="CK9" s="953"/>
      <c r="CL9" s="953"/>
      <c r="CM9" s="953"/>
      <c r="CN9" s="953"/>
      <c r="CO9" s="953"/>
      <c r="CP9" s="691"/>
      <c r="CQ9" s="691"/>
      <c r="CR9" s="691"/>
      <c r="CS9" s="691"/>
      <c r="CT9" s="691"/>
      <c r="CU9" s="691"/>
      <c r="CV9" s="691"/>
      <c r="CW9" s="691"/>
      <c r="CX9" s="691"/>
      <c r="CY9" s="691"/>
      <c r="CZ9" s="691"/>
      <c r="DA9" s="691"/>
      <c r="DB9" s="691"/>
      <c r="DC9" s="691"/>
      <c r="DD9" s="691"/>
      <c r="DE9" s="691"/>
      <c r="DF9" s="691"/>
      <c r="DG9" s="691"/>
      <c r="DH9" s="691"/>
      <c r="DI9" s="691"/>
      <c r="DJ9" s="691"/>
      <c r="DK9" s="691"/>
      <c r="DL9" s="691"/>
      <c r="DM9" s="691"/>
      <c r="DN9" s="691"/>
      <c r="DO9" s="691"/>
      <c r="DP9" s="691"/>
      <c r="DQ9" s="691"/>
      <c r="DR9" s="691"/>
      <c r="DS9" s="691"/>
      <c r="DT9" s="691"/>
      <c r="DU9" s="689"/>
      <c r="DV9" s="689"/>
      <c r="DW9" s="689"/>
      <c r="DX9" s="689"/>
      <c r="DY9" s="689"/>
      <c r="DZ9" s="689"/>
    </row>
    <row r="10" spans="1:130" ht="81" customHeight="1">
      <c r="A10" s="921">
        <v>7</v>
      </c>
      <c r="B10" s="921"/>
      <c r="C10" s="938" t="s">
        <v>444</v>
      </c>
      <c r="D10" s="939"/>
      <c r="E10" s="939"/>
      <c r="F10" s="939"/>
      <c r="G10" s="939"/>
      <c r="H10" s="939"/>
      <c r="I10" s="940"/>
      <c r="J10" s="957" t="s">
        <v>499</v>
      </c>
      <c r="K10" s="958"/>
      <c r="L10" s="958"/>
      <c r="M10" s="958"/>
      <c r="N10" s="958"/>
      <c r="O10" s="959"/>
      <c r="P10" s="946" t="s">
        <v>500</v>
      </c>
      <c r="Q10" s="946"/>
      <c r="R10" s="946"/>
      <c r="S10" s="946"/>
      <c r="T10" s="946"/>
      <c r="U10" s="935" t="s">
        <v>302</v>
      </c>
      <c r="V10" s="935"/>
      <c r="W10" s="935"/>
      <c r="X10" s="936" t="s">
        <v>486</v>
      </c>
      <c r="Y10" s="835"/>
      <c r="Z10" s="835"/>
      <c r="AA10" s="835"/>
      <c r="AB10" s="835"/>
      <c r="AC10" s="835"/>
      <c r="AD10" s="835"/>
      <c r="AE10" s="937"/>
      <c r="AF10" s="938"/>
      <c r="AG10" s="939"/>
      <c r="AH10" s="939"/>
      <c r="AI10" s="939"/>
      <c r="AJ10" s="939"/>
      <c r="AK10" s="939"/>
      <c r="AL10" s="939"/>
      <c r="AM10" s="939"/>
      <c r="AN10" s="940"/>
      <c r="AO10" s="943" t="s">
        <v>487</v>
      </c>
      <c r="AP10" s="944"/>
      <c r="AQ10" s="944"/>
      <c r="AR10" s="944"/>
      <c r="AS10" s="945"/>
      <c r="AT10" s="943" t="s">
        <v>487</v>
      </c>
      <c r="AU10" s="944"/>
      <c r="AV10" s="944"/>
      <c r="AW10" s="944"/>
      <c r="AX10" s="945"/>
      <c r="AY10" s="949"/>
      <c r="AZ10" s="950"/>
      <c r="BA10" s="950"/>
      <c r="BB10" s="950"/>
      <c r="BC10" s="951"/>
      <c r="BD10" s="948"/>
      <c r="BE10" s="948"/>
      <c r="BF10" s="948"/>
      <c r="BG10" s="948"/>
      <c r="BH10" s="948"/>
      <c r="BI10" s="948"/>
      <c r="BJ10" s="948"/>
      <c r="BK10" s="948"/>
      <c r="BL10" s="948"/>
      <c r="BM10" s="948"/>
      <c r="BN10" s="948"/>
      <c r="BO10" s="948"/>
      <c r="BP10" s="948"/>
      <c r="BQ10" s="948"/>
      <c r="BR10" s="948"/>
      <c r="BS10" s="948"/>
      <c r="BT10" s="948"/>
      <c r="BU10" s="948"/>
      <c r="BV10" s="948"/>
      <c r="BW10" s="948"/>
      <c r="BX10" s="948"/>
      <c r="BY10" s="948"/>
      <c r="BZ10" s="948"/>
      <c r="CA10" s="948"/>
      <c r="CB10" s="948"/>
      <c r="CC10" s="948"/>
      <c r="CD10" s="948"/>
      <c r="CE10" s="948"/>
      <c r="CF10" s="948"/>
      <c r="CG10" s="948"/>
      <c r="CH10" s="921" t="s">
        <v>501</v>
      </c>
      <c r="CI10" s="921"/>
      <c r="CJ10" s="921"/>
      <c r="CK10" s="921"/>
      <c r="CL10" s="921"/>
      <c r="CM10" s="921"/>
      <c r="CN10" s="921"/>
      <c r="CO10" s="921"/>
      <c r="CP10" s="688"/>
      <c r="CQ10" s="688"/>
      <c r="CR10" s="688"/>
      <c r="CS10" s="688"/>
      <c r="CT10" s="688"/>
      <c r="CU10" s="688"/>
      <c r="CV10" s="688"/>
      <c r="CW10" s="688"/>
      <c r="CX10" s="688"/>
      <c r="CY10" s="688"/>
      <c r="CZ10" s="688"/>
      <c r="DA10" s="688"/>
      <c r="DB10" s="688"/>
      <c r="DC10" s="688"/>
      <c r="DD10" s="688"/>
      <c r="DE10" s="688"/>
      <c r="DF10" s="688"/>
      <c r="DG10" s="688"/>
      <c r="DH10" s="688"/>
      <c r="DI10" s="688"/>
      <c r="DJ10" s="688"/>
      <c r="DK10" s="688"/>
      <c r="DL10" s="688"/>
      <c r="DM10" s="688"/>
      <c r="DN10" s="688"/>
      <c r="DO10" s="688"/>
      <c r="DP10" s="688"/>
      <c r="DQ10" s="688"/>
      <c r="DR10" s="688"/>
      <c r="DS10" s="688"/>
      <c r="DT10" s="688"/>
      <c r="DU10" s="688"/>
      <c r="DV10" s="688"/>
      <c r="DW10" s="688"/>
      <c r="DX10" s="688"/>
      <c r="DY10" s="688"/>
      <c r="DZ10" s="688"/>
    </row>
    <row r="11" spans="1:130" ht="27.75" customHeight="1">
      <c r="A11" s="956"/>
      <c r="B11" s="921"/>
      <c r="C11" s="938"/>
      <c r="D11" s="939"/>
      <c r="E11" s="939"/>
      <c r="F11" s="939"/>
      <c r="G11" s="939"/>
      <c r="H11" s="939"/>
      <c r="I11" s="940"/>
      <c r="J11" s="892"/>
      <c r="K11" s="892"/>
      <c r="L11" s="892"/>
      <c r="M11" s="892"/>
      <c r="N11" s="892"/>
      <c r="O11" s="892"/>
      <c r="P11" s="946"/>
      <c r="Q11" s="946"/>
      <c r="R11" s="946"/>
      <c r="S11" s="946"/>
      <c r="T11" s="946"/>
      <c r="U11" s="952"/>
      <c r="V11" s="952"/>
      <c r="W11" s="952"/>
      <c r="X11" s="936"/>
      <c r="Y11" s="835"/>
      <c r="Z11" s="835"/>
      <c r="AA11" s="835"/>
      <c r="AB11" s="835"/>
      <c r="AC11" s="835"/>
      <c r="AD11" s="835"/>
      <c r="AE11" s="937"/>
      <c r="AF11" s="938"/>
      <c r="AG11" s="939"/>
      <c r="AH11" s="939"/>
      <c r="AI11" s="939"/>
      <c r="AJ11" s="939"/>
      <c r="AK11" s="939"/>
      <c r="AL11" s="939"/>
      <c r="AM11" s="939"/>
      <c r="AN11" s="940"/>
      <c r="AO11" s="943"/>
      <c r="AP11" s="944"/>
      <c r="AQ11" s="944"/>
      <c r="AR11" s="944"/>
      <c r="AS11" s="945"/>
      <c r="AT11" s="943"/>
      <c r="AU11" s="944"/>
      <c r="AV11" s="944"/>
      <c r="AW11" s="944"/>
      <c r="AX11" s="945"/>
      <c r="AY11" s="949"/>
      <c r="AZ11" s="950"/>
      <c r="BA11" s="950"/>
      <c r="BB11" s="950"/>
      <c r="BC11" s="951"/>
      <c r="BD11" s="948"/>
      <c r="BE11" s="948"/>
      <c r="BF11" s="948"/>
      <c r="BG11" s="948"/>
      <c r="BH11" s="948"/>
      <c r="BI11" s="948"/>
      <c r="BJ11" s="948"/>
      <c r="BK11" s="948"/>
      <c r="BL11" s="948"/>
      <c r="BM11" s="948"/>
      <c r="BN11" s="948"/>
      <c r="BO11" s="948"/>
      <c r="BP11" s="948"/>
      <c r="BQ11" s="948"/>
      <c r="BR11" s="948"/>
      <c r="BS11" s="948"/>
      <c r="BT11" s="948"/>
      <c r="BU11" s="948"/>
      <c r="BV11" s="948"/>
      <c r="BW11" s="948"/>
      <c r="BX11" s="948"/>
      <c r="BY11" s="948"/>
      <c r="BZ11" s="948"/>
      <c r="CA11" s="948"/>
      <c r="CB11" s="948"/>
      <c r="CC11" s="948"/>
      <c r="CD11" s="948"/>
      <c r="CE11" s="948"/>
      <c r="CF11" s="948"/>
      <c r="CG11" s="948"/>
      <c r="CH11" s="921"/>
      <c r="CI11" s="921"/>
      <c r="CJ11" s="921"/>
      <c r="CK11" s="921"/>
      <c r="CL11" s="921"/>
      <c r="CM11" s="921"/>
      <c r="CN11" s="921"/>
      <c r="CO11" s="921"/>
      <c r="CP11" s="688"/>
      <c r="CQ11" s="688"/>
      <c r="CR11" s="688"/>
      <c r="CS11" s="688"/>
      <c r="CT11" s="688"/>
      <c r="CU11" s="688"/>
      <c r="CV11" s="688"/>
      <c r="CW11" s="688"/>
      <c r="CX11" s="688"/>
      <c r="CY11" s="688"/>
      <c r="CZ11" s="688"/>
      <c r="DA11" s="688"/>
      <c r="DB11" s="688"/>
      <c r="DC11" s="688"/>
      <c r="DD11" s="688"/>
      <c r="DE11" s="688"/>
      <c r="DF11" s="688"/>
      <c r="DG11" s="688"/>
      <c r="DH11" s="688"/>
      <c r="DI11" s="688"/>
      <c r="DJ11" s="688"/>
      <c r="DK11" s="688"/>
      <c r="DL11" s="688"/>
      <c r="DM11" s="688"/>
      <c r="DN11" s="688"/>
      <c r="DO11" s="688"/>
      <c r="DP11" s="688"/>
      <c r="DQ11" s="688"/>
      <c r="DR11" s="688"/>
      <c r="DS11" s="688"/>
      <c r="DT11" s="688"/>
      <c r="DU11" s="688"/>
      <c r="DV11" s="688"/>
      <c r="DW11" s="688"/>
      <c r="DX11" s="688"/>
      <c r="DY11" s="688"/>
      <c r="DZ11" s="688"/>
    </row>
    <row r="12" spans="1:130" ht="27.75" customHeight="1">
      <c r="A12" s="956"/>
      <c r="B12" s="921"/>
      <c r="C12" s="938"/>
      <c r="D12" s="939"/>
      <c r="E12" s="939"/>
      <c r="F12" s="939"/>
      <c r="G12" s="939"/>
      <c r="H12" s="939"/>
      <c r="I12" s="940"/>
      <c r="J12" s="892"/>
      <c r="K12" s="892"/>
      <c r="L12" s="892"/>
      <c r="M12" s="892"/>
      <c r="N12" s="892"/>
      <c r="O12" s="892"/>
      <c r="P12" s="946"/>
      <c r="Q12" s="946"/>
      <c r="R12" s="946"/>
      <c r="S12" s="946"/>
      <c r="T12" s="946"/>
      <c r="U12" s="952"/>
      <c r="V12" s="952"/>
      <c r="W12" s="952"/>
      <c r="X12" s="936"/>
      <c r="Y12" s="835"/>
      <c r="Z12" s="835"/>
      <c r="AA12" s="835"/>
      <c r="AB12" s="835"/>
      <c r="AC12" s="835"/>
      <c r="AD12" s="835"/>
      <c r="AE12" s="937"/>
      <c r="AF12" s="938"/>
      <c r="AG12" s="939"/>
      <c r="AH12" s="939"/>
      <c r="AI12" s="939"/>
      <c r="AJ12" s="939"/>
      <c r="AK12" s="939"/>
      <c r="AL12" s="939"/>
      <c r="AM12" s="939"/>
      <c r="AN12" s="940"/>
      <c r="AO12" s="943"/>
      <c r="AP12" s="944"/>
      <c r="AQ12" s="944"/>
      <c r="AR12" s="944"/>
      <c r="AS12" s="945"/>
      <c r="AT12" s="943"/>
      <c r="AU12" s="944"/>
      <c r="AV12" s="944"/>
      <c r="AW12" s="944"/>
      <c r="AX12" s="945"/>
      <c r="AY12" s="949"/>
      <c r="AZ12" s="950"/>
      <c r="BA12" s="950"/>
      <c r="BB12" s="950"/>
      <c r="BC12" s="951"/>
      <c r="BD12" s="948"/>
      <c r="BE12" s="948"/>
      <c r="BF12" s="948"/>
      <c r="BG12" s="948"/>
      <c r="BH12" s="948"/>
      <c r="BI12" s="948"/>
      <c r="BJ12" s="948"/>
      <c r="BK12" s="948"/>
      <c r="BL12" s="948"/>
      <c r="BM12" s="948"/>
      <c r="BN12" s="948"/>
      <c r="BO12" s="948"/>
      <c r="BP12" s="948"/>
      <c r="BQ12" s="948"/>
      <c r="BR12" s="948"/>
      <c r="BS12" s="948"/>
      <c r="BT12" s="948"/>
      <c r="BU12" s="948"/>
      <c r="BV12" s="948"/>
      <c r="BW12" s="948"/>
      <c r="BX12" s="948"/>
      <c r="BY12" s="948"/>
      <c r="BZ12" s="948"/>
      <c r="CA12" s="948"/>
      <c r="CB12" s="948"/>
      <c r="CC12" s="948"/>
      <c r="CD12" s="948"/>
      <c r="CE12" s="948"/>
      <c r="CF12" s="948"/>
      <c r="CG12" s="948"/>
      <c r="CH12" s="921"/>
      <c r="CI12" s="921"/>
      <c r="CJ12" s="921"/>
      <c r="CK12" s="921"/>
      <c r="CL12" s="921"/>
      <c r="CM12" s="921"/>
      <c r="CN12" s="921"/>
      <c r="CO12" s="921"/>
      <c r="CP12" s="688"/>
      <c r="CQ12" s="688"/>
      <c r="CR12" s="688"/>
      <c r="CS12" s="688"/>
      <c r="CT12" s="688"/>
      <c r="CU12" s="688"/>
      <c r="CV12" s="688"/>
      <c r="CW12" s="688"/>
      <c r="CX12" s="688"/>
      <c r="CY12" s="688"/>
      <c r="CZ12" s="688"/>
      <c r="DA12" s="688"/>
      <c r="DB12" s="688"/>
      <c r="DC12" s="688"/>
      <c r="DD12" s="688"/>
      <c r="DE12" s="688"/>
      <c r="DF12" s="688"/>
      <c r="DG12" s="688"/>
      <c r="DH12" s="688"/>
      <c r="DI12" s="688"/>
      <c r="DJ12" s="688"/>
      <c r="DK12" s="688"/>
      <c r="DL12" s="688"/>
      <c r="DM12" s="688"/>
      <c r="DN12" s="688"/>
      <c r="DO12" s="688"/>
      <c r="DP12" s="688"/>
      <c r="DQ12" s="688"/>
      <c r="DR12" s="688"/>
      <c r="DS12" s="688"/>
      <c r="DT12" s="688"/>
      <c r="DU12" s="688"/>
      <c r="DV12" s="688"/>
      <c r="DW12" s="688"/>
      <c r="DX12" s="688"/>
      <c r="DY12" s="688"/>
      <c r="DZ12" s="688"/>
    </row>
    <row r="13" spans="1:130" ht="13.75" customHeight="1">
      <c r="A13" s="682"/>
      <c r="B13" s="682"/>
      <c r="C13" s="682"/>
      <c r="D13" s="682"/>
      <c r="E13" s="682"/>
      <c r="F13" s="682"/>
      <c r="G13" s="682"/>
      <c r="H13" s="682"/>
      <c r="I13" s="682"/>
      <c r="J13" s="682"/>
      <c r="K13" s="682"/>
      <c r="L13" s="682"/>
      <c r="M13" s="682"/>
      <c r="N13" s="682"/>
      <c r="O13" s="682"/>
      <c r="P13" s="682"/>
      <c r="Q13" s="682"/>
      <c r="R13" s="682"/>
      <c r="S13" s="682"/>
      <c r="T13" s="682"/>
      <c r="U13" s="682"/>
      <c r="V13" s="682"/>
      <c r="W13" s="682"/>
      <c r="X13" s="682"/>
      <c r="Y13" s="682"/>
      <c r="Z13" s="682"/>
      <c r="AA13" s="682"/>
      <c r="AB13" s="682"/>
      <c r="AC13" s="682"/>
      <c r="AD13" s="682"/>
      <c r="AE13" s="682"/>
      <c r="AF13" s="682"/>
      <c r="AG13" s="682"/>
      <c r="AH13" s="682"/>
      <c r="AI13" s="682"/>
      <c r="AJ13" s="682"/>
      <c r="AK13" s="682"/>
      <c r="AL13" s="682"/>
      <c r="AM13" s="682"/>
      <c r="AN13" s="682"/>
      <c r="AO13" s="682"/>
      <c r="AP13" s="682"/>
      <c r="AQ13" s="682"/>
      <c r="AR13" s="682"/>
      <c r="AS13" s="682"/>
      <c r="AT13" s="682"/>
      <c r="AU13" s="682"/>
      <c r="AV13" s="682"/>
      <c r="AW13" s="682"/>
      <c r="AX13" s="682"/>
      <c r="AY13" s="682"/>
      <c r="AZ13" s="682"/>
      <c r="BA13" s="682"/>
      <c r="BB13" s="682"/>
      <c r="BC13" s="682"/>
      <c r="BD13" s="682"/>
      <c r="BE13" s="682"/>
      <c r="BF13" s="682"/>
      <c r="BG13" s="682"/>
      <c r="BH13" s="682"/>
      <c r="BI13" s="682"/>
      <c r="BJ13" s="682"/>
      <c r="BK13" s="682"/>
      <c r="BL13" s="682"/>
      <c r="BM13" s="682"/>
      <c r="BN13" s="682"/>
      <c r="BO13" s="682"/>
      <c r="BP13" s="682"/>
      <c r="BQ13" s="682"/>
      <c r="BR13" s="682"/>
      <c r="BS13" s="682"/>
      <c r="BT13" s="682"/>
      <c r="BU13" s="682"/>
      <c r="BV13" s="682"/>
      <c r="BW13" s="682"/>
      <c r="BX13" s="682"/>
      <c r="BY13" s="682"/>
      <c r="BZ13" s="682"/>
      <c r="CA13" s="682"/>
      <c r="CB13" s="682"/>
      <c r="CC13" s="682"/>
      <c r="CD13" s="682"/>
      <c r="CE13" s="682"/>
      <c r="CF13" s="682"/>
      <c r="CG13" s="682"/>
      <c r="CH13" s="682"/>
      <c r="CI13" s="682"/>
      <c r="CJ13" s="682"/>
      <c r="CK13" s="682"/>
      <c r="CL13" s="682"/>
      <c r="CM13" s="682"/>
      <c r="CN13" s="682"/>
      <c r="CO13" s="682"/>
      <c r="CP13" s="682"/>
      <c r="CQ13" s="682"/>
      <c r="CR13" s="682"/>
      <c r="CS13" s="682"/>
      <c r="CT13" s="682"/>
      <c r="CU13" s="682"/>
      <c r="CV13" s="682"/>
      <c r="CW13" s="682"/>
      <c r="CX13" s="682"/>
      <c r="CY13" s="682"/>
      <c r="CZ13" s="682"/>
      <c r="DA13" s="682"/>
      <c r="DB13" s="682"/>
      <c r="DC13" s="682"/>
      <c r="DD13" s="682"/>
      <c r="DE13" s="682"/>
      <c r="DF13" s="682"/>
      <c r="DG13" s="682"/>
      <c r="DH13" s="682"/>
      <c r="DI13" s="682"/>
      <c r="DJ13" s="682"/>
      <c r="DK13" s="682"/>
      <c r="DL13" s="682"/>
      <c r="DM13" s="688"/>
      <c r="DN13" s="688"/>
      <c r="DO13" s="688"/>
      <c r="DP13" s="688"/>
      <c r="DQ13" s="688"/>
      <c r="DR13" s="688"/>
      <c r="DS13" s="688"/>
      <c r="DT13" s="688"/>
      <c r="DU13" s="688"/>
      <c r="DV13" s="688"/>
      <c r="DW13" s="688"/>
      <c r="DX13" s="688"/>
      <c r="DY13" s="688"/>
      <c r="DZ13" s="688"/>
    </row>
    <row r="14" spans="1:130" ht="13.75" customHeight="1">
      <c r="A14" s="893" t="s">
        <v>502</v>
      </c>
      <c r="B14" s="893"/>
      <c r="C14" s="893"/>
      <c r="D14" s="893"/>
      <c r="E14" s="893"/>
      <c r="F14" s="893"/>
      <c r="G14" s="893"/>
      <c r="H14" s="893"/>
      <c r="I14" s="893"/>
      <c r="J14" s="682"/>
      <c r="K14" s="682"/>
      <c r="L14" s="682"/>
      <c r="M14" s="682"/>
      <c r="N14" s="682"/>
      <c r="O14" s="682"/>
      <c r="P14" s="682"/>
      <c r="Q14" s="682"/>
      <c r="R14" s="682"/>
      <c r="S14" s="682"/>
      <c r="T14" s="682"/>
      <c r="U14" s="682"/>
      <c r="V14" s="682"/>
      <c r="W14" s="682"/>
      <c r="X14" s="682"/>
      <c r="Y14" s="682"/>
      <c r="Z14" s="682"/>
      <c r="AA14" s="682"/>
      <c r="AB14" s="682"/>
      <c r="AC14" s="682"/>
      <c r="AD14" s="682"/>
      <c r="AE14" s="682"/>
      <c r="AF14" s="682"/>
      <c r="AG14" s="682"/>
      <c r="AH14" s="682"/>
      <c r="AI14" s="682"/>
      <c r="AJ14" s="682"/>
      <c r="AK14" s="682"/>
      <c r="AL14" s="682"/>
      <c r="AM14" s="682"/>
      <c r="AN14" s="682"/>
      <c r="AO14" s="682"/>
      <c r="AP14" s="682"/>
      <c r="AQ14" s="682"/>
      <c r="AR14" s="682"/>
      <c r="AS14" s="682"/>
      <c r="AT14" s="682"/>
      <c r="AU14" s="682"/>
      <c r="AV14" s="682"/>
      <c r="AW14" s="682"/>
      <c r="AX14" s="682"/>
      <c r="AY14" s="682"/>
      <c r="AZ14" s="682"/>
      <c r="BA14" s="682"/>
      <c r="BB14" s="682"/>
      <c r="BC14" s="682"/>
      <c r="BD14" s="682"/>
      <c r="BE14" s="682"/>
      <c r="BF14" s="682"/>
      <c r="BG14" s="682"/>
      <c r="BH14" s="682"/>
      <c r="BI14" s="682"/>
      <c r="BJ14" s="682"/>
      <c r="BK14" s="682"/>
      <c r="BL14" s="682"/>
      <c r="BM14" s="682"/>
      <c r="BN14" s="682"/>
      <c r="BO14" s="682"/>
      <c r="BP14" s="682"/>
      <c r="BQ14" s="682"/>
      <c r="BR14" s="682"/>
      <c r="BS14" s="682"/>
      <c r="BT14" s="682"/>
      <c r="BU14" s="682"/>
      <c r="BV14" s="682"/>
      <c r="BW14" s="682"/>
      <c r="BX14" s="682"/>
      <c r="BY14" s="682"/>
      <c r="BZ14" s="682"/>
      <c r="CA14" s="682"/>
      <c r="CB14" s="682"/>
      <c r="CC14" s="682"/>
      <c r="CD14" s="682"/>
      <c r="CE14" s="682"/>
      <c r="CF14" s="682"/>
      <c r="CG14" s="682"/>
      <c r="CH14" s="682"/>
      <c r="CI14" s="682"/>
      <c r="CJ14" s="682"/>
      <c r="CK14" s="682"/>
      <c r="CL14" s="682"/>
      <c r="CM14" s="682"/>
      <c r="CN14" s="682"/>
      <c r="CO14" s="682"/>
      <c r="CP14" s="960"/>
      <c r="CQ14" s="960"/>
      <c r="CR14" s="960"/>
      <c r="CS14" s="960"/>
      <c r="CT14" s="960"/>
      <c r="CU14" s="960"/>
      <c r="CV14" s="960"/>
      <c r="CW14" s="960"/>
      <c r="CX14" s="960"/>
      <c r="CY14" s="960"/>
      <c r="CZ14" s="960"/>
      <c r="DA14" s="960"/>
      <c r="DB14" s="960"/>
      <c r="DC14" s="960"/>
      <c r="DD14" s="960"/>
      <c r="DE14" s="960"/>
      <c r="DF14" s="960"/>
      <c r="DG14" s="960"/>
      <c r="DH14" s="960"/>
      <c r="DI14" s="960"/>
      <c r="DJ14" s="960"/>
      <c r="DK14" s="960"/>
      <c r="DL14" s="960"/>
      <c r="DM14" s="960"/>
      <c r="DN14" s="960"/>
      <c r="DO14" s="960"/>
      <c r="DP14" s="960"/>
      <c r="DQ14" s="960"/>
      <c r="DR14" s="960"/>
      <c r="DS14" s="960"/>
      <c r="DT14" s="961"/>
      <c r="DU14" s="688"/>
    </row>
    <row r="15" spans="1:130" ht="13.75" customHeight="1">
      <c r="A15" s="894" t="s">
        <v>340</v>
      </c>
      <c r="B15" s="895"/>
      <c r="C15" s="894" t="s">
        <v>503</v>
      </c>
      <c r="D15" s="895"/>
      <c r="E15" s="895"/>
      <c r="F15" s="895"/>
      <c r="G15" s="895"/>
      <c r="H15" s="895"/>
      <c r="I15" s="895"/>
      <c r="J15" s="895"/>
      <c r="K15" s="895"/>
      <c r="L15" s="895"/>
      <c r="M15" s="895"/>
      <c r="N15" s="895"/>
      <c r="O15" s="895"/>
      <c r="P15" s="895"/>
      <c r="Q15" s="894" t="s">
        <v>504</v>
      </c>
      <c r="R15" s="895"/>
      <c r="S15" s="895"/>
      <c r="T15" s="895"/>
      <c r="U15" s="895"/>
      <c r="V15" s="895"/>
      <c r="W15" s="895"/>
      <c r="X15" s="895"/>
      <c r="Y15" s="895"/>
      <c r="Z15" s="895"/>
      <c r="AA15" s="895"/>
      <c r="AB15" s="895"/>
      <c r="AC15" s="895"/>
      <c r="AD15" s="895"/>
      <c r="AE15" s="895"/>
      <c r="AF15" s="895"/>
      <c r="AG15" s="895"/>
      <c r="AH15" s="895"/>
      <c r="AI15" s="895"/>
      <c r="AJ15" s="895"/>
      <c r="AK15" s="895"/>
      <c r="AL15" s="895"/>
      <c r="AM15" s="894" t="s">
        <v>480</v>
      </c>
      <c r="AN15" s="895"/>
      <c r="AO15" s="895"/>
      <c r="AP15" s="895"/>
      <c r="AQ15" s="895"/>
      <c r="AR15" s="895"/>
      <c r="AS15" s="895"/>
      <c r="AT15" s="895"/>
      <c r="AU15" s="925" t="s">
        <v>481</v>
      </c>
      <c r="AV15" s="926"/>
      <c r="AW15" s="926"/>
      <c r="AX15" s="926"/>
      <c r="AY15" s="926"/>
      <c r="AZ15" s="926"/>
      <c r="BA15" s="926"/>
      <c r="BB15" s="926"/>
      <c r="BC15" s="927"/>
      <c r="BD15" s="896" t="s">
        <v>482</v>
      </c>
      <c r="BE15" s="897"/>
      <c r="BF15" s="897"/>
      <c r="BG15" s="897"/>
      <c r="BH15" s="897"/>
      <c r="BI15" s="897"/>
      <c r="BJ15" s="897"/>
      <c r="BK15" s="897"/>
      <c r="BL15" s="897"/>
      <c r="BM15" s="897"/>
      <c r="BN15" s="897"/>
      <c r="BO15" s="897"/>
      <c r="BP15" s="897"/>
      <c r="BQ15" s="897"/>
      <c r="BR15" s="897"/>
      <c r="BS15" s="897"/>
      <c r="BT15" s="897"/>
      <c r="BU15" s="897"/>
      <c r="BV15" s="897"/>
      <c r="BW15" s="897"/>
      <c r="BX15" s="897"/>
      <c r="BY15" s="897"/>
      <c r="BZ15" s="897"/>
      <c r="CA15" s="897"/>
      <c r="CB15" s="897"/>
      <c r="CC15" s="897"/>
      <c r="CD15" s="897"/>
      <c r="CE15" s="897"/>
      <c r="CF15" s="897"/>
      <c r="CG15" s="897"/>
      <c r="CH15" s="897"/>
      <c r="CI15" s="897"/>
      <c r="CJ15" s="897"/>
      <c r="CK15" s="897"/>
      <c r="CL15" s="897"/>
      <c r="CM15" s="897"/>
      <c r="CN15" s="897"/>
      <c r="CO15" s="897"/>
      <c r="CP15" s="962"/>
      <c r="CQ15" s="962"/>
      <c r="CR15" s="962"/>
      <c r="CS15" s="962"/>
      <c r="CT15" s="963"/>
      <c r="CU15" s="964" t="s">
        <v>316</v>
      </c>
      <c r="CV15" s="962"/>
      <c r="CW15" s="962"/>
      <c r="CX15" s="962"/>
      <c r="CY15" s="962"/>
      <c r="CZ15" s="962"/>
      <c r="DA15" s="962"/>
      <c r="DB15" s="962"/>
      <c r="DC15" s="962"/>
      <c r="DD15" s="963"/>
      <c r="DE15" s="965" t="s">
        <v>317</v>
      </c>
      <c r="DF15" s="965"/>
      <c r="DG15" s="965"/>
      <c r="DH15" s="965"/>
      <c r="DI15" s="965"/>
      <c r="DJ15" s="965"/>
      <c r="DK15" s="965"/>
      <c r="DL15" s="965"/>
      <c r="DM15" s="965" t="s">
        <v>22</v>
      </c>
      <c r="DN15" s="965"/>
      <c r="DO15" s="965"/>
      <c r="DP15" s="965"/>
      <c r="DQ15" s="965"/>
      <c r="DR15" s="965"/>
      <c r="DS15" s="965"/>
      <c r="DT15" s="965"/>
      <c r="DU15" s="688"/>
    </row>
    <row r="16" spans="1:130" ht="31.75" customHeight="1">
      <c r="A16" s="895"/>
      <c r="B16" s="895"/>
      <c r="C16" s="895"/>
      <c r="D16" s="895"/>
      <c r="E16" s="895"/>
      <c r="F16" s="895"/>
      <c r="G16" s="895"/>
      <c r="H16" s="895"/>
      <c r="I16" s="895"/>
      <c r="J16" s="895"/>
      <c r="K16" s="895"/>
      <c r="L16" s="895"/>
      <c r="M16" s="895"/>
      <c r="N16" s="895"/>
      <c r="O16" s="895"/>
      <c r="P16" s="895"/>
      <c r="Q16" s="895"/>
      <c r="R16" s="895"/>
      <c r="S16" s="895"/>
      <c r="T16" s="895"/>
      <c r="U16" s="895"/>
      <c r="V16" s="895"/>
      <c r="W16" s="895"/>
      <c r="X16" s="895"/>
      <c r="Y16" s="895"/>
      <c r="Z16" s="895"/>
      <c r="AA16" s="895"/>
      <c r="AB16" s="895"/>
      <c r="AC16" s="895"/>
      <c r="AD16" s="895"/>
      <c r="AE16" s="895"/>
      <c r="AF16" s="895"/>
      <c r="AG16" s="895"/>
      <c r="AH16" s="895"/>
      <c r="AI16" s="895"/>
      <c r="AJ16" s="895"/>
      <c r="AK16" s="895"/>
      <c r="AL16" s="895"/>
      <c r="AM16" s="895"/>
      <c r="AN16" s="895"/>
      <c r="AO16" s="895"/>
      <c r="AP16" s="895"/>
      <c r="AQ16" s="895"/>
      <c r="AR16" s="895"/>
      <c r="AS16" s="895"/>
      <c r="AT16" s="895"/>
      <c r="AU16" s="928"/>
      <c r="AV16" s="929"/>
      <c r="AW16" s="929"/>
      <c r="AX16" s="929"/>
      <c r="AY16" s="929"/>
      <c r="AZ16" s="929"/>
      <c r="BA16" s="929"/>
      <c r="BB16" s="929"/>
      <c r="BC16" s="930"/>
      <c r="BD16" s="922" t="s">
        <v>505</v>
      </c>
      <c r="BE16" s="923"/>
      <c r="BF16" s="923"/>
      <c r="BG16" s="923"/>
      <c r="BH16" s="924"/>
      <c r="BI16" s="921"/>
      <c r="BJ16" s="921"/>
      <c r="BK16" s="921"/>
      <c r="BL16" s="921"/>
      <c r="BM16" s="921"/>
      <c r="BN16" s="921" t="s">
        <v>30</v>
      </c>
      <c r="BO16" s="921"/>
      <c r="BP16" s="921"/>
      <c r="BQ16" s="921"/>
      <c r="BR16" s="921"/>
      <c r="BS16" s="921" t="s">
        <v>30</v>
      </c>
      <c r="BT16" s="921"/>
      <c r="BU16" s="921"/>
      <c r="BV16" s="921"/>
      <c r="BW16" s="921"/>
      <c r="BX16" s="921" t="s">
        <v>30</v>
      </c>
      <c r="BY16" s="921"/>
      <c r="BZ16" s="921"/>
      <c r="CA16" s="921"/>
      <c r="CB16" s="921"/>
      <c r="CC16" s="921" t="s">
        <v>30</v>
      </c>
      <c r="CD16" s="921"/>
      <c r="CE16" s="921"/>
      <c r="CF16" s="921"/>
      <c r="CG16" s="921"/>
      <c r="CH16" s="921" t="s">
        <v>30</v>
      </c>
      <c r="CI16" s="921"/>
      <c r="CJ16" s="921"/>
      <c r="CK16" s="921"/>
      <c r="CL16" s="921"/>
      <c r="CM16" s="921" t="s">
        <v>30</v>
      </c>
      <c r="CN16" s="921"/>
      <c r="CO16" s="921"/>
      <c r="CP16" s="968"/>
      <c r="CQ16" s="968"/>
      <c r="CR16" s="967"/>
      <c r="CS16" s="966" t="s">
        <v>322</v>
      </c>
      <c r="CT16" s="967"/>
      <c r="CU16" s="966" t="s">
        <v>320</v>
      </c>
      <c r="CV16" s="968"/>
      <c r="CW16" s="968"/>
      <c r="CX16" s="967"/>
      <c r="CY16" s="966" t="s">
        <v>321</v>
      </c>
      <c r="CZ16" s="968"/>
      <c r="DA16" s="968"/>
      <c r="DB16" s="967"/>
      <c r="DC16" s="966" t="s">
        <v>322</v>
      </c>
      <c r="DD16" s="967"/>
      <c r="DE16" s="965"/>
      <c r="DF16" s="965"/>
      <c r="DG16" s="965"/>
      <c r="DH16" s="965"/>
      <c r="DI16" s="965"/>
      <c r="DJ16" s="965"/>
      <c r="DK16" s="965"/>
      <c r="DL16" s="965"/>
      <c r="DM16" s="965"/>
      <c r="DN16" s="965"/>
      <c r="DO16" s="965"/>
      <c r="DP16" s="965"/>
      <c r="DQ16" s="965"/>
      <c r="DR16" s="965"/>
      <c r="DS16" s="965"/>
      <c r="DT16" s="965"/>
      <c r="DU16" s="688"/>
    </row>
    <row r="17" spans="1:130">
      <c r="A17" s="921">
        <v>1</v>
      </c>
      <c r="B17" s="921"/>
      <c r="C17" s="969" t="s">
        <v>506</v>
      </c>
      <c r="D17" s="970"/>
      <c r="E17" s="970"/>
      <c r="F17" s="970"/>
      <c r="G17" s="970"/>
      <c r="H17" s="970"/>
      <c r="I17" s="970"/>
      <c r="J17" s="970"/>
      <c r="K17" s="970"/>
      <c r="L17" s="970"/>
      <c r="M17" s="970"/>
      <c r="N17" s="970"/>
      <c r="O17" s="970"/>
      <c r="P17" s="971"/>
      <c r="Q17" s="922" t="s">
        <v>507</v>
      </c>
      <c r="R17" s="923"/>
      <c r="S17" s="923"/>
      <c r="T17" s="923"/>
      <c r="U17" s="923"/>
      <c r="V17" s="923"/>
      <c r="W17" s="923"/>
      <c r="X17" s="923"/>
      <c r="Y17" s="923"/>
      <c r="Z17" s="923"/>
      <c r="AA17" s="923"/>
      <c r="AB17" s="923"/>
      <c r="AC17" s="923"/>
      <c r="AD17" s="923"/>
      <c r="AE17" s="923"/>
      <c r="AF17" s="923"/>
      <c r="AG17" s="923"/>
      <c r="AH17" s="923"/>
      <c r="AI17" s="923"/>
      <c r="AJ17" s="923"/>
      <c r="AK17" s="923"/>
      <c r="AL17" s="924"/>
      <c r="AM17" s="921" t="s">
        <v>508</v>
      </c>
      <c r="AN17" s="921"/>
      <c r="AO17" s="921"/>
      <c r="AP17" s="921"/>
      <c r="AQ17" s="921"/>
      <c r="AR17" s="921"/>
      <c r="AS17" s="921"/>
      <c r="AT17" s="921"/>
      <c r="AU17" s="972"/>
      <c r="AV17" s="973"/>
      <c r="AW17" s="973"/>
      <c r="AX17" s="973"/>
      <c r="AY17" s="973"/>
      <c r="AZ17" s="973"/>
      <c r="BA17" s="973"/>
      <c r="BB17" s="973"/>
      <c r="BC17" s="974"/>
      <c r="BD17" s="943" t="s">
        <v>487</v>
      </c>
      <c r="BE17" s="944"/>
      <c r="BF17" s="944"/>
      <c r="BG17" s="944"/>
      <c r="BH17" s="945"/>
      <c r="BI17" s="948"/>
      <c r="BJ17" s="948"/>
      <c r="BK17" s="948"/>
      <c r="BL17" s="948"/>
      <c r="BM17" s="948"/>
      <c r="BN17" s="948"/>
      <c r="BO17" s="948"/>
      <c r="BP17" s="948"/>
      <c r="BQ17" s="948"/>
      <c r="BR17" s="948"/>
      <c r="BS17" s="948"/>
      <c r="BT17" s="948"/>
      <c r="BU17" s="948"/>
      <c r="BV17" s="948"/>
      <c r="BW17" s="948"/>
      <c r="BX17" s="948"/>
      <c r="BY17" s="948"/>
      <c r="BZ17" s="948"/>
      <c r="CA17" s="948"/>
      <c r="CB17" s="948"/>
      <c r="CC17" s="948"/>
      <c r="CD17" s="948"/>
      <c r="CE17" s="948"/>
      <c r="CF17" s="948"/>
      <c r="CG17" s="948"/>
      <c r="CH17" s="948"/>
      <c r="CI17" s="948"/>
      <c r="CJ17" s="948"/>
      <c r="CK17" s="948"/>
      <c r="CL17" s="948"/>
      <c r="CM17" s="948"/>
      <c r="CN17" s="948"/>
      <c r="CO17" s="948"/>
      <c r="CP17" s="975"/>
      <c r="CQ17" s="975"/>
      <c r="CR17" s="976"/>
      <c r="CS17" s="977"/>
      <c r="CT17" s="976"/>
      <c r="CU17" s="978"/>
      <c r="CV17" s="979"/>
      <c r="CW17" s="980"/>
      <c r="CX17" s="981"/>
      <c r="CY17" s="978"/>
      <c r="CZ17" s="979"/>
      <c r="DA17" s="980"/>
      <c r="DB17" s="981"/>
      <c r="DC17" s="982"/>
      <c r="DD17" s="981"/>
      <c r="DE17" s="921"/>
      <c r="DF17" s="921"/>
      <c r="DG17" s="921"/>
      <c r="DH17" s="921"/>
      <c r="DI17" s="921"/>
      <c r="DJ17" s="921"/>
      <c r="DK17" s="921"/>
      <c r="DL17" s="921"/>
      <c r="DM17" s="921"/>
      <c r="DN17" s="921"/>
      <c r="DO17" s="921"/>
      <c r="DP17" s="921"/>
      <c r="DQ17" s="921"/>
      <c r="DR17" s="921"/>
      <c r="DS17" s="921"/>
      <c r="DT17" s="921"/>
      <c r="DU17" s="688"/>
    </row>
    <row r="18" spans="1:130" ht="234.75" customHeight="1">
      <c r="A18" s="921">
        <v>2</v>
      </c>
      <c r="B18" s="921"/>
      <c r="C18" s="969" t="s">
        <v>509</v>
      </c>
      <c r="D18" s="970"/>
      <c r="E18" s="970"/>
      <c r="F18" s="970"/>
      <c r="G18" s="970"/>
      <c r="H18" s="970"/>
      <c r="I18" s="970"/>
      <c r="J18" s="970"/>
      <c r="K18" s="970"/>
      <c r="L18" s="970"/>
      <c r="M18" s="970"/>
      <c r="N18" s="970"/>
      <c r="O18" s="970"/>
      <c r="P18" s="971"/>
      <c r="Q18" s="922" t="s">
        <v>510</v>
      </c>
      <c r="R18" s="923"/>
      <c r="S18" s="923"/>
      <c r="T18" s="923"/>
      <c r="U18" s="923"/>
      <c r="V18" s="923"/>
      <c r="W18" s="923"/>
      <c r="X18" s="923"/>
      <c r="Y18" s="923"/>
      <c r="Z18" s="923"/>
      <c r="AA18" s="923"/>
      <c r="AB18" s="923"/>
      <c r="AC18" s="923"/>
      <c r="AD18" s="923"/>
      <c r="AE18" s="923"/>
      <c r="AF18" s="923"/>
      <c r="AG18" s="923"/>
      <c r="AH18" s="923"/>
      <c r="AI18" s="923"/>
      <c r="AJ18" s="923"/>
      <c r="AK18" s="923"/>
      <c r="AL18" s="924"/>
      <c r="AM18" s="921" t="s">
        <v>511</v>
      </c>
      <c r="AN18" s="921"/>
      <c r="AO18" s="921"/>
      <c r="AP18" s="921"/>
      <c r="AQ18" s="921"/>
      <c r="AR18" s="921"/>
      <c r="AS18" s="921"/>
      <c r="AT18" s="921"/>
      <c r="AU18" s="972"/>
      <c r="AV18" s="973"/>
      <c r="AW18" s="973"/>
      <c r="AX18" s="973"/>
      <c r="AY18" s="973"/>
      <c r="AZ18" s="973"/>
      <c r="BA18" s="973"/>
      <c r="BB18" s="973"/>
      <c r="BC18" s="974"/>
      <c r="BD18" s="943" t="s">
        <v>487</v>
      </c>
      <c r="BE18" s="944"/>
      <c r="BF18" s="944"/>
      <c r="BG18" s="944"/>
      <c r="BH18" s="945"/>
      <c r="BI18" s="948"/>
      <c r="BJ18" s="948"/>
      <c r="BK18" s="948"/>
      <c r="BL18" s="948"/>
      <c r="BM18" s="948"/>
      <c r="BN18" s="948"/>
      <c r="BO18" s="948"/>
      <c r="BP18" s="948"/>
      <c r="BQ18" s="948"/>
      <c r="BR18" s="948"/>
      <c r="BS18" s="948"/>
      <c r="BT18" s="948"/>
      <c r="BU18" s="948"/>
      <c r="BV18" s="948"/>
      <c r="BW18" s="948"/>
      <c r="BX18" s="948"/>
      <c r="BY18" s="948"/>
      <c r="BZ18" s="948"/>
      <c r="CA18" s="948"/>
      <c r="CB18" s="948"/>
      <c r="CC18" s="948"/>
      <c r="CD18" s="948"/>
      <c r="CE18" s="948"/>
      <c r="CF18" s="948"/>
      <c r="CG18" s="948"/>
      <c r="CH18" s="948"/>
      <c r="CI18" s="948"/>
      <c r="CJ18" s="948"/>
      <c r="CK18" s="948"/>
      <c r="CL18" s="948"/>
      <c r="CM18" s="948"/>
      <c r="CN18" s="948"/>
      <c r="CO18" s="948"/>
      <c r="CP18" s="975"/>
      <c r="CQ18" s="975"/>
      <c r="CR18" s="976"/>
      <c r="CS18" s="977"/>
      <c r="CT18" s="976"/>
      <c r="CU18" s="978"/>
      <c r="CV18" s="979"/>
      <c r="CW18" s="980"/>
      <c r="CX18" s="981"/>
      <c r="CY18" s="978"/>
      <c r="CZ18" s="979"/>
      <c r="DA18" s="980"/>
      <c r="DB18" s="981"/>
      <c r="DC18" s="982"/>
      <c r="DD18" s="981"/>
      <c r="DE18" s="921"/>
      <c r="DF18" s="921"/>
      <c r="DG18" s="921"/>
      <c r="DH18" s="921"/>
      <c r="DI18" s="921"/>
      <c r="DJ18" s="921"/>
      <c r="DK18" s="921"/>
      <c r="DL18" s="921"/>
      <c r="DM18" s="921"/>
      <c r="DN18" s="921"/>
      <c r="DO18" s="921"/>
      <c r="DP18" s="921"/>
      <c r="DQ18" s="921"/>
      <c r="DR18" s="921"/>
      <c r="DS18" s="921"/>
      <c r="DT18" s="921"/>
      <c r="DU18" s="688"/>
    </row>
    <row r="19" spans="1:130" ht="13.75" customHeight="1">
      <c r="A19" s="692"/>
      <c r="B19" s="692"/>
      <c r="C19" s="692"/>
      <c r="D19" s="692"/>
      <c r="E19" s="692"/>
      <c r="F19" s="692"/>
      <c r="G19" s="692"/>
      <c r="H19" s="692"/>
      <c r="I19" s="692"/>
      <c r="J19" s="692"/>
      <c r="K19" s="692"/>
      <c r="L19" s="692"/>
      <c r="M19" s="692"/>
      <c r="N19" s="692"/>
      <c r="O19" s="692"/>
      <c r="P19" s="692"/>
      <c r="Q19" s="692"/>
      <c r="R19" s="692"/>
      <c r="S19" s="692"/>
      <c r="T19" s="692"/>
      <c r="U19" s="692"/>
      <c r="V19" s="692"/>
      <c r="W19" s="692"/>
      <c r="X19" s="692"/>
      <c r="Y19" s="692"/>
      <c r="Z19" s="692"/>
      <c r="AA19" s="692"/>
      <c r="AB19" s="692"/>
      <c r="AC19" s="692"/>
      <c r="AD19" s="692"/>
      <c r="AE19" s="692"/>
      <c r="AF19" s="692"/>
      <c r="AG19" s="692"/>
      <c r="AH19" s="692"/>
      <c r="AI19" s="692"/>
      <c r="AJ19" s="692"/>
      <c r="AK19" s="692"/>
      <c r="AL19" s="692"/>
      <c r="AM19" s="692"/>
      <c r="AN19" s="692"/>
      <c r="AO19" s="692"/>
      <c r="AP19" s="692"/>
      <c r="AQ19" s="692"/>
      <c r="AR19" s="692"/>
      <c r="AS19" s="692"/>
      <c r="AT19" s="692"/>
      <c r="AU19" s="692"/>
      <c r="AV19" s="692"/>
      <c r="AW19" s="692"/>
      <c r="AX19" s="692"/>
      <c r="AY19" s="692"/>
      <c r="AZ19" s="692"/>
      <c r="BA19" s="692"/>
      <c r="BB19" s="692"/>
      <c r="BC19" s="692"/>
      <c r="BD19" s="692"/>
      <c r="BE19" s="692"/>
      <c r="BF19" s="692"/>
      <c r="BG19" s="692"/>
      <c r="BH19" s="692"/>
      <c r="BI19" s="692"/>
      <c r="BJ19" s="692"/>
      <c r="BK19" s="692"/>
      <c r="BL19" s="692"/>
      <c r="BM19" s="692"/>
      <c r="BN19" s="692"/>
      <c r="BO19" s="692"/>
      <c r="BP19" s="692"/>
      <c r="BQ19" s="692"/>
      <c r="BR19" s="692"/>
      <c r="BS19" s="692"/>
      <c r="BT19" s="692"/>
      <c r="BU19" s="692"/>
      <c r="BV19" s="692"/>
      <c r="BW19" s="692"/>
      <c r="BX19" s="692"/>
      <c r="BY19" s="692"/>
      <c r="BZ19" s="692"/>
      <c r="CA19" s="692"/>
      <c r="CB19" s="692"/>
      <c r="CC19" s="692"/>
      <c r="CD19" s="692"/>
      <c r="CE19" s="692"/>
      <c r="CF19" s="692"/>
      <c r="CG19" s="692"/>
      <c r="CH19" s="692"/>
      <c r="CI19" s="692"/>
      <c r="CJ19" s="692"/>
      <c r="CK19" s="692"/>
      <c r="CL19" s="692"/>
      <c r="CM19" s="692"/>
      <c r="CN19" s="692"/>
      <c r="CO19" s="692"/>
      <c r="CP19" s="692"/>
      <c r="CQ19" s="692"/>
      <c r="CR19" s="692"/>
      <c r="CS19" s="692"/>
      <c r="CT19" s="692"/>
      <c r="CU19" s="692"/>
      <c r="CV19" s="692"/>
      <c r="CW19" s="692"/>
      <c r="CX19" s="692"/>
      <c r="CY19" s="692"/>
      <c r="CZ19" s="692"/>
      <c r="DA19" s="692"/>
      <c r="DB19" s="692"/>
      <c r="DC19" s="692"/>
      <c r="DD19" s="692"/>
      <c r="DE19" s="692"/>
      <c r="DF19" s="688"/>
      <c r="DG19" s="688"/>
      <c r="DH19" s="688"/>
      <c r="DI19" s="688"/>
      <c r="DJ19" s="688"/>
      <c r="DK19" s="688"/>
      <c r="DL19" s="688"/>
      <c r="DM19" s="688"/>
      <c r="DN19" s="688"/>
      <c r="DO19" s="688"/>
      <c r="DP19" s="688"/>
      <c r="DQ19" s="688"/>
      <c r="DR19" s="688"/>
      <c r="DS19" s="688"/>
      <c r="DT19" s="688"/>
      <c r="DU19" s="688"/>
      <c r="DV19" s="688"/>
      <c r="DW19" s="688"/>
      <c r="DX19" s="688"/>
      <c r="DY19" s="688"/>
      <c r="DZ19" s="688"/>
    </row>
    <row r="20" spans="1:130" ht="13.75" customHeight="1"/>
    <row r="21" spans="1:130" ht="13.75" customHeight="1">
      <c r="B21" s="919" t="s">
        <v>512</v>
      </c>
      <c r="C21" s="919"/>
      <c r="D21" s="919"/>
      <c r="E21" s="919"/>
      <c r="F21" s="919"/>
      <c r="G21" s="919"/>
      <c r="H21" s="919"/>
      <c r="I21" s="920" t="s">
        <v>513</v>
      </c>
      <c r="J21" s="920"/>
      <c r="K21" s="920"/>
      <c r="L21" s="920"/>
      <c r="M21" s="920"/>
      <c r="N21" s="920"/>
      <c r="O21" s="920" t="s">
        <v>514</v>
      </c>
      <c r="P21" s="920"/>
      <c r="Q21" s="920"/>
      <c r="R21" s="920"/>
      <c r="S21" s="920"/>
      <c r="T21" s="920"/>
      <c r="U21" s="920" t="s">
        <v>515</v>
      </c>
      <c r="V21" s="920"/>
      <c r="W21" s="920"/>
      <c r="X21" s="920"/>
      <c r="Y21" s="920"/>
      <c r="Z21" s="920"/>
      <c r="AA21" s="920" t="s">
        <v>516</v>
      </c>
      <c r="AB21" s="920"/>
      <c r="AC21" s="920"/>
      <c r="AD21" s="920"/>
      <c r="AE21" s="920"/>
      <c r="AF21" s="920"/>
      <c r="AG21" s="920" t="s">
        <v>517</v>
      </c>
      <c r="AH21" s="920"/>
      <c r="AI21" s="920"/>
      <c r="AJ21" s="920"/>
      <c r="AK21" s="920"/>
      <c r="AL21" s="920"/>
      <c r="AM21" s="920" t="s">
        <v>518</v>
      </c>
      <c r="AN21" s="920"/>
      <c r="AO21" s="920"/>
      <c r="AP21" s="920"/>
      <c r="AQ21" s="920"/>
      <c r="AR21" s="920"/>
      <c r="AS21" s="920"/>
      <c r="AT21" s="920"/>
      <c r="AU21" s="920"/>
      <c r="AV21" s="920"/>
      <c r="AW21" s="920"/>
      <c r="AX21" s="920"/>
      <c r="AY21" s="920"/>
      <c r="AZ21" s="920"/>
      <c r="BA21" s="920"/>
      <c r="BB21" s="920"/>
      <c r="BC21" s="920"/>
      <c r="BD21" s="920"/>
      <c r="BE21" s="920"/>
      <c r="BF21" s="920"/>
      <c r="BG21" s="920"/>
      <c r="BH21" s="920"/>
      <c r="BI21" s="920"/>
      <c r="BJ21" s="920"/>
    </row>
    <row r="22" spans="1:130" ht="13.75" customHeight="1">
      <c r="B22" s="983" t="s">
        <v>485</v>
      </c>
      <c r="C22" s="984"/>
      <c r="D22" s="984"/>
      <c r="E22" s="984"/>
      <c r="F22" s="984"/>
      <c r="G22" s="984"/>
      <c r="H22" s="985"/>
      <c r="I22" s="918"/>
      <c r="J22" s="918"/>
      <c r="K22" s="918"/>
      <c r="L22" s="918"/>
      <c r="M22" s="918"/>
      <c r="N22" s="918"/>
      <c r="O22" s="918"/>
      <c r="P22" s="918"/>
      <c r="Q22" s="918"/>
      <c r="R22" s="918"/>
      <c r="S22" s="918"/>
      <c r="T22" s="918"/>
      <c r="U22" s="918"/>
      <c r="V22" s="918"/>
      <c r="W22" s="918"/>
      <c r="X22" s="918"/>
      <c r="Y22" s="918"/>
      <c r="Z22" s="918"/>
      <c r="AA22" s="918"/>
      <c r="AB22" s="918"/>
      <c r="AC22" s="918"/>
      <c r="AD22" s="918"/>
      <c r="AE22" s="918"/>
      <c r="AF22" s="918"/>
      <c r="AG22" s="918" t="s">
        <v>486</v>
      </c>
      <c r="AH22" s="918"/>
      <c r="AI22" s="918"/>
      <c r="AJ22" s="918"/>
      <c r="AK22" s="918"/>
      <c r="AL22" s="918"/>
      <c r="AM22" s="918" t="s">
        <v>519</v>
      </c>
      <c r="AN22" s="918"/>
      <c r="AO22" s="918"/>
      <c r="AP22" s="918"/>
      <c r="AQ22" s="918"/>
      <c r="AR22" s="918"/>
      <c r="AS22" s="918"/>
      <c r="AT22" s="918"/>
      <c r="AU22" s="918"/>
      <c r="AV22" s="918"/>
      <c r="AW22" s="918"/>
      <c r="AX22" s="918"/>
      <c r="AY22" s="918"/>
      <c r="AZ22" s="918"/>
      <c r="BA22" s="918"/>
      <c r="BB22" s="918"/>
      <c r="BC22" s="918"/>
      <c r="BD22" s="918"/>
      <c r="BE22" s="918"/>
      <c r="BF22" s="918"/>
      <c r="BG22" s="918"/>
      <c r="BH22" s="918"/>
      <c r="BI22" s="918"/>
      <c r="BJ22" s="918"/>
    </row>
    <row r="23" spans="1:130" ht="13.75" customHeight="1">
      <c r="B23" s="983" t="s">
        <v>520</v>
      </c>
      <c r="C23" s="984"/>
      <c r="D23" s="984"/>
      <c r="E23" s="984"/>
      <c r="F23" s="984"/>
      <c r="G23" s="984"/>
      <c r="H23" s="985"/>
      <c r="I23" s="918"/>
      <c r="J23" s="918"/>
      <c r="K23" s="918"/>
      <c r="L23" s="918"/>
      <c r="M23" s="918"/>
      <c r="N23" s="918"/>
      <c r="O23" s="918"/>
      <c r="P23" s="918"/>
      <c r="Q23" s="918"/>
      <c r="R23" s="918"/>
      <c r="S23" s="918"/>
      <c r="T23" s="918"/>
      <c r="U23" s="918"/>
      <c r="V23" s="918"/>
      <c r="W23" s="918"/>
      <c r="X23" s="918"/>
      <c r="Y23" s="918"/>
      <c r="Z23" s="918"/>
      <c r="AA23" s="918"/>
      <c r="AB23" s="918"/>
      <c r="AC23" s="918"/>
      <c r="AD23" s="918"/>
      <c r="AE23" s="918"/>
      <c r="AF23" s="918"/>
      <c r="AG23" s="918" t="s">
        <v>521</v>
      </c>
      <c r="AH23" s="918"/>
      <c r="AI23" s="918"/>
      <c r="AJ23" s="918"/>
      <c r="AK23" s="918"/>
      <c r="AL23" s="918"/>
      <c r="AM23" s="918" t="s">
        <v>522</v>
      </c>
      <c r="AN23" s="918"/>
      <c r="AO23" s="918"/>
      <c r="AP23" s="918"/>
      <c r="AQ23" s="918"/>
      <c r="AR23" s="918"/>
      <c r="AS23" s="918"/>
      <c r="AT23" s="918"/>
      <c r="AU23" s="918"/>
      <c r="AV23" s="918"/>
      <c r="AW23" s="918"/>
      <c r="AX23" s="918"/>
      <c r="AY23" s="918"/>
      <c r="AZ23" s="918"/>
      <c r="BA23" s="918"/>
      <c r="BB23" s="918"/>
      <c r="BC23" s="918"/>
      <c r="BD23" s="918"/>
      <c r="BE23" s="918"/>
      <c r="BF23" s="918"/>
      <c r="BG23" s="918"/>
      <c r="BH23" s="918"/>
      <c r="BI23" s="918"/>
      <c r="BJ23" s="918"/>
    </row>
    <row r="24" spans="1:130" ht="13.75" customHeight="1">
      <c r="B24" s="983" t="s">
        <v>523</v>
      </c>
      <c r="C24" s="984"/>
      <c r="D24" s="984"/>
      <c r="E24" s="984"/>
      <c r="F24" s="984"/>
      <c r="G24" s="984"/>
      <c r="H24" s="985"/>
      <c r="I24" s="918"/>
      <c r="J24" s="918"/>
      <c r="K24" s="918"/>
      <c r="L24" s="918"/>
      <c r="M24" s="918"/>
      <c r="N24" s="918"/>
      <c r="O24" s="918"/>
      <c r="P24" s="918"/>
      <c r="Q24" s="918"/>
      <c r="R24" s="918"/>
      <c r="S24" s="918"/>
      <c r="T24" s="918"/>
      <c r="U24" s="918"/>
      <c r="V24" s="918"/>
      <c r="W24" s="918"/>
      <c r="X24" s="918"/>
      <c r="Y24" s="918"/>
      <c r="Z24" s="918"/>
      <c r="AA24" s="918"/>
      <c r="AB24" s="918"/>
      <c r="AC24" s="918"/>
      <c r="AD24" s="918"/>
      <c r="AE24" s="918"/>
      <c r="AF24" s="918"/>
      <c r="AG24" s="918" t="s">
        <v>495</v>
      </c>
      <c r="AH24" s="918"/>
      <c r="AI24" s="918"/>
      <c r="AJ24" s="918"/>
      <c r="AK24" s="918"/>
      <c r="AL24" s="918"/>
      <c r="AM24" s="918" t="s">
        <v>524</v>
      </c>
      <c r="AN24" s="918"/>
      <c r="AO24" s="918"/>
      <c r="AP24" s="918"/>
      <c r="AQ24" s="918"/>
      <c r="AR24" s="918"/>
      <c r="AS24" s="918"/>
      <c r="AT24" s="918"/>
      <c r="AU24" s="918"/>
      <c r="AV24" s="918"/>
      <c r="AW24" s="918"/>
      <c r="AX24" s="918"/>
      <c r="AY24" s="918"/>
      <c r="AZ24" s="918"/>
      <c r="BA24" s="918"/>
      <c r="BB24" s="918"/>
      <c r="BC24" s="918"/>
      <c r="BD24" s="918"/>
      <c r="BE24" s="918"/>
      <c r="BF24" s="918"/>
      <c r="BG24" s="918"/>
      <c r="BH24" s="918"/>
      <c r="BI24" s="918"/>
      <c r="BJ24" s="918"/>
    </row>
    <row r="25" spans="1:130" ht="13.75" customHeight="1">
      <c r="B25" s="983" t="s">
        <v>488</v>
      </c>
      <c r="C25" s="984"/>
      <c r="D25" s="984"/>
      <c r="E25" s="984"/>
      <c r="F25" s="984"/>
      <c r="G25" s="984"/>
      <c r="H25" s="985"/>
      <c r="I25" s="918"/>
      <c r="J25" s="918"/>
      <c r="K25" s="918"/>
      <c r="L25" s="918"/>
      <c r="M25" s="918"/>
      <c r="N25" s="918"/>
      <c r="O25" s="918"/>
      <c r="P25" s="918"/>
      <c r="Q25" s="918"/>
      <c r="R25" s="918"/>
      <c r="S25" s="918"/>
      <c r="T25" s="918"/>
      <c r="U25" s="918"/>
      <c r="V25" s="918"/>
      <c r="W25" s="918"/>
      <c r="X25" s="918"/>
      <c r="Y25" s="918"/>
      <c r="Z25" s="918"/>
      <c r="AA25" s="918"/>
      <c r="AB25" s="918"/>
      <c r="AC25" s="918"/>
      <c r="AD25" s="918"/>
      <c r="AE25" s="918"/>
      <c r="AF25" s="918"/>
      <c r="AG25" s="918" t="s">
        <v>525</v>
      </c>
      <c r="AH25" s="918"/>
      <c r="AI25" s="918"/>
      <c r="AJ25" s="918"/>
      <c r="AK25" s="918"/>
      <c r="AL25" s="918"/>
      <c r="AM25" s="918" t="s">
        <v>526</v>
      </c>
      <c r="AN25" s="918"/>
      <c r="AO25" s="918"/>
      <c r="AP25" s="918"/>
      <c r="AQ25" s="918"/>
      <c r="AR25" s="918"/>
      <c r="AS25" s="918"/>
      <c r="AT25" s="918"/>
      <c r="AU25" s="918"/>
      <c r="AV25" s="918"/>
      <c r="AW25" s="918"/>
      <c r="AX25" s="918"/>
      <c r="AY25" s="918"/>
      <c r="AZ25" s="918"/>
      <c r="BA25" s="918"/>
      <c r="BB25" s="918"/>
      <c r="BC25" s="918"/>
      <c r="BD25" s="918"/>
      <c r="BE25" s="918"/>
      <c r="BF25" s="918"/>
      <c r="BG25" s="918"/>
      <c r="BH25" s="918"/>
      <c r="BI25" s="918"/>
      <c r="BJ25" s="918"/>
    </row>
    <row r="26" spans="1:130" ht="13.75" customHeight="1">
      <c r="B26" s="983" t="s">
        <v>527</v>
      </c>
      <c r="C26" s="984"/>
      <c r="D26" s="984"/>
      <c r="E26" s="984"/>
      <c r="F26" s="984"/>
      <c r="G26" s="984"/>
      <c r="H26" s="985"/>
      <c r="I26" s="918"/>
      <c r="J26" s="918"/>
      <c r="K26" s="918"/>
      <c r="L26" s="918"/>
      <c r="M26" s="918"/>
      <c r="N26" s="918"/>
      <c r="O26" s="918"/>
      <c r="P26" s="918"/>
      <c r="Q26" s="918"/>
      <c r="R26" s="918"/>
      <c r="S26" s="918"/>
      <c r="T26" s="918"/>
      <c r="U26" s="918"/>
      <c r="V26" s="918"/>
      <c r="W26" s="918"/>
      <c r="X26" s="918"/>
      <c r="Y26" s="918"/>
      <c r="Z26" s="918"/>
      <c r="AA26" s="918"/>
      <c r="AB26" s="918"/>
      <c r="AC26" s="918"/>
      <c r="AD26" s="918"/>
      <c r="AE26" s="918"/>
      <c r="AF26" s="918"/>
      <c r="AG26" s="918" t="s">
        <v>528</v>
      </c>
      <c r="AH26" s="918"/>
      <c r="AI26" s="918"/>
      <c r="AJ26" s="918"/>
      <c r="AK26" s="918"/>
      <c r="AL26" s="918"/>
      <c r="AM26" s="918" t="s">
        <v>529</v>
      </c>
      <c r="AN26" s="918"/>
      <c r="AO26" s="918"/>
      <c r="AP26" s="918"/>
      <c r="AQ26" s="918"/>
      <c r="AR26" s="918"/>
      <c r="AS26" s="918"/>
      <c r="AT26" s="918"/>
      <c r="AU26" s="918"/>
      <c r="AV26" s="918"/>
      <c r="AW26" s="918"/>
      <c r="AX26" s="918"/>
      <c r="AY26" s="918"/>
      <c r="AZ26" s="918"/>
      <c r="BA26" s="918"/>
      <c r="BB26" s="918"/>
      <c r="BC26" s="918"/>
      <c r="BD26" s="918"/>
      <c r="BE26" s="918"/>
      <c r="BF26" s="918"/>
      <c r="BG26" s="918"/>
      <c r="BH26" s="918"/>
      <c r="BI26" s="918"/>
      <c r="BJ26" s="918"/>
    </row>
    <row r="27" spans="1:130" ht="13.75" customHeight="1">
      <c r="B27" s="983" t="s">
        <v>530</v>
      </c>
      <c r="C27" s="984"/>
      <c r="D27" s="984"/>
      <c r="E27" s="984"/>
      <c r="F27" s="984"/>
      <c r="G27" s="984"/>
      <c r="H27" s="985"/>
      <c r="I27" s="918"/>
      <c r="J27" s="918"/>
      <c r="K27" s="918"/>
      <c r="L27" s="918"/>
      <c r="M27" s="918"/>
      <c r="N27" s="918"/>
      <c r="O27" s="918"/>
      <c r="P27" s="918"/>
      <c r="Q27" s="918"/>
      <c r="R27" s="918"/>
      <c r="S27" s="918"/>
      <c r="T27" s="918"/>
      <c r="U27" s="918"/>
      <c r="V27" s="918"/>
      <c r="W27" s="918"/>
      <c r="X27" s="918"/>
      <c r="Y27" s="918"/>
      <c r="Z27" s="918"/>
      <c r="AA27" s="918"/>
      <c r="AB27" s="918"/>
      <c r="AC27" s="918"/>
      <c r="AD27" s="918"/>
      <c r="AE27" s="918"/>
      <c r="AF27" s="918"/>
      <c r="AG27" s="918" t="s">
        <v>490</v>
      </c>
      <c r="AH27" s="918"/>
      <c r="AI27" s="918"/>
      <c r="AJ27" s="918"/>
      <c r="AK27" s="918"/>
      <c r="AL27" s="918"/>
      <c r="AM27" s="918" t="s">
        <v>531</v>
      </c>
      <c r="AN27" s="918"/>
      <c r="AO27" s="918"/>
      <c r="AP27" s="918"/>
      <c r="AQ27" s="918"/>
      <c r="AR27" s="918"/>
      <c r="AS27" s="918"/>
      <c r="AT27" s="918"/>
      <c r="AU27" s="918"/>
      <c r="AV27" s="918"/>
      <c r="AW27" s="918"/>
      <c r="AX27" s="918"/>
      <c r="AY27" s="918"/>
      <c r="AZ27" s="918"/>
      <c r="BA27" s="918"/>
      <c r="BB27" s="918"/>
      <c r="BC27" s="918"/>
      <c r="BD27" s="918"/>
      <c r="BE27" s="918"/>
      <c r="BF27" s="918"/>
      <c r="BG27" s="918"/>
      <c r="BH27" s="918"/>
      <c r="BI27" s="918"/>
      <c r="BJ27" s="918"/>
    </row>
    <row r="28" spans="1:130" ht="13.75" customHeight="1">
      <c r="B28" s="983" t="s">
        <v>491</v>
      </c>
      <c r="C28" s="984"/>
      <c r="D28" s="984"/>
      <c r="E28" s="984"/>
      <c r="F28" s="984"/>
      <c r="G28" s="984"/>
      <c r="H28" s="985"/>
      <c r="I28" s="918"/>
      <c r="J28" s="918"/>
      <c r="K28" s="918"/>
      <c r="L28" s="918"/>
      <c r="M28" s="918"/>
      <c r="N28" s="918"/>
      <c r="O28" s="918"/>
      <c r="P28" s="918"/>
      <c r="Q28" s="918"/>
      <c r="R28" s="918"/>
      <c r="S28" s="918"/>
      <c r="T28" s="918"/>
      <c r="U28" s="918"/>
      <c r="V28" s="918"/>
      <c r="W28" s="918"/>
      <c r="X28" s="918"/>
      <c r="Y28" s="918"/>
      <c r="Z28" s="918"/>
      <c r="AA28" s="918"/>
      <c r="AB28" s="918"/>
      <c r="AC28" s="918"/>
      <c r="AD28" s="918"/>
      <c r="AE28" s="918"/>
      <c r="AF28" s="918"/>
      <c r="AG28" s="918" t="s">
        <v>532</v>
      </c>
      <c r="AH28" s="918"/>
      <c r="AI28" s="918"/>
      <c r="AJ28" s="918"/>
      <c r="AK28" s="918"/>
      <c r="AL28" s="918"/>
      <c r="AM28" s="918" t="s">
        <v>533</v>
      </c>
      <c r="AN28" s="918"/>
      <c r="AO28" s="918"/>
      <c r="AP28" s="918"/>
      <c r="AQ28" s="918"/>
      <c r="AR28" s="918"/>
      <c r="AS28" s="918"/>
      <c r="AT28" s="918"/>
      <c r="AU28" s="918"/>
      <c r="AV28" s="918"/>
      <c r="AW28" s="918"/>
      <c r="AX28" s="918"/>
      <c r="AY28" s="918"/>
      <c r="AZ28" s="918"/>
      <c r="BA28" s="918"/>
      <c r="BB28" s="918"/>
      <c r="BC28" s="918"/>
      <c r="BD28" s="918"/>
      <c r="BE28" s="918"/>
      <c r="BF28" s="918"/>
      <c r="BG28" s="918"/>
      <c r="BH28" s="918"/>
      <c r="BI28" s="918"/>
      <c r="BJ28" s="918"/>
    </row>
    <row r="29" spans="1:130" ht="13.75" customHeight="1">
      <c r="B29" s="983" t="s">
        <v>534</v>
      </c>
      <c r="C29" s="984"/>
      <c r="D29" s="984"/>
      <c r="E29" s="984"/>
      <c r="F29" s="984"/>
      <c r="G29" s="984"/>
      <c r="H29" s="985"/>
      <c r="I29" s="918"/>
      <c r="J29" s="918"/>
      <c r="K29" s="918"/>
      <c r="L29" s="918"/>
      <c r="M29" s="918"/>
      <c r="N29" s="918"/>
      <c r="O29" s="918"/>
      <c r="P29" s="918"/>
      <c r="Q29" s="918"/>
      <c r="R29" s="918"/>
      <c r="S29" s="918"/>
      <c r="T29" s="918"/>
      <c r="U29" s="918"/>
      <c r="V29" s="918"/>
      <c r="W29" s="918"/>
      <c r="X29" s="918"/>
      <c r="Y29" s="918"/>
      <c r="Z29" s="918"/>
      <c r="AA29" s="918"/>
      <c r="AB29" s="918"/>
      <c r="AC29" s="918"/>
      <c r="AD29" s="918"/>
      <c r="AE29" s="918"/>
      <c r="AF29" s="918"/>
      <c r="AG29" s="918" t="s">
        <v>535</v>
      </c>
      <c r="AH29" s="918"/>
      <c r="AI29" s="918"/>
      <c r="AJ29" s="918"/>
      <c r="AK29" s="918"/>
      <c r="AL29" s="918"/>
      <c r="AM29" s="918" t="s">
        <v>536</v>
      </c>
      <c r="AN29" s="918"/>
      <c r="AO29" s="918"/>
      <c r="AP29" s="918"/>
      <c r="AQ29" s="918"/>
      <c r="AR29" s="918"/>
      <c r="AS29" s="918"/>
      <c r="AT29" s="918"/>
      <c r="AU29" s="918"/>
      <c r="AV29" s="918"/>
      <c r="AW29" s="918"/>
      <c r="AX29" s="918"/>
      <c r="AY29" s="918"/>
      <c r="AZ29" s="918"/>
      <c r="BA29" s="918"/>
      <c r="BB29" s="918"/>
      <c r="BC29" s="918"/>
      <c r="BD29" s="918"/>
      <c r="BE29" s="918"/>
      <c r="BF29" s="918"/>
      <c r="BG29" s="918"/>
      <c r="BH29" s="918"/>
      <c r="BI29" s="918"/>
      <c r="BJ29" s="918"/>
    </row>
    <row r="30" spans="1:130" ht="13.75" customHeight="1">
      <c r="B30" s="983" t="s">
        <v>537</v>
      </c>
      <c r="C30" s="984"/>
      <c r="D30" s="984"/>
      <c r="E30" s="984"/>
      <c r="F30" s="984"/>
      <c r="G30" s="984"/>
      <c r="H30" s="985"/>
      <c r="I30" s="918" t="s">
        <v>538</v>
      </c>
      <c r="J30" s="918"/>
      <c r="K30" s="918"/>
      <c r="L30" s="918"/>
      <c r="M30" s="918"/>
      <c r="N30" s="918"/>
      <c r="O30" s="918" t="s">
        <v>539</v>
      </c>
      <c r="P30" s="918"/>
      <c r="Q30" s="918"/>
      <c r="R30" s="918"/>
      <c r="S30" s="918"/>
      <c r="T30" s="918"/>
      <c r="U30" s="918"/>
      <c r="V30" s="918"/>
      <c r="W30" s="918"/>
      <c r="X30" s="918"/>
      <c r="Y30" s="918"/>
      <c r="Z30" s="918"/>
      <c r="AA30" s="918"/>
      <c r="AB30" s="918"/>
      <c r="AC30" s="918"/>
      <c r="AD30" s="918"/>
      <c r="AE30" s="918"/>
      <c r="AF30" s="918"/>
      <c r="AG30" s="918" t="s">
        <v>540</v>
      </c>
      <c r="AH30" s="918"/>
      <c r="AI30" s="918"/>
      <c r="AJ30" s="918"/>
      <c r="AK30" s="918"/>
      <c r="AL30" s="918"/>
      <c r="AM30" s="918" t="s">
        <v>541</v>
      </c>
      <c r="AN30" s="918"/>
      <c r="AO30" s="918"/>
      <c r="AP30" s="918"/>
      <c r="AQ30" s="918"/>
      <c r="AR30" s="918"/>
      <c r="AS30" s="918"/>
      <c r="AT30" s="918"/>
      <c r="AU30" s="918"/>
      <c r="AV30" s="918"/>
      <c r="AW30" s="918"/>
      <c r="AX30" s="918"/>
      <c r="AY30" s="918"/>
      <c r="AZ30" s="918"/>
      <c r="BA30" s="918"/>
      <c r="BB30" s="918"/>
      <c r="BC30" s="918"/>
      <c r="BD30" s="918"/>
      <c r="BE30" s="918"/>
      <c r="BF30" s="918"/>
      <c r="BG30" s="918"/>
      <c r="BH30" s="918"/>
      <c r="BI30" s="918"/>
      <c r="BJ30" s="918"/>
    </row>
    <row r="31" spans="1:130" ht="13.75" customHeight="1">
      <c r="B31" s="983" t="s">
        <v>542</v>
      </c>
      <c r="C31" s="984"/>
      <c r="D31" s="984"/>
      <c r="E31" s="984"/>
      <c r="F31" s="984"/>
      <c r="G31" s="984"/>
      <c r="H31" s="985"/>
      <c r="I31" s="918" t="s">
        <v>543</v>
      </c>
      <c r="J31" s="918"/>
      <c r="K31" s="918"/>
      <c r="L31" s="918"/>
      <c r="M31" s="918"/>
      <c r="N31" s="918"/>
      <c r="O31" s="918" t="s">
        <v>544</v>
      </c>
      <c r="P31" s="918"/>
      <c r="Q31" s="918"/>
      <c r="R31" s="918"/>
      <c r="S31" s="918"/>
      <c r="T31" s="918"/>
      <c r="U31" s="918"/>
      <c r="V31" s="918"/>
      <c r="W31" s="918"/>
      <c r="X31" s="918"/>
      <c r="Y31" s="918"/>
      <c r="Z31" s="918"/>
      <c r="AA31" s="918"/>
      <c r="AB31" s="918"/>
      <c r="AC31" s="918"/>
      <c r="AD31" s="918"/>
      <c r="AE31" s="918"/>
      <c r="AF31" s="918"/>
      <c r="AG31" s="918" t="s">
        <v>545</v>
      </c>
      <c r="AH31" s="918"/>
      <c r="AI31" s="918"/>
      <c r="AJ31" s="918"/>
      <c r="AK31" s="918"/>
      <c r="AL31" s="918"/>
      <c r="AM31" s="918" t="s">
        <v>546</v>
      </c>
      <c r="AN31" s="918"/>
      <c r="AO31" s="918"/>
      <c r="AP31" s="918"/>
      <c r="AQ31" s="918"/>
      <c r="AR31" s="918"/>
      <c r="AS31" s="918"/>
      <c r="AT31" s="918"/>
      <c r="AU31" s="918"/>
      <c r="AV31" s="918"/>
      <c r="AW31" s="918"/>
      <c r="AX31" s="918"/>
      <c r="AY31" s="918"/>
      <c r="AZ31" s="918"/>
      <c r="BA31" s="918"/>
      <c r="BB31" s="918"/>
      <c r="BC31" s="918"/>
      <c r="BD31" s="918"/>
      <c r="BE31" s="918"/>
      <c r="BF31" s="918"/>
      <c r="BG31" s="918"/>
      <c r="BH31" s="918"/>
      <c r="BI31" s="918"/>
      <c r="BJ31" s="918"/>
    </row>
    <row r="32" spans="1:130" ht="13.75" customHeight="1">
      <c r="B32" s="983" t="s">
        <v>547</v>
      </c>
      <c r="C32" s="984"/>
      <c r="D32" s="984"/>
      <c r="E32" s="984"/>
      <c r="F32" s="984"/>
      <c r="G32" s="984"/>
      <c r="H32" s="985"/>
      <c r="I32" s="918" t="s">
        <v>543</v>
      </c>
      <c r="J32" s="918"/>
      <c r="K32" s="918"/>
      <c r="L32" s="918"/>
      <c r="M32" s="918"/>
      <c r="N32" s="918"/>
      <c r="O32" s="918" t="s">
        <v>544</v>
      </c>
      <c r="P32" s="918"/>
      <c r="Q32" s="918"/>
      <c r="R32" s="918"/>
      <c r="S32" s="918"/>
      <c r="T32" s="918"/>
      <c r="U32" s="918" t="s">
        <v>539</v>
      </c>
      <c r="V32" s="918"/>
      <c r="W32" s="918"/>
      <c r="X32" s="918"/>
      <c r="Y32" s="918"/>
      <c r="Z32" s="918"/>
      <c r="AA32" s="918"/>
      <c r="AB32" s="918"/>
      <c r="AC32" s="918"/>
      <c r="AD32" s="918"/>
      <c r="AE32" s="918"/>
      <c r="AF32" s="918"/>
      <c r="AG32" s="918" t="s">
        <v>548</v>
      </c>
      <c r="AH32" s="918"/>
      <c r="AI32" s="918"/>
      <c r="AJ32" s="918"/>
      <c r="AK32" s="918"/>
      <c r="AL32" s="918"/>
      <c r="AM32" s="918" t="s">
        <v>546</v>
      </c>
      <c r="AN32" s="918"/>
      <c r="AO32" s="918"/>
      <c r="AP32" s="918"/>
      <c r="AQ32" s="918"/>
      <c r="AR32" s="918"/>
      <c r="AS32" s="918"/>
      <c r="AT32" s="918"/>
      <c r="AU32" s="918"/>
      <c r="AV32" s="918"/>
      <c r="AW32" s="918"/>
      <c r="AX32" s="918"/>
      <c r="AY32" s="918"/>
      <c r="AZ32" s="918"/>
      <c r="BA32" s="918"/>
      <c r="BB32" s="918"/>
      <c r="BC32" s="918"/>
      <c r="BD32" s="918"/>
      <c r="BE32" s="918"/>
      <c r="BF32" s="918"/>
      <c r="BG32" s="918"/>
      <c r="BH32" s="918"/>
      <c r="BI32" s="918"/>
      <c r="BJ32" s="918"/>
    </row>
    <row r="33" spans="2:62" ht="13.75" customHeight="1">
      <c r="B33" s="983" t="s">
        <v>549</v>
      </c>
      <c r="C33" s="984"/>
      <c r="D33" s="984"/>
      <c r="E33" s="984"/>
      <c r="F33" s="984"/>
      <c r="G33" s="984"/>
      <c r="H33" s="985"/>
      <c r="I33" s="918" t="s">
        <v>550</v>
      </c>
      <c r="J33" s="918"/>
      <c r="K33" s="918"/>
      <c r="L33" s="918"/>
      <c r="M33" s="918"/>
      <c r="N33" s="918"/>
      <c r="O33" s="918"/>
      <c r="P33" s="918"/>
      <c r="Q33" s="918"/>
      <c r="R33" s="918"/>
      <c r="S33" s="918"/>
      <c r="T33" s="918"/>
      <c r="U33" s="918"/>
      <c r="V33" s="918"/>
      <c r="W33" s="918"/>
      <c r="X33" s="918"/>
      <c r="Y33" s="918"/>
      <c r="Z33" s="918"/>
      <c r="AA33" s="918"/>
      <c r="AB33" s="918"/>
      <c r="AC33" s="918"/>
      <c r="AD33" s="918"/>
      <c r="AE33" s="918"/>
      <c r="AF33" s="918"/>
      <c r="AG33" s="918" t="s">
        <v>551</v>
      </c>
      <c r="AH33" s="918"/>
      <c r="AI33" s="918"/>
      <c r="AJ33" s="918"/>
      <c r="AK33" s="918"/>
      <c r="AL33" s="918"/>
      <c r="AM33" s="918" t="s">
        <v>541</v>
      </c>
      <c r="AN33" s="918"/>
      <c r="AO33" s="918"/>
      <c r="AP33" s="918"/>
      <c r="AQ33" s="918"/>
      <c r="AR33" s="918"/>
      <c r="AS33" s="918"/>
      <c r="AT33" s="918"/>
      <c r="AU33" s="918"/>
      <c r="AV33" s="918"/>
      <c r="AW33" s="918"/>
      <c r="AX33" s="918"/>
      <c r="AY33" s="918"/>
      <c r="AZ33" s="918"/>
      <c r="BA33" s="918"/>
      <c r="BB33" s="918"/>
      <c r="BC33" s="918"/>
      <c r="BD33" s="918"/>
      <c r="BE33" s="918"/>
      <c r="BF33" s="918"/>
      <c r="BG33" s="918"/>
      <c r="BH33" s="918"/>
      <c r="BI33" s="918"/>
      <c r="BJ33" s="918"/>
    </row>
    <row r="34" spans="2:62" ht="13.75" customHeight="1">
      <c r="B34" s="983" t="s">
        <v>552</v>
      </c>
      <c r="C34" s="984"/>
      <c r="D34" s="984"/>
      <c r="E34" s="984"/>
      <c r="F34" s="984"/>
      <c r="G34" s="984"/>
      <c r="H34" s="985"/>
      <c r="I34" s="918" t="s">
        <v>553</v>
      </c>
      <c r="J34" s="918"/>
      <c r="K34" s="918"/>
      <c r="L34" s="918"/>
      <c r="M34" s="918"/>
      <c r="N34" s="918"/>
      <c r="O34" s="918"/>
      <c r="P34" s="918"/>
      <c r="Q34" s="918"/>
      <c r="R34" s="918"/>
      <c r="S34" s="918"/>
      <c r="T34" s="918"/>
      <c r="U34" s="918"/>
      <c r="V34" s="918"/>
      <c r="W34" s="918"/>
      <c r="X34" s="918"/>
      <c r="Y34" s="918"/>
      <c r="Z34" s="918"/>
      <c r="AA34" s="918"/>
      <c r="AB34" s="918"/>
      <c r="AC34" s="918"/>
      <c r="AD34" s="918"/>
      <c r="AE34" s="918"/>
      <c r="AF34" s="918"/>
      <c r="AG34" s="918" t="s">
        <v>554</v>
      </c>
      <c r="AH34" s="918"/>
      <c r="AI34" s="918"/>
      <c r="AJ34" s="918"/>
      <c r="AK34" s="918"/>
      <c r="AL34" s="918"/>
      <c r="AM34" s="918" t="s">
        <v>555</v>
      </c>
      <c r="AN34" s="918"/>
      <c r="AO34" s="918"/>
      <c r="AP34" s="918"/>
      <c r="AQ34" s="918"/>
      <c r="AR34" s="918"/>
      <c r="AS34" s="918"/>
      <c r="AT34" s="918"/>
      <c r="AU34" s="918"/>
      <c r="AV34" s="918"/>
      <c r="AW34" s="918"/>
      <c r="AX34" s="918"/>
      <c r="AY34" s="918"/>
      <c r="AZ34" s="918"/>
      <c r="BA34" s="918"/>
      <c r="BB34" s="918"/>
      <c r="BC34" s="918"/>
      <c r="BD34" s="918"/>
      <c r="BE34" s="918"/>
      <c r="BF34" s="918"/>
      <c r="BG34" s="918"/>
      <c r="BH34" s="918"/>
      <c r="BI34" s="918"/>
      <c r="BJ34" s="918"/>
    </row>
    <row r="35" spans="2:62" ht="13.75" customHeight="1">
      <c r="B35" s="983" t="s">
        <v>556</v>
      </c>
      <c r="C35" s="984"/>
      <c r="D35" s="984"/>
      <c r="E35" s="984"/>
      <c r="F35" s="984"/>
      <c r="G35" s="984"/>
      <c r="H35" s="985"/>
      <c r="I35" s="918" t="s">
        <v>553</v>
      </c>
      <c r="J35" s="918"/>
      <c r="K35" s="918"/>
      <c r="L35" s="918"/>
      <c r="M35" s="918"/>
      <c r="N35" s="918"/>
      <c r="O35" s="918" t="s">
        <v>557</v>
      </c>
      <c r="P35" s="918"/>
      <c r="Q35" s="918"/>
      <c r="R35" s="918"/>
      <c r="S35" s="918"/>
      <c r="T35" s="918"/>
      <c r="U35" s="918" t="s">
        <v>558</v>
      </c>
      <c r="V35" s="918"/>
      <c r="W35" s="918"/>
      <c r="X35" s="918"/>
      <c r="Y35" s="918"/>
      <c r="Z35" s="918"/>
      <c r="AA35" s="918"/>
      <c r="AB35" s="918"/>
      <c r="AC35" s="918"/>
      <c r="AD35" s="918"/>
      <c r="AE35" s="918"/>
      <c r="AF35" s="918"/>
      <c r="AG35" s="918" t="s">
        <v>559</v>
      </c>
      <c r="AH35" s="918"/>
      <c r="AI35" s="918"/>
      <c r="AJ35" s="918"/>
      <c r="AK35" s="918"/>
      <c r="AL35" s="918"/>
      <c r="AM35" s="918" t="s">
        <v>546</v>
      </c>
      <c r="AN35" s="918"/>
      <c r="AO35" s="918"/>
      <c r="AP35" s="918"/>
      <c r="AQ35" s="918"/>
      <c r="AR35" s="918"/>
      <c r="AS35" s="918"/>
      <c r="AT35" s="918"/>
      <c r="AU35" s="918"/>
      <c r="AV35" s="918"/>
      <c r="AW35" s="918"/>
      <c r="AX35" s="918"/>
      <c r="AY35" s="918"/>
      <c r="AZ35" s="918"/>
      <c r="BA35" s="918"/>
      <c r="BB35" s="918"/>
      <c r="BC35" s="918"/>
      <c r="BD35" s="918"/>
      <c r="BE35" s="918"/>
      <c r="BF35" s="918"/>
      <c r="BG35" s="918"/>
      <c r="BH35" s="918"/>
      <c r="BI35" s="918"/>
      <c r="BJ35" s="918"/>
    </row>
    <row r="36" spans="2:62" ht="13.75" customHeight="1">
      <c r="B36" s="983" t="s">
        <v>494</v>
      </c>
      <c r="C36" s="984"/>
      <c r="D36" s="984"/>
      <c r="E36" s="984"/>
      <c r="F36" s="984"/>
      <c r="G36" s="984"/>
      <c r="H36" s="985"/>
      <c r="I36" s="918"/>
      <c r="J36" s="918"/>
      <c r="K36" s="918"/>
      <c r="L36" s="918"/>
      <c r="M36" s="918"/>
      <c r="N36" s="918"/>
      <c r="O36" s="918"/>
      <c r="P36" s="918"/>
      <c r="Q36" s="918"/>
      <c r="R36" s="918"/>
      <c r="S36" s="918"/>
      <c r="T36" s="918"/>
      <c r="U36" s="918"/>
      <c r="V36" s="918"/>
      <c r="W36" s="918"/>
      <c r="X36" s="918"/>
      <c r="Y36" s="918"/>
      <c r="Z36" s="918"/>
      <c r="AA36" s="918"/>
      <c r="AB36" s="918"/>
      <c r="AC36" s="918"/>
      <c r="AD36" s="918"/>
      <c r="AE36" s="918"/>
      <c r="AF36" s="918"/>
      <c r="AG36" s="918" t="s">
        <v>528</v>
      </c>
      <c r="AH36" s="918"/>
      <c r="AI36" s="918"/>
      <c r="AJ36" s="918"/>
      <c r="AK36" s="918"/>
      <c r="AL36" s="918"/>
      <c r="AM36" s="918" t="s">
        <v>560</v>
      </c>
      <c r="AN36" s="918"/>
      <c r="AO36" s="918"/>
      <c r="AP36" s="918"/>
      <c r="AQ36" s="918"/>
      <c r="AR36" s="918"/>
      <c r="AS36" s="918"/>
      <c r="AT36" s="918"/>
      <c r="AU36" s="918"/>
      <c r="AV36" s="918"/>
      <c r="AW36" s="918"/>
      <c r="AX36" s="918"/>
      <c r="AY36" s="918"/>
      <c r="AZ36" s="918"/>
      <c r="BA36" s="918"/>
      <c r="BB36" s="918"/>
      <c r="BC36" s="918"/>
      <c r="BD36" s="918"/>
      <c r="BE36" s="918"/>
      <c r="BF36" s="918"/>
      <c r="BG36" s="918"/>
      <c r="BH36" s="918"/>
      <c r="BI36" s="918"/>
      <c r="BJ36" s="918"/>
    </row>
    <row r="37" spans="2:62" ht="13.75" customHeight="1">
      <c r="B37" s="687"/>
      <c r="C37" s="687"/>
      <c r="D37" s="687"/>
      <c r="E37" s="687"/>
      <c r="F37" s="687"/>
      <c r="G37" s="687"/>
      <c r="H37" s="687"/>
      <c r="I37" s="918" t="s">
        <v>561</v>
      </c>
      <c r="J37" s="918"/>
      <c r="K37" s="918"/>
      <c r="L37" s="918"/>
      <c r="M37" s="918"/>
      <c r="N37" s="918"/>
      <c r="O37" s="918" t="s">
        <v>562</v>
      </c>
      <c r="P37" s="918"/>
      <c r="Q37" s="918"/>
      <c r="R37" s="918"/>
      <c r="S37" s="918"/>
      <c r="T37" s="918"/>
      <c r="U37" s="918" t="s">
        <v>563</v>
      </c>
      <c r="V37" s="918"/>
      <c r="W37" s="918"/>
      <c r="X37" s="918"/>
      <c r="Y37" s="918"/>
      <c r="Z37" s="918"/>
      <c r="AA37" s="918" t="s">
        <v>564</v>
      </c>
      <c r="AB37" s="918"/>
      <c r="AC37" s="918"/>
      <c r="AD37" s="918"/>
      <c r="AE37" s="918"/>
      <c r="AF37" s="918"/>
      <c r="AG37" s="918" t="s">
        <v>565</v>
      </c>
      <c r="AH37" s="918"/>
      <c r="AI37" s="918"/>
      <c r="AJ37" s="918"/>
      <c r="AK37" s="918"/>
      <c r="AL37" s="918"/>
      <c r="AM37" s="918" t="s">
        <v>566</v>
      </c>
      <c r="AN37" s="918"/>
      <c r="AO37" s="918"/>
      <c r="AP37" s="918"/>
      <c r="AQ37" s="918"/>
      <c r="AR37" s="918"/>
      <c r="AS37" s="918"/>
      <c r="AT37" s="918"/>
      <c r="AU37" s="918"/>
      <c r="AV37" s="918"/>
      <c r="AW37" s="918"/>
      <c r="AX37" s="918"/>
      <c r="AY37" s="918"/>
      <c r="AZ37" s="918"/>
      <c r="BA37" s="918"/>
      <c r="BB37" s="918"/>
      <c r="BC37" s="918"/>
      <c r="BD37" s="918"/>
      <c r="BE37" s="918"/>
      <c r="BF37" s="918"/>
      <c r="BG37" s="918"/>
      <c r="BH37" s="918"/>
      <c r="BI37" s="918"/>
      <c r="BJ37" s="918"/>
    </row>
    <row r="38" spans="2:62" ht="13.75" customHeight="1">
      <c r="B38" s="687"/>
      <c r="C38" s="687"/>
      <c r="D38" s="687"/>
      <c r="E38" s="687"/>
      <c r="F38" s="687"/>
      <c r="G38" s="687"/>
      <c r="H38" s="687"/>
      <c r="I38" s="918" t="s">
        <v>567</v>
      </c>
      <c r="J38" s="918"/>
      <c r="K38" s="918"/>
      <c r="L38" s="918"/>
      <c r="M38" s="918"/>
      <c r="N38" s="918"/>
      <c r="O38" s="918"/>
      <c r="P38" s="918"/>
      <c r="Q38" s="918"/>
      <c r="R38" s="918"/>
      <c r="S38" s="918"/>
      <c r="T38" s="918"/>
      <c r="U38" s="918"/>
      <c r="V38" s="918"/>
      <c r="W38" s="918"/>
      <c r="X38" s="918"/>
      <c r="Y38" s="918"/>
      <c r="Z38" s="918"/>
      <c r="AA38" s="918"/>
      <c r="AB38" s="918"/>
      <c r="AC38" s="918"/>
      <c r="AD38" s="918"/>
      <c r="AE38" s="918"/>
      <c r="AF38" s="918"/>
      <c r="AG38" s="918" t="s">
        <v>568</v>
      </c>
      <c r="AH38" s="918"/>
      <c r="AI38" s="918"/>
      <c r="AJ38" s="918"/>
      <c r="AK38" s="918"/>
      <c r="AL38" s="918"/>
      <c r="AM38" s="918" t="s">
        <v>569</v>
      </c>
      <c r="AN38" s="918"/>
      <c r="AO38" s="918"/>
      <c r="AP38" s="918"/>
      <c r="AQ38" s="918"/>
      <c r="AR38" s="918"/>
      <c r="AS38" s="918"/>
      <c r="AT38" s="918"/>
      <c r="AU38" s="918"/>
      <c r="AV38" s="918"/>
      <c r="AW38" s="918"/>
      <c r="AX38" s="918"/>
      <c r="AY38" s="918"/>
      <c r="AZ38" s="918"/>
      <c r="BA38" s="918"/>
      <c r="BB38" s="918"/>
      <c r="BC38" s="918"/>
      <c r="BD38" s="918"/>
      <c r="BE38" s="918"/>
      <c r="BF38" s="918"/>
      <c r="BG38" s="918"/>
      <c r="BH38" s="918"/>
      <c r="BI38" s="918"/>
      <c r="BJ38" s="918"/>
    </row>
    <row r="39" spans="2:62" ht="13.75" customHeight="1">
      <c r="B39" s="687"/>
      <c r="C39" s="687"/>
      <c r="D39" s="687"/>
      <c r="E39" s="687"/>
      <c r="F39" s="687"/>
      <c r="G39" s="687"/>
      <c r="H39" s="687"/>
      <c r="I39" s="918" t="s">
        <v>570</v>
      </c>
      <c r="J39" s="918"/>
      <c r="K39" s="918"/>
      <c r="L39" s="918"/>
      <c r="M39" s="918"/>
      <c r="N39" s="918"/>
      <c r="O39" s="918"/>
      <c r="P39" s="918"/>
      <c r="Q39" s="918"/>
      <c r="R39" s="918"/>
      <c r="S39" s="918"/>
      <c r="T39" s="918"/>
      <c r="U39" s="918"/>
      <c r="V39" s="918"/>
      <c r="W39" s="918"/>
      <c r="X39" s="918"/>
      <c r="Y39" s="918"/>
      <c r="Z39" s="918"/>
      <c r="AA39" s="918"/>
      <c r="AB39" s="918"/>
      <c r="AC39" s="918"/>
      <c r="AD39" s="918"/>
      <c r="AE39" s="918"/>
      <c r="AF39" s="918"/>
      <c r="AG39" s="918" t="s">
        <v>493</v>
      </c>
      <c r="AH39" s="918"/>
      <c r="AI39" s="918"/>
      <c r="AJ39" s="918"/>
      <c r="AK39" s="918"/>
      <c r="AL39" s="918"/>
      <c r="AM39" s="918" t="s">
        <v>571</v>
      </c>
      <c r="AN39" s="918"/>
      <c r="AO39" s="918"/>
      <c r="AP39" s="918"/>
      <c r="AQ39" s="918"/>
      <c r="AR39" s="918"/>
      <c r="AS39" s="918"/>
      <c r="AT39" s="918"/>
      <c r="AU39" s="918"/>
      <c r="AV39" s="918"/>
      <c r="AW39" s="918"/>
      <c r="AX39" s="918"/>
      <c r="AY39" s="918"/>
      <c r="AZ39" s="918"/>
      <c r="BA39" s="918"/>
      <c r="BB39" s="918"/>
      <c r="BC39" s="918"/>
      <c r="BD39" s="918"/>
      <c r="BE39" s="918"/>
      <c r="BF39" s="918"/>
      <c r="BG39" s="918"/>
      <c r="BH39" s="918"/>
      <c r="BI39" s="918"/>
      <c r="BJ39" s="918"/>
    </row>
    <row r="40" spans="2:62" ht="13.75" customHeight="1">
      <c r="B40" s="687"/>
      <c r="C40" s="687"/>
      <c r="D40" s="687"/>
      <c r="E40" s="687"/>
      <c r="F40" s="687"/>
      <c r="G40" s="687"/>
      <c r="H40" s="687"/>
      <c r="I40" s="918"/>
      <c r="J40" s="918"/>
      <c r="K40" s="918"/>
      <c r="L40" s="918"/>
      <c r="M40" s="918"/>
      <c r="N40" s="918"/>
      <c r="O40" s="918"/>
      <c r="P40" s="918"/>
      <c r="Q40" s="918"/>
      <c r="R40" s="918"/>
      <c r="S40" s="918"/>
      <c r="T40" s="918"/>
      <c r="U40" s="918"/>
      <c r="V40" s="918"/>
      <c r="W40" s="918"/>
      <c r="X40" s="918"/>
      <c r="Y40" s="918"/>
      <c r="Z40" s="918"/>
      <c r="AA40" s="918"/>
      <c r="AB40" s="918"/>
      <c r="AC40" s="918"/>
      <c r="AD40" s="918"/>
      <c r="AE40" s="918"/>
      <c r="AF40" s="918"/>
      <c r="AG40" s="918" t="s">
        <v>572</v>
      </c>
      <c r="AH40" s="918"/>
      <c r="AI40" s="918"/>
      <c r="AJ40" s="918"/>
      <c r="AK40" s="918"/>
      <c r="AL40" s="918"/>
      <c r="AM40" s="918" t="s">
        <v>573</v>
      </c>
      <c r="AN40" s="918"/>
      <c r="AO40" s="918"/>
      <c r="AP40" s="918"/>
      <c r="AQ40" s="918"/>
      <c r="AR40" s="918"/>
      <c r="AS40" s="918"/>
      <c r="AT40" s="918"/>
      <c r="AU40" s="918"/>
      <c r="AV40" s="918"/>
      <c r="AW40" s="918"/>
      <c r="AX40" s="918"/>
      <c r="AY40" s="918"/>
      <c r="AZ40" s="918"/>
      <c r="BA40" s="918"/>
      <c r="BB40" s="918"/>
      <c r="BC40" s="918"/>
      <c r="BD40" s="918"/>
      <c r="BE40" s="918"/>
      <c r="BF40" s="918"/>
      <c r="BG40" s="918"/>
      <c r="BH40" s="918"/>
      <c r="BI40" s="918"/>
      <c r="BJ40" s="918"/>
    </row>
    <row r="41" spans="2:62" ht="13.75" customHeight="1">
      <c r="B41" s="687"/>
      <c r="C41" s="687"/>
      <c r="D41" s="687"/>
      <c r="E41" s="687"/>
      <c r="F41" s="687"/>
      <c r="G41" s="687"/>
      <c r="H41" s="687"/>
      <c r="I41" s="918"/>
      <c r="J41" s="918"/>
      <c r="K41" s="918"/>
      <c r="L41" s="918"/>
      <c r="M41" s="918"/>
      <c r="N41" s="918"/>
      <c r="O41" s="918"/>
      <c r="P41" s="918"/>
      <c r="Q41" s="918"/>
      <c r="R41" s="918"/>
      <c r="S41" s="918"/>
      <c r="T41" s="918"/>
      <c r="U41" s="918"/>
      <c r="V41" s="918"/>
      <c r="W41" s="918"/>
      <c r="X41" s="918"/>
      <c r="Y41" s="918"/>
      <c r="Z41" s="918"/>
      <c r="AA41" s="918"/>
      <c r="AB41" s="918"/>
      <c r="AC41" s="918"/>
      <c r="AD41" s="918"/>
      <c r="AE41" s="918"/>
      <c r="AF41" s="918"/>
      <c r="AG41" s="918" t="s">
        <v>574</v>
      </c>
      <c r="AH41" s="918"/>
      <c r="AI41" s="918"/>
      <c r="AJ41" s="918"/>
      <c r="AK41" s="918"/>
      <c r="AL41" s="918"/>
      <c r="AM41" s="918" t="s">
        <v>575</v>
      </c>
      <c r="AN41" s="918"/>
      <c r="AO41" s="918"/>
      <c r="AP41" s="918"/>
      <c r="AQ41" s="918"/>
      <c r="AR41" s="918"/>
      <c r="AS41" s="918"/>
      <c r="AT41" s="918"/>
      <c r="AU41" s="918"/>
      <c r="AV41" s="918"/>
      <c r="AW41" s="918"/>
      <c r="AX41" s="918"/>
      <c r="AY41" s="918"/>
      <c r="AZ41" s="918"/>
      <c r="BA41" s="918"/>
      <c r="BB41" s="918"/>
      <c r="BC41" s="918"/>
      <c r="BD41" s="918"/>
      <c r="BE41" s="918"/>
      <c r="BF41" s="918"/>
      <c r="BG41" s="918"/>
      <c r="BH41" s="918"/>
      <c r="BI41" s="918"/>
      <c r="BJ41" s="918"/>
    </row>
    <row r="42" spans="2:62" ht="13.75" customHeight="1">
      <c r="B42" s="687"/>
      <c r="C42" s="687"/>
      <c r="D42" s="687"/>
      <c r="E42" s="687"/>
      <c r="F42" s="687"/>
      <c r="G42" s="687"/>
      <c r="H42" s="687"/>
      <c r="I42" s="918" t="s">
        <v>576</v>
      </c>
      <c r="J42" s="918"/>
      <c r="K42" s="918"/>
      <c r="L42" s="918"/>
      <c r="M42" s="918"/>
      <c r="N42" s="918"/>
      <c r="O42" s="918" t="s">
        <v>577</v>
      </c>
      <c r="P42" s="918"/>
      <c r="Q42" s="918"/>
      <c r="R42" s="918"/>
      <c r="S42" s="918"/>
      <c r="T42" s="918"/>
      <c r="U42" s="918" t="s">
        <v>578</v>
      </c>
      <c r="V42" s="918"/>
      <c r="W42" s="918"/>
      <c r="X42" s="918"/>
      <c r="Y42" s="918"/>
      <c r="Z42" s="918"/>
      <c r="AA42" s="918" t="s">
        <v>579</v>
      </c>
      <c r="AB42" s="918"/>
      <c r="AC42" s="918"/>
      <c r="AD42" s="918"/>
      <c r="AE42" s="918"/>
      <c r="AF42" s="918"/>
      <c r="AG42" s="918" t="s">
        <v>580</v>
      </c>
      <c r="AH42" s="918"/>
      <c r="AI42" s="918"/>
      <c r="AJ42" s="918"/>
      <c r="AK42" s="918"/>
      <c r="AL42" s="918"/>
      <c r="AM42" s="918" t="s">
        <v>581</v>
      </c>
      <c r="AN42" s="918"/>
      <c r="AO42" s="918"/>
      <c r="AP42" s="918"/>
      <c r="AQ42" s="918"/>
      <c r="AR42" s="918"/>
      <c r="AS42" s="918"/>
      <c r="AT42" s="918"/>
      <c r="AU42" s="918"/>
      <c r="AV42" s="918"/>
      <c r="AW42" s="918"/>
      <c r="AX42" s="918"/>
      <c r="AY42" s="918"/>
      <c r="AZ42" s="918"/>
      <c r="BA42" s="918"/>
      <c r="BB42" s="918"/>
      <c r="BC42" s="918"/>
      <c r="BD42" s="918"/>
      <c r="BE42" s="918"/>
      <c r="BF42" s="918"/>
      <c r="BG42" s="918"/>
      <c r="BH42" s="918"/>
      <c r="BI42" s="918"/>
      <c r="BJ42" s="918"/>
    </row>
    <row r="43" spans="2:62" ht="13.75" customHeight="1">
      <c r="B43" s="687"/>
      <c r="C43" s="687"/>
      <c r="D43" s="687"/>
      <c r="E43" s="687"/>
      <c r="F43" s="687"/>
      <c r="G43" s="687"/>
      <c r="H43" s="687"/>
      <c r="I43" s="918" t="s">
        <v>582</v>
      </c>
      <c r="J43" s="918"/>
      <c r="K43" s="918"/>
      <c r="L43" s="918"/>
      <c r="M43" s="918"/>
      <c r="N43" s="918"/>
      <c r="O43" s="918"/>
      <c r="P43" s="918"/>
      <c r="Q43" s="918"/>
      <c r="R43" s="918"/>
      <c r="S43" s="918"/>
      <c r="T43" s="918"/>
      <c r="U43" s="918"/>
      <c r="V43" s="918"/>
      <c r="W43" s="918"/>
      <c r="X43" s="918"/>
      <c r="Y43" s="918"/>
      <c r="Z43" s="918"/>
      <c r="AA43" s="918"/>
      <c r="AB43" s="918"/>
      <c r="AC43" s="918"/>
      <c r="AD43" s="918"/>
      <c r="AE43" s="918"/>
      <c r="AF43" s="918"/>
      <c r="AG43" s="918" t="s">
        <v>583</v>
      </c>
      <c r="AH43" s="918"/>
      <c r="AI43" s="918"/>
      <c r="AJ43" s="918"/>
      <c r="AK43" s="918"/>
      <c r="AL43" s="918"/>
      <c r="AM43" s="918" t="s">
        <v>584</v>
      </c>
      <c r="AN43" s="918"/>
      <c r="AO43" s="918"/>
      <c r="AP43" s="918"/>
      <c r="AQ43" s="918"/>
      <c r="AR43" s="918"/>
      <c r="AS43" s="918"/>
      <c r="AT43" s="918"/>
      <c r="AU43" s="918"/>
      <c r="AV43" s="918"/>
      <c r="AW43" s="918"/>
      <c r="AX43" s="918"/>
      <c r="AY43" s="918"/>
      <c r="AZ43" s="918"/>
      <c r="BA43" s="918"/>
      <c r="BB43" s="918"/>
      <c r="BC43" s="918"/>
      <c r="BD43" s="918"/>
      <c r="BE43" s="918"/>
      <c r="BF43" s="918"/>
      <c r="BG43" s="918"/>
      <c r="BH43" s="918"/>
      <c r="BI43" s="918"/>
      <c r="BJ43" s="918"/>
    </row>
    <row r="44" spans="2:62" ht="13.75" customHeight="1">
      <c r="B44" s="687"/>
      <c r="C44" s="687"/>
      <c r="D44" s="687"/>
      <c r="E44" s="687"/>
      <c r="F44" s="687"/>
      <c r="G44" s="687"/>
      <c r="H44" s="687"/>
      <c r="I44" s="918" t="s">
        <v>585</v>
      </c>
      <c r="J44" s="918"/>
      <c r="K44" s="918"/>
      <c r="L44" s="918"/>
      <c r="M44" s="918"/>
      <c r="N44" s="918"/>
      <c r="O44" s="918"/>
      <c r="P44" s="918"/>
      <c r="Q44" s="918"/>
      <c r="R44" s="918"/>
      <c r="S44" s="918"/>
      <c r="T44" s="918"/>
      <c r="U44" s="918"/>
      <c r="V44" s="918"/>
      <c r="W44" s="918"/>
      <c r="X44" s="918"/>
      <c r="Y44" s="918"/>
      <c r="Z44" s="918"/>
      <c r="AA44" s="918"/>
      <c r="AB44" s="918"/>
      <c r="AC44" s="918"/>
      <c r="AD44" s="918"/>
      <c r="AE44" s="918"/>
      <c r="AF44" s="918"/>
      <c r="AG44" s="918" t="s">
        <v>586</v>
      </c>
      <c r="AH44" s="918"/>
      <c r="AI44" s="918"/>
      <c r="AJ44" s="918"/>
      <c r="AK44" s="918"/>
      <c r="AL44" s="918"/>
      <c r="AM44" s="986" t="s">
        <v>587</v>
      </c>
      <c r="AN44" s="987"/>
      <c r="AO44" s="987"/>
      <c r="AP44" s="987"/>
      <c r="AQ44" s="987"/>
      <c r="AR44" s="987"/>
      <c r="AS44" s="987"/>
      <c r="AT44" s="987"/>
      <c r="AU44" s="987"/>
      <c r="AV44" s="987"/>
      <c r="AW44" s="987"/>
      <c r="AX44" s="987"/>
      <c r="AY44" s="987"/>
      <c r="AZ44" s="987"/>
      <c r="BA44" s="987"/>
      <c r="BB44" s="987"/>
      <c r="BC44" s="987"/>
      <c r="BD44" s="987"/>
      <c r="BE44" s="987"/>
      <c r="BF44" s="987"/>
      <c r="BG44" s="987"/>
      <c r="BH44" s="987"/>
      <c r="BI44" s="987"/>
      <c r="BJ44" s="988"/>
    </row>
    <row r="45" spans="2:62" ht="13.75" customHeight="1">
      <c r="B45" s="687"/>
      <c r="C45" s="687"/>
      <c r="D45" s="687"/>
      <c r="E45" s="687"/>
      <c r="F45" s="687"/>
      <c r="G45" s="687"/>
      <c r="H45" s="687"/>
      <c r="I45" s="918"/>
      <c r="J45" s="918"/>
      <c r="K45" s="918"/>
      <c r="L45" s="918"/>
      <c r="M45" s="918"/>
      <c r="N45" s="918"/>
      <c r="O45" s="918"/>
      <c r="P45" s="918"/>
      <c r="Q45" s="918"/>
      <c r="R45" s="918"/>
      <c r="S45" s="918"/>
      <c r="T45" s="918"/>
      <c r="U45" s="918"/>
      <c r="V45" s="918"/>
      <c r="W45" s="918"/>
      <c r="X45" s="918"/>
      <c r="Y45" s="918"/>
      <c r="Z45" s="918"/>
      <c r="AA45" s="918"/>
      <c r="AB45" s="918"/>
      <c r="AC45" s="918"/>
      <c r="AD45" s="918"/>
      <c r="AE45" s="918"/>
      <c r="AF45" s="918"/>
      <c r="AG45" s="918" t="s">
        <v>588</v>
      </c>
      <c r="AH45" s="918"/>
      <c r="AI45" s="918"/>
      <c r="AJ45" s="918"/>
      <c r="AK45" s="918"/>
      <c r="AL45" s="918"/>
      <c r="AM45" s="986" t="s">
        <v>589</v>
      </c>
      <c r="AN45" s="987"/>
      <c r="AO45" s="987"/>
      <c r="AP45" s="987"/>
      <c r="AQ45" s="987"/>
      <c r="AR45" s="987"/>
      <c r="AS45" s="987"/>
      <c r="AT45" s="987"/>
      <c r="AU45" s="987"/>
      <c r="AV45" s="987"/>
      <c r="AW45" s="987"/>
      <c r="AX45" s="987"/>
      <c r="AY45" s="987"/>
      <c r="AZ45" s="987"/>
      <c r="BA45" s="987"/>
      <c r="BB45" s="987"/>
      <c r="BC45" s="987"/>
      <c r="BD45" s="987"/>
      <c r="BE45" s="987"/>
      <c r="BF45" s="987"/>
      <c r="BG45" s="987"/>
      <c r="BH45" s="987"/>
      <c r="BI45" s="987"/>
      <c r="BJ45" s="988"/>
    </row>
    <row r="46" spans="2:62" ht="13.75" customHeight="1"/>
    <row r="47" spans="2:62" ht="13.75" customHeight="1"/>
    <row r="48" spans="2:62" ht="13.75" customHeight="1"/>
    <row r="49" spans="1:1" ht="13.75" customHeight="1"/>
    <row r="50" spans="1:1" ht="13.75" customHeight="1"/>
    <row r="51" spans="1:1" ht="13.75" customHeight="1"/>
    <row r="52" spans="1:1" ht="13.75" customHeight="1"/>
    <row r="53" spans="1:1" ht="13.75" customHeight="1"/>
    <row r="54" spans="1:1" ht="13.75" customHeight="1"/>
    <row r="55" spans="1:1" ht="13.75" customHeight="1"/>
    <row r="56" spans="1:1" ht="13.75" customHeight="1"/>
    <row r="57" spans="1:1" ht="13.75" customHeight="1"/>
    <row r="58" spans="1:1" ht="13.75" customHeight="1"/>
    <row r="59" spans="1:1" ht="13.75" customHeight="1"/>
    <row r="60" spans="1:1" ht="13.75" customHeight="1"/>
    <row r="61" spans="1:1" ht="13.75" customHeight="1"/>
    <row r="62" spans="1:1" ht="13.75" customHeight="1"/>
    <row r="63" spans="1:1" ht="13.75" customHeight="1"/>
    <row r="64" spans="1:1" ht="13.75" customHeight="1">
      <c r="A64" s="693"/>
    </row>
    <row r="65" spans="1:1" ht="13.75" customHeight="1">
      <c r="A65" s="693"/>
    </row>
  </sheetData>
  <mergeCells count="402">
    <mergeCell ref="I45:N45"/>
    <mergeCell ref="O45:T45"/>
    <mergeCell ref="U45:Z45"/>
    <mergeCell ref="AA45:AF45"/>
    <mergeCell ref="AG45:AL45"/>
    <mergeCell ref="AM45:BJ45"/>
    <mergeCell ref="I44:N44"/>
    <mergeCell ref="O44:T44"/>
    <mergeCell ref="U44:Z44"/>
    <mergeCell ref="AA44:AF44"/>
    <mergeCell ref="AG44:AL44"/>
    <mergeCell ref="AM44:BJ44"/>
    <mergeCell ref="I43:N43"/>
    <mergeCell ref="O43:T43"/>
    <mergeCell ref="U43:Z43"/>
    <mergeCell ref="AA43:AF43"/>
    <mergeCell ref="AG43:AL43"/>
    <mergeCell ref="AM43:BJ43"/>
    <mergeCell ref="I42:N42"/>
    <mergeCell ref="O42:T42"/>
    <mergeCell ref="U42:Z42"/>
    <mergeCell ref="AA42:AF42"/>
    <mergeCell ref="AG42:AL42"/>
    <mergeCell ref="AM42:BJ42"/>
    <mergeCell ref="I41:N41"/>
    <mergeCell ref="O41:T41"/>
    <mergeCell ref="U41:Z41"/>
    <mergeCell ref="AA41:AF41"/>
    <mergeCell ref="AG41:AL41"/>
    <mergeCell ref="AM41:BJ41"/>
    <mergeCell ref="I40:N40"/>
    <mergeCell ref="O40:T40"/>
    <mergeCell ref="U40:Z40"/>
    <mergeCell ref="AA40:AF40"/>
    <mergeCell ref="AG40:AL40"/>
    <mergeCell ref="AM40:BJ40"/>
    <mergeCell ref="I39:N39"/>
    <mergeCell ref="O39:T39"/>
    <mergeCell ref="U39:Z39"/>
    <mergeCell ref="AA39:AF39"/>
    <mergeCell ref="AG39:AL39"/>
    <mergeCell ref="AM39:BJ39"/>
    <mergeCell ref="I38:N38"/>
    <mergeCell ref="O38:T38"/>
    <mergeCell ref="U38:Z38"/>
    <mergeCell ref="AA38:AF38"/>
    <mergeCell ref="AG38:AL38"/>
    <mergeCell ref="AM38:BJ38"/>
    <mergeCell ref="AM36:BJ36"/>
    <mergeCell ref="I37:N37"/>
    <mergeCell ref="O37:T37"/>
    <mergeCell ref="U37:Z37"/>
    <mergeCell ref="AA37:AF37"/>
    <mergeCell ref="AG37:AL37"/>
    <mergeCell ref="AM37:BJ37"/>
    <mergeCell ref="B36:H36"/>
    <mergeCell ref="I36:N36"/>
    <mergeCell ref="O36:T36"/>
    <mergeCell ref="U36:Z36"/>
    <mergeCell ref="AA36:AF36"/>
    <mergeCell ref="AG36:AL36"/>
    <mergeCell ref="AM34:BJ34"/>
    <mergeCell ref="B35:H35"/>
    <mergeCell ref="I35:N35"/>
    <mergeCell ref="O35:T35"/>
    <mergeCell ref="U35:Z35"/>
    <mergeCell ref="AA35:AF35"/>
    <mergeCell ref="AG35:AL35"/>
    <mergeCell ref="AM35:BJ35"/>
    <mergeCell ref="B34:H34"/>
    <mergeCell ref="I34:N34"/>
    <mergeCell ref="O34:T34"/>
    <mergeCell ref="U34:Z34"/>
    <mergeCell ref="AA34:AF34"/>
    <mergeCell ref="AG34:AL34"/>
    <mergeCell ref="AM32:BJ32"/>
    <mergeCell ref="B33:H33"/>
    <mergeCell ref="I33:N33"/>
    <mergeCell ref="O33:T33"/>
    <mergeCell ref="U33:Z33"/>
    <mergeCell ref="AA33:AF33"/>
    <mergeCell ref="AG33:AL33"/>
    <mergeCell ref="AM33:BJ33"/>
    <mergeCell ref="B32:H32"/>
    <mergeCell ref="I32:N32"/>
    <mergeCell ref="O32:T32"/>
    <mergeCell ref="U32:Z32"/>
    <mergeCell ref="AA32:AF32"/>
    <mergeCell ref="AG32:AL32"/>
    <mergeCell ref="AM30:BJ30"/>
    <mergeCell ref="B31:H31"/>
    <mergeCell ref="I31:N31"/>
    <mergeCell ref="O31:T31"/>
    <mergeCell ref="U31:Z31"/>
    <mergeCell ref="AA31:AF31"/>
    <mergeCell ref="AG31:AL31"/>
    <mergeCell ref="AM31:BJ31"/>
    <mergeCell ref="B30:H30"/>
    <mergeCell ref="I30:N30"/>
    <mergeCell ref="O30:T30"/>
    <mergeCell ref="U30:Z30"/>
    <mergeCell ref="AA30:AF30"/>
    <mergeCell ref="AG30:AL30"/>
    <mergeCell ref="AM28:BJ28"/>
    <mergeCell ref="B29:H29"/>
    <mergeCell ref="I29:N29"/>
    <mergeCell ref="O29:T29"/>
    <mergeCell ref="U29:Z29"/>
    <mergeCell ref="AA29:AF29"/>
    <mergeCell ref="AG29:AL29"/>
    <mergeCell ref="AM29:BJ29"/>
    <mergeCell ref="B28:H28"/>
    <mergeCell ref="I28:N28"/>
    <mergeCell ref="O28:T28"/>
    <mergeCell ref="U28:Z28"/>
    <mergeCell ref="AA28:AF28"/>
    <mergeCell ref="AG28:AL28"/>
    <mergeCell ref="AM26:BJ26"/>
    <mergeCell ref="B27:H27"/>
    <mergeCell ref="I27:N27"/>
    <mergeCell ref="O27:T27"/>
    <mergeCell ref="U27:Z27"/>
    <mergeCell ref="AA27:AF27"/>
    <mergeCell ref="AG27:AL27"/>
    <mergeCell ref="AM27:BJ27"/>
    <mergeCell ref="B26:H26"/>
    <mergeCell ref="I26:N26"/>
    <mergeCell ref="O26:T26"/>
    <mergeCell ref="U26:Z26"/>
    <mergeCell ref="AA26:AF26"/>
    <mergeCell ref="AG26:AL26"/>
    <mergeCell ref="AM24:BJ24"/>
    <mergeCell ref="B25:H25"/>
    <mergeCell ref="I25:N25"/>
    <mergeCell ref="O25:T25"/>
    <mergeCell ref="U25:Z25"/>
    <mergeCell ref="AA25:AF25"/>
    <mergeCell ref="AG25:AL25"/>
    <mergeCell ref="AM25:BJ25"/>
    <mergeCell ref="B24:H24"/>
    <mergeCell ref="I24:N24"/>
    <mergeCell ref="O24:T24"/>
    <mergeCell ref="U24:Z24"/>
    <mergeCell ref="AA24:AF24"/>
    <mergeCell ref="AG24:AL24"/>
    <mergeCell ref="AM22:BJ22"/>
    <mergeCell ref="B23:H23"/>
    <mergeCell ref="I23:N23"/>
    <mergeCell ref="O23:T23"/>
    <mergeCell ref="U23:Z23"/>
    <mergeCell ref="AA23:AF23"/>
    <mergeCell ref="AG23:AL23"/>
    <mergeCell ref="AM23:BJ23"/>
    <mergeCell ref="B22:H22"/>
    <mergeCell ref="I22:N22"/>
    <mergeCell ref="O22:T22"/>
    <mergeCell ref="U22:Z22"/>
    <mergeCell ref="AA22:AF22"/>
    <mergeCell ref="AG22:AL22"/>
    <mergeCell ref="B21:H21"/>
    <mergeCell ref="I21:N21"/>
    <mergeCell ref="O21:T21"/>
    <mergeCell ref="U21:Z21"/>
    <mergeCell ref="AA21:AF21"/>
    <mergeCell ref="AG21:AL21"/>
    <mergeCell ref="AM21:BJ21"/>
    <mergeCell ref="CP18:CR18"/>
    <mergeCell ref="CS18:CT18"/>
    <mergeCell ref="BX18:CB18"/>
    <mergeCell ref="CC18:CG18"/>
    <mergeCell ref="CH18:CL18"/>
    <mergeCell ref="CM18:CO18"/>
    <mergeCell ref="A18:B18"/>
    <mergeCell ref="C18:P18"/>
    <mergeCell ref="Q18:AL18"/>
    <mergeCell ref="AM18:AT18"/>
    <mergeCell ref="AU18:BC18"/>
    <mergeCell ref="BD18:BH18"/>
    <mergeCell ref="A15:B16"/>
    <mergeCell ref="C15:P16"/>
    <mergeCell ref="Q15:AL16"/>
    <mergeCell ref="AM15:AT16"/>
    <mergeCell ref="AU15:BC16"/>
    <mergeCell ref="BI18:BM18"/>
    <mergeCell ref="BN18:BR18"/>
    <mergeCell ref="BS18:BW18"/>
    <mergeCell ref="DM17:DT17"/>
    <mergeCell ref="CP17:CR17"/>
    <mergeCell ref="CS17:CT17"/>
    <mergeCell ref="CU17:CX17"/>
    <mergeCell ref="CY17:DB17"/>
    <mergeCell ref="DC17:DD17"/>
    <mergeCell ref="DE17:DL17"/>
    <mergeCell ref="BX17:CB17"/>
    <mergeCell ref="CC17:CG17"/>
    <mergeCell ref="CH17:CL17"/>
    <mergeCell ref="CM17:CO17"/>
    <mergeCell ref="DM18:DT18"/>
    <mergeCell ref="CU18:CX18"/>
    <mergeCell ref="CY18:DB18"/>
    <mergeCell ref="DC18:DD18"/>
    <mergeCell ref="DE18:DL18"/>
    <mergeCell ref="A17:B17"/>
    <mergeCell ref="C17:P17"/>
    <mergeCell ref="Q17:AL17"/>
    <mergeCell ref="AM17:AT17"/>
    <mergeCell ref="AU17:BC17"/>
    <mergeCell ref="BD17:BH17"/>
    <mergeCell ref="BI17:BM17"/>
    <mergeCell ref="BN17:BR17"/>
    <mergeCell ref="BS17:BW17"/>
    <mergeCell ref="CP15:CT15"/>
    <mergeCell ref="CU15:DD15"/>
    <mergeCell ref="DE15:DL16"/>
    <mergeCell ref="DM15:DT16"/>
    <mergeCell ref="BD16:BH16"/>
    <mergeCell ref="BI16:BM16"/>
    <mergeCell ref="BN16:BR16"/>
    <mergeCell ref="BS16:BW16"/>
    <mergeCell ref="BX16:CB16"/>
    <mergeCell ref="BD15:CO15"/>
    <mergeCell ref="CC16:CG16"/>
    <mergeCell ref="CH16:CL16"/>
    <mergeCell ref="CM16:CO16"/>
    <mergeCell ref="DC16:DD16"/>
    <mergeCell ref="CP16:CR16"/>
    <mergeCell ref="CS16:CT16"/>
    <mergeCell ref="CU16:CX16"/>
    <mergeCell ref="CY16:DB16"/>
    <mergeCell ref="A14:I14"/>
    <mergeCell ref="CP14:DT14"/>
    <mergeCell ref="CC12:CG12"/>
    <mergeCell ref="CH12:CO12"/>
    <mergeCell ref="AY12:BC12"/>
    <mergeCell ref="BD12:BH12"/>
    <mergeCell ref="BI12:BM12"/>
    <mergeCell ref="BN12:BR12"/>
    <mergeCell ref="BS12:BW12"/>
    <mergeCell ref="BX12:CB12"/>
    <mergeCell ref="A12:B12"/>
    <mergeCell ref="C12:I12"/>
    <mergeCell ref="J12:O12"/>
    <mergeCell ref="P12:T12"/>
    <mergeCell ref="U12:W12"/>
    <mergeCell ref="X12:AE12"/>
    <mergeCell ref="AF12:AN12"/>
    <mergeCell ref="AO12:AS12"/>
    <mergeCell ref="AT12:AX12"/>
    <mergeCell ref="BS11:BW11"/>
    <mergeCell ref="BX11:CB11"/>
    <mergeCell ref="CC11:CG11"/>
    <mergeCell ref="CH11:CO11"/>
    <mergeCell ref="AF11:AN11"/>
    <mergeCell ref="AO11:AS11"/>
    <mergeCell ref="AT11:AX11"/>
    <mergeCell ref="AY11:BC11"/>
    <mergeCell ref="BD11:BH11"/>
    <mergeCell ref="BI11:BM11"/>
    <mergeCell ref="A11:B11"/>
    <mergeCell ref="C11:I11"/>
    <mergeCell ref="J11:O11"/>
    <mergeCell ref="P11:T11"/>
    <mergeCell ref="U11:W11"/>
    <mergeCell ref="X11:AE11"/>
    <mergeCell ref="CC10:CG10"/>
    <mergeCell ref="CH10:CO10"/>
    <mergeCell ref="AY10:BC10"/>
    <mergeCell ref="BD10:BH10"/>
    <mergeCell ref="BI10:BM10"/>
    <mergeCell ref="BN10:BR10"/>
    <mergeCell ref="BS10:BW10"/>
    <mergeCell ref="BX10:CB10"/>
    <mergeCell ref="A10:B10"/>
    <mergeCell ref="C10:I10"/>
    <mergeCell ref="J10:O10"/>
    <mergeCell ref="P10:T10"/>
    <mergeCell ref="U10:W10"/>
    <mergeCell ref="X10:AE10"/>
    <mergeCell ref="AF10:AN10"/>
    <mergeCell ref="AO10:AS10"/>
    <mergeCell ref="AT10:AX10"/>
    <mergeCell ref="BN11:BR11"/>
    <mergeCell ref="BX9:CB9"/>
    <mergeCell ref="CC9:CG9"/>
    <mergeCell ref="CH9:CO9"/>
    <mergeCell ref="AF9:AN9"/>
    <mergeCell ref="AO9:AS9"/>
    <mergeCell ref="AT9:AX9"/>
    <mergeCell ref="AY9:BC9"/>
    <mergeCell ref="BD9:BH9"/>
    <mergeCell ref="BI9:BM9"/>
    <mergeCell ref="J8:O8"/>
    <mergeCell ref="P8:T8"/>
    <mergeCell ref="U8:W8"/>
    <mergeCell ref="X8:AE8"/>
    <mergeCell ref="AF8:AN8"/>
    <mergeCell ref="AO8:AS8"/>
    <mergeCell ref="AT8:AX8"/>
    <mergeCell ref="BN9:BR9"/>
    <mergeCell ref="BS9:BW9"/>
    <mergeCell ref="CC7:CG7"/>
    <mergeCell ref="CH7:CO7"/>
    <mergeCell ref="AF7:AN7"/>
    <mergeCell ref="AO7:AS7"/>
    <mergeCell ref="AT7:AX7"/>
    <mergeCell ref="AY7:BC7"/>
    <mergeCell ref="BD7:BH7"/>
    <mergeCell ref="BI7:BM7"/>
    <mergeCell ref="A9:B9"/>
    <mergeCell ref="C9:I9"/>
    <mergeCell ref="J9:O9"/>
    <mergeCell ref="P9:T9"/>
    <mergeCell ref="U9:W9"/>
    <mergeCell ref="X9:AE9"/>
    <mergeCell ref="CC8:CG8"/>
    <mergeCell ref="CH8:CO8"/>
    <mergeCell ref="AY8:BC8"/>
    <mergeCell ref="BD8:BH8"/>
    <mergeCell ref="BI8:BM8"/>
    <mergeCell ref="BN8:BR8"/>
    <mergeCell ref="BS8:BW8"/>
    <mergeCell ref="BX8:CB8"/>
    <mergeCell ref="A8:B8"/>
    <mergeCell ref="C8:I8"/>
    <mergeCell ref="A7:B7"/>
    <mergeCell ref="C7:I7"/>
    <mergeCell ref="J7:O7"/>
    <mergeCell ref="P7:T7"/>
    <mergeCell ref="U7:W7"/>
    <mergeCell ref="X7:AE7"/>
    <mergeCell ref="BN6:BR6"/>
    <mergeCell ref="BS6:BW6"/>
    <mergeCell ref="BX6:CB6"/>
    <mergeCell ref="BN7:BR7"/>
    <mergeCell ref="BS7:BW7"/>
    <mergeCell ref="BX7:CB7"/>
    <mergeCell ref="CC6:CG6"/>
    <mergeCell ref="CH6:CO6"/>
    <mergeCell ref="AF6:AN6"/>
    <mergeCell ref="AO6:AS6"/>
    <mergeCell ref="AT6:AX6"/>
    <mergeCell ref="AY6:BC6"/>
    <mergeCell ref="BD6:BH6"/>
    <mergeCell ref="BI6:BM6"/>
    <mergeCell ref="A6:B6"/>
    <mergeCell ref="C6:I6"/>
    <mergeCell ref="J6:O6"/>
    <mergeCell ref="P6:T6"/>
    <mergeCell ref="U6:W6"/>
    <mergeCell ref="X6:AE6"/>
    <mergeCell ref="A5:B5"/>
    <mergeCell ref="C5:I5"/>
    <mergeCell ref="J5:O5"/>
    <mergeCell ref="P5:T5"/>
    <mergeCell ref="U5:W5"/>
    <mergeCell ref="X5:AE5"/>
    <mergeCell ref="AF5:AN5"/>
    <mergeCell ref="AO5:AS5"/>
    <mergeCell ref="AT5:AX5"/>
    <mergeCell ref="CC4:CG4"/>
    <mergeCell ref="CH4:CO4"/>
    <mergeCell ref="AO4:AS4"/>
    <mergeCell ref="AT4:AX4"/>
    <mergeCell ref="AY4:BC4"/>
    <mergeCell ref="BD4:BH4"/>
    <mergeCell ref="BI4:BM4"/>
    <mergeCell ref="BN4:BR4"/>
    <mergeCell ref="CC5:CG5"/>
    <mergeCell ref="CH5:CO5"/>
    <mergeCell ref="AY5:BC5"/>
    <mergeCell ref="BD5:BH5"/>
    <mergeCell ref="BI5:BM5"/>
    <mergeCell ref="BN5:BR5"/>
    <mergeCell ref="BS5:BW5"/>
    <mergeCell ref="BX5:CB5"/>
    <mergeCell ref="A4:B4"/>
    <mergeCell ref="C4:I4"/>
    <mergeCell ref="J4:O4"/>
    <mergeCell ref="P4:T4"/>
    <mergeCell ref="U4:W4"/>
    <mergeCell ref="X4:AE4"/>
    <mergeCell ref="AF4:AN4"/>
    <mergeCell ref="BS3:BW3"/>
    <mergeCell ref="BX3:CB3"/>
    <mergeCell ref="BS4:BW4"/>
    <mergeCell ref="BX4:CB4"/>
    <mergeCell ref="CH2:CO3"/>
    <mergeCell ref="CC3:CG3"/>
    <mergeCell ref="AO3:AS3"/>
    <mergeCell ref="AT3:AX3"/>
    <mergeCell ref="AY3:BC3"/>
    <mergeCell ref="BD3:BH3"/>
    <mergeCell ref="BI3:BM3"/>
    <mergeCell ref="BN3:BR3"/>
    <mergeCell ref="A1:G1"/>
    <mergeCell ref="A2:B3"/>
    <mergeCell ref="C2:I3"/>
    <mergeCell ref="J2:O3"/>
    <mergeCell ref="P2:W3"/>
    <mergeCell ref="X2:AE3"/>
    <mergeCell ref="AF2:AN3"/>
    <mergeCell ref="AO2:CG2"/>
  </mergeCells>
  <phoneticPr fontId="56"/>
  <dataValidations count="4">
    <dataValidation type="list" allowBlank="1" showInputMessage="1" sqref="X8:AE8" xr:uid="{FA63981F-BA75-4403-960F-AEE78E466EFA}">
      <formula1>$AG$22:$AG$45</formula1>
    </dataValidation>
    <dataValidation type="list" allowBlank="1" showInputMessage="1" sqref="J8:O8" xr:uid="{AF7F02AC-5429-4020-9BE3-198D57482212}">
      <formula1>$B$22:$B$45</formula1>
    </dataValidation>
    <dataValidation type="list" allowBlank="1" showInputMessage="1" showErrorMessage="1" sqref="WUV982987:WVC983008 X65483:AE65504 WKZ4:WLG12 WBD4:WBK12 VRH4:VRO12 VHL4:VHS12 UXP4:UXW12 UNT4:UOA12 UDX4:UEE12 TUB4:TUI12 TKF4:TKM12 TAJ4:TAQ12 SQN4:SQU12 SGR4:SGY12 RWV4:RXC12 RMZ4:RNG12 RDD4:RDK12 QTH4:QTO12 QJL4:QJS12 PZP4:PZW12 PPT4:PQA12 PFX4:PGE12 OWB4:OWI12 OMF4:OMM12 OCJ4:OCQ12 NSN4:NSU12 NIR4:NIY12 MYV4:MZC12 MOZ4:MPG12 MFD4:MFK12 LVH4:LVO12 LLL4:LLS12 LBP4:LBW12 KRT4:KSA12 KHX4:KIE12 JYB4:JYI12 JOF4:JOM12 JEJ4:JEQ12 IUN4:IUU12 IKR4:IKY12 IAV4:IBC12 HQZ4:HRG12 HHD4:HHK12 GXH4:GXO12 GNL4:GNS12 GDP4:GDW12 FTT4:FUA12 FJX4:FKE12 FAB4:FAI12 EQF4:EQM12 EGJ4:EGQ12 DWN4:DWU12 DMR4:DMY12 DCV4:DDC12 CSZ4:CTG12 CJD4:CJK12 BZH4:BZO12 BPL4:BPS12 BFP4:BFW12 AVT4:AWA12 ALX4:AME12 ACB4:ACI12 SF4:SM12 WUV4:WVC12 IJ4:IQ12 IJ65483:IQ65504 SF65483:SM65504 ACB65483:ACI65504 ALX65483:AME65504 AVT65483:AWA65504 BFP65483:BFW65504 BPL65483:BPS65504 BZH65483:BZO65504 CJD65483:CJK65504 CSZ65483:CTG65504 DCV65483:DDC65504 DMR65483:DMY65504 DWN65483:DWU65504 EGJ65483:EGQ65504 EQF65483:EQM65504 FAB65483:FAI65504 FJX65483:FKE65504 FTT65483:FUA65504 GDP65483:GDW65504 GNL65483:GNS65504 GXH65483:GXO65504 HHD65483:HHK65504 HQZ65483:HRG65504 IAV65483:IBC65504 IKR65483:IKY65504 IUN65483:IUU65504 JEJ65483:JEQ65504 JOF65483:JOM65504 JYB65483:JYI65504 KHX65483:KIE65504 KRT65483:KSA65504 LBP65483:LBW65504 LLL65483:LLS65504 LVH65483:LVO65504 MFD65483:MFK65504 MOZ65483:MPG65504 MYV65483:MZC65504 NIR65483:NIY65504 NSN65483:NSU65504 OCJ65483:OCQ65504 OMF65483:OMM65504 OWB65483:OWI65504 PFX65483:PGE65504 PPT65483:PQA65504 PZP65483:PZW65504 QJL65483:QJS65504 QTH65483:QTO65504 RDD65483:RDK65504 RMZ65483:RNG65504 RWV65483:RXC65504 SGR65483:SGY65504 SQN65483:SQU65504 TAJ65483:TAQ65504 TKF65483:TKM65504 TUB65483:TUI65504 UDX65483:UEE65504 UNT65483:UOA65504 UXP65483:UXW65504 VHL65483:VHS65504 VRH65483:VRO65504 WBD65483:WBK65504 WKZ65483:WLG65504 WUV65483:WVC65504 X131019:AE131040 IJ131019:IQ131040 SF131019:SM131040 ACB131019:ACI131040 ALX131019:AME131040 AVT131019:AWA131040 BFP131019:BFW131040 BPL131019:BPS131040 BZH131019:BZO131040 CJD131019:CJK131040 CSZ131019:CTG131040 DCV131019:DDC131040 DMR131019:DMY131040 DWN131019:DWU131040 EGJ131019:EGQ131040 EQF131019:EQM131040 FAB131019:FAI131040 FJX131019:FKE131040 FTT131019:FUA131040 GDP131019:GDW131040 GNL131019:GNS131040 GXH131019:GXO131040 HHD131019:HHK131040 HQZ131019:HRG131040 IAV131019:IBC131040 IKR131019:IKY131040 IUN131019:IUU131040 JEJ131019:JEQ131040 JOF131019:JOM131040 JYB131019:JYI131040 KHX131019:KIE131040 KRT131019:KSA131040 LBP131019:LBW131040 LLL131019:LLS131040 LVH131019:LVO131040 MFD131019:MFK131040 MOZ131019:MPG131040 MYV131019:MZC131040 NIR131019:NIY131040 NSN131019:NSU131040 OCJ131019:OCQ131040 OMF131019:OMM131040 OWB131019:OWI131040 PFX131019:PGE131040 PPT131019:PQA131040 PZP131019:PZW131040 QJL131019:QJS131040 QTH131019:QTO131040 RDD131019:RDK131040 RMZ131019:RNG131040 RWV131019:RXC131040 SGR131019:SGY131040 SQN131019:SQU131040 TAJ131019:TAQ131040 TKF131019:TKM131040 TUB131019:TUI131040 UDX131019:UEE131040 UNT131019:UOA131040 UXP131019:UXW131040 VHL131019:VHS131040 VRH131019:VRO131040 WBD131019:WBK131040 WKZ131019:WLG131040 WUV131019:WVC131040 X196555:AE196576 IJ196555:IQ196576 SF196555:SM196576 ACB196555:ACI196576 ALX196555:AME196576 AVT196555:AWA196576 BFP196555:BFW196576 BPL196555:BPS196576 BZH196555:BZO196576 CJD196555:CJK196576 CSZ196555:CTG196576 DCV196555:DDC196576 DMR196555:DMY196576 DWN196555:DWU196576 EGJ196555:EGQ196576 EQF196555:EQM196576 FAB196555:FAI196576 FJX196555:FKE196576 FTT196555:FUA196576 GDP196555:GDW196576 GNL196555:GNS196576 GXH196555:GXO196576 HHD196555:HHK196576 HQZ196555:HRG196576 IAV196555:IBC196576 IKR196555:IKY196576 IUN196555:IUU196576 JEJ196555:JEQ196576 JOF196555:JOM196576 JYB196555:JYI196576 KHX196555:KIE196576 KRT196555:KSA196576 LBP196555:LBW196576 LLL196555:LLS196576 LVH196555:LVO196576 MFD196555:MFK196576 MOZ196555:MPG196576 MYV196555:MZC196576 NIR196555:NIY196576 NSN196555:NSU196576 OCJ196555:OCQ196576 OMF196555:OMM196576 OWB196555:OWI196576 PFX196555:PGE196576 PPT196555:PQA196576 PZP196555:PZW196576 QJL196555:QJS196576 QTH196555:QTO196576 RDD196555:RDK196576 RMZ196555:RNG196576 RWV196555:RXC196576 SGR196555:SGY196576 SQN196555:SQU196576 TAJ196555:TAQ196576 TKF196555:TKM196576 TUB196555:TUI196576 UDX196555:UEE196576 UNT196555:UOA196576 UXP196555:UXW196576 VHL196555:VHS196576 VRH196555:VRO196576 WBD196555:WBK196576 WKZ196555:WLG196576 WUV196555:WVC196576 X262091:AE262112 IJ262091:IQ262112 SF262091:SM262112 ACB262091:ACI262112 ALX262091:AME262112 AVT262091:AWA262112 BFP262091:BFW262112 BPL262091:BPS262112 BZH262091:BZO262112 CJD262091:CJK262112 CSZ262091:CTG262112 DCV262091:DDC262112 DMR262091:DMY262112 DWN262091:DWU262112 EGJ262091:EGQ262112 EQF262091:EQM262112 FAB262091:FAI262112 FJX262091:FKE262112 FTT262091:FUA262112 GDP262091:GDW262112 GNL262091:GNS262112 GXH262091:GXO262112 HHD262091:HHK262112 HQZ262091:HRG262112 IAV262091:IBC262112 IKR262091:IKY262112 IUN262091:IUU262112 JEJ262091:JEQ262112 JOF262091:JOM262112 JYB262091:JYI262112 KHX262091:KIE262112 KRT262091:KSA262112 LBP262091:LBW262112 LLL262091:LLS262112 LVH262091:LVO262112 MFD262091:MFK262112 MOZ262091:MPG262112 MYV262091:MZC262112 NIR262091:NIY262112 NSN262091:NSU262112 OCJ262091:OCQ262112 OMF262091:OMM262112 OWB262091:OWI262112 PFX262091:PGE262112 PPT262091:PQA262112 PZP262091:PZW262112 QJL262091:QJS262112 QTH262091:QTO262112 RDD262091:RDK262112 RMZ262091:RNG262112 RWV262091:RXC262112 SGR262091:SGY262112 SQN262091:SQU262112 TAJ262091:TAQ262112 TKF262091:TKM262112 TUB262091:TUI262112 UDX262091:UEE262112 UNT262091:UOA262112 UXP262091:UXW262112 VHL262091:VHS262112 VRH262091:VRO262112 WBD262091:WBK262112 WKZ262091:WLG262112 WUV262091:WVC262112 X327627:AE327648 IJ327627:IQ327648 SF327627:SM327648 ACB327627:ACI327648 ALX327627:AME327648 AVT327627:AWA327648 BFP327627:BFW327648 BPL327627:BPS327648 BZH327627:BZO327648 CJD327627:CJK327648 CSZ327627:CTG327648 DCV327627:DDC327648 DMR327627:DMY327648 DWN327627:DWU327648 EGJ327627:EGQ327648 EQF327627:EQM327648 FAB327627:FAI327648 FJX327627:FKE327648 FTT327627:FUA327648 GDP327627:GDW327648 GNL327627:GNS327648 GXH327627:GXO327648 HHD327627:HHK327648 HQZ327627:HRG327648 IAV327627:IBC327648 IKR327627:IKY327648 IUN327627:IUU327648 JEJ327627:JEQ327648 JOF327627:JOM327648 JYB327627:JYI327648 KHX327627:KIE327648 KRT327627:KSA327648 LBP327627:LBW327648 LLL327627:LLS327648 LVH327627:LVO327648 MFD327627:MFK327648 MOZ327627:MPG327648 MYV327627:MZC327648 NIR327627:NIY327648 NSN327627:NSU327648 OCJ327627:OCQ327648 OMF327627:OMM327648 OWB327627:OWI327648 PFX327627:PGE327648 PPT327627:PQA327648 PZP327627:PZW327648 QJL327627:QJS327648 QTH327627:QTO327648 RDD327627:RDK327648 RMZ327627:RNG327648 RWV327627:RXC327648 SGR327627:SGY327648 SQN327627:SQU327648 TAJ327627:TAQ327648 TKF327627:TKM327648 TUB327627:TUI327648 UDX327627:UEE327648 UNT327627:UOA327648 UXP327627:UXW327648 VHL327627:VHS327648 VRH327627:VRO327648 WBD327627:WBK327648 WKZ327627:WLG327648 WUV327627:WVC327648 X393163:AE393184 IJ393163:IQ393184 SF393163:SM393184 ACB393163:ACI393184 ALX393163:AME393184 AVT393163:AWA393184 BFP393163:BFW393184 BPL393163:BPS393184 BZH393163:BZO393184 CJD393163:CJK393184 CSZ393163:CTG393184 DCV393163:DDC393184 DMR393163:DMY393184 DWN393163:DWU393184 EGJ393163:EGQ393184 EQF393163:EQM393184 FAB393163:FAI393184 FJX393163:FKE393184 FTT393163:FUA393184 GDP393163:GDW393184 GNL393163:GNS393184 GXH393163:GXO393184 HHD393163:HHK393184 HQZ393163:HRG393184 IAV393163:IBC393184 IKR393163:IKY393184 IUN393163:IUU393184 JEJ393163:JEQ393184 JOF393163:JOM393184 JYB393163:JYI393184 KHX393163:KIE393184 KRT393163:KSA393184 LBP393163:LBW393184 LLL393163:LLS393184 LVH393163:LVO393184 MFD393163:MFK393184 MOZ393163:MPG393184 MYV393163:MZC393184 NIR393163:NIY393184 NSN393163:NSU393184 OCJ393163:OCQ393184 OMF393163:OMM393184 OWB393163:OWI393184 PFX393163:PGE393184 PPT393163:PQA393184 PZP393163:PZW393184 QJL393163:QJS393184 QTH393163:QTO393184 RDD393163:RDK393184 RMZ393163:RNG393184 RWV393163:RXC393184 SGR393163:SGY393184 SQN393163:SQU393184 TAJ393163:TAQ393184 TKF393163:TKM393184 TUB393163:TUI393184 UDX393163:UEE393184 UNT393163:UOA393184 UXP393163:UXW393184 VHL393163:VHS393184 VRH393163:VRO393184 WBD393163:WBK393184 WKZ393163:WLG393184 WUV393163:WVC393184 X458699:AE458720 IJ458699:IQ458720 SF458699:SM458720 ACB458699:ACI458720 ALX458699:AME458720 AVT458699:AWA458720 BFP458699:BFW458720 BPL458699:BPS458720 BZH458699:BZO458720 CJD458699:CJK458720 CSZ458699:CTG458720 DCV458699:DDC458720 DMR458699:DMY458720 DWN458699:DWU458720 EGJ458699:EGQ458720 EQF458699:EQM458720 FAB458699:FAI458720 FJX458699:FKE458720 FTT458699:FUA458720 GDP458699:GDW458720 GNL458699:GNS458720 GXH458699:GXO458720 HHD458699:HHK458720 HQZ458699:HRG458720 IAV458699:IBC458720 IKR458699:IKY458720 IUN458699:IUU458720 JEJ458699:JEQ458720 JOF458699:JOM458720 JYB458699:JYI458720 KHX458699:KIE458720 KRT458699:KSA458720 LBP458699:LBW458720 LLL458699:LLS458720 LVH458699:LVO458720 MFD458699:MFK458720 MOZ458699:MPG458720 MYV458699:MZC458720 NIR458699:NIY458720 NSN458699:NSU458720 OCJ458699:OCQ458720 OMF458699:OMM458720 OWB458699:OWI458720 PFX458699:PGE458720 PPT458699:PQA458720 PZP458699:PZW458720 QJL458699:QJS458720 QTH458699:QTO458720 RDD458699:RDK458720 RMZ458699:RNG458720 RWV458699:RXC458720 SGR458699:SGY458720 SQN458699:SQU458720 TAJ458699:TAQ458720 TKF458699:TKM458720 TUB458699:TUI458720 UDX458699:UEE458720 UNT458699:UOA458720 UXP458699:UXW458720 VHL458699:VHS458720 VRH458699:VRO458720 WBD458699:WBK458720 WKZ458699:WLG458720 WUV458699:WVC458720 X524235:AE524256 IJ524235:IQ524256 SF524235:SM524256 ACB524235:ACI524256 ALX524235:AME524256 AVT524235:AWA524256 BFP524235:BFW524256 BPL524235:BPS524256 BZH524235:BZO524256 CJD524235:CJK524256 CSZ524235:CTG524256 DCV524235:DDC524256 DMR524235:DMY524256 DWN524235:DWU524256 EGJ524235:EGQ524256 EQF524235:EQM524256 FAB524235:FAI524256 FJX524235:FKE524256 FTT524235:FUA524256 GDP524235:GDW524256 GNL524235:GNS524256 GXH524235:GXO524256 HHD524235:HHK524256 HQZ524235:HRG524256 IAV524235:IBC524256 IKR524235:IKY524256 IUN524235:IUU524256 JEJ524235:JEQ524256 JOF524235:JOM524256 JYB524235:JYI524256 KHX524235:KIE524256 KRT524235:KSA524256 LBP524235:LBW524256 LLL524235:LLS524256 LVH524235:LVO524256 MFD524235:MFK524256 MOZ524235:MPG524256 MYV524235:MZC524256 NIR524235:NIY524256 NSN524235:NSU524256 OCJ524235:OCQ524256 OMF524235:OMM524256 OWB524235:OWI524256 PFX524235:PGE524256 PPT524235:PQA524256 PZP524235:PZW524256 QJL524235:QJS524256 QTH524235:QTO524256 RDD524235:RDK524256 RMZ524235:RNG524256 RWV524235:RXC524256 SGR524235:SGY524256 SQN524235:SQU524256 TAJ524235:TAQ524256 TKF524235:TKM524256 TUB524235:TUI524256 UDX524235:UEE524256 UNT524235:UOA524256 UXP524235:UXW524256 VHL524235:VHS524256 VRH524235:VRO524256 WBD524235:WBK524256 WKZ524235:WLG524256 WUV524235:WVC524256 X589771:AE589792 IJ589771:IQ589792 SF589771:SM589792 ACB589771:ACI589792 ALX589771:AME589792 AVT589771:AWA589792 BFP589771:BFW589792 BPL589771:BPS589792 BZH589771:BZO589792 CJD589771:CJK589792 CSZ589771:CTG589792 DCV589771:DDC589792 DMR589771:DMY589792 DWN589771:DWU589792 EGJ589771:EGQ589792 EQF589771:EQM589792 FAB589771:FAI589792 FJX589771:FKE589792 FTT589771:FUA589792 GDP589771:GDW589792 GNL589771:GNS589792 GXH589771:GXO589792 HHD589771:HHK589792 HQZ589771:HRG589792 IAV589771:IBC589792 IKR589771:IKY589792 IUN589771:IUU589792 JEJ589771:JEQ589792 JOF589771:JOM589792 JYB589771:JYI589792 KHX589771:KIE589792 KRT589771:KSA589792 LBP589771:LBW589792 LLL589771:LLS589792 LVH589771:LVO589792 MFD589771:MFK589792 MOZ589771:MPG589792 MYV589771:MZC589792 NIR589771:NIY589792 NSN589771:NSU589792 OCJ589771:OCQ589792 OMF589771:OMM589792 OWB589771:OWI589792 PFX589771:PGE589792 PPT589771:PQA589792 PZP589771:PZW589792 QJL589771:QJS589792 QTH589771:QTO589792 RDD589771:RDK589792 RMZ589771:RNG589792 RWV589771:RXC589792 SGR589771:SGY589792 SQN589771:SQU589792 TAJ589771:TAQ589792 TKF589771:TKM589792 TUB589771:TUI589792 UDX589771:UEE589792 UNT589771:UOA589792 UXP589771:UXW589792 VHL589771:VHS589792 VRH589771:VRO589792 WBD589771:WBK589792 WKZ589771:WLG589792 WUV589771:WVC589792 X655307:AE655328 IJ655307:IQ655328 SF655307:SM655328 ACB655307:ACI655328 ALX655307:AME655328 AVT655307:AWA655328 BFP655307:BFW655328 BPL655307:BPS655328 BZH655307:BZO655328 CJD655307:CJK655328 CSZ655307:CTG655328 DCV655307:DDC655328 DMR655307:DMY655328 DWN655307:DWU655328 EGJ655307:EGQ655328 EQF655307:EQM655328 FAB655307:FAI655328 FJX655307:FKE655328 FTT655307:FUA655328 GDP655307:GDW655328 GNL655307:GNS655328 GXH655307:GXO655328 HHD655307:HHK655328 HQZ655307:HRG655328 IAV655307:IBC655328 IKR655307:IKY655328 IUN655307:IUU655328 JEJ655307:JEQ655328 JOF655307:JOM655328 JYB655307:JYI655328 KHX655307:KIE655328 KRT655307:KSA655328 LBP655307:LBW655328 LLL655307:LLS655328 LVH655307:LVO655328 MFD655307:MFK655328 MOZ655307:MPG655328 MYV655307:MZC655328 NIR655307:NIY655328 NSN655307:NSU655328 OCJ655307:OCQ655328 OMF655307:OMM655328 OWB655307:OWI655328 PFX655307:PGE655328 PPT655307:PQA655328 PZP655307:PZW655328 QJL655307:QJS655328 QTH655307:QTO655328 RDD655307:RDK655328 RMZ655307:RNG655328 RWV655307:RXC655328 SGR655307:SGY655328 SQN655307:SQU655328 TAJ655307:TAQ655328 TKF655307:TKM655328 TUB655307:TUI655328 UDX655307:UEE655328 UNT655307:UOA655328 UXP655307:UXW655328 VHL655307:VHS655328 VRH655307:VRO655328 WBD655307:WBK655328 WKZ655307:WLG655328 WUV655307:WVC655328 X720843:AE720864 IJ720843:IQ720864 SF720843:SM720864 ACB720843:ACI720864 ALX720843:AME720864 AVT720843:AWA720864 BFP720843:BFW720864 BPL720843:BPS720864 BZH720843:BZO720864 CJD720843:CJK720864 CSZ720843:CTG720864 DCV720843:DDC720864 DMR720843:DMY720864 DWN720843:DWU720864 EGJ720843:EGQ720864 EQF720843:EQM720864 FAB720843:FAI720864 FJX720843:FKE720864 FTT720843:FUA720864 GDP720843:GDW720864 GNL720843:GNS720864 GXH720843:GXO720864 HHD720843:HHK720864 HQZ720843:HRG720864 IAV720843:IBC720864 IKR720843:IKY720864 IUN720843:IUU720864 JEJ720843:JEQ720864 JOF720843:JOM720864 JYB720843:JYI720864 KHX720843:KIE720864 KRT720843:KSA720864 LBP720843:LBW720864 LLL720843:LLS720864 LVH720843:LVO720864 MFD720843:MFK720864 MOZ720843:MPG720864 MYV720843:MZC720864 NIR720843:NIY720864 NSN720843:NSU720864 OCJ720843:OCQ720864 OMF720843:OMM720864 OWB720843:OWI720864 PFX720843:PGE720864 PPT720843:PQA720864 PZP720843:PZW720864 QJL720843:QJS720864 QTH720843:QTO720864 RDD720843:RDK720864 RMZ720843:RNG720864 RWV720843:RXC720864 SGR720843:SGY720864 SQN720843:SQU720864 TAJ720843:TAQ720864 TKF720843:TKM720864 TUB720843:TUI720864 UDX720843:UEE720864 UNT720843:UOA720864 UXP720843:UXW720864 VHL720843:VHS720864 VRH720843:VRO720864 WBD720843:WBK720864 WKZ720843:WLG720864 WUV720843:WVC720864 X786379:AE786400 IJ786379:IQ786400 SF786379:SM786400 ACB786379:ACI786400 ALX786379:AME786400 AVT786379:AWA786400 BFP786379:BFW786400 BPL786379:BPS786400 BZH786379:BZO786400 CJD786379:CJK786400 CSZ786379:CTG786400 DCV786379:DDC786400 DMR786379:DMY786400 DWN786379:DWU786400 EGJ786379:EGQ786400 EQF786379:EQM786400 FAB786379:FAI786400 FJX786379:FKE786400 FTT786379:FUA786400 GDP786379:GDW786400 GNL786379:GNS786400 GXH786379:GXO786400 HHD786379:HHK786400 HQZ786379:HRG786400 IAV786379:IBC786400 IKR786379:IKY786400 IUN786379:IUU786400 JEJ786379:JEQ786400 JOF786379:JOM786400 JYB786379:JYI786400 KHX786379:KIE786400 KRT786379:KSA786400 LBP786379:LBW786400 LLL786379:LLS786400 LVH786379:LVO786400 MFD786379:MFK786400 MOZ786379:MPG786400 MYV786379:MZC786400 NIR786379:NIY786400 NSN786379:NSU786400 OCJ786379:OCQ786400 OMF786379:OMM786400 OWB786379:OWI786400 PFX786379:PGE786400 PPT786379:PQA786400 PZP786379:PZW786400 QJL786379:QJS786400 QTH786379:QTO786400 RDD786379:RDK786400 RMZ786379:RNG786400 RWV786379:RXC786400 SGR786379:SGY786400 SQN786379:SQU786400 TAJ786379:TAQ786400 TKF786379:TKM786400 TUB786379:TUI786400 UDX786379:UEE786400 UNT786379:UOA786400 UXP786379:UXW786400 VHL786379:VHS786400 VRH786379:VRO786400 WBD786379:WBK786400 WKZ786379:WLG786400 WUV786379:WVC786400 X851915:AE851936 IJ851915:IQ851936 SF851915:SM851936 ACB851915:ACI851936 ALX851915:AME851936 AVT851915:AWA851936 BFP851915:BFW851936 BPL851915:BPS851936 BZH851915:BZO851936 CJD851915:CJK851936 CSZ851915:CTG851936 DCV851915:DDC851936 DMR851915:DMY851936 DWN851915:DWU851936 EGJ851915:EGQ851936 EQF851915:EQM851936 FAB851915:FAI851936 FJX851915:FKE851936 FTT851915:FUA851936 GDP851915:GDW851936 GNL851915:GNS851936 GXH851915:GXO851936 HHD851915:HHK851936 HQZ851915:HRG851936 IAV851915:IBC851936 IKR851915:IKY851936 IUN851915:IUU851936 JEJ851915:JEQ851936 JOF851915:JOM851936 JYB851915:JYI851936 KHX851915:KIE851936 KRT851915:KSA851936 LBP851915:LBW851936 LLL851915:LLS851936 LVH851915:LVO851936 MFD851915:MFK851936 MOZ851915:MPG851936 MYV851915:MZC851936 NIR851915:NIY851936 NSN851915:NSU851936 OCJ851915:OCQ851936 OMF851915:OMM851936 OWB851915:OWI851936 PFX851915:PGE851936 PPT851915:PQA851936 PZP851915:PZW851936 QJL851915:QJS851936 QTH851915:QTO851936 RDD851915:RDK851936 RMZ851915:RNG851936 RWV851915:RXC851936 SGR851915:SGY851936 SQN851915:SQU851936 TAJ851915:TAQ851936 TKF851915:TKM851936 TUB851915:TUI851936 UDX851915:UEE851936 UNT851915:UOA851936 UXP851915:UXW851936 VHL851915:VHS851936 VRH851915:VRO851936 WBD851915:WBK851936 WKZ851915:WLG851936 WUV851915:WVC851936 X917451:AE917472 IJ917451:IQ917472 SF917451:SM917472 ACB917451:ACI917472 ALX917451:AME917472 AVT917451:AWA917472 BFP917451:BFW917472 BPL917451:BPS917472 BZH917451:BZO917472 CJD917451:CJK917472 CSZ917451:CTG917472 DCV917451:DDC917472 DMR917451:DMY917472 DWN917451:DWU917472 EGJ917451:EGQ917472 EQF917451:EQM917472 FAB917451:FAI917472 FJX917451:FKE917472 FTT917451:FUA917472 GDP917451:GDW917472 GNL917451:GNS917472 GXH917451:GXO917472 HHD917451:HHK917472 HQZ917451:HRG917472 IAV917451:IBC917472 IKR917451:IKY917472 IUN917451:IUU917472 JEJ917451:JEQ917472 JOF917451:JOM917472 JYB917451:JYI917472 KHX917451:KIE917472 KRT917451:KSA917472 LBP917451:LBW917472 LLL917451:LLS917472 LVH917451:LVO917472 MFD917451:MFK917472 MOZ917451:MPG917472 MYV917451:MZC917472 NIR917451:NIY917472 NSN917451:NSU917472 OCJ917451:OCQ917472 OMF917451:OMM917472 OWB917451:OWI917472 PFX917451:PGE917472 PPT917451:PQA917472 PZP917451:PZW917472 QJL917451:QJS917472 QTH917451:QTO917472 RDD917451:RDK917472 RMZ917451:RNG917472 RWV917451:RXC917472 SGR917451:SGY917472 SQN917451:SQU917472 TAJ917451:TAQ917472 TKF917451:TKM917472 TUB917451:TUI917472 UDX917451:UEE917472 UNT917451:UOA917472 UXP917451:UXW917472 VHL917451:VHS917472 VRH917451:VRO917472 WBD917451:WBK917472 WKZ917451:WLG917472 WUV917451:WVC917472 X982987:AE983008 IJ982987:IQ983008 SF982987:SM983008 ACB982987:ACI983008 ALX982987:AME983008 AVT982987:AWA983008 BFP982987:BFW983008 BPL982987:BPS983008 BZH982987:BZO983008 CJD982987:CJK983008 CSZ982987:CTG983008 DCV982987:DDC983008 DMR982987:DMY983008 DWN982987:DWU983008 EGJ982987:EGQ983008 EQF982987:EQM983008 FAB982987:FAI983008 FJX982987:FKE983008 FTT982987:FUA983008 GDP982987:GDW983008 GNL982987:GNS983008 GXH982987:GXO983008 HHD982987:HHK983008 HQZ982987:HRG983008 IAV982987:IBC983008 IKR982987:IKY983008 IUN982987:IUU983008 JEJ982987:JEQ983008 JOF982987:JOM983008 JYB982987:JYI983008 KHX982987:KIE983008 KRT982987:KSA983008 LBP982987:LBW983008 LLL982987:LLS983008 LVH982987:LVO983008 MFD982987:MFK983008 MOZ982987:MPG983008 MYV982987:MZC983008 NIR982987:NIY983008 NSN982987:NSU983008 OCJ982987:OCQ983008 OMF982987:OMM983008 OWB982987:OWI983008 PFX982987:PGE983008 PPT982987:PQA983008 PZP982987:PZW983008 QJL982987:QJS983008 QTH982987:QTO983008 RDD982987:RDK983008 RMZ982987:RNG983008 RWV982987:RXC983008 SGR982987:SGY983008 SQN982987:SQU983008 TAJ982987:TAQ983008 TKF982987:TKM983008 TUB982987:TUI983008 UDX982987:UEE983008 UNT982987:UOA983008 UXP982987:UXW983008 VHL982987:VHS983008 VRH982987:VRO983008 WBD982987:WBK983008 WKZ982987:WLG983008 X9:AE12 X4:AE7" xr:uid="{95043FFF-7EAC-47A3-8159-0B7DFFFEA7C0}">
      <formula1>$AG$22:$AG$45</formula1>
    </dataValidation>
    <dataValidation type="list" allowBlank="1" showInputMessage="1" showErrorMessage="1" sqref="WUH982987:WUM983008 WUH4:WUM12 WKL4:WKQ12 WAP4:WAU12 VQT4:VQY12 VGX4:VHC12 UXB4:UXG12 UNF4:UNK12 UDJ4:UDO12 TTN4:TTS12 TJR4:TJW12 SZV4:TAA12 SPZ4:SQE12 SGD4:SGI12 RWH4:RWM12 RML4:RMQ12 RCP4:RCU12 QST4:QSY12 QIX4:QJC12 PZB4:PZG12 PPF4:PPK12 PFJ4:PFO12 OVN4:OVS12 OLR4:OLW12 OBV4:OCA12 NRZ4:NSE12 NID4:NII12 MYH4:MYM12 MOL4:MOQ12 MEP4:MEU12 LUT4:LUY12 LKX4:LLC12 LBB4:LBG12 KRF4:KRK12 KHJ4:KHO12 JXN4:JXS12 JNR4:JNW12 JDV4:JEA12 ITZ4:IUE12 IKD4:IKI12 IAH4:IAM12 HQL4:HQQ12 HGP4:HGU12 GWT4:GWY12 GMX4:GNC12 GDB4:GDG12 FTF4:FTK12 FJJ4:FJO12 EZN4:EZS12 EPR4:EPW12 EFV4:EGA12 DVZ4:DWE12 DMD4:DMI12 DCH4:DCM12 CSL4:CSQ12 CIP4:CIU12 BYT4:BYY12 BOX4:BPC12 BFB4:BFG12 AVF4:AVK12 ALJ4:ALO12 ABN4:ABS12 RR4:RW12 HV4:IA12 J11:O12 J65483:O65504 HV65483:IA65504 RR65483:RW65504 ABN65483:ABS65504 ALJ65483:ALO65504 AVF65483:AVK65504 BFB65483:BFG65504 BOX65483:BPC65504 BYT65483:BYY65504 CIP65483:CIU65504 CSL65483:CSQ65504 DCH65483:DCM65504 DMD65483:DMI65504 DVZ65483:DWE65504 EFV65483:EGA65504 EPR65483:EPW65504 EZN65483:EZS65504 FJJ65483:FJO65504 FTF65483:FTK65504 GDB65483:GDG65504 GMX65483:GNC65504 GWT65483:GWY65504 HGP65483:HGU65504 HQL65483:HQQ65504 IAH65483:IAM65504 IKD65483:IKI65504 ITZ65483:IUE65504 JDV65483:JEA65504 JNR65483:JNW65504 JXN65483:JXS65504 KHJ65483:KHO65504 KRF65483:KRK65504 LBB65483:LBG65504 LKX65483:LLC65504 LUT65483:LUY65504 MEP65483:MEU65504 MOL65483:MOQ65504 MYH65483:MYM65504 NID65483:NII65504 NRZ65483:NSE65504 OBV65483:OCA65504 OLR65483:OLW65504 OVN65483:OVS65504 PFJ65483:PFO65504 PPF65483:PPK65504 PZB65483:PZG65504 QIX65483:QJC65504 QST65483:QSY65504 RCP65483:RCU65504 RML65483:RMQ65504 RWH65483:RWM65504 SGD65483:SGI65504 SPZ65483:SQE65504 SZV65483:TAA65504 TJR65483:TJW65504 TTN65483:TTS65504 UDJ65483:UDO65504 UNF65483:UNK65504 UXB65483:UXG65504 VGX65483:VHC65504 VQT65483:VQY65504 WAP65483:WAU65504 WKL65483:WKQ65504 WUH65483:WUM65504 J131019:O131040 HV131019:IA131040 RR131019:RW131040 ABN131019:ABS131040 ALJ131019:ALO131040 AVF131019:AVK131040 BFB131019:BFG131040 BOX131019:BPC131040 BYT131019:BYY131040 CIP131019:CIU131040 CSL131019:CSQ131040 DCH131019:DCM131040 DMD131019:DMI131040 DVZ131019:DWE131040 EFV131019:EGA131040 EPR131019:EPW131040 EZN131019:EZS131040 FJJ131019:FJO131040 FTF131019:FTK131040 GDB131019:GDG131040 GMX131019:GNC131040 GWT131019:GWY131040 HGP131019:HGU131040 HQL131019:HQQ131040 IAH131019:IAM131040 IKD131019:IKI131040 ITZ131019:IUE131040 JDV131019:JEA131040 JNR131019:JNW131040 JXN131019:JXS131040 KHJ131019:KHO131040 KRF131019:KRK131040 LBB131019:LBG131040 LKX131019:LLC131040 LUT131019:LUY131040 MEP131019:MEU131040 MOL131019:MOQ131040 MYH131019:MYM131040 NID131019:NII131040 NRZ131019:NSE131040 OBV131019:OCA131040 OLR131019:OLW131040 OVN131019:OVS131040 PFJ131019:PFO131040 PPF131019:PPK131040 PZB131019:PZG131040 QIX131019:QJC131040 QST131019:QSY131040 RCP131019:RCU131040 RML131019:RMQ131040 RWH131019:RWM131040 SGD131019:SGI131040 SPZ131019:SQE131040 SZV131019:TAA131040 TJR131019:TJW131040 TTN131019:TTS131040 UDJ131019:UDO131040 UNF131019:UNK131040 UXB131019:UXG131040 VGX131019:VHC131040 VQT131019:VQY131040 WAP131019:WAU131040 WKL131019:WKQ131040 WUH131019:WUM131040 J196555:O196576 HV196555:IA196576 RR196555:RW196576 ABN196555:ABS196576 ALJ196555:ALO196576 AVF196555:AVK196576 BFB196555:BFG196576 BOX196555:BPC196576 BYT196555:BYY196576 CIP196555:CIU196576 CSL196555:CSQ196576 DCH196555:DCM196576 DMD196555:DMI196576 DVZ196555:DWE196576 EFV196555:EGA196576 EPR196555:EPW196576 EZN196555:EZS196576 FJJ196555:FJO196576 FTF196555:FTK196576 GDB196555:GDG196576 GMX196555:GNC196576 GWT196555:GWY196576 HGP196555:HGU196576 HQL196555:HQQ196576 IAH196555:IAM196576 IKD196555:IKI196576 ITZ196555:IUE196576 JDV196555:JEA196576 JNR196555:JNW196576 JXN196555:JXS196576 KHJ196555:KHO196576 KRF196555:KRK196576 LBB196555:LBG196576 LKX196555:LLC196576 LUT196555:LUY196576 MEP196555:MEU196576 MOL196555:MOQ196576 MYH196555:MYM196576 NID196555:NII196576 NRZ196555:NSE196576 OBV196555:OCA196576 OLR196555:OLW196576 OVN196555:OVS196576 PFJ196555:PFO196576 PPF196555:PPK196576 PZB196555:PZG196576 QIX196555:QJC196576 QST196555:QSY196576 RCP196555:RCU196576 RML196555:RMQ196576 RWH196555:RWM196576 SGD196555:SGI196576 SPZ196555:SQE196576 SZV196555:TAA196576 TJR196555:TJW196576 TTN196555:TTS196576 UDJ196555:UDO196576 UNF196555:UNK196576 UXB196555:UXG196576 VGX196555:VHC196576 VQT196555:VQY196576 WAP196555:WAU196576 WKL196555:WKQ196576 WUH196555:WUM196576 J262091:O262112 HV262091:IA262112 RR262091:RW262112 ABN262091:ABS262112 ALJ262091:ALO262112 AVF262091:AVK262112 BFB262091:BFG262112 BOX262091:BPC262112 BYT262091:BYY262112 CIP262091:CIU262112 CSL262091:CSQ262112 DCH262091:DCM262112 DMD262091:DMI262112 DVZ262091:DWE262112 EFV262091:EGA262112 EPR262091:EPW262112 EZN262091:EZS262112 FJJ262091:FJO262112 FTF262091:FTK262112 GDB262091:GDG262112 GMX262091:GNC262112 GWT262091:GWY262112 HGP262091:HGU262112 HQL262091:HQQ262112 IAH262091:IAM262112 IKD262091:IKI262112 ITZ262091:IUE262112 JDV262091:JEA262112 JNR262091:JNW262112 JXN262091:JXS262112 KHJ262091:KHO262112 KRF262091:KRK262112 LBB262091:LBG262112 LKX262091:LLC262112 LUT262091:LUY262112 MEP262091:MEU262112 MOL262091:MOQ262112 MYH262091:MYM262112 NID262091:NII262112 NRZ262091:NSE262112 OBV262091:OCA262112 OLR262091:OLW262112 OVN262091:OVS262112 PFJ262091:PFO262112 PPF262091:PPK262112 PZB262091:PZG262112 QIX262091:QJC262112 QST262091:QSY262112 RCP262091:RCU262112 RML262091:RMQ262112 RWH262091:RWM262112 SGD262091:SGI262112 SPZ262091:SQE262112 SZV262091:TAA262112 TJR262091:TJW262112 TTN262091:TTS262112 UDJ262091:UDO262112 UNF262091:UNK262112 UXB262091:UXG262112 VGX262091:VHC262112 VQT262091:VQY262112 WAP262091:WAU262112 WKL262091:WKQ262112 WUH262091:WUM262112 J327627:O327648 HV327627:IA327648 RR327627:RW327648 ABN327627:ABS327648 ALJ327627:ALO327648 AVF327627:AVK327648 BFB327627:BFG327648 BOX327627:BPC327648 BYT327627:BYY327648 CIP327627:CIU327648 CSL327627:CSQ327648 DCH327627:DCM327648 DMD327627:DMI327648 DVZ327627:DWE327648 EFV327627:EGA327648 EPR327627:EPW327648 EZN327627:EZS327648 FJJ327627:FJO327648 FTF327627:FTK327648 GDB327627:GDG327648 GMX327627:GNC327648 GWT327627:GWY327648 HGP327627:HGU327648 HQL327627:HQQ327648 IAH327627:IAM327648 IKD327627:IKI327648 ITZ327627:IUE327648 JDV327627:JEA327648 JNR327627:JNW327648 JXN327627:JXS327648 KHJ327627:KHO327648 KRF327627:KRK327648 LBB327627:LBG327648 LKX327627:LLC327648 LUT327627:LUY327648 MEP327627:MEU327648 MOL327627:MOQ327648 MYH327627:MYM327648 NID327627:NII327648 NRZ327627:NSE327648 OBV327627:OCA327648 OLR327627:OLW327648 OVN327627:OVS327648 PFJ327627:PFO327648 PPF327627:PPK327648 PZB327627:PZG327648 QIX327627:QJC327648 QST327627:QSY327648 RCP327627:RCU327648 RML327627:RMQ327648 RWH327627:RWM327648 SGD327627:SGI327648 SPZ327627:SQE327648 SZV327627:TAA327648 TJR327627:TJW327648 TTN327627:TTS327648 UDJ327627:UDO327648 UNF327627:UNK327648 UXB327627:UXG327648 VGX327627:VHC327648 VQT327627:VQY327648 WAP327627:WAU327648 WKL327627:WKQ327648 WUH327627:WUM327648 J393163:O393184 HV393163:IA393184 RR393163:RW393184 ABN393163:ABS393184 ALJ393163:ALO393184 AVF393163:AVK393184 BFB393163:BFG393184 BOX393163:BPC393184 BYT393163:BYY393184 CIP393163:CIU393184 CSL393163:CSQ393184 DCH393163:DCM393184 DMD393163:DMI393184 DVZ393163:DWE393184 EFV393163:EGA393184 EPR393163:EPW393184 EZN393163:EZS393184 FJJ393163:FJO393184 FTF393163:FTK393184 GDB393163:GDG393184 GMX393163:GNC393184 GWT393163:GWY393184 HGP393163:HGU393184 HQL393163:HQQ393184 IAH393163:IAM393184 IKD393163:IKI393184 ITZ393163:IUE393184 JDV393163:JEA393184 JNR393163:JNW393184 JXN393163:JXS393184 KHJ393163:KHO393184 KRF393163:KRK393184 LBB393163:LBG393184 LKX393163:LLC393184 LUT393163:LUY393184 MEP393163:MEU393184 MOL393163:MOQ393184 MYH393163:MYM393184 NID393163:NII393184 NRZ393163:NSE393184 OBV393163:OCA393184 OLR393163:OLW393184 OVN393163:OVS393184 PFJ393163:PFO393184 PPF393163:PPK393184 PZB393163:PZG393184 QIX393163:QJC393184 QST393163:QSY393184 RCP393163:RCU393184 RML393163:RMQ393184 RWH393163:RWM393184 SGD393163:SGI393184 SPZ393163:SQE393184 SZV393163:TAA393184 TJR393163:TJW393184 TTN393163:TTS393184 UDJ393163:UDO393184 UNF393163:UNK393184 UXB393163:UXG393184 VGX393163:VHC393184 VQT393163:VQY393184 WAP393163:WAU393184 WKL393163:WKQ393184 WUH393163:WUM393184 J458699:O458720 HV458699:IA458720 RR458699:RW458720 ABN458699:ABS458720 ALJ458699:ALO458720 AVF458699:AVK458720 BFB458699:BFG458720 BOX458699:BPC458720 BYT458699:BYY458720 CIP458699:CIU458720 CSL458699:CSQ458720 DCH458699:DCM458720 DMD458699:DMI458720 DVZ458699:DWE458720 EFV458699:EGA458720 EPR458699:EPW458720 EZN458699:EZS458720 FJJ458699:FJO458720 FTF458699:FTK458720 GDB458699:GDG458720 GMX458699:GNC458720 GWT458699:GWY458720 HGP458699:HGU458720 HQL458699:HQQ458720 IAH458699:IAM458720 IKD458699:IKI458720 ITZ458699:IUE458720 JDV458699:JEA458720 JNR458699:JNW458720 JXN458699:JXS458720 KHJ458699:KHO458720 KRF458699:KRK458720 LBB458699:LBG458720 LKX458699:LLC458720 LUT458699:LUY458720 MEP458699:MEU458720 MOL458699:MOQ458720 MYH458699:MYM458720 NID458699:NII458720 NRZ458699:NSE458720 OBV458699:OCA458720 OLR458699:OLW458720 OVN458699:OVS458720 PFJ458699:PFO458720 PPF458699:PPK458720 PZB458699:PZG458720 QIX458699:QJC458720 QST458699:QSY458720 RCP458699:RCU458720 RML458699:RMQ458720 RWH458699:RWM458720 SGD458699:SGI458720 SPZ458699:SQE458720 SZV458699:TAA458720 TJR458699:TJW458720 TTN458699:TTS458720 UDJ458699:UDO458720 UNF458699:UNK458720 UXB458699:UXG458720 VGX458699:VHC458720 VQT458699:VQY458720 WAP458699:WAU458720 WKL458699:WKQ458720 WUH458699:WUM458720 J524235:O524256 HV524235:IA524256 RR524235:RW524256 ABN524235:ABS524256 ALJ524235:ALO524256 AVF524235:AVK524256 BFB524235:BFG524256 BOX524235:BPC524256 BYT524235:BYY524256 CIP524235:CIU524256 CSL524235:CSQ524256 DCH524235:DCM524256 DMD524235:DMI524256 DVZ524235:DWE524256 EFV524235:EGA524256 EPR524235:EPW524256 EZN524235:EZS524256 FJJ524235:FJO524256 FTF524235:FTK524256 GDB524235:GDG524256 GMX524235:GNC524256 GWT524235:GWY524256 HGP524235:HGU524256 HQL524235:HQQ524256 IAH524235:IAM524256 IKD524235:IKI524256 ITZ524235:IUE524256 JDV524235:JEA524256 JNR524235:JNW524256 JXN524235:JXS524256 KHJ524235:KHO524256 KRF524235:KRK524256 LBB524235:LBG524256 LKX524235:LLC524256 LUT524235:LUY524256 MEP524235:MEU524256 MOL524235:MOQ524256 MYH524235:MYM524256 NID524235:NII524256 NRZ524235:NSE524256 OBV524235:OCA524256 OLR524235:OLW524256 OVN524235:OVS524256 PFJ524235:PFO524256 PPF524235:PPK524256 PZB524235:PZG524256 QIX524235:QJC524256 QST524235:QSY524256 RCP524235:RCU524256 RML524235:RMQ524256 RWH524235:RWM524256 SGD524235:SGI524256 SPZ524235:SQE524256 SZV524235:TAA524256 TJR524235:TJW524256 TTN524235:TTS524256 UDJ524235:UDO524256 UNF524235:UNK524256 UXB524235:UXG524256 VGX524235:VHC524256 VQT524235:VQY524256 WAP524235:WAU524256 WKL524235:WKQ524256 WUH524235:WUM524256 J589771:O589792 HV589771:IA589792 RR589771:RW589792 ABN589771:ABS589792 ALJ589771:ALO589792 AVF589771:AVK589792 BFB589771:BFG589792 BOX589771:BPC589792 BYT589771:BYY589792 CIP589771:CIU589792 CSL589771:CSQ589792 DCH589771:DCM589792 DMD589771:DMI589792 DVZ589771:DWE589792 EFV589771:EGA589792 EPR589771:EPW589792 EZN589771:EZS589792 FJJ589771:FJO589792 FTF589771:FTK589792 GDB589771:GDG589792 GMX589771:GNC589792 GWT589771:GWY589792 HGP589771:HGU589792 HQL589771:HQQ589792 IAH589771:IAM589792 IKD589771:IKI589792 ITZ589771:IUE589792 JDV589771:JEA589792 JNR589771:JNW589792 JXN589771:JXS589792 KHJ589771:KHO589792 KRF589771:KRK589792 LBB589771:LBG589792 LKX589771:LLC589792 LUT589771:LUY589792 MEP589771:MEU589792 MOL589771:MOQ589792 MYH589771:MYM589792 NID589771:NII589792 NRZ589771:NSE589792 OBV589771:OCA589792 OLR589771:OLW589792 OVN589771:OVS589792 PFJ589771:PFO589792 PPF589771:PPK589792 PZB589771:PZG589792 QIX589771:QJC589792 QST589771:QSY589792 RCP589771:RCU589792 RML589771:RMQ589792 RWH589771:RWM589792 SGD589771:SGI589792 SPZ589771:SQE589792 SZV589771:TAA589792 TJR589771:TJW589792 TTN589771:TTS589792 UDJ589771:UDO589792 UNF589771:UNK589792 UXB589771:UXG589792 VGX589771:VHC589792 VQT589771:VQY589792 WAP589771:WAU589792 WKL589771:WKQ589792 WUH589771:WUM589792 J655307:O655328 HV655307:IA655328 RR655307:RW655328 ABN655307:ABS655328 ALJ655307:ALO655328 AVF655307:AVK655328 BFB655307:BFG655328 BOX655307:BPC655328 BYT655307:BYY655328 CIP655307:CIU655328 CSL655307:CSQ655328 DCH655307:DCM655328 DMD655307:DMI655328 DVZ655307:DWE655328 EFV655307:EGA655328 EPR655307:EPW655328 EZN655307:EZS655328 FJJ655307:FJO655328 FTF655307:FTK655328 GDB655307:GDG655328 GMX655307:GNC655328 GWT655307:GWY655328 HGP655307:HGU655328 HQL655307:HQQ655328 IAH655307:IAM655328 IKD655307:IKI655328 ITZ655307:IUE655328 JDV655307:JEA655328 JNR655307:JNW655328 JXN655307:JXS655328 KHJ655307:KHO655328 KRF655307:KRK655328 LBB655307:LBG655328 LKX655307:LLC655328 LUT655307:LUY655328 MEP655307:MEU655328 MOL655307:MOQ655328 MYH655307:MYM655328 NID655307:NII655328 NRZ655307:NSE655328 OBV655307:OCA655328 OLR655307:OLW655328 OVN655307:OVS655328 PFJ655307:PFO655328 PPF655307:PPK655328 PZB655307:PZG655328 QIX655307:QJC655328 QST655307:QSY655328 RCP655307:RCU655328 RML655307:RMQ655328 RWH655307:RWM655328 SGD655307:SGI655328 SPZ655307:SQE655328 SZV655307:TAA655328 TJR655307:TJW655328 TTN655307:TTS655328 UDJ655307:UDO655328 UNF655307:UNK655328 UXB655307:UXG655328 VGX655307:VHC655328 VQT655307:VQY655328 WAP655307:WAU655328 WKL655307:WKQ655328 WUH655307:WUM655328 J720843:O720864 HV720843:IA720864 RR720843:RW720864 ABN720843:ABS720864 ALJ720843:ALO720864 AVF720843:AVK720864 BFB720843:BFG720864 BOX720843:BPC720864 BYT720843:BYY720864 CIP720843:CIU720864 CSL720843:CSQ720864 DCH720843:DCM720864 DMD720843:DMI720864 DVZ720843:DWE720864 EFV720843:EGA720864 EPR720843:EPW720864 EZN720843:EZS720864 FJJ720843:FJO720864 FTF720843:FTK720864 GDB720843:GDG720864 GMX720843:GNC720864 GWT720843:GWY720864 HGP720843:HGU720864 HQL720843:HQQ720864 IAH720843:IAM720864 IKD720843:IKI720864 ITZ720843:IUE720864 JDV720843:JEA720864 JNR720843:JNW720864 JXN720843:JXS720864 KHJ720843:KHO720864 KRF720843:KRK720864 LBB720843:LBG720864 LKX720843:LLC720864 LUT720843:LUY720864 MEP720843:MEU720864 MOL720843:MOQ720864 MYH720843:MYM720864 NID720843:NII720864 NRZ720843:NSE720864 OBV720843:OCA720864 OLR720843:OLW720864 OVN720843:OVS720864 PFJ720843:PFO720864 PPF720843:PPK720864 PZB720843:PZG720864 QIX720843:QJC720864 QST720843:QSY720864 RCP720843:RCU720864 RML720843:RMQ720864 RWH720843:RWM720864 SGD720843:SGI720864 SPZ720843:SQE720864 SZV720843:TAA720864 TJR720843:TJW720864 TTN720843:TTS720864 UDJ720843:UDO720864 UNF720843:UNK720864 UXB720843:UXG720864 VGX720843:VHC720864 VQT720843:VQY720864 WAP720843:WAU720864 WKL720843:WKQ720864 WUH720843:WUM720864 J786379:O786400 HV786379:IA786400 RR786379:RW786400 ABN786379:ABS786400 ALJ786379:ALO786400 AVF786379:AVK786400 BFB786379:BFG786400 BOX786379:BPC786400 BYT786379:BYY786400 CIP786379:CIU786400 CSL786379:CSQ786400 DCH786379:DCM786400 DMD786379:DMI786400 DVZ786379:DWE786400 EFV786379:EGA786400 EPR786379:EPW786400 EZN786379:EZS786400 FJJ786379:FJO786400 FTF786379:FTK786400 GDB786379:GDG786400 GMX786379:GNC786400 GWT786379:GWY786400 HGP786379:HGU786400 HQL786379:HQQ786400 IAH786379:IAM786400 IKD786379:IKI786400 ITZ786379:IUE786400 JDV786379:JEA786400 JNR786379:JNW786400 JXN786379:JXS786400 KHJ786379:KHO786400 KRF786379:KRK786400 LBB786379:LBG786400 LKX786379:LLC786400 LUT786379:LUY786400 MEP786379:MEU786400 MOL786379:MOQ786400 MYH786379:MYM786400 NID786379:NII786400 NRZ786379:NSE786400 OBV786379:OCA786400 OLR786379:OLW786400 OVN786379:OVS786400 PFJ786379:PFO786400 PPF786379:PPK786400 PZB786379:PZG786400 QIX786379:QJC786400 QST786379:QSY786400 RCP786379:RCU786400 RML786379:RMQ786400 RWH786379:RWM786400 SGD786379:SGI786400 SPZ786379:SQE786400 SZV786379:TAA786400 TJR786379:TJW786400 TTN786379:TTS786400 UDJ786379:UDO786400 UNF786379:UNK786400 UXB786379:UXG786400 VGX786379:VHC786400 VQT786379:VQY786400 WAP786379:WAU786400 WKL786379:WKQ786400 WUH786379:WUM786400 J851915:O851936 HV851915:IA851936 RR851915:RW851936 ABN851915:ABS851936 ALJ851915:ALO851936 AVF851915:AVK851936 BFB851915:BFG851936 BOX851915:BPC851936 BYT851915:BYY851936 CIP851915:CIU851936 CSL851915:CSQ851936 DCH851915:DCM851936 DMD851915:DMI851936 DVZ851915:DWE851936 EFV851915:EGA851936 EPR851915:EPW851936 EZN851915:EZS851936 FJJ851915:FJO851936 FTF851915:FTK851936 GDB851915:GDG851936 GMX851915:GNC851936 GWT851915:GWY851936 HGP851915:HGU851936 HQL851915:HQQ851936 IAH851915:IAM851936 IKD851915:IKI851936 ITZ851915:IUE851936 JDV851915:JEA851936 JNR851915:JNW851936 JXN851915:JXS851936 KHJ851915:KHO851936 KRF851915:KRK851936 LBB851915:LBG851936 LKX851915:LLC851936 LUT851915:LUY851936 MEP851915:MEU851936 MOL851915:MOQ851936 MYH851915:MYM851936 NID851915:NII851936 NRZ851915:NSE851936 OBV851915:OCA851936 OLR851915:OLW851936 OVN851915:OVS851936 PFJ851915:PFO851936 PPF851915:PPK851936 PZB851915:PZG851936 QIX851915:QJC851936 QST851915:QSY851936 RCP851915:RCU851936 RML851915:RMQ851936 RWH851915:RWM851936 SGD851915:SGI851936 SPZ851915:SQE851936 SZV851915:TAA851936 TJR851915:TJW851936 TTN851915:TTS851936 UDJ851915:UDO851936 UNF851915:UNK851936 UXB851915:UXG851936 VGX851915:VHC851936 VQT851915:VQY851936 WAP851915:WAU851936 WKL851915:WKQ851936 WUH851915:WUM851936 J917451:O917472 HV917451:IA917472 RR917451:RW917472 ABN917451:ABS917472 ALJ917451:ALO917472 AVF917451:AVK917472 BFB917451:BFG917472 BOX917451:BPC917472 BYT917451:BYY917472 CIP917451:CIU917472 CSL917451:CSQ917472 DCH917451:DCM917472 DMD917451:DMI917472 DVZ917451:DWE917472 EFV917451:EGA917472 EPR917451:EPW917472 EZN917451:EZS917472 FJJ917451:FJO917472 FTF917451:FTK917472 GDB917451:GDG917472 GMX917451:GNC917472 GWT917451:GWY917472 HGP917451:HGU917472 HQL917451:HQQ917472 IAH917451:IAM917472 IKD917451:IKI917472 ITZ917451:IUE917472 JDV917451:JEA917472 JNR917451:JNW917472 JXN917451:JXS917472 KHJ917451:KHO917472 KRF917451:KRK917472 LBB917451:LBG917472 LKX917451:LLC917472 LUT917451:LUY917472 MEP917451:MEU917472 MOL917451:MOQ917472 MYH917451:MYM917472 NID917451:NII917472 NRZ917451:NSE917472 OBV917451:OCA917472 OLR917451:OLW917472 OVN917451:OVS917472 PFJ917451:PFO917472 PPF917451:PPK917472 PZB917451:PZG917472 QIX917451:QJC917472 QST917451:QSY917472 RCP917451:RCU917472 RML917451:RMQ917472 RWH917451:RWM917472 SGD917451:SGI917472 SPZ917451:SQE917472 SZV917451:TAA917472 TJR917451:TJW917472 TTN917451:TTS917472 UDJ917451:UDO917472 UNF917451:UNK917472 UXB917451:UXG917472 VGX917451:VHC917472 VQT917451:VQY917472 WAP917451:WAU917472 WKL917451:WKQ917472 WUH917451:WUM917472 J982987:O983008 HV982987:IA983008 RR982987:RW983008 ABN982987:ABS983008 ALJ982987:ALO983008 AVF982987:AVK983008 BFB982987:BFG983008 BOX982987:BPC983008 BYT982987:BYY983008 CIP982987:CIU983008 CSL982987:CSQ983008 DCH982987:DCM983008 DMD982987:DMI983008 DVZ982987:DWE983008 EFV982987:EGA983008 EPR982987:EPW983008 EZN982987:EZS983008 FJJ982987:FJO983008 FTF982987:FTK983008 GDB982987:GDG983008 GMX982987:GNC983008 GWT982987:GWY983008 HGP982987:HGU983008 HQL982987:HQQ983008 IAH982987:IAM983008 IKD982987:IKI983008 ITZ982987:IUE983008 JDV982987:JEA983008 JNR982987:JNW983008 JXN982987:JXS983008 KHJ982987:KHO983008 KRF982987:KRK983008 LBB982987:LBG983008 LKX982987:LLC983008 LUT982987:LUY983008 MEP982987:MEU983008 MOL982987:MOQ983008 MYH982987:MYM983008 NID982987:NII983008 NRZ982987:NSE983008 OBV982987:OCA983008 OLR982987:OLW983008 OVN982987:OVS983008 PFJ982987:PFO983008 PPF982987:PPK983008 PZB982987:PZG983008 QIX982987:QJC983008 QST982987:QSY983008 RCP982987:RCU983008 RML982987:RMQ983008 RWH982987:RWM983008 SGD982987:SGI983008 SPZ982987:SQE983008 SZV982987:TAA983008 TJR982987:TJW983008 TTN982987:TTS983008 UDJ982987:UDO983008 UNF982987:UNK983008 UXB982987:UXG983008 VGX982987:VHC983008 VQT982987:VQY983008 WAP982987:WAU983008 WKL982987:WKQ983008 J9:O9 J4:O7" xr:uid="{491A8B8B-DDAC-40D4-B389-2EEC3D793787}">
      <formula1>$B$22:$B$45</formula1>
    </dataValidation>
  </dataValidations>
  <pageMargins left="0.7" right="0.7" top="0.75" bottom="0.75" header="0.3" footer="0.3"/>
  <pageSetup paperSize="9" scale="26" fitToHeight="0"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77B27-89AA-43DA-B4DA-7677DD55DC2C}">
  <dimension ref="A1:BH41"/>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選択画面</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46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359" t="s">
        <v>165</v>
      </c>
      <c r="D10" s="359"/>
      <c r="E10" s="359"/>
      <c r="F10" s="31"/>
      <c r="G10" s="31"/>
      <c r="H10" s="127"/>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5.15" customHeight="1">
      <c r="A11" s="22"/>
      <c r="B11" s="202"/>
      <c r="C11" s="204"/>
      <c r="D11" s="28"/>
      <c r="E11" s="28"/>
      <c r="F11" s="28"/>
      <c r="G11" s="28"/>
      <c r="H11" s="121"/>
      <c r="I11" s="62"/>
      <c r="J11" s="63"/>
      <c r="K11" s="62"/>
      <c r="L11" s="63"/>
      <c r="M11" s="69"/>
      <c r="N11" s="69"/>
      <c r="O11" s="65"/>
      <c r="P11" s="69"/>
      <c r="Q11" s="65"/>
      <c r="R11" s="69"/>
      <c r="S11" s="35"/>
      <c r="T11" s="28"/>
      <c r="U11" s="28"/>
      <c r="V11" s="28"/>
      <c r="W11" s="28"/>
      <c r="X11" s="28"/>
      <c r="Y11" s="121"/>
      <c r="Z11" s="62"/>
      <c r="AA11" s="63"/>
      <c r="AB11" s="62"/>
      <c r="AC11" s="63"/>
      <c r="AD11" s="69"/>
      <c r="AE11" s="69"/>
      <c r="AF11" s="65"/>
      <c r="AG11" s="69"/>
      <c r="AH11" s="69"/>
      <c r="AI11" s="64"/>
      <c r="AJ11" s="69"/>
      <c r="AK11" s="65"/>
      <c r="AL11" s="28"/>
      <c r="AM11" s="28"/>
      <c r="AN11" s="28"/>
      <c r="AO11" s="28"/>
      <c r="AP11" s="28"/>
      <c r="AQ11" s="28"/>
      <c r="AR11" s="28"/>
      <c r="AS11" s="63"/>
      <c r="AT11" s="64"/>
      <c r="AU11" s="63"/>
      <c r="AV11" s="65"/>
      <c r="AW11" s="65"/>
      <c r="AX11" s="65"/>
      <c r="AY11" s="31"/>
      <c r="AZ11" s="33"/>
      <c r="BA11" s="46"/>
      <c r="BB11" s="78"/>
      <c r="BC11" s="34"/>
      <c r="BD11" s="28"/>
    </row>
    <row r="12" spans="1:59" ht="13.5" customHeight="1">
      <c r="A12" s="22"/>
      <c r="B12" s="201"/>
      <c r="C12" s="28"/>
      <c r="D12" s="28" t="s">
        <v>36</v>
      </c>
      <c r="E12" s="28" t="s">
        <v>166</v>
      </c>
      <c r="G12" s="359"/>
      <c r="H12" s="75"/>
      <c r="I12" s="75"/>
      <c r="J12" s="75"/>
      <c r="K12" s="75"/>
      <c r="L12" s="75"/>
      <c r="M12" s="75"/>
      <c r="N12" s="75"/>
      <c r="O12" s="75"/>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359" t="s">
        <v>167</v>
      </c>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04"/>
      <c r="D15" s="28"/>
      <c r="E15" s="28"/>
      <c r="F15" s="28"/>
      <c r="G15" s="28"/>
      <c r="H15" s="121"/>
      <c r="I15" s="62"/>
      <c r="J15" s="63"/>
      <c r="K15" s="62"/>
      <c r="L15" s="63"/>
      <c r="M15" s="69"/>
      <c r="N15" s="69"/>
      <c r="O15" s="65"/>
      <c r="P15" s="69"/>
      <c r="Q15" s="65"/>
      <c r="R15" s="69"/>
      <c r="S15" s="35"/>
      <c r="T15" s="28"/>
      <c r="U15" s="28"/>
      <c r="V15" s="28"/>
      <c r="W15" s="28"/>
      <c r="X15" s="28"/>
      <c r="Y15" s="121"/>
      <c r="Z15" s="62"/>
      <c r="AA15" s="63"/>
      <c r="AB15" s="62"/>
      <c r="AC15" s="63"/>
      <c r="AD15" s="69"/>
      <c r="AE15" s="69"/>
      <c r="AF15" s="65"/>
      <c r="AG15" s="69"/>
      <c r="AH15" s="69"/>
      <c r="AI15" s="64"/>
      <c r="AJ15" s="69"/>
      <c r="AK15" s="65"/>
      <c r="AL15" s="28"/>
      <c r="AM15" s="28"/>
      <c r="AN15" s="28"/>
      <c r="AO15" s="28"/>
      <c r="AP15" s="28"/>
      <c r="AQ15" s="28"/>
      <c r="AR15" s="28"/>
      <c r="AS15" s="63"/>
      <c r="AT15" s="64"/>
      <c r="AU15" s="63"/>
      <c r="AV15" s="65"/>
      <c r="AW15" s="65"/>
      <c r="AX15" s="65"/>
      <c r="AY15" s="31"/>
      <c r="AZ15" s="33"/>
      <c r="BA15" s="46"/>
      <c r="BB15" s="78"/>
      <c r="BC15" s="34"/>
      <c r="BD15" s="28"/>
    </row>
    <row r="16" spans="1:59" ht="13.5" customHeight="1">
      <c r="A16" s="22"/>
      <c r="B16" s="45"/>
      <c r="C16" s="43"/>
      <c r="D16" s="28" t="s">
        <v>35</v>
      </c>
      <c r="E16" s="28" t="s">
        <v>132</v>
      </c>
      <c r="F16" s="28"/>
      <c r="G16" s="28"/>
      <c r="H16" s="113"/>
      <c r="I16" s="113"/>
      <c r="J16" s="113"/>
      <c r="K16" s="28"/>
      <c r="L16" s="28"/>
      <c r="M16" s="62"/>
      <c r="N16" s="63"/>
      <c r="O16" s="65"/>
      <c r="P16" s="65"/>
      <c r="Q16" s="64"/>
      <c r="R16" s="63"/>
      <c r="S16" s="63"/>
      <c r="T16" s="63"/>
      <c r="U16" s="65"/>
      <c r="V16" s="64"/>
      <c r="W16" s="63"/>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31"/>
      <c r="AZ16" s="33"/>
      <c r="BA16" s="46"/>
      <c r="BB16" s="78"/>
      <c r="BC16" s="34"/>
      <c r="BD16" s="28"/>
      <c r="BE16" s="35"/>
      <c r="BF16" s="35"/>
      <c r="BG16" s="35"/>
    </row>
    <row r="17" spans="1:59" ht="13.5" customHeight="1">
      <c r="A17" s="22"/>
      <c r="B17" s="202">
        <v>3</v>
      </c>
      <c r="C17" s="43"/>
      <c r="D17" s="31"/>
      <c r="E17" s="31"/>
      <c r="F17" s="31"/>
      <c r="G17" s="31"/>
      <c r="H17" s="62"/>
      <c r="I17" s="63"/>
      <c r="J17" s="63"/>
      <c r="K17" s="63"/>
      <c r="L17" s="64"/>
      <c r="M17" s="63"/>
      <c r="N17" s="65"/>
      <c r="O17" s="65"/>
      <c r="P17" s="65"/>
      <c r="Q17" s="65"/>
      <c r="R17" s="65"/>
      <c r="S17" s="75"/>
      <c r="T17" s="63"/>
      <c r="U17" s="63"/>
      <c r="V17" s="63"/>
      <c r="W17" s="63"/>
      <c r="X17" s="62"/>
      <c r="Y17" s="63"/>
      <c r="Z17" s="63"/>
      <c r="AA17" s="63"/>
      <c r="AB17" s="64"/>
      <c r="AC17" s="63"/>
      <c r="AD17" s="65"/>
      <c r="AE17" s="65"/>
      <c r="AF17" s="65"/>
      <c r="AG17" s="65"/>
      <c r="AH17" s="65"/>
      <c r="AI17" s="75"/>
      <c r="AJ17" s="63"/>
      <c r="AK17" s="63"/>
      <c r="AL17" s="63"/>
      <c r="AM17" s="63"/>
      <c r="AN17" s="125"/>
      <c r="AO17" s="62"/>
      <c r="AP17" s="62"/>
      <c r="AQ17" s="63"/>
      <c r="AR17" s="63"/>
      <c r="AS17" s="63"/>
      <c r="AT17" s="64"/>
      <c r="AU17" s="63"/>
      <c r="AV17" s="65"/>
      <c r="AW17" s="65"/>
      <c r="AX17" s="65"/>
      <c r="AY17" s="31"/>
      <c r="AZ17" s="33"/>
      <c r="BA17" s="46"/>
      <c r="BB17" s="78"/>
      <c r="BC17" s="34"/>
      <c r="BD17" s="28"/>
      <c r="BE17" s="35"/>
      <c r="BF17" s="35"/>
      <c r="BG17" s="35"/>
    </row>
    <row r="18" spans="1:59" ht="13.5" customHeight="1">
      <c r="A18" s="22"/>
      <c r="B18" s="201"/>
      <c r="C18" s="43"/>
      <c r="D18" s="31" t="s">
        <v>35</v>
      </c>
      <c r="E18" s="31" t="s">
        <v>168</v>
      </c>
      <c r="F18" s="31"/>
      <c r="G18" s="31"/>
      <c r="H18" s="62"/>
      <c r="I18" s="63"/>
      <c r="J18" s="63"/>
      <c r="K18" s="63"/>
      <c r="L18" s="64"/>
      <c r="M18" s="63"/>
      <c r="N18" s="65"/>
      <c r="O18" s="65"/>
      <c r="P18" s="65"/>
      <c r="Q18" s="65"/>
      <c r="R18" s="65"/>
      <c r="S18" s="75"/>
      <c r="T18" s="43"/>
      <c r="U18" s="31"/>
      <c r="V18" s="31"/>
      <c r="W18" s="31"/>
      <c r="X18" s="31"/>
      <c r="Y18" s="62"/>
      <c r="Z18" s="63"/>
      <c r="AA18" s="63"/>
      <c r="AB18" s="63"/>
      <c r="AC18" s="64"/>
      <c r="AD18" s="63"/>
      <c r="AE18" s="65"/>
      <c r="AF18" s="65"/>
      <c r="AG18" s="65"/>
      <c r="AH18" s="65"/>
      <c r="AI18" s="75"/>
      <c r="AJ18" s="63"/>
      <c r="AK18" s="75"/>
      <c r="AL18" s="63"/>
      <c r="AM18" s="63"/>
      <c r="AN18" s="63"/>
      <c r="AO18" s="63"/>
      <c r="AP18" s="62"/>
      <c r="AQ18" s="63"/>
      <c r="AR18" s="63"/>
      <c r="AS18" s="63"/>
      <c r="AT18" s="64"/>
      <c r="AU18" s="63"/>
      <c r="AV18" s="65"/>
      <c r="AW18" s="65"/>
      <c r="AX18" s="65"/>
      <c r="AY18" s="31"/>
      <c r="AZ18" s="33"/>
      <c r="BA18" s="46"/>
      <c r="BB18" s="78"/>
      <c r="BC18" s="34"/>
      <c r="BD18" s="28"/>
      <c r="BE18" s="35"/>
      <c r="BF18" s="35"/>
      <c r="BG18" s="35"/>
    </row>
    <row r="19" spans="1:59" ht="13.5" customHeight="1">
      <c r="A19" s="22"/>
      <c r="B19" s="201"/>
      <c r="C19" s="43"/>
      <c r="D19" s="31"/>
      <c r="E19" s="31"/>
      <c r="F19" s="31"/>
      <c r="G19" s="31"/>
      <c r="H19" s="62"/>
      <c r="I19" s="63"/>
      <c r="J19" s="63"/>
      <c r="K19" s="63"/>
      <c r="L19" s="64"/>
      <c r="M19" s="63"/>
      <c r="N19" s="65"/>
      <c r="O19" s="65"/>
      <c r="P19" s="82"/>
      <c r="Q19" s="65"/>
      <c r="R19" s="65"/>
      <c r="S19" s="35"/>
      <c r="T19" s="43"/>
      <c r="U19" s="63"/>
      <c r="V19" s="63"/>
      <c r="W19" s="63"/>
      <c r="X19" s="63"/>
      <c r="Y19" s="360"/>
      <c r="Z19" s="63"/>
      <c r="AA19" s="63"/>
      <c r="AB19" s="63"/>
      <c r="AC19" s="64"/>
      <c r="AD19" s="63"/>
      <c r="AE19" s="65"/>
      <c r="AF19" s="65"/>
      <c r="AG19" s="65"/>
      <c r="AH19" s="65"/>
      <c r="AI19" s="75"/>
      <c r="AJ19" s="63"/>
      <c r="AK19" s="63"/>
      <c r="AL19" s="63"/>
      <c r="AM19" s="63"/>
      <c r="AN19" s="125"/>
      <c r="AO19" s="62"/>
      <c r="AP19" s="62"/>
      <c r="AQ19" s="63"/>
      <c r="AR19" s="63"/>
      <c r="AS19" s="63"/>
      <c r="AT19" s="64"/>
      <c r="AU19" s="63"/>
      <c r="AV19" s="65"/>
      <c r="AW19" s="65"/>
      <c r="AX19" s="65"/>
      <c r="AY19" s="31"/>
      <c r="AZ19" s="33"/>
      <c r="BA19" s="46"/>
      <c r="BB19" s="78"/>
      <c r="BC19" s="34"/>
      <c r="BD19" s="28"/>
      <c r="BE19" s="35"/>
      <c r="BF19" s="35"/>
      <c r="BG19" s="35"/>
    </row>
    <row r="20" spans="1:59" ht="13.5" customHeight="1">
      <c r="A20" s="22"/>
      <c r="B20" s="201"/>
      <c r="C20" s="359" t="s">
        <v>169</v>
      </c>
      <c r="D20" s="31"/>
      <c r="E20" s="31"/>
      <c r="F20" s="31"/>
      <c r="G20" s="31"/>
      <c r="H20" s="62"/>
      <c r="I20" s="63"/>
      <c r="J20" s="63"/>
      <c r="K20" s="63"/>
      <c r="L20" s="75"/>
      <c r="M20" s="63"/>
      <c r="N20" s="65"/>
      <c r="O20" s="65"/>
      <c r="P20" s="65"/>
      <c r="Q20" s="65"/>
      <c r="R20" s="65"/>
      <c r="S20" s="35"/>
      <c r="T20" s="35"/>
      <c r="U20" s="35"/>
      <c r="V20" s="63"/>
      <c r="W20" s="63"/>
      <c r="X20" s="63"/>
      <c r="Y20" s="62"/>
      <c r="Z20" s="63"/>
      <c r="AA20" s="63"/>
      <c r="AB20" s="63"/>
      <c r="AC20" s="64"/>
      <c r="AD20" s="63"/>
      <c r="AE20" s="65"/>
      <c r="AF20" s="65"/>
      <c r="AG20" s="65"/>
      <c r="AH20" s="65"/>
      <c r="AI20" s="75"/>
      <c r="AJ20" s="63"/>
      <c r="AK20" s="63"/>
      <c r="AL20" s="63"/>
      <c r="AM20" s="63"/>
      <c r="AN20" s="125"/>
      <c r="AO20" s="62"/>
      <c r="AP20" s="62"/>
      <c r="AQ20" s="63"/>
      <c r="AR20" s="63"/>
      <c r="AS20" s="63"/>
      <c r="AT20" s="64"/>
      <c r="AU20" s="63"/>
      <c r="AV20" s="65"/>
      <c r="AW20" s="65"/>
      <c r="AX20" s="65"/>
      <c r="AY20" s="31"/>
      <c r="AZ20" s="33"/>
      <c r="BA20" s="46"/>
      <c r="BB20" s="78"/>
      <c r="BC20" s="34"/>
      <c r="BD20" s="28"/>
      <c r="BE20" s="35"/>
      <c r="BF20" s="35"/>
      <c r="BG20" s="35"/>
    </row>
    <row r="21" spans="1:59" ht="5.15" customHeight="1">
      <c r="A21" s="22"/>
      <c r="B21" s="201"/>
      <c r="C21" s="43"/>
      <c r="D21" s="31"/>
      <c r="E21" s="31"/>
      <c r="F21" s="31"/>
      <c r="G21" s="31"/>
      <c r="H21" s="62"/>
      <c r="I21" s="63"/>
      <c r="J21" s="63"/>
      <c r="K21" s="63"/>
      <c r="L21" s="64"/>
      <c r="M21" s="63"/>
      <c r="N21" s="65"/>
      <c r="O21" s="65"/>
      <c r="P21" s="65"/>
      <c r="Q21" s="65"/>
      <c r="R21" s="65"/>
      <c r="S21" s="35"/>
      <c r="T21" s="75"/>
      <c r="U21" s="63"/>
      <c r="V21" s="63"/>
      <c r="W21" s="63"/>
      <c r="X21" s="63"/>
      <c r="Y21" s="62"/>
      <c r="Z21" s="63"/>
      <c r="AA21" s="63"/>
      <c r="AB21" s="63"/>
      <c r="AC21" s="64"/>
      <c r="AD21" s="63"/>
      <c r="AE21" s="65"/>
      <c r="AF21" s="65"/>
      <c r="AG21" s="65"/>
      <c r="AH21" s="65"/>
      <c r="AI21" s="75"/>
      <c r="AJ21" s="63"/>
      <c r="AK21" s="63"/>
      <c r="AL21" s="63"/>
      <c r="AM21" s="63"/>
      <c r="AN21" s="125"/>
      <c r="AO21" s="62"/>
      <c r="AP21" s="62"/>
      <c r="AQ21" s="63"/>
      <c r="AR21" s="63"/>
      <c r="AS21" s="63"/>
      <c r="AT21" s="64"/>
      <c r="AU21" s="63"/>
      <c r="AV21" s="65"/>
      <c r="AW21" s="65"/>
      <c r="AX21" s="65"/>
      <c r="AY21" s="31"/>
      <c r="AZ21" s="33"/>
      <c r="BA21" s="46"/>
      <c r="BB21" s="78"/>
      <c r="BC21" s="34"/>
      <c r="BD21" s="28"/>
      <c r="BE21" s="35"/>
      <c r="BF21" s="35"/>
      <c r="BG21" s="35"/>
    </row>
    <row r="22" spans="1:59" ht="13.5" customHeight="1">
      <c r="A22" s="22"/>
      <c r="B22" s="32"/>
      <c r="C22" s="64"/>
      <c r="D22" s="28" t="s">
        <v>35</v>
      </c>
      <c r="E22" s="28" t="s">
        <v>133</v>
      </c>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c r="D23" s="31"/>
      <c r="E23" s="31"/>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65"/>
      <c r="AQ23" s="65"/>
      <c r="AR23" s="65"/>
      <c r="AS23" s="63"/>
      <c r="AT23" s="64"/>
      <c r="AU23" s="63"/>
      <c r="AV23" s="65"/>
      <c r="AW23" s="65"/>
      <c r="AX23" s="65"/>
      <c r="AY23" s="31"/>
      <c r="AZ23" s="33"/>
      <c r="BA23" s="46"/>
      <c r="BB23" s="78"/>
      <c r="BC23" s="34"/>
      <c r="BD23" s="28"/>
    </row>
    <row r="24" spans="1:59" ht="13.5" customHeight="1">
      <c r="A24" s="22"/>
      <c r="B24" s="45"/>
      <c r="C24" s="43"/>
      <c r="D24" s="28" t="s">
        <v>35</v>
      </c>
      <c r="E24" s="28" t="s">
        <v>134</v>
      </c>
      <c r="F24" s="28"/>
      <c r="G24" s="28"/>
      <c r="H24" s="62"/>
      <c r="I24" s="63"/>
      <c r="J24" s="63"/>
      <c r="K24" s="63"/>
      <c r="L24" s="64"/>
      <c r="M24" s="63"/>
      <c r="N24" s="65"/>
      <c r="O24" s="65"/>
      <c r="Q24" s="64"/>
      <c r="R24" s="63"/>
      <c r="S24" s="35"/>
      <c r="T24" s="28"/>
      <c r="U24" s="28"/>
      <c r="V24" s="28"/>
      <c r="W24" s="28"/>
      <c r="Y24" s="62"/>
      <c r="Z24" s="63"/>
      <c r="AA24" s="63"/>
      <c r="AB24" s="63"/>
      <c r="AC24" s="64"/>
      <c r="AD24" s="63"/>
      <c r="AE24" s="65"/>
      <c r="AF24" s="65"/>
      <c r="AG24" s="65"/>
      <c r="AH24" s="28"/>
      <c r="AI24" s="28"/>
      <c r="AJ24" s="35"/>
      <c r="AK24" s="28"/>
      <c r="AL24" s="28"/>
      <c r="AM24" s="28"/>
      <c r="AN24" s="28"/>
      <c r="AO24" s="35"/>
      <c r="AP24" s="62"/>
      <c r="AQ24" s="63"/>
      <c r="AR24" s="63"/>
      <c r="AS24" s="63"/>
      <c r="AT24" s="64"/>
      <c r="AU24" s="63"/>
      <c r="AV24" s="65"/>
      <c r="AW24" s="65"/>
      <c r="AX24" s="65"/>
      <c r="AY24" s="63"/>
      <c r="AZ24" s="33"/>
      <c r="BA24" s="46"/>
      <c r="BB24" s="78"/>
      <c r="BC24" s="34"/>
      <c r="BD24" s="28"/>
      <c r="BE24" s="35"/>
      <c r="BF24" s="35"/>
      <c r="BG24" s="35"/>
    </row>
    <row r="25" spans="1:59" ht="13.5" customHeight="1">
      <c r="A25" s="22"/>
      <c r="B25" s="45"/>
      <c r="C25" s="28"/>
      <c r="D25" s="28"/>
      <c r="E25" s="28"/>
      <c r="F25" s="28"/>
      <c r="H25" s="62"/>
      <c r="I25" s="63"/>
      <c r="J25" s="63"/>
      <c r="K25" s="63"/>
      <c r="L25" s="64"/>
      <c r="M25" s="63"/>
      <c r="N25" s="65"/>
      <c r="O25" s="65"/>
      <c r="P25" s="65"/>
      <c r="Q25" s="64"/>
      <c r="R25" s="28"/>
      <c r="S25" s="35"/>
      <c r="T25" s="35"/>
      <c r="U25" s="28"/>
      <c r="V25" s="28"/>
      <c r="W25" s="28"/>
      <c r="Y25" s="62"/>
      <c r="Z25" s="63"/>
      <c r="AA25" s="63"/>
      <c r="AB25" s="63"/>
      <c r="AC25" s="64"/>
      <c r="AD25" s="63"/>
      <c r="AE25" s="65"/>
      <c r="AF25" s="65"/>
      <c r="AG25" s="65"/>
      <c r="AH25" s="28"/>
      <c r="AI25" s="28"/>
      <c r="AJ25" s="35"/>
      <c r="AK25" s="28"/>
      <c r="AL25" s="28"/>
      <c r="AM25" s="28"/>
      <c r="AN25" s="28"/>
      <c r="AO25" s="35"/>
      <c r="AP25" s="62"/>
      <c r="AQ25" s="63"/>
      <c r="AR25" s="63"/>
      <c r="AS25" s="63"/>
      <c r="AT25" s="62"/>
      <c r="AU25" s="64"/>
      <c r="AV25" s="62"/>
      <c r="AW25" s="63"/>
      <c r="AX25" s="63"/>
      <c r="AY25" s="63"/>
      <c r="AZ25" s="33"/>
      <c r="BA25" s="46"/>
      <c r="BB25" s="78"/>
      <c r="BC25" s="34"/>
      <c r="BD25" s="28"/>
      <c r="BE25" s="35"/>
      <c r="BF25" s="35"/>
      <c r="BG25" s="35"/>
    </row>
    <row r="26" spans="1:59" ht="14.15" customHeight="1">
      <c r="A26" s="22"/>
      <c r="B26" s="256"/>
      <c r="C26" s="361"/>
      <c r="F26" s="285"/>
      <c r="G26" s="285"/>
      <c r="H26" s="28"/>
      <c r="I26" s="147"/>
      <c r="J26" s="130"/>
      <c r="K26" s="130"/>
      <c r="L26" s="130"/>
      <c r="M26" s="146"/>
      <c r="N26" s="130"/>
      <c r="P26" s="362"/>
      <c r="R26" s="130"/>
      <c r="S26" s="35"/>
      <c r="T26" s="285"/>
      <c r="U26" s="35"/>
      <c r="V26" s="285"/>
      <c r="W26" s="285"/>
      <c r="X26" s="285"/>
      <c r="Y26" s="28"/>
      <c r="Z26" s="147"/>
      <c r="AA26" s="130"/>
      <c r="AB26" s="130"/>
      <c r="AC26" s="130"/>
      <c r="AD26" s="146"/>
      <c r="AE26" s="130"/>
      <c r="AF26" s="35"/>
      <c r="AG26" s="146"/>
      <c r="AH26" s="35"/>
      <c r="AI26" s="35"/>
      <c r="AJ26" s="35"/>
      <c r="AK26" s="285"/>
      <c r="AL26" s="35"/>
      <c r="AM26" s="285"/>
      <c r="AN26" s="35"/>
      <c r="AO26" s="35"/>
      <c r="AP26" s="28"/>
      <c r="AQ26" s="147"/>
      <c r="AR26" s="130"/>
      <c r="AS26" s="130"/>
      <c r="AT26" s="130"/>
      <c r="AU26" s="146"/>
      <c r="AV26" s="35"/>
      <c r="AW26" s="28"/>
      <c r="AX26" s="363"/>
      <c r="AY26" s="130"/>
      <c r="AZ26" s="33"/>
      <c r="BA26" s="46"/>
      <c r="BB26" s="78"/>
      <c r="BC26" s="34"/>
      <c r="BD26" s="35"/>
      <c r="BE26" s="35"/>
      <c r="BF26" s="35"/>
      <c r="BG26" s="35"/>
    </row>
    <row r="27" spans="1:59" ht="13.5" customHeight="1">
      <c r="A27" s="22"/>
      <c r="B27" s="45"/>
      <c r="C27" s="28"/>
      <c r="D27" s="28"/>
      <c r="E27" s="28"/>
      <c r="F27" s="28"/>
      <c r="H27" s="62"/>
      <c r="I27" s="63"/>
      <c r="J27" s="63"/>
      <c r="K27" s="63"/>
      <c r="L27" s="64"/>
      <c r="M27" s="63"/>
      <c r="N27" s="65"/>
      <c r="O27" s="65"/>
      <c r="P27" s="65"/>
      <c r="Q27" s="64"/>
      <c r="R27" s="28"/>
      <c r="S27" s="35"/>
      <c r="T27" s="28"/>
      <c r="U27" s="28"/>
      <c r="V27" s="28"/>
      <c r="W27" s="28"/>
      <c r="Y27" s="62"/>
      <c r="Z27" s="63"/>
      <c r="AA27" s="63"/>
      <c r="AB27" s="63"/>
      <c r="AC27" s="64"/>
      <c r="AD27" s="63"/>
      <c r="AE27" s="65"/>
      <c r="AF27" s="65"/>
      <c r="AG27" s="65"/>
      <c r="AH27" s="28"/>
      <c r="AI27" s="28"/>
      <c r="AJ27" s="35"/>
      <c r="AK27" s="28"/>
      <c r="AL27" s="28"/>
      <c r="AM27" s="28"/>
      <c r="AN27" s="28"/>
      <c r="AO27" s="35"/>
      <c r="AP27" s="62"/>
      <c r="AQ27" s="63"/>
      <c r="AR27" s="63"/>
      <c r="AS27" s="63"/>
      <c r="AT27" s="64"/>
      <c r="AU27" s="63"/>
      <c r="AV27" s="65"/>
      <c r="AW27" s="65"/>
      <c r="AX27" s="362"/>
      <c r="AY27" s="63"/>
      <c r="AZ27" s="33"/>
      <c r="BA27" s="46"/>
      <c r="BB27" s="78"/>
      <c r="BC27" s="34"/>
      <c r="BD27" s="28"/>
      <c r="BE27" s="35"/>
      <c r="BF27" s="35"/>
      <c r="BG27" s="35"/>
    </row>
    <row r="28" spans="1:59" ht="13.5" customHeight="1">
      <c r="A28" s="22"/>
      <c r="B28" s="32"/>
      <c r="C28" s="41"/>
      <c r="D28" s="41"/>
      <c r="E28" s="41"/>
      <c r="F28" s="41"/>
      <c r="G28" s="41"/>
      <c r="H28" s="193"/>
      <c r="I28" s="193"/>
      <c r="J28" s="194"/>
      <c r="K28" s="193"/>
      <c r="L28" s="194"/>
      <c r="M28" s="193"/>
      <c r="N28" s="195"/>
      <c r="O28" s="193"/>
      <c r="P28" s="194"/>
      <c r="Q28" s="194"/>
      <c r="R28" s="194"/>
      <c r="S28" s="196"/>
      <c r="T28" s="196"/>
      <c r="U28" s="196"/>
      <c r="V28" s="196"/>
      <c r="W28" s="196"/>
      <c r="X28" s="195"/>
      <c r="Y28" s="196"/>
      <c r="Z28" s="194"/>
      <c r="AA28" s="195"/>
      <c r="AB28" s="196"/>
      <c r="AC28" s="194"/>
      <c r="AD28" s="195"/>
      <c r="AE28" s="194"/>
      <c r="AF28" s="194"/>
      <c r="AG28" s="195"/>
      <c r="AH28" s="194"/>
      <c r="AI28" s="194"/>
      <c r="AJ28" s="197"/>
      <c r="AK28" s="194"/>
      <c r="AL28" s="194"/>
      <c r="AM28" s="194"/>
      <c r="AN28" s="194"/>
      <c r="AO28" s="194"/>
      <c r="AP28" s="194"/>
      <c r="AQ28" s="194"/>
      <c r="AR28" s="194"/>
      <c r="AS28" s="194"/>
      <c r="AT28" s="194"/>
      <c r="AU28" s="194"/>
      <c r="AV28" s="194"/>
      <c r="AW28" s="194"/>
      <c r="AX28" s="64"/>
      <c r="AY28" s="63"/>
      <c r="AZ28" s="33"/>
      <c r="BA28" s="46"/>
      <c r="BB28" s="78"/>
      <c r="BC28" s="34"/>
      <c r="BD28" s="28"/>
      <c r="BE28" s="35"/>
      <c r="BF28" s="35"/>
      <c r="BG28" s="35"/>
    </row>
    <row r="29" spans="1:59" ht="13.5" customHeight="1">
      <c r="A29" s="22"/>
      <c r="B29" s="32"/>
      <c r="C29" s="41"/>
      <c r="D29" s="41"/>
      <c r="E29" s="41"/>
      <c r="F29" s="41"/>
      <c r="G29" s="41"/>
      <c r="H29" s="193"/>
      <c r="I29" s="193"/>
      <c r="J29" s="194"/>
      <c r="K29" s="193"/>
      <c r="L29" s="194"/>
      <c r="M29" s="193"/>
      <c r="N29" s="195"/>
      <c r="O29" s="193"/>
      <c r="P29" s="194"/>
      <c r="Q29" s="194"/>
      <c r="R29" s="194"/>
      <c r="S29" s="196"/>
      <c r="T29" s="196"/>
      <c r="U29" s="196"/>
      <c r="V29" s="196"/>
      <c r="W29" s="196"/>
      <c r="X29" s="195"/>
      <c r="Y29" s="196"/>
      <c r="Z29" s="194"/>
      <c r="AA29" s="195"/>
      <c r="AB29" s="196"/>
      <c r="AC29" s="194"/>
      <c r="AD29" s="195"/>
      <c r="AE29" s="194"/>
      <c r="AF29" s="194"/>
      <c r="AG29" s="195"/>
      <c r="AH29" s="194"/>
      <c r="AI29" s="194"/>
      <c r="AJ29" s="197"/>
      <c r="AK29" s="194"/>
      <c r="AL29" s="194"/>
      <c r="AM29" s="194"/>
      <c r="AN29" s="194"/>
      <c r="AO29" s="194"/>
      <c r="AP29" s="194"/>
      <c r="AQ29" s="194"/>
      <c r="AR29" s="194"/>
      <c r="AS29" s="194"/>
      <c r="AT29" s="194"/>
      <c r="AU29" s="194"/>
      <c r="AV29" s="194"/>
      <c r="AW29" s="194"/>
      <c r="AX29" s="64"/>
      <c r="AY29" s="63"/>
      <c r="AZ29" s="33"/>
      <c r="BA29" s="46"/>
      <c r="BB29" s="78"/>
      <c r="BC29" s="34"/>
      <c r="BD29" s="28"/>
      <c r="BE29" s="35"/>
      <c r="BF29" s="35"/>
      <c r="BG29" s="35"/>
    </row>
    <row r="30" spans="1:59" ht="13.5" customHeight="1">
      <c r="A30" s="22"/>
      <c r="B30" s="32"/>
      <c r="C30" s="41"/>
      <c r="D30" s="41"/>
      <c r="E30" s="41"/>
      <c r="F30" s="41"/>
      <c r="G30" s="41"/>
      <c r="H30" s="193"/>
      <c r="I30" s="193"/>
      <c r="J30" s="194"/>
      <c r="K30" s="193"/>
      <c r="L30" s="194"/>
      <c r="M30" s="193"/>
      <c r="N30" s="195"/>
      <c r="O30" s="193"/>
      <c r="P30" s="194"/>
      <c r="Q30" s="194"/>
      <c r="R30" s="194"/>
      <c r="S30" s="196"/>
      <c r="T30" s="196"/>
      <c r="U30" s="196"/>
      <c r="V30" s="196"/>
      <c r="W30" s="196"/>
      <c r="X30" s="195"/>
      <c r="Y30" s="196"/>
      <c r="Z30" s="194"/>
      <c r="AA30" s="195"/>
      <c r="AB30" s="196"/>
      <c r="AC30" s="194"/>
      <c r="AD30" s="195"/>
      <c r="AE30" s="194"/>
      <c r="AF30" s="194"/>
      <c r="AG30" s="195"/>
      <c r="AH30" s="194"/>
      <c r="AI30" s="194"/>
      <c r="AJ30" s="197"/>
      <c r="AK30" s="194"/>
      <c r="AL30" s="194"/>
      <c r="AM30" s="194"/>
      <c r="AN30" s="194"/>
      <c r="AO30" s="194"/>
      <c r="AP30" s="194"/>
      <c r="AQ30" s="194"/>
      <c r="AR30" s="194"/>
      <c r="AS30" s="194"/>
      <c r="AT30" s="194"/>
      <c r="AU30" s="194"/>
      <c r="AV30" s="194"/>
      <c r="AW30" s="194"/>
      <c r="AX30" s="64"/>
      <c r="AY30" s="63"/>
      <c r="AZ30" s="33"/>
      <c r="BA30" s="46"/>
      <c r="BB30" s="78"/>
      <c r="BC30" s="34"/>
      <c r="BD30" s="28"/>
      <c r="BE30" s="35"/>
      <c r="BF30" s="35"/>
      <c r="BG30" s="35"/>
    </row>
    <row r="31" spans="1:59" ht="13.5" customHeight="1">
      <c r="A31" s="22"/>
      <c r="B31" s="32"/>
      <c r="C31" s="41"/>
      <c r="D31" s="41"/>
      <c r="E31" s="41"/>
      <c r="F31" s="41"/>
      <c r="G31" s="41"/>
      <c r="H31" s="193"/>
      <c r="I31" s="193"/>
      <c r="J31" s="194"/>
      <c r="K31" s="193"/>
      <c r="L31" s="194"/>
      <c r="M31" s="193"/>
      <c r="N31" s="195"/>
      <c r="O31" s="193"/>
      <c r="P31" s="194"/>
      <c r="Q31" s="194"/>
      <c r="R31" s="194"/>
      <c r="S31" s="196"/>
      <c r="T31" s="196"/>
      <c r="U31" s="196"/>
      <c r="V31" s="196"/>
      <c r="W31" s="196"/>
      <c r="X31" s="195"/>
      <c r="Y31" s="196"/>
      <c r="Z31" s="194"/>
      <c r="AA31" s="195"/>
      <c r="AB31" s="196"/>
      <c r="AC31" s="194"/>
      <c r="AD31" s="195"/>
      <c r="AE31" s="194"/>
      <c r="AF31" s="194"/>
      <c r="AG31" s="195"/>
      <c r="AH31" s="194"/>
      <c r="AI31" s="194"/>
      <c r="AJ31" s="197"/>
      <c r="AK31" s="194"/>
      <c r="AL31" s="194"/>
      <c r="AM31" s="194"/>
      <c r="AN31" s="194"/>
      <c r="AO31" s="194"/>
      <c r="AP31" s="194"/>
      <c r="AQ31" s="194"/>
      <c r="AR31" s="194"/>
      <c r="AS31" s="194"/>
      <c r="AT31" s="194"/>
      <c r="AU31" s="194"/>
      <c r="AV31" s="194"/>
      <c r="AW31" s="194"/>
      <c r="AX31" s="64"/>
      <c r="AY31" s="63"/>
      <c r="AZ31" s="33"/>
      <c r="BA31" s="46"/>
      <c r="BB31" s="78"/>
      <c r="BC31" s="34"/>
      <c r="BD31" s="28"/>
      <c r="BE31" s="35"/>
      <c r="BF31" s="35"/>
      <c r="BG31" s="35"/>
    </row>
    <row r="32" spans="1:59" ht="5.15" customHeight="1">
      <c r="A32" s="22"/>
      <c r="B32" s="32"/>
      <c r="C32" s="41"/>
      <c r="D32" s="41"/>
      <c r="E32" s="41"/>
      <c r="F32" s="41"/>
      <c r="G32" s="41"/>
      <c r="H32" s="193"/>
      <c r="I32" s="193"/>
      <c r="J32" s="194"/>
      <c r="K32" s="193"/>
      <c r="L32" s="194"/>
      <c r="M32" s="193"/>
      <c r="N32" s="195"/>
      <c r="O32" s="193"/>
      <c r="P32" s="194"/>
      <c r="Q32" s="194"/>
      <c r="R32" s="194"/>
      <c r="S32" s="196"/>
      <c r="T32" s="196"/>
      <c r="U32" s="196"/>
      <c r="V32" s="196"/>
      <c r="W32" s="196"/>
      <c r="X32" s="195"/>
      <c r="Y32" s="196"/>
      <c r="Z32" s="194"/>
      <c r="AA32" s="195"/>
      <c r="AB32" s="196"/>
      <c r="AC32" s="194"/>
      <c r="AD32" s="195"/>
      <c r="AE32" s="194"/>
      <c r="AF32" s="194"/>
      <c r="AG32" s="195"/>
      <c r="AH32" s="194"/>
      <c r="AI32" s="194"/>
      <c r="AJ32" s="197"/>
      <c r="AK32" s="194"/>
      <c r="AL32" s="194"/>
      <c r="AM32" s="194"/>
      <c r="AN32" s="194"/>
      <c r="AO32" s="194"/>
      <c r="AP32" s="194"/>
      <c r="AQ32" s="194"/>
      <c r="AR32" s="194"/>
      <c r="AS32" s="194"/>
      <c r="AT32" s="194"/>
      <c r="AU32" s="194"/>
      <c r="AV32" s="194"/>
      <c r="AW32" s="194"/>
      <c r="AX32" s="64"/>
      <c r="AY32" s="63"/>
      <c r="AZ32" s="33"/>
      <c r="BA32" s="46"/>
      <c r="BB32" s="78"/>
      <c r="BC32" s="34"/>
      <c r="BD32" s="28"/>
      <c r="BE32" s="35"/>
      <c r="BF32" s="35"/>
      <c r="BG32" s="35"/>
    </row>
    <row r="33" spans="1:60" ht="13.5" customHeight="1">
      <c r="A33" s="22"/>
      <c r="B33" s="32"/>
      <c r="C33" s="41"/>
      <c r="D33" s="41"/>
      <c r="E33" s="41"/>
      <c r="F33" s="41"/>
      <c r="G33" s="41"/>
      <c r="H33" s="193"/>
      <c r="I33" s="193"/>
      <c r="J33" s="194"/>
      <c r="K33" s="193"/>
      <c r="L33" s="194"/>
      <c r="M33" s="193"/>
      <c r="N33" s="195"/>
      <c r="O33" s="193"/>
      <c r="P33" s="194"/>
      <c r="Q33" s="194"/>
      <c r="R33" s="194"/>
      <c r="S33" s="196"/>
      <c r="T33" s="196"/>
      <c r="U33" s="196"/>
      <c r="V33" s="196"/>
      <c r="W33" s="196"/>
      <c r="X33" s="195"/>
      <c r="Y33" s="196"/>
      <c r="Z33" s="194"/>
      <c r="AA33" s="195"/>
      <c r="AB33" s="196"/>
      <c r="AC33" s="194"/>
      <c r="AD33" s="195"/>
      <c r="AE33" s="194"/>
      <c r="AF33" s="194"/>
      <c r="AG33" s="195"/>
      <c r="AH33" s="194"/>
      <c r="AI33" s="194"/>
      <c r="AJ33" s="197"/>
      <c r="AK33" s="194"/>
      <c r="AL33" s="194"/>
      <c r="AM33" s="194"/>
      <c r="AN33" s="194"/>
      <c r="AO33" s="194"/>
      <c r="AP33" s="194"/>
      <c r="AQ33" s="194"/>
      <c r="AR33" s="194"/>
      <c r="AS33" s="194"/>
      <c r="AT33" s="194"/>
      <c r="AU33" s="194"/>
      <c r="AV33" s="194"/>
      <c r="AW33" s="194"/>
      <c r="AX33" s="64"/>
      <c r="AY33" s="63"/>
      <c r="AZ33" s="33"/>
      <c r="BA33" s="46"/>
      <c r="BB33" s="78"/>
      <c r="BC33" s="34"/>
      <c r="BD33" s="28"/>
      <c r="BE33" s="35"/>
      <c r="BF33" s="35"/>
      <c r="BG33" s="35"/>
    </row>
    <row r="34" spans="1:60" ht="13.5" customHeight="1">
      <c r="A34" s="22"/>
      <c r="B34" s="32"/>
      <c r="C34" s="41"/>
      <c r="D34" s="41"/>
      <c r="E34" s="41"/>
      <c r="F34" s="41"/>
      <c r="G34" s="41"/>
      <c r="H34" s="193"/>
      <c r="I34" s="193"/>
      <c r="J34" s="194"/>
      <c r="K34" s="193"/>
      <c r="L34" s="194"/>
      <c r="M34" s="193"/>
      <c r="N34" s="195"/>
      <c r="O34" s="193"/>
      <c r="P34" s="194"/>
      <c r="Q34" s="194"/>
      <c r="R34" s="194"/>
      <c r="S34" s="196"/>
      <c r="T34" s="196"/>
      <c r="U34" s="196"/>
      <c r="V34" s="196"/>
      <c r="W34" s="196"/>
      <c r="X34" s="195"/>
      <c r="Y34" s="196"/>
      <c r="Z34" s="194"/>
      <c r="AA34" s="195"/>
      <c r="AB34" s="196"/>
      <c r="AC34" s="194"/>
      <c r="AD34" s="195"/>
      <c r="AE34" s="194"/>
      <c r="AF34" s="194"/>
      <c r="AG34" s="195"/>
      <c r="AH34" s="194"/>
      <c r="AI34" s="194"/>
      <c r="AJ34" s="197"/>
      <c r="AK34" s="194"/>
      <c r="AL34" s="194"/>
      <c r="AM34" s="194"/>
      <c r="AN34" s="194"/>
      <c r="AO34" s="194"/>
      <c r="AP34" s="194"/>
      <c r="AQ34" s="194"/>
      <c r="AR34" s="194"/>
      <c r="AS34" s="194"/>
      <c r="AT34" s="194"/>
      <c r="AU34" s="194"/>
      <c r="AV34" s="194"/>
      <c r="AW34" s="194"/>
      <c r="AX34" s="64"/>
      <c r="AY34" s="63"/>
      <c r="AZ34" s="33"/>
      <c r="BA34" s="46"/>
      <c r="BB34" s="78"/>
      <c r="BC34" s="34"/>
      <c r="BD34" s="28"/>
      <c r="BE34" s="35"/>
      <c r="BF34" s="35"/>
      <c r="BG34" s="35"/>
    </row>
    <row r="35" spans="1:60" ht="13.5" customHeight="1">
      <c r="A35" s="22"/>
      <c r="B35" s="32"/>
      <c r="C35" s="41"/>
      <c r="D35" s="41"/>
      <c r="E35" s="41"/>
      <c r="F35" s="41"/>
      <c r="G35" s="41"/>
      <c r="H35" s="193"/>
      <c r="I35" s="193"/>
      <c r="J35" s="194"/>
      <c r="K35" s="193"/>
      <c r="L35" s="194"/>
      <c r="M35" s="193"/>
      <c r="N35" s="195"/>
      <c r="O35" s="193"/>
      <c r="P35" s="194"/>
      <c r="Q35" s="194"/>
      <c r="R35" s="194"/>
      <c r="S35" s="196"/>
      <c r="T35" s="196"/>
      <c r="U35" s="196"/>
      <c r="V35" s="196"/>
      <c r="W35" s="196"/>
      <c r="X35" s="195"/>
      <c r="Y35" s="196"/>
      <c r="Z35" s="194"/>
      <c r="AA35" s="195"/>
      <c r="AB35" s="196"/>
      <c r="AC35" s="194"/>
      <c r="AD35" s="195"/>
      <c r="AE35" s="194"/>
      <c r="AF35" s="194"/>
      <c r="AG35" s="195"/>
      <c r="AH35" s="194"/>
      <c r="AI35" s="194"/>
      <c r="AJ35" s="197"/>
      <c r="AK35" s="194"/>
      <c r="AL35" s="194"/>
      <c r="AM35" s="194"/>
      <c r="AN35" s="194"/>
      <c r="AO35" s="194"/>
      <c r="AP35" s="194"/>
      <c r="AQ35" s="194"/>
      <c r="AR35" s="194"/>
      <c r="AS35" s="194"/>
      <c r="AT35" s="194"/>
      <c r="AU35" s="194"/>
      <c r="AV35" s="194"/>
      <c r="AW35" s="194"/>
      <c r="AX35" s="64"/>
      <c r="AY35" s="63"/>
      <c r="AZ35" s="33"/>
      <c r="BA35" s="46"/>
      <c r="BB35" s="78"/>
      <c r="BC35" s="34"/>
      <c r="BD35" s="28"/>
      <c r="BE35" s="35"/>
      <c r="BF35" s="35"/>
      <c r="BG35" s="35"/>
    </row>
    <row r="36" spans="1:60"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0" ht="14.15" customHeight="1">
      <c r="A37" s="22"/>
      <c r="B37" s="202"/>
      <c r="C37" s="331"/>
      <c r="D37" s="332"/>
      <c r="E37" s="65"/>
      <c r="F37" s="65"/>
      <c r="G37" s="65"/>
      <c r="H37" s="65"/>
      <c r="I37" s="65"/>
      <c r="J37" s="354"/>
      <c r="K37" s="354"/>
      <c r="L37" s="354"/>
      <c r="M37" s="354"/>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125"/>
      <c r="AU37" s="65"/>
      <c r="AV37" s="65"/>
      <c r="AW37" s="65"/>
      <c r="AX37" s="65"/>
      <c r="AY37" s="65"/>
      <c r="AZ37" s="33"/>
      <c r="BA37" s="46"/>
      <c r="BB37" s="335"/>
      <c r="BC37" s="336"/>
      <c r="BD37" s="28"/>
      <c r="BG37" s="24"/>
      <c r="BH37" s="28"/>
    </row>
    <row r="38" spans="1:60" ht="13.5" customHeight="1">
      <c r="A38" s="22"/>
      <c r="B38" s="202">
        <v>36</v>
      </c>
      <c r="C38" s="331"/>
      <c r="D38" s="332"/>
      <c r="E38" s="65"/>
      <c r="F38" s="65"/>
      <c r="G38" s="65"/>
      <c r="H38" s="65"/>
      <c r="I38" s="65"/>
      <c r="J38" s="989"/>
      <c r="K38" s="989"/>
      <c r="L38" s="989"/>
      <c r="M38" s="989"/>
      <c r="N38" s="63"/>
      <c r="O38" s="65"/>
      <c r="P38" s="65"/>
      <c r="Q38" s="65"/>
      <c r="R38" s="28"/>
      <c r="S38" s="28"/>
      <c r="T38" s="31"/>
      <c r="U38" s="31"/>
      <c r="V38" s="31"/>
      <c r="W38" s="31"/>
      <c r="X38" s="31"/>
      <c r="Y38" s="44"/>
      <c r="Z38" s="31"/>
      <c r="AA38" s="28"/>
      <c r="AB38" s="44"/>
      <c r="AC38" s="31"/>
      <c r="AD38" s="28"/>
      <c r="AE38" s="44"/>
      <c r="AF38" s="28"/>
      <c r="AG38" s="116"/>
      <c r="AH38" s="41"/>
      <c r="AI38" s="116"/>
      <c r="AJ38" s="116"/>
      <c r="AK38" s="116"/>
      <c r="AL38" s="116"/>
      <c r="AM38" s="116"/>
      <c r="AN38" s="116"/>
      <c r="AO38" s="116"/>
      <c r="AP38" s="116"/>
      <c r="AQ38" s="116"/>
      <c r="AR38" s="116"/>
      <c r="AS38" s="116"/>
      <c r="AT38" s="116"/>
      <c r="AU38" s="116"/>
      <c r="AV38" s="116"/>
      <c r="AW38" s="116"/>
      <c r="AX38" s="116"/>
      <c r="AY38" s="116"/>
      <c r="AZ38" s="33"/>
      <c r="BA38" s="46"/>
      <c r="BB38" s="335"/>
      <c r="BC38" s="336"/>
      <c r="BD38" s="28"/>
      <c r="BG38" s="24"/>
      <c r="BH38" s="28"/>
    </row>
    <row r="39" spans="1:60" ht="13.5" customHeight="1">
      <c r="A39" s="22"/>
      <c r="B39" s="202">
        <v>37</v>
      </c>
      <c r="C39" s="331"/>
      <c r="D39" s="332"/>
      <c r="E39" s="65"/>
      <c r="F39" s="65"/>
      <c r="G39" s="65"/>
      <c r="H39" s="65"/>
      <c r="I39" s="65"/>
      <c r="J39" s="989"/>
      <c r="K39" s="989"/>
      <c r="L39" s="989"/>
      <c r="M39" s="989"/>
      <c r="N39" s="193"/>
      <c r="O39" s="195"/>
      <c r="P39" s="193"/>
      <c r="Q39" s="194"/>
      <c r="R39" s="194"/>
      <c r="S39" s="194"/>
      <c r="T39" s="196"/>
      <c r="U39" s="196"/>
      <c r="V39" s="196"/>
      <c r="W39" s="196"/>
      <c r="X39" s="196"/>
      <c r="Y39" s="195"/>
      <c r="Z39" s="196"/>
      <c r="AA39" s="194"/>
      <c r="AB39" s="195"/>
      <c r="AC39" s="196"/>
      <c r="AD39" s="194"/>
      <c r="AE39" s="195"/>
      <c r="AF39" s="194"/>
      <c r="AG39" s="194"/>
      <c r="AH39" s="195"/>
      <c r="AI39" s="194"/>
      <c r="AJ39" s="194"/>
      <c r="AK39" s="197"/>
      <c r="AL39" s="194"/>
      <c r="AM39" s="194"/>
      <c r="AN39" s="194"/>
      <c r="AO39" s="194"/>
      <c r="AP39" s="194"/>
      <c r="AQ39" s="194"/>
      <c r="AR39" s="194"/>
      <c r="AS39" s="194"/>
      <c r="AT39" s="194"/>
      <c r="AU39" s="194"/>
      <c r="AV39" s="194"/>
      <c r="AW39" s="194"/>
      <c r="AX39" s="194"/>
      <c r="AY39" s="194"/>
      <c r="AZ39" s="33"/>
      <c r="BA39" s="46"/>
      <c r="BB39" s="335"/>
      <c r="BC39" s="336"/>
      <c r="BD39" s="28"/>
      <c r="BG39" s="24"/>
      <c r="BH39" s="28"/>
    </row>
    <row r="40" spans="1:60">
      <c r="A40" s="22"/>
      <c r="B40" s="32"/>
      <c r="C40" s="28"/>
      <c r="D40" s="28"/>
      <c r="E40" s="28"/>
      <c r="F40" s="28"/>
      <c r="G40" s="28"/>
      <c r="H40" s="28"/>
      <c r="I40" s="28"/>
      <c r="J40" s="28"/>
      <c r="K40" s="28"/>
      <c r="L40" s="28"/>
      <c r="M40" s="28"/>
      <c r="N40" s="28"/>
      <c r="O40" s="28"/>
      <c r="P40" s="28"/>
      <c r="Q40" s="28"/>
      <c r="R40" s="28"/>
      <c r="S40" s="81"/>
      <c r="T40" s="81"/>
      <c r="U40" s="81"/>
      <c r="V40" s="81"/>
      <c r="W40" s="28"/>
      <c r="X40" s="28"/>
      <c r="Y40" s="81"/>
      <c r="Z40" s="81"/>
      <c r="AA40" s="28"/>
      <c r="AB40" s="28"/>
      <c r="AC40" s="28"/>
      <c r="AD40" s="81"/>
      <c r="AE40" s="81"/>
      <c r="AF40" s="81"/>
      <c r="AG40" s="81"/>
      <c r="AH40" s="81"/>
      <c r="AI40" s="81"/>
      <c r="AJ40" s="81"/>
      <c r="AK40" s="81"/>
      <c r="AL40" s="81"/>
      <c r="AM40" s="81"/>
      <c r="AN40" s="81"/>
      <c r="AO40" s="81"/>
      <c r="AP40" s="81"/>
      <c r="AQ40" s="81"/>
      <c r="AR40" s="81"/>
      <c r="AS40" s="81"/>
      <c r="AT40" s="81"/>
      <c r="AU40" s="81"/>
      <c r="AV40" s="81"/>
      <c r="AW40" s="81"/>
      <c r="AX40" s="81"/>
      <c r="AY40" s="31"/>
      <c r="AZ40" s="33"/>
      <c r="BA40" s="46"/>
      <c r="BB40" s="335"/>
      <c r="BC40" s="336"/>
    </row>
    <row r="41" spans="1:60">
      <c r="A41" s="155"/>
      <c r="B41" s="95"/>
      <c r="C41" s="110"/>
      <c r="D41" s="110"/>
      <c r="E41" s="110"/>
      <c r="F41" s="110"/>
      <c r="G41" s="110"/>
      <c r="H41" s="110"/>
      <c r="I41" s="110"/>
      <c r="J41" s="110"/>
      <c r="K41" s="110"/>
      <c r="L41" s="110"/>
      <c r="M41" s="110"/>
      <c r="N41" s="110"/>
      <c r="O41" s="110"/>
      <c r="P41" s="110"/>
      <c r="Q41" s="110"/>
      <c r="R41" s="110"/>
      <c r="S41" s="156"/>
      <c r="T41" s="156"/>
      <c r="U41" s="156"/>
      <c r="V41" s="156"/>
      <c r="W41" s="110"/>
      <c r="X41" s="110"/>
      <c r="Y41" s="156"/>
      <c r="Z41" s="156"/>
      <c r="AA41" s="110"/>
      <c r="AB41" s="110"/>
      <c r="AC41" s="110"/>
      <c r="AD41" s="156"/>
      <c r="AE41" s="156"/>
      <c r="AF41" s="156"/>
      <c r="AG41" s="156"/>
      <c r="AH41" s="156"/>
      <c r="AI41" s="156"/>
      <c r="AJ41" s="156"/>
      <c r="AK41" s="156"/>
      <c r="AL41" s="156"/>
      <c r="AM41" s="156"/>
      <c r="AN41" s="156"/>
      <c r="AO41" s="156"/>
      <c r="AP41" s="156"/>
      <c r="AQ41" s="156"/>
      <c r="AR41" s="156"/>
      <c r="AS41" s="156"/>
      <c r="AT41" s="156"/>
      <c r="AU41" s="156"/>
      <c r="AV41" s="156"/>
      <c r="AW41" s="156"/>
      <c r="AX41" s="156"/>
      <c r="AY41" s="95"/>
      <c r="AZ41" s="95"/>
      <c r="BA41" s="157"/>
      <c r="BB41" s="355"/>
      <c r="BC41" s="356"/>
    </row>
  </sheetData>
  <mergeCells count="29">
    <mergeCell ref="J38:M38"/>
    <mergeCell ref="J39:M39"/>
    <mergeCell ref="A5:BA5"/>
    <mergeCell ref="BB5:BC5"/>
    <mergeCell ref="AV2:AY2"/>
    <mergeCell ref="AZ2:BC3"/>
    <mergeCell ref="A3:H3"/>
    <mergeCell ref="I3:L3"/>
    <mergeCell ref="M3:W3"/>
    <mergeCell ref="X3:Z3"/>
    <mergeCell ref="AA3:AR3"/>
    <mergeCell ref="AS3:AU3"/>
    <mergeCell ref="AV3:AY3"/>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106"/>
  <sheetViews>
    <sheetView showGridLines="0" topLeftCell="A5" zoomScaleNormal="100" zoomScaleSheetLayoutView="100" workbookViewId="0">
      <pane ySplit="2" topLeftCell="A83"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円(PPM)</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59"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63"/>
      <c r="AZ33" s="490"/>
      <c r="BA33" s="46"/>
      <c r="BB33" s="78"/>
      <c r="BC33" s="34"/>
      <c r="BD33" s="28"/>
      <c r="BE33" s="35"/>
      <c r="BF33" s="35"/>
      <c r="BG33" s="35"/>
    </row>
    <row r="34" spans="1:59"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63"/>
      <c r="AZ34" s="490"/>
      <c r="BA34" s="46"/>
      <c r="BB34" s="78"/>
      <c r="BC34" s="34"/>
      <c r="BD34" s="28"/>
      <c r="BE34" s="35"/>
      <c r="BF34" s="35"/>
      <c r="BG34" s="35"/>
    </row>
    <row r="35" spans="1:59"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59"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63"/>
      <c r="AZ36" s="33"/>
      <c r="BA36" s="46"/>
      <c r="BB36" s="78"/>
      <c r="BC36" s="34"/>
      <c r="BD36" s="28"/>
      <c r="BE36" s="35"/>
      <c r="BF36" s="35"/>
      <c r="BG36" s="35"/>
    </row>
    <row r="37" spans="1:59"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59"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59" ht="13.5" customHeight="1">
      <c r="A39" s="22"/>
      <c r="B39" s="45"/>
      <c r="C39" s="527" t="s">
        <v>285</v>
      </c>
      <c r="D39" s="28"/>
      <c r="E39" s="28"/>
      <c r="F39" s="28"/>
      <c r="G39" s="28"/>
      <c r="H39" s="24"/>
      <c r="I39" s="24"/>
      <c r="J39" s="24"/>
      <c r="K39" s="24"/>
      <c r="L39" s="24"/>
      <c r="M39" s="127"/>
      <c r="N39" s="75"/>
      <c r="O39" s="84"/>
      <c r="P39" s="84"/>
      <c r="Q39" s="85"/>
      <c r="R39" s="75"/>
      <c r="S39" s="75"/>
      <c r="T39" s="75"/>
      <c r="U39" s="84"/>
      <c r="V39" s="85"/>
      <c r="W39" s="75"/>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31"/>
      <c r="BA39" s="30"/>
      <c r="BB39" s="175"/>
      <c r="BC39" s="345"/>
      <c r="BD39" s="28"/>
      <c r="BE39" s="35"/>
      <c r="BF39" s="35"/>
      <c r="BG39" s="35"/>
    </row>
    <row r="40" spans="1:59" ht="13.5" customHeight="1">
      <c r="A40" s="22"/>
      <c r="B40" s="45"/>
      <c r="C40" s="266"/>
      <c r="D40" s="28" t="s">
        <v>288</v>
      </c>
      <c r="E40" s="28"/>
      <c r="F40" s="28"/>
      <c r="G40" s="28"/>
      <c r="H40" s="86" t="s">
        <v>139</v>
      </c>
      <c r="I40" s="86"/>
      <c r="J40" s="86"/>
      <c r="K40" s="86"/>
      <c r="L40" s="86"/>
      <c r="M40" s="322"/>
      <c r="N40" s="87"/>
      <c r="O40" s="88"/>
      <c r="P40" s="88"/>
      <c r="Q40" s="89"/>
      <c r="R40" s="87"/>
      <c r="S40" s="87"/>
      <c r="T40" s="87"/>
      <c r="U40" s="88"/>
      <c r="V40" s="89"/>
      <c r="W40" s="87"/>
      <c r="X40" s="65"/>
      <c r="Y40" s="28"/>
      <c r="Z40" s="28"/>
      <c r="AA40" s="28"/>
      <c r="AB40" s="28"/>
      <c r="AC40" s="28"/>
      <c r="AD40" s="28"/>
      <c r="AE40" s="28"/>
      <c r="AF40" s="28"/>
      <c r="AG40" s="28"/>
      <c r="AH40" s="28"/>
      <c r="AI40" s="28"/>
      <c r="AJ40" s="28"/>
      <c r="AK40" s="28"/>
      <c r="AL40" s="28"/>
      <c r="AM40" s="31"/>
      <c r="AN40" s="31"/>
      <c r="AO40" s="31"/>
      <c r="AP40" s="31"/>
      <c r="AQ40" s="31"/>
      <c r="AR40" s="31"/>
      <c r="AS40" s="31"/>
      <c r="AT40" s="31"/>
      <c r="AU40" s="31"/>
      <c r="AV40" s="31"/>
      <c r="AW40" s="31"/>
      <c r="AX40" s="65"/>
      <c r="AY40" s="31"/>
      <c r="AZ40" s="52"/>
      <c r="BA40" s="93"/>
      <c r="BB40" s="175"/>
      <c r="BC40" s="345"/>
      <c r="BD40" s="28"/>
      <c r="BE40" s="35"/>
      <c r="BF40" s="35"/>
      <c r="BG40" s="35"/>
    </row>
    <row r="41" spans="1:59" ht="13.5" customHeight="1">
      <c r="A41" s="22"/>
      <c r="B41" s="202">
        <v>6</v>
      </c>
      <c r="C41" s="304" t="s">
        <v>32</v>
      </c>
      <c r="D41" s="205" t="s">
        <v>64</v>
      </c>
      <c r="E41" s="206"/>
      <c r="F41" s="206"/>
      <c r="G41" s="207"/>
      <c r="H41" s="208" t="s">
        <v>73</v>
      </c>
      <c r="I41" s="209"/>
      <c r="J41" s="209"/>
      <c r="K41" s="209"/>
      <c r="L41" s="206"/>
      <c r="M41" s="207"/>
      <c r="N41" s="205" t="s">
        <v>74</v>
      </c>
      <c r="O41" s="206"/>
      <c r="P41" s="206"/>
      <c r="Q41" s="207"/>
      <c r="R41" s="205" t="s">
        <v>75</v>
      </c>
      <c r="S41" s="206"/>
      <c r="T41" s="206"/>
      <c r="U41" s="206"/>
      <c r="V41" s="210" t="s">
        <v>87</v>
      </c>
      <c r="W41" s="211"/>
      <c r="X41" s="211"/>
      <c r="Y41" s="212"/>
      <c r="Z41" s="211" t="s">
        <v>89</v>
      </c>
      <c r="AA41" s="211"/>
      <c r="AB41" s="211"/>
      <c r="AC41" s="212"/>
      <c r="AD41" s="211" t="s">
        <v>76</v>
      </c>
      <c r="AE41" s="211"/>
      <c r="AF41" s="211"/>
      <c r="AG41" s="212"/>
      <c r="AH41" s="210" t="s">
        <v>77</v>
      </c>
      <c r="AI41" s="211"/>
      <c r="AJ41" s="211"/>
      <c r="AK41" s="211"/>
      <c r="AL41" s="212"/>
      <c r="AM41" s="210" t="s">
        <v>83</v>
      </c>
      <c r="AN41" s="211"/>
      <c r="AO41" s="211"/>
      <c r="AP41" s="212"/>
      <c r="AQ41" s="211" t="s">
        <v>85</v>
      </c>
      <c r="AR41" s="211"/>
      <c r="AS41" s="212"/>
      <c r="AT41" s="305" t="s">
        <v>86</v>
      </c>
      <c r="AU41" s="211"/>
      <c r="AV41" s="211"/>
      <c r="AW41" s="212"/>
      <c r="AX41" s="211" t="s">
        <v>69</v>
      </c>
      <c r="AY41" s="211"/>
      <c r="AZ41" s="211"/>
      <c r="BA41" s="212"/>
      <c r="BB41" s="28"/>
      <c r="BC41" s="491"/>
      <c r="BD41" s="28"/>
      <c r="BG41" s="35"/>
    </row>
    <row r="42" spans="1:59" ht="13.5" customHeight="1">
      <c r="A42" s="22"/>
      <c r="B42" s="202">
        <v>7</v>
      </c>
      <c r="C42" s="306"/>
      <c r="D42" s="213" t="s">
        <v>30</v>
      </c>
      <c r="E42" s="216"/>
      <c r="F42" s="214"/>
      <c r="G42" s="215"/>
      <c r="H42" s="213" t="s">
        <v>30</v>
      </c>
      <c r="I42" s="216"/>
      <c r="J42" s="216"/>
      <c r="K42" s="216"/>
      <c r="L42" s="214"/>
      <c r="M42" s="215"/>
      <c r="N42" s="213" t="s">
        <v>30</v>
      </c>
      <c r="O42" s="214"/>
      <c r="P42" s="214"/>
      <c r="Q42" s="215"/>
      <c r="R42" s="213" t="s">
        <v>30</v>
      </c>
      <c r="S42" s="216"/>
      <c r="T42" s="214"/>
      <c r="U42" s="214"/>
      <c r="V42" s="217" t="s">
        <v>88</v>
      </c>
      <c r="W42" s="218"/>
      <c r="X42" s="219"/>
      <c r="Y42" s="220"/>
      <c r="Z42" s="218" t="s">
        <v>43</v>
      </c>
      <c r="AA42" s="218"/>
      <c r="AB42" s="219"/>
      <c r="AC42" s="220"/>
      <c r="AD42" s="218" t="s">
        <v>43</v>
      </c>
      <c r="AE42" s="218"/>
      <c r="AF42" s="219"/>
      <c r="AG42" s="220"/>
      <c r="AH42" s="217" t="s">
        <v>30</v>
      </c>
      <c r="AI42" s="218"/>
      <c r="AJ42" s="218"/>
      <c r="AK42" s="219"/>
      <c r="AL42" s="220"/>
      <c r="AM42" s="217" t="s">
        <v>43</v>
      </c>
      <c r="AN42" s="218"/>
      <c r="AO42" s="219"/>
      <c r="AP42" s="220"/>
      <c r="AQ42" s="218" t="s">
        <v>43</v>
      </c>
      <c r="AR42" s="218"/>
      <c r="AS42" s="220"/>
      <c r="AT42" s="307" t="s">
        <v>43</v>
      </c>
      <c r="AU42" s="218"/>
      <c r="AV42" s="219"/>
      <c r="AW42" s="220"/>
      <c r="AX42" s="218" t="s">
        <v>43</v>
      </c>
      <c r="AY42" s="218"/>
      <c r="AZ42" s="219"/>
      <c r="BA42" s="220"/>
      <c r="BB42" s="28"/>
      <c r="BC42" s="491"/>
      <c r="BD42" s="28"/>
      <c r="BG42" s="35"/>
    </row>
    <row r="43" spans="1:59" ht="13.5" customHeight="1">
      <c r="A43" s="22"/>
      <c r="B43" s="202">
        <v>8</v>
      </c>
      <c r="C43" s="308">
        <v>1</v>
      </c>
      <c r="D43" s="148" t="s">
        <v>90</v>
      </c>
      <c r="E43" s="149"/>
      <c r="F43" s="149"/>
      <c r="G43" s="151"/>
      <c r="H43" s="242" t="s">
        <v>91</v>
      </c>
      <c r="I43" s="150"/>
      <c r="J43" s="150"/>
      <c r="K43" s="150"/>
      <c r="L43" s="161"/>
      <c r="M43" s="162"/>
      <c r="N43" s="242" t="s">
        <v>92</v>
      </c>
      <c r="O43" s="150"/>
      <c r="P43" s="150"/>
      <c r="Q43" s="99" t="s">
        <v>33</v>
      </c>
      <c r="R43" s="1002">
        <v>5000</v>
      </c>
      <c r="S43" s="1003"/>
      <c r="T43" s="1003"/>
      <c r="U43" s="1004"/>
      <c r="V43" s="990">
        <v>122.5</v>
      </c>
      <c r="W43" s="1012"/>
      <c r="X43" s="1012"/>
      <c r="Y43" s="1013"/>
      <c r="Z43" s="990">
        <v>125</v>
      </c>
      <c r="AA43" s="1012"/>
      <c r="AB43" s="1012"/>
      <c r="AC43" s="1013"/>
      <c r="AD43" s="990">
        <v>124</v>
      </c>
      <c r="AE43" s="1012"/>
      <c r="AF43" s="1012"/>
      <c r="AG43" s="1013"/>
      <c r="AH43" s="990">
        <v>94.52</v>
      </c>
      <c r="AI43" s="1012"/>
      <c r="AJ43" s="1012"/>
      <c r="AK43" s="1012"/>
      <c r="AL43" s="1013"/>
      <c r="AM43" s="990">
        <v>125</v>
      </c>
      <c r="AN43" s="1012"/>
      <c r="AO43" s="1012"/>
      <c r="AP43" s="1013"/>
      <c r="AQ43" s="1014">
        <v>10.3</v>
      </c>
      <c r="AR43" s="1015"/>
      <c r="AS43" s="1016"/>
      <c r="AT43" s="309" t="s">
        <v>96</v>
      </c>
      <c r="AU43" s="150"/>
      <c r="AV43" s="150"/>
      <c r="AW43" s="152"/>
      <c r="AX43" s="149" t="s">
        <v>30</v>
      </c>
      <c r="AY43" s="150"/>
      <c r="AZ43" s="150"/>
      <c r="BA43" s="152"/>
      <c r="BB43" s="28"/>
      <c r="BC43" s="491"/>
      <c r="BD43" s="28"/>
      <c r="BG43" s="35"/>
    </row>
    <row r="44" spans="1:59" ht="13.5" customHeight="1">
      <c r="A44" s="22"/>
      <c r="B44" s="202">
        <v>9</v>
      </c>
      <c r="C44" s="308">
        <v>2</v>
      </c>
      <c r="D44" s="148" t="s">
        <v>94</v>
      </c>
      <c r="E44" s="149"/>
      <c r="F44" s="149"/>
      <c r="G44" s="151"/>
      <c r="H44" s="242" t="s">
        <v>95</v>
      </c>
      <c r="I44" s="150"/>
      <c r="J44" s="150"/>
      <c r="K44" s="150"/>
      <c r="L44" s="161"/>
      <c r="M44" s="162"/>
      <c r="N44" s="242" t="s">
        <v>92</v>
      </c>
      <c r="O44" s="150"/>
      <c r="P44" s="150"/>
      <c r="Q44" s="99" t="s">
        <v>33</v>
      </c>
      <c r="R44" s="1002">
        <v>5000</v>
      </c>
      <c r="S44" s="1003"/>
      <c r="T44" s="1003"/>
      <c r="U44" s="1004"/>
      <c r="V44" s="990">
        <v>39</v>
      </c>
      <c r="W44" s="1012"/>
      <c r="X44" s="1012"/>
      <c r="Y44" s="1013"/>
      <c r="Z44" s="990">
        <v>40</v>
      </c>
      <c r="AA44" s="1012"/>
      <c r="AB44" s="1012"/>
      <c r="AC44" s="1013"/>
      <c r="AD44" s="990">
        <v>40</v>
      </c>
      <c r="AE44" s="1012"/>
      <c r="AF44" s="1012"/>
      <c r="AG44" s="1013"/>
      <c r="AH44" s="990">
        <v>36.89</v>
      </c>
      <c r="AI44" s="1012"/>
      <c r="AJ44" s="1012"/>
      <c r="AK44" s="1012"/>
      <c r="AL44" s="1013"/>
      <c r="AM44" s="990">
        <v>41</v>
      </c>
      <c r="AN44" s="1012"/>
      <c r="AO44" s="1012"/>
      <c r="AP44" s="1013"/>
      <c r="AQ44" s="1014">
        <v>12.3</v>
      </c>
      <c r="AR44" s="1015"/>
      <c r="AS44" s="1016"/>
      <c r="AT44" s="309" t="s">
        <v>97</v>
      </c>
      <c r="AU44" s="150"/>
      <c r="AV44" s="150"/>
      <c r="AW44" s="152"/>
      <c r="AX44" s="149" t="s">
        <v>30</v>
      </c>
      <c r="AY44" s="150"/>
      <c r="AZ44" s="150"/>
      <c r="BA44" s="152"/>
      <c r="BB44" s="28"/>
      <c r="BC44" s="491"/>
      <c r="BD44" s="28"/>
      <c r="BG44" s="35"/>
    </row>
    <row r="45" spans="1:59" ht="13.5" customHeight="1">
      <c r="A45" s="22"/>
      <c r="B45" s="202">
        <v>10</v>
      </c>
      <c r="C45" s="310"/>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1"/>
      <c r="BA45" s="35"/>
      <c r="BB45" s="35"/>
      <c r="BC45" s="153"/>
      <c r="BD45" s="28"/>
    </row>
    <row r="46" spans="1:59" ht="13.5" customHeight="1">
      <c r="A46" s="22"/>
      <c r="B46" s="202">
        <v>11</v>
      </c>
      <c r="C46" s="312"/>
      <c r="D46" s="65"/>
      <c r="E46" s="65"/>
      <c r="F46" s="65"/>
      <c r="G46" s="65"/>
      <c r="H46" s="65"/>
      <c r="I46" s="65"/>
      <c r="J46" s="65"/>
      <c r="K46" s="65"/>
      <c r="L46" s="65"/>
      <c r="M46" s="65"/>
      <c r="N46" s="65"/>
      <c r="O46" s="65"/>
      <c r="P46" s="65"/>
      <c r="Q46" s="65"/>
      <c r="R46" s="65"/>
      <c r="S46" s="65"/>
      <c r="T46" s="65"/>
      <c r="U46" s="65"/>
      <c r="V46" s="63"/>
      <c r="W46" s="63"/>
      <c r="X46" s="75"/>
      <c r="Y46" s="63"/>
      <c r="Z46" s="63"/>
      <c r="AA46" s="69"/>
      <c r="AB46" s="65"/>
      <c r="AC46" s="63"/>
      <c r="AD46" s="65"/>
      <c r="AE46" s="65"/>
      <c r="AF46" s="65"/>
      <c r="AG46" s="69"/>
      <c r="AH46" s="65"/>
      <c r="AI46" s="75"/>
      <c r="AJ46" s="63"/>
      <c r="AK46" s="63"/>
      <c r="AL46" s="63"/>
      <c r="AM46" s="63"/>
      <c r="AN46" s="125"/>
      <c r="AO46" s="62"/>
      <c r="AP46" s="62"/>
      <c r="AQ46" s="63"/>
      <c r="AR46" s="63"/>
      <c r="AS46" s="63"/>
      <c r="AT46" s="64"/>
      <c r="AU46" s="63"/>
      <c r="AV46" s="65"/>
      <c r="AW46" s="65"/>
      <c r="AX46" s="65"/>
      <c r="AY46" s="63"/>
      <c r="AZ46" s="31"/>
      <c r="BA46" s="35"/>
      <c r="BB46" s="35"/>
      <c r="BC46" s="153"/>
      <c r="BD46" s="28"/>
    </row>
    <row r="47" spans="1:59" ht="15.75" customHeight="1">
      <c r="A47" s="22"/>
      <c r="B47" s="202">
        <v>12</v>
      </c>
      <c r="C47" s="310"/>
      <c r="D47" s="65"/>
      <c r="E47" s="65"/>
      <c r="F47" s="65"/>
      <c r="G47" s="65"/>
      <c r="H47" s="65"/>
      <c r="I47" s="65"/>
      <c r="J47" s="65"/>
      <c r="K47" s="65"/>
      <c r="L47" s="65"/>
      <c r="M47" s="62"/>
      <c r="N47" s="65"/>
      <c r="O47" s="65"/>
      <c r="P47" s="63"/>
      <c r="Q47" s="64"/>
      <c r="R47" s="63"/>
      <c r="S47" s="63"/>
      <c r="T47" s="65"/>
      <c r="U47" s="63"/>
      <c r="V47" s="65"/>
      <c r="W47" s="63"/>
      <c r="X47" s="63"/>
      <c r="Y47" s="63"/>
      <c r="Z47" s="63"/>
      <c r="AA47" s="63"/>
      <c r="AB47" s="65"/>
      <c r="AC47" s="65"/>
      <c r="AD47" s="62"/>
      <c r="AE47" s="63"/>
      <c r="AF47" s="63"/>
      <c r="AG47" s="65"/>
      <c r="AH47" s="65"/>
      <c r="AI47" s="62"/>
      <c r="AJ47" s="63"/>
      <c r="AK47" s="65"/>
      <c r="AL47" s="63"/>
      <c r="AM47" s="63"/>
      <c r="AN47" s="126"/>
      <c r="AO47" s="65"/>
      <c r="AP47" s="65"/>
      <c r="AQ47" s="125"/>
      <c r="AR47" s="65"/>
      <c r="AS47" s="65"/>
      <c r="AT47" s="63"/>
      <c r="AU47" s="63"/>
      <c r="AV47" s="63"/>
      <c r="AW47" s="63"/>
      <c r="AX47" s="63"/>
      <c r="AY47" s="63"/>
      <c r="AZ47" s="31"/>
      <c r="BA47" s="35"/>
      <c r="BB47" s="35"/>
      <c r="BC47" s="311"/>
      <c r="BD47" s="28"/>
    </row>
    <row r="48" spans="1:59" ht="13.5" customHeight="1">
      <c r="A48" s="22"/>
      <c r="B48" s="202">
        <v>13</v>
      </c>
      <c r="C48" s="310"/>
      <c r="D48" s="65"/>
      <c r="E48" s="65"/>
      <c r="F48" s="65"/>
      <c r="G48" s="65"/>
      <c r="H48" s="84"/>
      <c r="I48" s="65"/>
      <c r="J48" s="65"/>
      <c r="K48" s="65"/>
      <c r="L48" s="65"/>
      <c r="M48" s="126"/>
      <c r="N48" s="65"/>
      <c r="O48" s="65"/>
      <c r="P48" s="65"/>
      <c r="Q48" s="198"/>
      <c r="R48" s="65"/>
      <c r="S48" s="63"/>
      <c r="T48" s="63"/>
      <c r="U48" s="63"/>
      <c r="V48" s="65"/>
      <c r="W48" s="84"/>
      <c r="X48" s="65"/>
      <c r="Y48" s="65"/>
      <c r="Z48" s="65"/>
      <c r="AA48" s="65"/>
      <c r="AB48" s="65"/>
      <c r="AC48" s="65"/>
      <c r="AD48" s="65"/>
      <c r="AE48" s="65"/>
      <c r="AF48" s="65"/>
      <c r="AG48" s="65"/>
      <c r="AH48" s="126"/>
      <c r="AI48" s="65"/>
      <c r="AJ48" s="125"/>
      <c r="AK48" s="65"/>
      <c r="AL48" s="65"/>
      <c r="AM48" s="65"/>
      <c r="AN48" s="65"/>
      <c r="AO48" s="65"/>
      <c r="AP48" s="65"/>
      <c r="AQ48" s="125"/>
      <c r="AR48" s="65"/>
      <c r="AS48" s="125"/>
      <c r="AT48" s="64"/>
      <c r="AU48" s="63"/>
      <c r="AV48" s="65"/>
      <c r="AW48" s="65"/>
      <c r="AX48" s="65"/>
      <c r="AY48" s="63"/>
      <c r="AZ48" s="31"/>
      <c r="BA48" s="35"/>
      <c r="BB48" s="35"/>
      <c r="BC48" s="311"/>
      <c r="BD48" s="28"/>
    </row>
    <row r="49" spans="1:67" ht="13.5" customHeight="1">
      <c r="A49" s="22"/>
      <c r="B49" s="202">
        <v>14</v>
      </c>
      <c r="C49" s="312"/>
      <c r="D49" s="65"/>
      <c r="E49" s="65"/>
      <c r="F49" s="65"/>
      <c r="G49" s="65"/>
      <c r="H49" s="65"/>
      <c r="I49" s="65"/>
      <c r="J49" s="65"/>
      <c r="K49" s="198"/>
      <c r="L49" s="65"/>
      <c r="M49" s="65"/>
      <c r="N49" s="65"/>
      <c r="O49" s="65"/>
      <c r="P49" s="65"/>
      <c r="Q49" s="198"/>
      <c r="R49" s="65"/>
      <c r="S49" s="65"/>
      <c r="T49" s="65"/>
      <c r="U49" s="198"/>
      <c r="V49" s="65"/>
      <c r="W49" s="65"/>
      <c r="X49" s="65"/>
      <c r="Y49" s="65"/>
      <c r="Z49" s="65"/>
      <c r="AA49" s="65"/>
      <c r="AB49" s="65"/>
      <c r="AC49" s="65"/>
      <c r="AD49" s="65"/>
      <c r="AE49" s="65"/>
      <c r="AF49" s="65"/>
      <c r="AG49" s="65"/>
      <c r="AH49" s="65"/>
      <c r="AI49" s="65"/>
      <c r="AJ49" s="125"/>
      <c r="AK49" s="112"/>
      <c r="AL49" s="62"/>
      <c r="AM49" s="63"/>
      <c r="AN49" s="63"/>
      <c r="AO49" s="63"/>
      <c r="AP49" s="63"/>
      <c r="AQ49" s="64"/>
      <c r="AR49" s="63"/>
      <c r="AS49" s="65"/>
      <c r="AT49" s="65"/>
      <c r="AU49" s="65"/>
      <c r="AV49" s="65"/>
      <c r="AW49" s="65"/>
      <c r="AX49" s="65"/>
      <c r="AY49" s="63"/>
      <c r="AZ49" s="31"/>
      <c r="BA49" s="35"/>
      <c r="BB49" s="35"/>
      <c r="BC49" s="311"/>
      <c r="BD49" s="28"/>
    </row>
    <row r="50" spans="1:67" ht="13.5" customHeight="1">
      <c r="A50" s="22"/>
      <c r="B50" s="202">
        <v>15</v>
      </c>
      <c r="C50" s="475" t="s">
        <v>244</v>
      </c>
      <c r="D50" s="223"/>
      <c r="E50" s="224"/>
      <c r="F50" s="223"/>
      <c r="G50" s="224"/>
      <c r="H50" s="225"/>
      <c r="I50" s="226"/>
      <c r="J50" s="227"/>
      <c r="K50" s="227"/>
      <c r="L50" s="227"/>
      <c r="M50" s="228"/>
      <c r="N50" s="227"/>
      <c r="O50" s="227"/>
      <c r="P50" s="227"/>
      <c r="Q50" s="229"/>
      <c r="R50" s="227"/>
      <c r="S50" s="227"/>
      <c r="T50" s="227"/>
      <c r="U50" s="227"/>
      <c r="V50" s="227"/>
      <c r="W50" s="229"/>
      <c r="X50" s="227"/>
      <c r="Y50" s="227"/>
      <c r="Z50" s="227"/>
      <c r="AA50" s="229"/>
      <c r="AB50" s="227"/>
      <c r="AC50" s="227"/>
      <c r="AD50" s="227"/>
      <c r="AE50" s="227"/>
      <c r="AF50" s="227"/>
      <c r="AG50" s="232"/>
      <c r="AH50" s="227"/>
      <c r="AI50" s="227"/>
      <c r="AJ50" s="227"/>
      <c r="AK50" s="227"/>
      <c r="AL50" s="227"/>
      <c r="AM50" s="227"/>
      <c r="AN50" s="227"/>
      <c r="AO50" s="227"/>
      <c r="AP50" s="227"/>
      <c r="AQ50" s="230"/>
      <c r="AR50" s="227"/>
      <c r="AS50" s="230"/>
      <c r="AT50" s="227"/>
      <c r="AU50" s="227"/>
      <c r="AV50" s="227"/>
      <c r="AW50" s="227"/>
      <c r="AX50" s="227"/>
      <c r="AY50" s="224"/>
      <c r="AZ50" s="224"/>
      <c r="BA50" s="231"/>
      <c r="BB50" s="231"/>
      <c r="BC50" s="314"/>
      <c r="BD50" s="28"/>
    </row>
    <row r="51" spans="1:67" ht="13.5" customHeight="1">
      <c r="A51" s="22"/>
      <c r="B51" s="202">
        <v>16</v>
      </c>
      <c r="C51" s="310"/>
      <c r="D51" s="65"/>
      <c r="E51" s="65"/>
      <c r="F51" s="65"/>
      <c r="G51" s="65"/>
      <c r="H51" s="65"/>
      <c r="I51" s="65"/>
      <c r="J51" s="65"/>
      <c r="K51" s="65"/>
      <c r="L51" s="65"/>
      <c r="M51" s="62"/>
      <c r="N51" s="65"/>
      <c r="O51" s="65"/>
      <c r="P51" s="63"/>
      <c r="Q51" s="64"/>
      <c r="R51" s="63"/>
      <c r="S51" s="111"/>
      <c r="T51" s="112"/>
      <c r="U51" s="111"/>
      <c r="V51" s="112"/>
      <c r="W51" s="111"/>
      <c r="X51" s="111"/>
      <c r="Y51" s="111"/>
      <c r="Z51" s="111"/>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3"/>
      <c r="AZ51" s="53"/>
      <c r="BA51" s="323"/>
      <c r="BB51" s="324"/>
      <c r="BC51" s="325"/>
      <c r="BD51" s="28"/>
    </row>
    <row r="52" spans="1:67" ht="13.5" customHeight="1">
      <c r="A52" s="22"/>
      <c r="B52" s="202">
        <v>17</v>
      </c>
      <c r="C52" s="310"/>
      <c r="D52" s="65"/>
      <c r="E52" s="65"/>
      <c r="F52" s="65"/>
      <c r="G52" s="65"/>
      <c r="H52" s="126"/>
      <c r="I52" s="65"/>
      <c r="J52" s="65"/>
      <c r="K52" s="65"/>
      <c r="L52" s="198"/>
      <c r="M52" s="65"/>
      <c r="N52" s="65"/>
      <c r="O52" s="65"/>
      <c r="P52" s="198"/>
      <c r="Q52" s="65"/>
      <c r="R52" s="65"/>
      <c r="S52" s="65"/>
      <c r="T52" s="198"/>
      <c r="U52" s="65"/>
      <c r="V52" s="65"/>
      <c r="W52" s="65"/>
      <c r="X52" s="65"/>
      <c r="Y52" s="65"/>
      <c r="Z52" s="65"/>
      <c r="AA52" s="65"/>
      <c r="AB52" s="65"/>
      <c r="AC52" s="65"/>
      <c r="AD52" s="65"/>
      <c r="AE52" s="65"/>
      <c r="AF52" s="65"/>
      <c r="AG52" s="65"/>
      <c r="AH52" s="65"/>
      <c r="AI52" s="65"/>
      <c r="AJ52" s="65"/>
      <c r="AK52" s="125"/>
      <c r="AL52" s="65"/>
      <c r="AM52" s="65"/>
      <c r="AN52" s="65"/>
      <c r="AO52" s="65"/>
      <c r="AP52" s="65"/>
      <c r="AQ52" s="65"/>
      <c r="AR52" s="65"/>
      <c r="AS52" s="65"/>
      <c r="AT52" s="65"/>
      <c r="AU52" s="65"/>
      <c r="AV52" s="65"/>
      <c r="AW52" s="65"/>
      <c r="AX52" s="65"/>
      <c r="AY52" s="63"/>
      <c r="AZ52" s="31"/>
      <c r="BA52" s="30"/>
      <c r="BB52" s="175"/>
      <c r="BC52" s="326"/>
      <c r="BD52" s="28"/>
    </row>
    <row r="53" spans="1:67" ht="5.15" customHeight="1">
      <c r="A53" s="22"/>
      <c r="B53" s="202"/>
      <c r="C53" s="315"/>
      <c r="D53" s="73"/>
      <c r="E53" s="73"/>
      <c r="F53" s="73"/>
      <c r="G53" s="73"/>
      <c r="H53" s="316"/>
      <c r="I53" s="275"/>
      <c r="J53" s="273"/>
      <c r="K53" s="275"/>
      <c r="L53" s="273"/>
      <c r="M53" s="317"/>
      <c r="N53" s="317"/>
      <c r="O53" s="270"/>
      <c r="P53" s="317"/>
      <c r="Q53" s="270"/>
      <c r="R53" s="317"/>
      <c r="S53" s="73"/>
      <c r="T53" s="73"/>
      <c r="U53" s="73"/>
      <c r="V53" s="73"/>
      <c r="W53" s="73"/>
      <c r="X53" s="316"/>
      <c r="Y53" s="275"/>
      <c r="Z53" s="273"/>
      <c r="AA53" s="275"/>
      <c r="AB53" s="273"/>
      <c r="AC53" s="317"/>
      <c r="AD53" s="317"/>
      <c r="AE53" s="270"/>
      <c r="AF53" s="317"/>
      <c r="AG53" s="270"/>
      <c r="AH53" s="317"/>
      <c r="AI53" s="276"/>
      <c r="AJ53" s="317"/>
      <c r="AK53" s="270"/>
      <c r="AL53" s="73"/>
      <c r="AM53" s="73"/>
      <c r="AN53" s="73"/>
      <c r="AO53" s="73"/>
      <c r="AP53" s="73"/>
      <c r="AQ53" s="73"/>
      <c r="AR53" s="73"/>
      <c r="AS53" s="73"/>
      <c r="AT53" s="73"/>
      <c r="AU53" s="73"/>
      <c r="AV53" s="318"/>
      <c r="AW53" s="73"/>
      <c r="AX53" s="73"/>
      <c r="AY53" s="269"/>
      <c r="AZ53" s="269"/>
      <c r="BA53" s="319"/>
      <c r="BB53" s="320"/>
      <c r="BC53" s="321"/>
      <c r="BD53" s="28"/>
    </row>
    <row r="54" spans="1:67" ht="13.5" customHeight="1">
      <c r="A54" s="22"/>
      <c r="B54" s="202">
        <v>18</v>
      </c>
      <c r="C54" s="75"/>
      <c r="D54" s="63"/>
      <c r="E54" s="63"/>
      <c r="F54" s="63"/>
      <c r="G54" s="63"/>
      <c r="H54" s="69"/>
      <c r="I54" s="69"/>
      <c r="J54" s="65"/>
      <c r="K54" s="69"/>
      <c r="L54" s="65"/>
      <c r="M54" s="69"/>
      <c r="N54" s="64"/>
      <c r="O54" s="69"/>
      <c r="P54" s="65"/>
      <c r="Q54" s="65"/>
      <c r="R54" s="65"/>
      <c r="S54" s="63"/>
      <c r="T54" s="63"/>
      <c r="U54" s="63"/>
      <c r="V54" s="63"/>
      <c r="W54" s="63"/>
      <c r="X54" s="64"/>
      <c r="Y54" s="63"/>
      <c r="Z54" s="65"/>
      <c r="AA54" s="64"/>
      <c r="AB54" s="63"/>
      <c r="AC54" s="65"/>
      <c r="AD54" s="64"/>
      <c r="AE54" s="65"/>
      <c r="AF54" s="65"/>
      <c r="AG54" s="64"/>
      <c r="AH54" s="65"/>
      <c r="AI54" s="65"/>
      <c r="AJ54" s="126"/>
      <c r="AK54" s="65"/>
      <c r="AL54" s="65"/>
      <c r="AM54" s="65"/>
      <c r="AN54" s="65"/>
      <c r="AO54" s="65"/>
      <c r="AP54" s="65"/>
      <c r="AQ54" s="65"/>
      <c r="AR54" s="65"/>
      <c r="AS54" s="65"/>
      <c r="AT54" s="65"/>
      <c r="AU54" s="65"/>
      <c r="AV54" s="65"/>
      <c r="AW54" s="65"/>
      <c r="AX54" s="65"/>
      <c r="AY54" s="63"/>
      <c r="AZ54" s="264"/>
      <c r="BA54" s="301"/>
      <c r="BB54" s="302"/>
      <c r="BC54" s="343"/>
      <c r="BD54" s="28"/>
    </row>
    <row r="55" spans="1:67" ht="13.5" customHeight="1">
      <c r="A55" s="22"/>
      <c r="B55" s="202">
        <v>20</v>
      </c>
      <c r="C55" s="204" t="s">
        <v>78</v>
      </c>
      <c r="D55" s="28"/>
      <c r="E55" s="28"/>
      <c r="F55" s="28"/>
      <c r="G55" s="28"/>
      <c r="H55" s="121"/>
      <c r="I55" s="62"/>
      <c r="J55" s="63"/>
      <c r="K55" s="62"/>
      <c r="L55" s="63"/>
      <c r="M55" s="69"/>
      <c r="N55" s="69"/>
      <c r="O55" s="65"/>
      <c r="P55" s="69"/>
      <c r="Q55" s="65"/>
      <c r="R55" s="69"/>
      <c r="S55" s="28"/>
      <c r="T55" s="28"/>
      <c r="U55" s="28"/>
      <c r="V55" s="28"/>
      <c r="W55" s="28"/>
      <c r="X55" s="121"/>
      <c r="Y55" s="62"/>
      <c r="Z55" s="63"/>
      <c r="AA55" s="62"/>
      <c r="AB55" s="63"/>
      <c r="AC55" s="69"/>
      <c r="AD55" s="69"/>
      <c r="AE55" s="65"/>
      <c r="AF55" s="69"/>
      <c r="AG55" s="65"/>
      <c r="AH55" s="69"/>
      <c r="AI55" s="64"/>
      <c r="AJ55" s="69"/>
      <c r="AK55" s="65"/>
      <c r="AL55" s="28"/>
      <c r="AM55" s="28"/>
      <c r="AN55" s="28"/>
      <c r="AO55" s="28"/>
      <c r="AP55" s="28"/>
      <c r="AQ55" s="28"/>
      <c r="AR55" s="28"/>
      <c r="AS55" s="28"/>
      <c r="AT55" s="28"/>
      <c r="AU55" s="28"/>
      <c r="AV55" s="233" t="s">
        <v>72</v>
      </c>
      <c r="AW55" s="28"/>
      <c r="AX55" s="28"/>
      <c r="AY55" s="31"/>
      <c r="AZ55" s="269"/>
      <c r="BA55" s="319"/>
      <c r="BB55" s="320"/>
      <c r="BC55" s="344"/>
      <c r="BD55" s="28"/>
    </row>
    <row r="56" spans="1:67" ht="5.15" customHeight="1">
      <c r="A56" s="22"/>
      <c r="B56" s="202"/>
      <c r="C56" s="296"/>
      <c r="D56" s="72"/>
      <c r="E56" s="72"/>
      <c r="F56" s="72"/>
      <c r="G56" s="72"/>
      <c r="H56" s="297"/>
      <c r="I56" s="278"/>
      <c r="J56" s="279"/>
      <c r="K56" s="278"/>
      <c r="L56" s="279"/>
      <c r="M56" s="298"/>
      <c r="N56" s="298"/>
      <c r="O56" s="263"/>
      <c r="P56" s="298"/>
      <c r="Q56" s="263"/>
      <c r="R56" s="298"/>
      <c r="S56" s="72"/>
      <c r="T56" s="72"/>
      <c r="U56" s="72"/>
      <c r="V56" s="72"/>
      <c r="W56" s="72"/>
      <c r="X56" s="297"/>
      <c r="Y56" s="278"/>
      <c r="Z56" s="279"/>
      <c r="AA56" s="278"/>
      <c r="AB56" s="279"/>
      <c r="AC56" s="298"/>
      <c r="AD56" s="298"/>
      <c r="AE56" s="263"/>
      <c r="AF56" s="298"/>
      <c r="AG56" s="263"/>
      <c r="AH56" s="298"/>
      <c r="AI56" s="280"/>
      <c r="AJ56" s="298"/>
      <c r="AK56" s="263"/>
      <c r="AL56" s="72"/>
      <c r="AM56" s="72"/>
      <c r="AN56" s="72"/>
      <c r="AO56" s="72"/>
      <c r="AP56" s="72"/>
      <c r="AQ56" s="72"/>
      <c r="AR56" s="72"/>
      <c r="AS56" s="72"/>
      <c r="AT56" s="72"/>
      <c r="AU56" s="72"/>
      <c r="AV56" s="300"/>
      <c r="AW56" s="72"/>
      <c r="AX56" s="72"/>
      <c r="AY56" s="264"/>
      <c r="AZ56" s="264"/>
      <c r="BA56" s="301"/>
      <c r="BB56" s="302"/>
      <c r="BC56" s="303"/>
      <c r="BD56" s="28"/>
    </row>
    <row r="57" spans="1:67" ht="13.5" customHeight="1">
      <c r="A57" s="22"/>
      <c r="B57" s="202">
        <v>21</v>
      </c>
      <c r="C57" s="304" t="s">
        <v>32</v>
      </c>
      <c r="D57" s="234" t="s">
        <v>260</v>
      </c>
      <c r="E57" s="235"/>
      <c r="F57" s="234" t="s">
        <v>64</v>
      </c>
      <c r="G57" s="235"/>
      <c r="H57" s="235"/>
      <c r="I57" s="236"/>
      <c r="J57" s="237" t="s">
        <v>34</v>
      </c>
      <c r="K57" s="238"/>
      <c r="L57" s="238"/>
      <c r="M57" s="238"/>
      <c r="N57" s="235"/>
      <c r="O57" s="236"/>
      <c r="P57" s="239" t="s">
        <v>67</v>
      </c>
      <c r="Q57" s="240"/>
      <c r="R57" s="240"/>
      <c r="S57" s="241"/>
      <c r="T57" s="234" t="s">
        <v>79</v>
      </c>
      <c r="U57" s="235"/>
      <c r="V57" s="235"/>
      <c r="W57" s="236"/>
      <c r="X57" s="234" t="s">
        <v>80</v>
      </c>
      <c r="Y57" s="235"/>
      <c r="Z57" s="235"/>
      <c r="AA57" s="235"/>
      <c r="AB57" s="239" t="s">
        <v>65</v>
      </c>
      <c r="AC57" s="240"/>
      <c r="AD57" s="240"/>
      <c r="AE57" s="240"/>
      <c r="AF57" s="241"/>
      <c r="AG57" s="240" t="s">
        <v>68</v>
      </c>
      <c r="AH57" s="240"/>
      <c r="AI57" s="240"/>
      <c r="AJ57" s="241"/>
      <c r="AK57" s="240" t="s">
        <v>66</v>
      </c>
      <c r="AL57" s="240"/>
      <c r="AM57" s="240"/>
      <c r="AN57" s="241"/>
      <c r="AO57" s="239" t="s">
        <v>81</v>
      </c>
      <c r="AP57" s="240"/>
      <c r="AQ57" s="240"/>
      <c r="AR57" s="241"/>
      <c r="AS57" s="239" t="s">
        <v>82</v>
      </c>
      <c r="AT57" s="240"/>
      <c r="AU57" s="240"/>
      <c r="AV57" s="240"/>
      <c r="AW57" s="239" t="s">
        <v>83</v>
      </c>
      <c r="AX57" s="240"/>
      <c r="AY57" s="240"/>
      <c r="AZ57" s="241"/>
      <c r="BA57" s="239" t="s">
        <v>84</v>
      </c>
      <c r="BB57" s="240"/>
      <c r="BC57" s="240"/>
      <c r="BD57" s="241"/>
      <c r="BE57" s="240" t="s">
        <v>85</v>
      </c>
      <c r="BF57" s="240"/>
      <c r="BG57" s="241"/>
      <c r="BH57" s="240" t="s">
        <v>86</v>
      </c>
      <c r="BI57" s="240"/>
      <c r="BJ57" s="240"/>
      <c r="BK57" s="241"/>
      <c r="BL57" s="240" t="s">
        <v>69</v>
      </c>
      <c r="BM57" s="240"/>
      <c r="BN57" s="240"/>
      <c r="BO57" s="241"/>
    </row>
    <row r="58" spans="1:67" ht="13.5" customHeight="1">
      <c r="A58" s="22"/>
      <c r="B58" s="202">
        <v>22</v>
      </c>
      <c r="C58" s="308">
        <v>1</v>
      </c>
      <c r="D58" s="148" t="str">
        <f>N43</f>
        <v>R</v>
      </c>
      <c r="E58" s="149"/>
      <c r="F58" s="148" t="str">
        <f>D43</f>
        <v>1130511471</v>
      </c>
      <c r="G58" s="149"/>
      <c r="H58" s="149"/>
      <c r="I58" s="151"/>
      <c r="J58" s="242" t="str">
        <f>H43</f>
        <v>RP17-13RA-12SD(71)</v>
      </c>
      <c r="K58" s="150"/>
      <c r="L58" s="150"/>
      <c r="M58" s="150"/>
      <c r="N58" s="161"/>
      <c r="O58" s="162"/>
      <c r="P58" s="148" t="s">
        <v>93</v>
      </c>
      <c r="Q58" s="150"/>
      <c r="R58" s="150"/>
      <c r="S58" s="162"/>
      <c r="T58" s="1002">
        <f>R43</f>
        <v>5000</v>
      </c>
      <c r="U58" s="1003"/>
      <c r="V58" s="1003"/>
      <c r="W58" s="1004"/>
      <c r="X58" s="999">
        <f>AH43</f>
        <v>94.52</v>
      </c>
      <c r="Y58" s="1000"/>
      <c r="Z58" s="1000"/>
      <c r="AA58" s="1001"/>
      <c r="AB58" s="999">
        <f>V43</f>
        <v>122.5</v>
      </c>
      <c r="AC58" s="1000"/>
      <c r="AD58" s="1000"/>
      <c r="AE58" s="1000"/>
      <c r="AF58" s="1001"/>
      <c r="AG58" s="999">
        <f>Z43</f>
        <v>125</v>
      </c>
      <c r="AH58" s="1000"/>
      <c r="AI58" s="1000"/>
      <c r="AJ58" s="1001"/>
      <c r="AK58" s="999">
        <f>AD43</f>
        <v>124</v>
      </c>
      <c r="AL58" s="1000"/>
      <c r="AM58" s="1000"/>
      <c r="AN58" s="1001"/>
      <c r="AO58" s="996">
        <f>1-X58/AK58</f>
        <v>0.23774193548387101</v>
      </c>
      <c r="AP58" s="997"/>
      <c r="AQ58" s="997"/>
      <c r="AR58" s="998"/>
      <c r="AS58" s="1023">
        <f>(AK58-AG58)/AG58</f>
        <v>-8.0000000000000002E-3</v>
      </c>
      <c r="AT58" s="1024"/>
      <c r="AU58" s="1024"/>
      <c r="AV58" s="1025"/>
      <c r="AW58" s="148"/>
      <c r="AX58" s="150"/>
      <c r="AY58" s="150"/>
      <c r="AZ58" s="162"/>
      <c r="BA58" s="1026">
        <f>1-(AD43/AM43)</f>
        <v>8.0000000000000071E-3</v>
      </c>
      <c r="BB58" s="1027"/>
      <c r="BC58" s="1027"/>
      <c r="BD58" s="1028"/>
      <c r="BE58" s="1014">
        <f>AQ43</f>
        <v>10.3</v>
      </c>
      <c r="BF58" s="1015"/>
      <c r="BG58" s="1016"/>
      <c r="BH58" s="149" t="str">
        <f>AT43</f>
        <v>SMK</v>
      </c>
      <c r="BI58" s="150"/>
      <c r="BJ58" s="150"/>
      <c r="BK58" s="152"/>
      <c r="BL58" s="149" t="s">
        <v>30</v>
      </c>
      <c r="BM58" s="150"/>
      <c r="BN58" s="150"/>
      <c r="BO58" s="152"/>
    </row>
    <row r="59" spans="1:67" ht="13.5" customHeight="1">
      <c r="A59" s="22"/>
      <c r="B59" s="202">
        <v>23</v>
      </c>
      <c r="C59" s="308">
        <v>2</v>
      </c>
      <c r="D59" s="148" t="str">
        <f>N44</f>
        <v>R</v>
      </c>
      <c r="E59" s="149"/>
      <c r="F59" s="148" t="str">
        <f>D44</f>
        <v>1135042200</v>
      </c>
      <c r="G59" s="149"/>
      <c r="H59" s="149"/>
      <c r="I59" s="151"/>
      <c r="J59" s="242" t="str">
        <f>H44</f>
        <v>RP34-8R-3PDL</v>
      </c>
      <c r="K59" s="150"/>
      <c r="L59" s="150"/>
      <c r="M59" s="150"/>
      <c r="N59" s="161"/>
      <c r="O59" s="162"/>
      <c r="P59" s="148" t="s">
        <v>93</v>
      </c>
      <c r="Q59" s="150"/>
      <c r="R59" s="150"/>
      <c r="S59" s="162"/>
      <c r="T59" s="1002">
        <f>R44</f>
        <v>5000</v>
      </c>
      <c r="U59" s="1003"/>
      <c r="V59" s="1003"/>
      <c r="W59" s="1004"/>
      <c r="X59" s="999">
        <f>AH44</f>
        <v>36.89</v>
      </c>
      <c r="Y59" s="1000"/>
      <c r="Z59" s="1000"/>
      <c r="AA59" s="1001"/>
      <c r="AB59" s="999">
        <f>V44</f>
        <v>39</v>
      </c>
      <c r="AC59" s="1000"/>
      <c r="AD59" s="1000"/>
      <c r="AE59" s="1000"/>
      <c r="AF59" s="1001"/>
      <c r="AG59" s="999">
        <f>Z44</f>
        <v>40</v>
      </c>
      <c r="AH59" s="1000"/>
      <c r="AI59" s="1000"/>
      <c r="AJ59" s="1001"/>
      <c r="AK59" s="999">
        <f>AD44</f>
        <v>40</v>
      </c>
      <c r="AL59" s="1000"/>
      <c r="AM59" s="1000"/>
      <c r="AN59" s="1001"/>
      <c r="AO59" s="996">
        <f>1-X59/AK59</f>
        <v>7.7749999999999986E-2</v>
      </c>
      <c r="AP59" s="997"/>
      <c r="AQ59" s="997"/>
      <c r="AR59" s="998"/>
      <c r="AS59" s="1023">
        <f>(AK59-AG59)/AG59</f>
        <v>0</v>
      </c>
      <c r="AT59" s="1024"/>
      <c r="AU59" s="1024"/>
      <c r="AV59" s="1025"/>
      <c r="AW59" s="148"/>
      <c r="AX59" s="150"/>
      <c r="AY59" s="150"/>
      <c r="AZ59" s="162"/>
      <c r="BA59" s="1026">
        <f>1-(AD44/AM44)</f>
        <v>2.4390243902439046E-2</v>
      </c>
      <c r="BB59" s="1027"/>
      <c r="BC59" s="1027"/>
      <c r="BD59" s="1028"/>
      <c r="BE59" s="1014">
        <f>AQ44</f>
        <v>12.3</v>
      </c>
      <c r="BF59" s="1015"/>
      <c r="BG59" s="1016"/>
      <c r="BH59" s="149" t="str">
        <f>AT44</f>
        <v>中国</v>
      </c>
      <c r="BI59" s="150"/>
      <c r="BJ59" s="150"/>
      <c r="BK59" s="152"/>
      <c r="BL59" s="149" t="s">
        <v>30</v>
      </c>
      <c r="BM59" s="150"/>
      <c r="BN59" s="150"/>
      <c r="BO59" s="152"/>
    </row>
    <row r="60" spans="1:67" ht="13.5" customHeight="1">
      <c r="A60" s="22"/>
      <c r="B60" s="202">
        <v>20</v>
      </c>
      <c r="C60" s="337" t="s">
        <v>281</v>
      </c>
      <c r="D60" s="28"/>
      <c r="E60" s="28"/>
      <c r="F60" s="28"/>
      <c r="G60" s="28"/>
      <c r="H60" s="121"/>
      <c r="I60" s="62"/>
      <c r="J60" s="63"/>
      <c r="K60" s="62"/>
      <c r="L60" s="63"/>
      <c r="M60" s="69"/>
      <c r="N60" s="69"/>
      <c r="O60" s="65"/>
      <c r="P60" s="69"/>
      <c r="Q60" s="65"/>
      <c r="R60" s="69"/>
      <c r="S60" s="28"/>
      <c r="T60" s="28"/>
      <c r="U60" s="28"/>
      <c r="V60" s="28"/>
      <c r="W60" s="28"/>
      <c r="X60" s="121"/>
      <c r="Y60" s="62"/>
      <c r="Z60" s="63"/>
      <c r="AA60" s="62"/>
      <c r="AB60" s="63"/>
      <c r="AC60" s="69"/>
      <c r="AD60" s="69"/>
      <c r="AE60" s="65"/>
      <c r="AF60" s="69"/>
      <c r="AG60" s="65"/>
      <c r="AH60" s="69"/>
      <c r="AI60" s="64"/>
      <c r="AJ60" s="69"/>
      <c r="AK60" s="65"/>
      <c r="AL60" s="28"/>
      <c r="AM60" s="28"/>
      <c r="AN60" s="28"/>
      <c r="AO60" s="28"/>
      <c r="AP60" s="28"/>
      <c r="AQ60" s="28"/>
      <c r="AR60" s="28"/>
      <c r="AS60" s="28"/>
      <c r="AT60" s="28"/>
      <c r="AU60" s="28"/>
      <c r="AV60" s="233"/>
      <c r="AW60" s="28"/>
      <c r="AX60" s="28"/>
      <c r="AY60" s="31"/>
      <c r="AZ60" s="95"/>
      <c r="BA60" s="92"/>
      <c r="BB60" s="329"/>
      <c r="BC60" s="338"/>
      <c r="BD60" s="37"/>
      <c r="BE60" s="37"/>
    </row>
    <row r="61" spans="1:67" ht="13.5" customHeight="1">
      <c r="A61" s="22"/>
      <c r="B61" s="202">
        <v>24</v>
      </c>
      <c r="C61" s="304"/>
      <c r="D61" s="502" t="s">
        <v>280</v>
      </c>
      <c r="E61" s="503"/>
      <c r="F61" s="504" t="s">
        <v>30</v>
      </c>
      <c r="G61" s="503"/>
      <c r="H61" s="503"/>
      <c r="I61" s="505"/>
      <c r="J61" s="504" t="s">
        <v>30</v>
      </c>
      <c r="K61" s="506"/>
      <c r="L61" s="506"/>
      <c r="M61" s="506"/>
      <c r="N61" s="503"/>
      <c r="O61" s="505"/>
      <c r="P61" s="507"/>
      <c r="Q61" s="508"/>
      <c r="R61" s="508"/>
      <c r="S61" s="509"/>
      <c r="T61" s="502"/>
      <c r="U61" s="503"/>
      <c r="V61" s="503"/>
      <c r="W61" s="505"/>
      <c r="X61" s="508"/>
      <c r="Y61" s="503"/>
      <c r="Z61" s="503"/>
      <c r="AA61" s="503"/>
      <c r="AB61" s="507" t="s">
        <v>98</v>
      </c>
      <c r="AC61" s="508"/>
      <c r="AD61" s="508"/>
      <c r="AE61" s="508"/>
      <c r="AF61" s="509"/>
      <c r="AG61" s="508" t="s">
        <v>259</v>
      </c>
      <c r="AH61" s="503"/>
      <c r="AI61" s="503"/>
      <c r="AJ61" s="503"/>
      <c r="AK61" s="510" t="s">
        <v>99</v>
      </c>
      <c r="AL61" s="508"/>
      <c r="AM61" s="508"/>
      <c r="AN61" s="509"/>
      <c r="AO61" s="507" t="s">
        <v>81</v>
      </c>
      <c r="AP61" s="508"/>
      <c r="AQ61" s="508"/>
      <c r="AR61" s="509"/>
      <c r="AS61" s="507" t="s">
        <v>82</v>
      </c>
      <c r="AT61" s="508"/>
      <c r="AU61" s="508"/>
      <c r="AV61" s="508"/>
      <c r="AW61" s="507" t="s">
        <v>100</v>
      </c>
      <c r="AX61" s="508"/>
      <c r="AY61" s="508"/>
      <c r="AZ61" s="509"/>
      <c r="BA61" s="507" t="s">
        <v>101</v>
      </c>
      <c r="BB61" s="508"/>
      <c r="BC61" s="508"/>
      <c r="BD61" s="509"/>
      <c r="BE61" s="511" t="s">
        <v>30</v>
      </c>
      <c r="BF61" s="508"/>
      <c r="BG61" s="508"/>
      <c r="BH61" s="509"/>
      <c r="BI61" s="508"/>
      <c r="BJ61" s="508"/>
      <c r="BK61" s="509"/>
      <c r="BL61" s="508"/>
      <c r="BM61" s="508"/>
      <c r="BN61" s="508"/>
      <c r="BO61" s="509"/>
    </row>
    <row r="62" spans="1:67" ht="13.5" customHeight="1">
      <c r="A62" s="22"/>
      <c r="B62" s="202">
        <v>25</v>
      </c>
      <c r="C62" s="308">
        <v>1</v>
      </c>
      <c r="D62" s="148" t="s">
        <v>92</v>
      </c>
      <c r="E62" s="149"/>
      <c r="F62" s="148" t="s">
        <v>30</v>
      </c>
      <c r="G62" s="149"/>
      <c r="H62" s="149"/>
      <c r="I62" s="151"/>
      <c r="J62" s="221" t="s">
        <v>30</v>
      </c>
      <c r="K62" s="222"/>
      <c r="L62" s="222"/>
      <c r="M62" s="222"/>
      <c r="N62" s="161"/>
      <c r="O62" s="162"/>
      <c r="P62" s="148"/>
      <c r="Q62" s="150"/>
      <c r="R62" s="150"/>
      <c r="S62" s="162"/>
      <c r="T62" s="119"/>
      <c r="U62" s="120"/>
      <c r="V62" s="120"/>
      <c r="W62" s="162"/>
      <c r="X62" s="990"/>
      <c r="Y62" s="991"/>
      <c r="Z62" s="991"/>
      <c r="AA62" s="992"/>
      <c r="AB62" s="993">
        <f>SUMPRODUCT($T$58:$W$59,$AK$58:$AN$59)</f>
        <v>820000</v>
      </c>
      <c r="AC62" s="994"/>
      <c r="AD62" s="994"/>
      <c r="AE62" s="994"/>
      <c r="AF62" s="995"/>
      <c r="AG62" s="999">
        <f>SUM($X$58:$AA$59)</f>
        <v>131.41</v>
      </c>
      <c r="AH62" s="1000"/>
      <c r="AI62" s="1000"/>
      <c r="AJ62" s="1001"/>
      <c r="AK62" s="1017">
        <f>AB62-SUMPRODUCT($T$58:$W$59,$X$58:$AA$59)</f>
        <v>162950</v>
      </c>
      <c r="AL62" s="1018"/>
      <c r="AM62" s="1018"/>
      <c r="AN62" s="1019"/>
      <c r="AO62" s="996">
        <f>$AK62/$AB62</f>
        <v>0.19871951219512196</v>
      </c>
      <c r="AP62" s="997"/>
      <c r="AQ62" s="997"/>
      <c r="AR62" s="998"/>
      <c r="AS62" s="996">
        <f>AW62/($AB62-AW62)</f>
        <v>-6.0606060606060606E-3</v>
      </c>
      <c r="AT62" s="997"/>
      <c r="AU62" s="997"/>
      <c r="AV62" s="998"/>
      <c r="AW62" s="1020">
        <f>$T$58*($AK$58-$AG$58)+$T$59*($AK$59-$AG$59)</f>
        <v>-5000</v>
      </c>
      <c r="AX62" s="1021"/>
      <c r="AY62" s="1021"/>
      <c r="AZ62" s="1022"/>
      <c r="BA62" s="1005">
        <f>SUMPRODUCT($T$58:$W$59,$AG$58:$AJ$59)</f>
        <v>825000</v>
      </c>
      <c r="BB62" s="1006"/>
      <c r="BC62" s="1006"/>
      <c r="BD62" s="1007"/>
      <c r="BE62" s="148" t="s">
        <v>30</v>
      </c>
      <c r="BF62" s="150"/>
      <c r="BG62" s="150"/>
      <c r="BH62" s="152"/>
      <c r="BI62" s="149" t="s">
        <v>30</v>
      </c>
      <c r="BJ62" s="150"/>
      <c r="BK62" s="152"/>
      <c r="BL62" s="149" t="s">
        <v>30</v>
      </c>
      <c r="BM62" s="150"/>
      <c r="BN62" s="150"/>
      <c r="BO62" s="152"/>
    </row>
    <row r="63" spans="1:67" ht="13.5" customHeight="1">
      <c r="A63" s="22"/>
      <c r="B63" s="202">
        <v>20</v>
      </c>
      <c r="C63" s="337" t="s">
        <v>279</v>
      </c>
      <c r="D63" s="28"/>
      <c r="E63" s="28"/>
      <c r="F63" s="28"/>
      <c r="G63" s="28"/>
      <c r="H63" s="121"/>
      <c r="I63" s="62"/>
      <c r="J63" s="63"/>
      <c r="K63" s="62"/>
      <c r="L63" s="63"/>
      <c r="M63" s="69"/>
      <c r="N63" s="69"/>
      <c r="O63" s="65"/>
      <c r="P63" s="69"/>
      <c r="Q63" s="65"/>
      <c r="R63" s="69"/>
      <c r="S63" s="28"/>
      <c r="T63" s="28"/>
      <c r="U63" s="28"/>
      <c r="V63" s="28"/>
      <c r="W63" s="28"/>
      <c r="X63" s="121"/>
      <c r="Y63" s="62"/>
      <c r="Z63" s="63"/>
      <c r="AA63" s="62"/>
      <c r="AB63" s="63"/>
      <c r="AC63" s="69"/>
      <c r="AD63" s="69"/>
      <c r="AE63" s="65"/>
      <c r="AF63" s="69"/>
      <c r="AG63" s="65"/>
      <c r="AH63" s="69"/>
      <c r="AI63" s="64"/>
      <c r="AJ63" s="69"/>
      <c r="AK63" s="65"/>
      <c r="AL63" s="28"/>
      <c r="AM63" s="28"/>
      <c r="AN63" s="28"/>
      <c r="AO63" s="28"/>
      <c r="AP63" s="28"/>
      <c r="AQ63" s="28"/>
      <c r="AR63" s="28"/>
      <c r="AS63" s="28"/>
      <c r="AT63" s="28"/>
      <c r="AU63" s="28"/>
      <c r="AV63" s="233"/>
      <c r="AW63" s="28"/>
      <c r="AX63" s="28"/>
      <c r="AY63" s="31"/>
      <c r="AZ63" s="95"/>
      <c r="BA63" s="92"/>
      <c r="BB63" s="329"/>
      <c r="BC63" s="338"/>
      <c r="BD63" s="37"/>
      <c r="BE63" s="37"/>
    </row>
    <row r="64" spans="1:67" ht="13.5" customHeight="1">
      <c r="A64" s="22"/>
      <c r="B64" s="202">
        <v>24</v>
      </c>
      <c r="C64" s="304"/>
      <c r="D64" s="243"/>
      <c r="E64" s="244"/>
      <c r="F64" s="246" t="s">
        <v>30</v>
      </c>
      <c r="G64" s="244"/>
      <c r="H64" s="244"/>
      <c r="I64" s="245"/>
      <c r="J64" s="246" t="s">
        <v>30</v>
      </c>
      <c r="K64" s="247"/>
      <c r="L64" s="247"/>
      <c r="M64" s="247"/>
      <c r="N64" s="244"/>
      <c r="O64" s="245"/>
      <c r="P64" s="248"/>
      <c r="Q64" s="249"/>
      <c r="R64" s="249"/>
      <c r="S64" s="250"/>
      <c r="T64" s="243"/>
      <c r="U64" s="244"/>
      <c r="V64" s="244"/>
      <c r="W64" s="245"/>
      <c r="X64" s="249"/>
      <c r="Y64" s="244"/>
      <c r="Z64" s="244"/>
      <c r="AA64" s="244"/>
      <c r="AB64" s="248" t="s">
        <v>98</v>
      </c>
      <c r="AC64" s="249"/>
      <c r="AD64" s="249"/>
      <c r="AE64" s="249"/>
      <c r="AF64" s="250"/>
      <c r="AG64" s="249" t="s">
        <v>259</v>
      </c>
      <c r="AH64" s="244"/>
      <c r="AI64" s="244"/>
      <c r="AJ64" s="244"/>
      <c r="AK64" s="330" t="s">
        <v>99</v>
      </c>
      <c r="AL64" s="249"/>
      <c r="AM64" s="249"/>
      <c r="AN64" s="250"/>
      <c r="AO64" s="248" t="s">
        <v>81</v>
      </c>
      <c r="AP64" s="249"/>
      <c r="AQ64" s="249"/>
      <c r="AR64" s="250"/>
      <c r="AS64" s="248" t="s">
        <v>82</v>
      </c>
      <c r="AT64" s="249"/>
      <c r="AU64" s="249"/>
      <c r="AV64" s="249"/>
      <c r="AW64" s="248" t="s">
        <v>100</v>
      </c>
      <c r="AX64" s="249"/>
      <c r="AY64" s="249"/>
      <c r="AZ64" s="250"/>
      <c r="BA64" s="248" t="s">
        <v>101</v>
      </c>
      <c r="BB64" s="249"/>
      <c r="BC64" s="249"/>
      <c r="BD64" s="250"/>
      <c r="BE64" s="253" t="s">
        <v>30</v>
      </c>
      <c r="BF64" s="249"/>
      <c r="BG64" s="249"/>
      <c r="BH64" s="250"/>
      <c r="BI64" s="249"/>
      <c r="BJ64" s="249"/>
      <c r="BK64" s="250"/>
      <c r="BL64" s="249"/>
      <c r="BM64" s="249"/>
      <c r="BN64" s="249"/>
      <c r="BO64" s="250"/>
    </row>
    <row r="65" spans="1:67" ht="13.5" customHeight="1">
      <c r="A65" s="22"/>
      <c r="B65" s="202">
        <v>25</v>
      </c>
      <c r="C65" s="308"/>
      <c r="D65" s="148"/>
      <c r="E65" s="149"/>
      <c r="F65" s="148"/>
      <c r="G65" s="149"/>
      <c r="H65" s="149"/>
      <c r="I65" s="151"/>
      <c r="J65" s="221"/>
      <c r="K65" s="222"/>
      <c r="L65" s="222"/>
      <c r="M65" s="222"/>
      <c r="N65" s="161"/>
      <c r="O65" s="162"/>
      <c r="P65" s="148"/>
      <c r="Q65" s="150"/>
      <c r="R65" s="150"/>
      <c r="S65" s="162"/>
      <c r="T65" s="119"/>
      <c r="U65" s="120"/>
      <c r="V65" s="120"/>
      <c r="W65" s="162"/>
      <c r="X65" s="990"/>
      <c r="Y65" s="991"/>
      <c r="Z65" s="991"/>
      <c r="AA65" s="992"/>
      <c r="AB65" s="993">
        <f>SUMPRODUCT($T$58:$W$59,$AK$58:$AN$59)</f>
        <v>820000</v>
      </c>
      <c r="AC65" s="994"/>
      <c r="AD65" s="994"/>
      <c r="AE65" s="994"/>
      <c r="AF65" s="995"/>
      <c r="AG65" s="999">
        <f>SUM($X$58:$AA$59)</f>
        <v>131.41</v>
      </c>
      <c r="AH65" s="1000"/>
      <c r="AI65" s="1000"/>
      <c r="AJ65" s="1001"/>
      <c r="AK65" s="1017">
        <f>AB65-SUMPRODUCT($T$58:$W$59,$X$58:$AA$59)</f>
        <v>162950</v>
      </c>
      <c r="AL65" s="1018"/>
      <c r="AM65" s="1018"/>
      <c r="AN65" s="1019"/>
      <c r="AO65" s="996">
        <f>$AK65/$AB65</f>
        <v>0.19871951219512196</v>
      </c>
      <c r="AP65" s="997"/>
      <c r="AQ65" s="997"/>
      <c r="AR65" s="998"/>
      <c r="AS65" s="996">
        <f>AW65/($AB65-AW65)</f>
        <v>-6.0606060606060606E-3</v>
      </c>
      <c r="AT65" s="997"/>
      <c r="AU65" s="997"/>
      <c r="AV65" s="998"/>
      <c r="AW65" s="1020">
        <f>$T$58*($AK$58-$AG$58)+$T$59*($AK$59-$AG$59)</f>
        <v>-5000</v>
      </c>
      <c r="AX65" s="1021"/>
      <c r="AY65" s="1021"/>
      <c r="AZ65" s="1022"/>
      <c r="BA65" s="1005">
        <f>SUMPRODUCT($T$58:$W$59,$AG$58:$AJ$59)</f>
        <v>825000</v>
      </c>
      <c r="BB65" s="1006"/>
      <c r="BC65" s="1006"/>
      <c r="BD65" s="1007"/>
      <c r="BE65" s="148" t="s">
        <v>30</v>
      </c>
      <c r="BF65" s="150"/>
      <c r="BG65" s="150"/>
      <c r="BH65" s="152"/>
      <c r="BI65" s="149" t="s">
        <v>30</v>
      </c>
      <c r="BJ65" s="150"/>
      <c r="BK65" s="152"/>
      <c r="BL65" s="149" t="s">
        <v>30</v>
      </c>
      <c r="BM65" s="150"/>
      <c r="BN65" s="150"/>
      <c r="BO65" s="152"/>
    </row>
    <row r="66" spans="1:67"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512"/>
      <c r="AT66" s="35"/>
      <c r="AU66" s="35"/>
      <c r="AV66" s="65"/>
      <c r="AW66" s="65"/>
      <c r="AX66" s="65"/>
      <c r="AY66" s="63"/>
      <c r="AZ66" s="31"/>
      <c r="BA66" s="30"/>
      <c r="BB66" s="175"/>
      <c r="BC66" s="345"/>
      <c r="BD66" s="28"/>
    </row>
    <row r="67" spans="1:67"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7" ht="13.5" customHeight="1">
      <c r="A68" s="22"/>
      <c r="B68" s="202">
        <v>29</v>
      </c>
      <c r="C68" s="342"/>
      <c r="D68" s="332"/>
      <c r="E68" s="65"/>
      <c r="F68" s="65"/>
      <c r="G68" s="65"/>
      <c r="H68" s="65"/>
      <c r="I68" s="65"/>
      <c r="J68" s="1008"/>
      <c r="K68" s="1009"/>
      <c r="L68" s="1009"/>
      <c r="M68" s="1009"/>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512"/>
      <c r="AT68" s="35"/>
      <c r="AU68" s="35"/>
      <c r="AV68" s="254"/>
      <c r="AW68" s="198"/>
      <c r="AX68" s="198"/>
      <c r="AY68" s="198"/>
      <c r="AZ68" s="31"/>
      <c r="BA68" s="30"/>
      <c r="BB68" s="175"/>
      <c r="BC68" s="345"/>
      <c r="BD68" s="28"/>
      <c r="BG68" s="24"/>
      <c r="BH68" s="28"/>
    </row>
    <row r="69" spans="1:67"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7" ht="13.5" customHeight="1">
      <c r="A70" s="22"/>
      <c r="B70" s="202">
        <v>31</v>
      </c>
      <c r="C70" s="331"/>
      <c r="D70" s="332"/>
      <c r="E70" s="65"/>
      <c r="F70" s="65"/>
      <c r="G70" s="65"/>
      <c r="H70" s="65"/>
      <c r="I70" s="65"/>
      <c r="J70" s="1010"/>
      <c r="K70" s="1010"/>
      <c r="L70" s="1010"/>
      <c r="M70" s="1010"/>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7"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7"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7"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7"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7"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7" ht="14.15" customHeight="1">
      <c r="A77" s="22"/>
      <c r="B77" s="202">
        <v>35</v>
      </c>
      <c r="C77" s="331"/>
      <c r="D77" s="332"/>
      <c r="E77" s="65"/>
      <c r="F77" s="65"/>
      <c r="G77" s="65"/>
      <c r="H77" s="65"/>
      <c r="I77" s="65"/>
      <c r="J77" s="989"/>
      <c r="K77" s="989"/>
      <c r="L77" s="989"/>
      <c r="M77" s="989"/>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125"/>
      <c r="AU77" s="65"/>
      <c r="AV77" s="65"/>
      <c r="AW77" s="65"/>
      <c r="AX77" s="65"/>
      <c r="AY77" s="65"/>
      <c r="AZ77" s="33"/>
      <c r="BA77" s="46"/>
      <c r="BB77" s="78" t="s">
        <v>297</v>
      </c>
      <c r="BC77" s="34"/>
      <c r="BD77" s="28"/>
      <c r="BG77" s="24"/>
      <c r="BH77" s="28"/>
    </row>
    <row r="78" spans="1:67" ht="14.15" customHeight="1">
      <c r="A78" s="22"/>
      <c r="B78" s="202">
        <v>35</v>
      </c>
      <c r="C78" s="346" t="s">
        <v>247</v>
      </c>
      <c r="D78" s="332"/>
      <c r="E78" s="65"/>
      <c r="F78" s="65"/>
      <c r="G78" s="65"/>
      <c r="H78" s="65"/>
      <c r="I78" s="65"/>
      <c r="J78" s="989"/>
      <c r="K78" s="989"/>
      <c r="L78" s="989"/>
      <c r="M78" s="989"/>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78"/>
      <c r="BC78" s="34"/>
      <c r="BD78" s="28"/>
      <c r="BG78" s="24"/>
      <c r="BH78" s="28"/>
    </row>
    <row r="79" spans="1:67"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78"/>
      <c r="BC79" s="34"/>
      <c r="BD79" s="28"/>
      <c r="BG79" s="24"/>
      <c r="BH79" s="28"/>
    </row>
    <row r="80" spans="1:67" ht="14.15" customHeight="1">
      <c r="A80" s="22"/>
      <c r="B80" s="202">
        <v>35</v>
      </c>
      <c r="C80" s="331"/>
      <c r="D80" s="332"/>
      <c r="E80" s="65"/>
      <c r="F80" s="65"/>
      <c r="G80" s="65"/>
      <c r="H80" s="65"/>
      <c r="I80" s="65"/>
      <c r="J80" s="1011"/>
      <c r="K80" s="1011"/>
      <c r="L80" s="1011"/>
      <c r="M80" s="1011"/>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78"/>
      <c r="BC80" s="34"/>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89"/>
      <c r="K86" s="989"/>
      <c r="L86" s="989"/>
      <c r="M86" s="989"/>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78"/>
      <c r="BC86" s="34"/>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78"/>
      <c r="BC91" s="34"/>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78"/>
      <c r="BC92" s="34"/>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89"/>
      <c r="K94" s="989"/>
      <c r="L94" s="989"/>
      <c r="M94" s="989"/>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0"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0"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0"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0"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0"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3.5" customHeight="1">
      <c r="A103" s="22"/>
      <c r="B103" s="202">
        <v>36</v>
      </c>
      <c r="C103" s="331"/>
      <c r="D103" s="332"/>
      <c r="E103" s="65"/>
      <c r="F103" s="65"/>
      <c r="G103" s="65"/>
      <c r="H103" s="65"/>
      <c r="I103" s="65"/>
      <c r="J103" s="989"/>
      <c r="K103" s="989"/>
      <c r="L103" s="989"/>
      <c r="M103" s="989"/>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335"/>
      <c r="BC103" s="336"/>
      <c r="BD103" s="28"/>
      <c r="BG103" s="24"/>
      <c r="BH103" s="28"/>
    </row>
    <row r="104" spans="1:60" ht="13.5" customHeight="1">
      <c r="A104" s="22"/>
      <c r="B104" s="202">
        <v>37</v>
      </c>
      <c r="C104" s="331"/>
      <c r="D104" s="332"/>
      <c r="E104" s="65"/>
      <c r="F104" s="65"/>
      <c r="G104" s="65"/>
      <c r="H104" s="65"/>
      <c r="I104" s="65"/>
      <c r="J104" s="989"/>
      <c r="K104" s="989"/>
      <c r="L104" s="989"/>
      <c r="M104" s="989"/>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335"/>
      <c r="BC104" s="336"/>
      <c r="BD104" s="28"/>
      <c r="BG104" s="24"/>
      <c r="BH104" s="28"/>
    </row>
    <row r="105" spans="1:60">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335"/>
      <c r="BC105" s="336"/>
    </row>
    <row r="106" spans="1:60">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355"/>
      <c r="BC106" s="356"/>
    </row>
  </sheetData>
  <mergeCells count="84">
    <mergeCell ref="BA62:BD62"/>
    <mergeCell ref="AG62:AJ62"/>
    <mergeCell ref="AK62:AN62"/>
    <mergeCell ref="AO62:AR62"/>
    <mergeCell ref="AS62:AV62"/>
    <mergeCell ref="AW62:AZ62"/>
    <mergeCell ref="BE58:BG58"/>
    <mergeCell ref="BE59:BG59"/>
    <mergeCell ref="X58:AA58"/>
    <mergeCell ref="X59:AA59"/>
    <mergeCell ref="X65:AA65"/>
    <mergeCell ref="AG65:AJ65"/>
    <mergeCell ref="AK65:AN65"/>
    <mergeCell ref="AS65:AV65"/>
    <mergeCell ref="AO65:AR65"/>
    <mergeCell ref="AW65:AZ65"/>
    <mergeCell ref="AS58:AV58"/>
    <mergeCell ref="AS59:AV59"/>
    <mergeCell ref="AG58:AJ58"/>
    <mergeCell ref="BA58:BD58"/>
    <mergeCell ref="BA59:BD59"/>
    <mergeCell ref="AO58:AR58"/>
    <mergeCell ref="AQ43:AS43"/>
    <mergeCell ref="AQ44:AS44"/>
    <mergeCell ref="AH43:AL43"/>
    <mergeCell ref="AH44:AL44"/>
    <mergeCell ref="AD43:AG43"/>
    <mergeCell ref="AD44:AG44"/>
    <mergeCell ref="AM43:AP43"/>
    <mergeCell ref="AM44:AP44"/>
    <mergeCell ref="R43:U43"/>
    <mergeCell ref="R44:U44"/>
    <mergeCell ref="V43:Y43"/>
    <mergeCell ref="V44:Y44"/>
    <mergeCell ref="Z43:AC43"/>
    <mergeCell ref="Z44:AC44"/>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5:BA5"/>
    <mergeCell ref="BB5:BC5"/>
    <mergeCell ref="AV2:AY2"/>
    <mergeCell ref="AZ2:BC3"/>
    <mergeCell ref="A3:H3"/>
    <mergeCell ref="I3:L3"/>
    <mergeCell ref="M3:W3"/>
    <mergeCell ref="X3:Z3"/>
    <mergeCell ref="AA3:AR3"/>
    <mergeCell ref="AS3:AU3"/>
    <mergeCell ref="AV3:AY3"/>
    <mergeCell ref="J103:M103"/>
    <mergeCell ref="J104:M104"/>
    <mergeCell ref="BA65:BD65"/>
    <mergeCell ref="J68:M68"/>
    <mergeCell ref="J70:M70"/>
    <mergeCell ref="AB65:AF65"/>
    <mergeCell ref="J94:M94"/>
    <mergeCell ref="J86:M86"/>
    <mergeCell ref="J77:M77"/>
    <mergeCell ref="J80:M80"/>
    <mergeCell ref="J78:M78"/>
    <mergeCell ref="T58:W58"/>
    <mergeCell ref="T59:W59"/>
    <mergeCell ref="AG59:AJ59"/>
    <mergeCell ref="AK58:AN58"/>
    <mergeCell ref="AK59:AN59"/>
    <mergeCell ref="X62:AA62"/>
    <mergeCell ref="AB62:AF62"/>
    <mergeCell ref="AO59:AR59"/>
    <mergeCell ref="AB58:AF58"/>
    <mergeCell ref="AB59:AF59"/>
  </mergeCells>
  <phoneticPr fontId="56"/>
  <conditionalFormatting sqref="AO58:AR59">
    <cfRule type="cellIs" dxfId="38" priority="12" operator="lessThan">
      <formula>30</formula>
    </cfRule>
    <cfRule type="expression" dxfId="37" priority="13">
      <formula>$AK$65&lt;30</formula>
    </cfRule>
  </conditionalFormatting>
  <conditionalFormatting sqref="AO62:AR62">
    <cfRule type="cellIs" dxfId="36" priority="4" operator="lessThan">
      <formula>30</formula>
    </cfRule>
  </conditionalFormatting>
  <conditionalFormatting sqref="AO65:AR65">
    <cfRule type="cellIs" dxfId="35" priority="10" operator="lessThan">
      <formula>30</formula>
    </cfRule>
  </conditionalFormatting>
  <conditionalFormatting sqref="AO62:AV62">
    <cfRule type="cellIs" dxfId="34" priority="5" operator="lessThan">
      <formula>0</formula>
    </cfRule>
    <cfRule type="expression" dxfId="33" priority="6">
      <formula>$AK$65&lt;30</formula>
    </cfRule>
  </conditionalFormatting>
  <conditionalFormatting sqref="AO65:AV65">
    <cfRule type="cellIs" dxfId="32" priority="11" operator="lessThan">
      <formula>0</formula>
    </cfRule>
    <cfRule type="expression" dxfId="31" priority="24">
      <formula>$AK$65&lt;30</formula>
    </cfRule>
  </conditionalFormatting>
  <conditionalFormatting sqref="AS58:AV59">
    <cfRule type="cellIs" dxfId="30" priority="20"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8D3B5-A6BF-4DE0-AEB8-F26B7CC024AC}">
  <dimension ref="A1:BQ10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円(技術原計)</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62"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62"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62"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62" ht="13.5" customHeight="1">
      <c r="A36" s="22"/>
      <c r="B36" s="202">
        <v>4</v>
      </c>
      <c r="C36" s="43"/>
      <c r="D36" s="31"/>
      <c r="E36" s="31"/>
      <c r="F36" s="31"/>
      <c r="G36" s="31"/>
      <c r="H36" s="62"/>
      <c r="I36" s="63"/>
      <c r="J36" s="63"/>
      <c r="K36" s="63"/>
      <c r="L36" s="64"/>
      <c r="M36" s="63"/>
      <c r="N36" s="65"/>
      <c r="O36" s="65"/>
      <c r="P36" s="65"/>
      <c r="Q36" s="65"/>
      <c r="R36" s="65"/>
      <c r="S36" s="75"/>
      <c r="T36" s="63"/>
      <c r="U36" s="63"/>
      <c r="V36" s="63"/>
      <c r="W36" s="63"/>
      <c r="X36" s="62"/>
      <c r="Y36" s="63"/>
      <c r="Z36" s="63"/>
      <c r="AA36" s="63"/>
      <c r="AB36" s="64"/>
      <c r="AC36" s="63"/>
      <c r="AD36" s="65"/>
      <c r="AE36" s="65"/>
      <c r="AF36" s="65"/>
      <c r="AG36" s="65"/>
      <c r="AH36" s="65"/>
      <c r="AI36" s="75"/>
      <c r="AJ36" s="63"/>
      <c r="AK36" s="63"/>
      <c r="AL36" s="63"/>
      <c r="AM36" s="63"/>
      <c r="AN36" s="125"/>
      <c r="AO36" s="62"/>
      <c r="AP36" s="62"/>
      <c r="AQ36" s="63"/>
      <c r="AR36" s="63"/>
      <c r="AS36" s="63"/>
      <c r="AT36" s="64"/>
      <c r="AU36" s="63"/>
      <c r="AV36" s="65"/>
      <c r="AW36" s="65"/>
      <c r="AX36" s="65"/>
      <c r="AY36" s="31"/>
      <c r="AZ36" s="33"/>
      <c r="BA36" s="46"/>
      <c r="BB36" s="78"/>
      <c r="BC36" s="34"/>
      <c r="BD36" s="35"/>
      <c r="BE36" s="35"/>
      <c r="BF36" s="35"/>
      <c r="BG36" s="35"/>
    </row>
    <row r="37" spans="1:62" ht="13.5" customHeight="1">
      <c r="A37" s="22"/>
      <c r="B37" s="202">
        <v>5</v>
      </c>
      <c r="C37" s="204" t="s">
        <v>63</v>
      </c>
      <c r="D37" s="28"/>
      <c r="E37" s="28"/>
      <c r="F37" s="28"/>
      <c r="G37" s="28"/>
      <c r="H37" s="121"/>
      <c r="I37" s="62"/>
      <c r="J37" s="63"/>
      <c r="K37" s="62"/>
      <c r="L37" s="63"/>
      <c r="M37" s="69"/>
      <c r="N37" s="69"/>
      <c r="O37" s="65"/>
      <c r="P37" s="69"/>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t="s">
        <v>72</v>
      </c>
      <c r="AW37" s="28"/>
      <c r="AX37" s="28"/>
      <c r="AY37" s="31"/>
      <c r="AZ37" s="33"/>
      <c r="BA37" s="46"/>
      <c r="BB37" s="159"/>
      <c r="BC37" s="115"/>
      <c r="BD37" s="28"/>
    </row>
    <row r="38" spans="1:62" ht="5.15" customHeight="1">
      <c r="A38" s="22"/>
      <c r="B38" s="202"/>
      <c r="C38" s="296"/>
      <c r="D38" s="72"/>
      <c r="E38" s="72"/>
      <c r="F38" s="72"/>
      <c r="G38" s="72"/>
      <c r="H38" s="297"/>
      <c r="I38" s="278"/>
      <c r="J38" s="279"/>
      <c r="K38" s="278"/>
      <c r="L38" s="279"/>
      <c r="M38" s="298"/>
      <c r="N38" s="298"/>
      <c r="O38" s="263"/>
      <c r="P38" s="298"/>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4"/>
      <c r="AZ38" s="264"/>
      <c r="BA38" s="301"/>
      <c r="BB38" s="302"/>
      <c r="BC38" s="303"/>
      <c r="BD38" s="28"/>
    </row>
    <row r="39" spans="1:62" ht="13.5" customHeight="1">
      <c r="A39" s="22"/>
      <c r="B39" s="45"/>
      <c r="C39" s="266"/>
      <c r="D39" s="28" t="s">
        <v>288</v>
      </c>
      <c r="E39" s="28"/>
      <c r="F39" s="28"/>
      <c r="G39" s="28"/>
      <c r="H39" s="86" t="s">
        <v>128</v>
      </c>
      <c r="I39" s="86"/>
      <c r="J39" s="86"/>
      <c r="K39" s="86"/>
      <c r="L39" s="86"/>
      <c r="M39" s="322"/>
      <c r="N39" s="87"/>
      <c r="O39" s="88"/>
      <c r="P39" s="88"/>
      <c r="Q39" s="89"/>
      <c r="R39" s="87"/>
      <c r="S39" s="87"/>
      <c r="T39" s="87"/>
      <c r="U39" s="88"/>
      <c r="V39" s="89"/>
      <c r="W39" s="87"/>
      <c r="X39" s="65"/>
      <c r="Y39" s="28"/>
      <c r="Z39" s="28"/>
      <c r="AA39" s="28"/>
      <c r="AB39" s="28"/>
      <c r="AC39" s="28"/>
      <c r="AD39" s="28"/>
      <c r="AE39" s="28"/>
      <c r="AF39" s="28"/>
      <c r="AG39" s="28"/>
      <c r="AH39" s="28"/>
      <c r="AI39" s="28"/>
      <c r="AJ39" s="28"/>
      <c r="AK39" s="28"/>
      <c r="AL39" s="28"/>
      <c r="AM39" s="31"/>
      <c r="AN39" s="31"/>
      <c r="AO39" s="31"/>
      <c r="AP39" s="31"/>
      <c r="AQ39" s="31"/>
      <c r="AR39" s="31"/>
      <c r="AS39" s="31"/>
      <c r="AT39" s="31"/>
      <c r="AU39" s="31"/>
      <c r="AV39" s="31"/>
      <c r="AW39" s="31"/>
      <c r="AX39" s="65"/>
      <c r="AY39" s="31"/>
      <c r="AZ39" s="52"/>
      <c r="BA39" s="93"/>
      <c r="BB39" s="327"/>
      <c r="BC39" s="328"/>
      <c r="BD39" s="28"/>
      <c r="BE39" s="35"/>
      <c r="BF39" s="35"/>
      <c r="BG39" s="35"/>
    </row>
    <row r="40" spans="1:62" ht="13.5" customHeight="1">
      <c r="A40" s="22"/>
      <c r="B40" s="202">
        <v>6</v>
      </c>
      <c r="C40" s="304" t="s">
        <v>32</v>
      </c>
      <c r="D40" s="205" t="s">
        <v>64</v>
      </c>
      <c r="E40" s="206"/>
      <c r="F40" s="206"/>
      <c r="G40" s="207"/>
      <c r="H40" s="208" t="s">
        <v>73</v>
      </c>
      <c r="I40" s="209"/>
      <c r="J40" s="209"/>
      <c r="K40" s="209"/>
      <c r="L40" s="206"/>
      <c r="M40" s="207"/>
      <c r="N40" s="205" t="s">
        <v>74</v>
      </c>
      <c r="O40" s="206"/>
      <c r="P40" s="206"/>
      <c r="Q40" s="207"/>
      <c r="R40" s="205" t="s">
        <v>75</v>
      </c>
      <c r="S40" s="206"/>
      <c r="T40" s="206"/>
      <c r="U40" s="206"/>
      <c r="V40" s="210" t="s">
        <v>87</v>
      </c>
      <c r="W40" s="211"/>
      <c r="X40" s="211"/>
      <c r="Y40" s="212"/>
      <c r="Z40" s="211" t="s">
        <v>89</v>
      </c>
      <c r="AA40" s="211"/>
      <c r="AB40" s="211"/>
      <c r="AC40" s="212"/>
      <c r="AD40" s="211" t="s">
        <v>76</v>
      </c>
      <c r="AE40" s="211"/>
      <c r="AF40" s="211"/>
      <c r="AG40" s="212"/>
      <c r="AH40" s="210" t="s">
        <v>278</v>
      </c>
      <c r="AI40" s="211"/>
      <c r="AJ40" s="211"/>
      <c r="AK40" s="211"/>
      <c r="AL40" s="212"/>
      <c r="AM40" s="210" t="s">
        <v>105</v>
      </c>
      <c r="AN40" s="211"/>
      <c r="AO40" s="211"/>
      <c r="AP40" s="211"/>
      <c r="AQ40" s="210" t="s">
        <v>83</v>
      </c>
      <c r="AR40" s="211"/>
      <c r="AS40" s="211"/>
      <c r="AT40" s="212"/>
      <c r="AU40" s="211" t="s">
        <v>85</v>
      </c>
      <c r="AV40" s="211"/>
      <c r="AW40" s="212"/>
      <c r="AX40" s="305" t="s">
        <v>86</v>
      </c>
      <c r="AY40" s="211"/>
      <c r="AZ40" s="211"/>
      <c r="BA40" s="212"/>
      <c r="BB40" s="211" t="s">
        <v>69</v>
      </c>
      <c r="BC40" s="211"/>
      <c r="BD40" s="211"/>
      <c r="BE40" s="212"/>
      <c r="BH40" s="28"/>
      <c r="BI40" s="28"/>
      <c r="BJ40" s="28"/>
    </row>
    <row r="41" spans="1:62" ht="13.5" customHeight="1">
      <c r="A41" s="22"/>
      <c r="B41" s="202">
        <v>7</v>
      </c>
      <c r="C41" s="306"/>
      <c r="D41" s="213" t="s">
        <v>30</v>
      </c>
      <c r="E41" s="216"/>
      <c r="F41" s="214"/>
      <c r="G41" s="215"/>
      <c r="H41" s="213" t="s">
        <v>30</v>
      </c>
      <c r="I41" s="216"/>
      <c r="J41" s="216"/>
      <c r="K41" s="216"/>
      <c r="L41" s="214"/>
      <c r="M41" s="215"/>
      <c r="N41" s="213"/>
      <c r="O41" s="214"/>
      <c r="P41" s="214"/>
      <c r="Q41" s="215"/>
      <c r="R41" s="213" t="s">
        <v>30</v>
      </c>
      <c r="S41" s="216"/>
      <c r="T41" s="214"/>
      <c r="U41" s="214"/>
      <c r="V41" s="217" t="s">
        <v>88</v>
      </c>
      <c r="W41" s="218"/>
      <c r="X41" s="219"/>
      <c r="Y41" s="220"/>
      <c r="Z41" s="218" t="s">
        <v>43</v>
      </c>
      <c r="AA41" s="218"/>
      <c r="AB41" s="219"/>
      <c r="AC41" s="220"/>
      <c r="AD41" s="218" t="s">
        <v>43</v>
      </c>
      <c r="AE41" s="218"/>
      <c r="AF41" s="219"/>
      <c r="AG41" s="220"/>
      <c r="AH41" s="217" t="s">
        <v>30</v>
      </c>
      <c r="AI41" s="218"/>
      <c r="AJ41" s="218"/>
      <c r="AK41" s="219"/>
      <c r="AL41" s="220"/>
      <c r="AM41" s="217" t="s">
        <v>43</v>
      </c>
      <c r="AN41" s="218"/>
      <c r="AO41" s="219"/>
      <c r="AP41" s="219"/>
      <c r="AQ41" s="217" t="s">
        <v>43</v>
      </c>
      <c r="AR41" s="218"/>
      <c r="AS41" s="219"/>
      <c r="AT41" s="220"/>
      <c r="AU41" s="218" t="s">
        <v>43</v>
      </c>
      <c r="AV41" s="218"/>
      <c r="AW41" s="220"/>
      <c r="AX41" s="307" t="s">
        <v>43</v>
      </c>
      <c r="AY41" s="218"/>
      <c r="AZ41" s="219"/>
      <c r="BA41" s="220"/>
      <c r="BB41" s="218" t="s">
        <v>43</v>
      </c>
      <c r="BC41" s="218"/>
      <c r="BD41" s="219"/>
      <c r="BE41" s="220"/>
      <c r="BH41" s="28"/>
      <c r="BI41" s="28"/>
      <c r="BJ41" s="28"/>
    </row>
    <row r="42" spans="1:62" ht="13.5" customHeight="1">
      <c r="A42" s="22"/>
      <c r="B42" s="202">
        <v>8</v>
      </c>
      <c r="C42" s="308">
        <v>1</v>
      </c>
      <c r="D42" s="148" t="s">
        <v>135</v>
      </c>
      <c r="E42" s="149"/>
      <c r="F42" s="149"/>
      <c r="G42" s="151"/>
      <c r="H42" s="242" t="s">
        <v>137</v>
      </c>
      <c r="I42" s="150"/>
      <c r="J42" s="150"/>
      <c r="K42" s="150"/>
      <c r="L42" s="161"/>
      <c r="M42" s="162"/>
      <c r="N42" s="242" t="s">
        <v>92</v>
      </c>
      <c r="O42" s="150"/>
      <c r="P42" s="150"/>
      <c r="Q42" s="99" t="s">
        <v>33</v>
      </c>
      <c r="R42" s="1002">
        <v>1000</v>
      </c>
      <c r="S42" s="1003"/>
      <c r="T42" s="1003"/>
      <c r="U42" s="1004"/>
      <c r="V42" s="990">
        <v>980</v>
      </c>
      <c r="W42" s="1012"/>
      <c r="X42" s="1012"/>
      <c r="Y42" s="1013"/>
      <c r="Z42" s="990">
        <v>1610</v>
      </c>
      <c r="AA42" s="1012"/>
      <c r="AB42" s="1012"/>
      <c r="AC42" s="1013"/>
      <c r="AD42" s="990">
        <v>1035</v>
      </c>
      <c r="AE42" s="1012"/>
      <c r="AF42" s="1012"/>
      <c r="AG42" s="1013"/>
      <c r="AH42" s="990">
        <v>510.27</v>
      </c>
      <c r="AI42" s="1012"/>
      <c r="AJ42" s="1012"/>
      <c r="AK42" s="1012"/>
      <c r="AL42" s="1013"/>
      <c r="AM42" s="990">
        <v>796.03</v>
      </c>
      <c r="AN42" s="1012"/>
      <c r="AO42" s="1012"/>
      <c r="AP42" s="1013"/>
      <c r="AQ42" s="990"/>
      <c r="AR42" s="1012"/>
      <c r="AS42" s="1012"/>
      <c r="AT42" s="1013"/>
      <c r="AU42" s="1014">
        <v>64.7</v>
      </c>
      <c r="AV42" s="1015"/>
      <c r="AW42" s="1016"/>
      <c r="AX42" s="309" t="s">
        <v>140</v>
      </c>
      <c r="AY42" s="150"/>
      <c r="AZ42" s="150"/>
      <c r="BA42" s="152"/>
      <c r="BB42" s="149" t="s">
        <v>30</v>
      </c>
      <c r="BC42" s="150"/>
      <c r="BD42" s="150"/>
      <c r="BE42" s="152"/>
      <c r="BH42" s="28"/>
      <c r="BI42" s="28"/>
      <c r="BJ42" s="28"/>
    </row>
    <row r="43" spans="1:62" ht="13.5" customHeight="1">
      <c r="A43" s="22"/>
      <c r="B43" s="202">
        <v>9</v>
      </c>
      <c r="C43" s="308">
        <v>2</v>
      </c>
      <c r="D43" s="148" t="s">
        <v>136</v>
      </c>
      <c r="E43" s="149"/>
      <c r="F43" s="149"/>
      <c r="G43" s="151"/>
      <c r="H43" s="242" t="s">
        <v>138</v>
      </c>
      <c r="I43" s="150"/>
      <c r="J43" s="150"/>
      <c r="K43" s="150"/>
      <c r="L43" s="161"/>
      <c r="M43" s="162"/>
      <c r="N43" s="242" t="s">
        <v>92</v>
      </c>
      <c r="O43" s="150"/>
      <c r="P43" s="150"/>
      <c r="Q43" s="99" t="s">
        <v>33</v>
      </c>
      <c r="R43" s="1002">
        <v>500</v>
      </c>
      <c r="S43" s="1003"/>
      <c r="T43" s="1003"/>
      <c r="U43" s="1004"/>
      <c r="V43" s="990">
        <v>500</v>
      </c>
      <c r="W43" s="1012"/>
      <c r="X43" s="1012"/>
      <c r="Y43" s="1013"/>
      <c r="Z43" s="990">
        <v>794</v>
      </c>
      <c r="AA43" s="1012"/>
      <c r="AB43" s="1012"/>
      <c r="AC43" s="1013"/>
      <c r="AD43" s="990">
        <v>630</v>
      </c>
      <c r="AE43" s="1012"/>
      <c r="AF43" s="1012"/>
      <c r="AG43" s="1013"/>
      <c r="AH43" s="990">
        <v>247.92</v>
      </c>
      <c r="AI43" s="1012"/>
      <c r="AJ43" s="1012"/>
      <c r="AK43" s="1012"/>
      <c r="AL43" s="1013"/>
      <c r="AM43" s="990">
        <v>483.47</v>
      </c>
      <c r="AN43" s="1012"/>
      <c r="AO43" s="1012"/>
      <c r="AP43" s="1013"/>
      <c r="AQ43" s="990"/>
      <c r="AR43" s="1012"/>
      <c r="AS43" s="1012"/>
      <c r="AT43" s="1013"/>
      <c r="AU43" s="1014">
        <v>39.4</v>
      </c>
      <c r="AV43" s="1015"/>
      <c r="AW43" s="1016"/>
      <c r="AX43" s="309" t="s">
        <v>140</v>
      </c>
      <c r="AY43" s="150"/>
      <c r="AZ43" s="150"/>
      <c r="BA43" s="152"/>
      <c r="BB43" s="149" t="s">
        <v>30</v>
      </c>
      <c r="BC43" s="150"/>
      <c r="BD43" s="150"/>
      <c r="BE43" s="152"/>
      <c r="BH43" s="28"/>
      <c r="BI43" s="28"/>
      <c r="BJ43" s="28"/>
    </row>
    <row r="44" spans="1:62" ht="13.5" customHeight="1">
      <c r="A44" s="22"/>
      <c r="B44" s="202">
        <v>10</v>
      </c>
      <c r="C44" s="310"/>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1"/>
      <c r="BA44" s="35"/>
      <c r="BB44" s="35"/>
      <c r="BC44" s="311"/>
      <c r="BD44" s="28"/>
    </row>
    <row r="45" spans="1:62" ht="13.5" customHeight="1">
      <c r="A45" s="22"/>
      <c r="B45" s="202">
        <v>11</v>
      </c>
      <c r="C45" s="312"/>
      <c r="D45" s="65"/>
      <c r="E45" s="65"/>
      <c r="F45" s="65"/>
      <c r="G45" s="65"/>
      <c r="H45" s="65"/>
      <c r="I45" s="65"/>
      <c r="J45" s="65"/>
      <c r="K45" s="65"/>
      <c r="L45" s="65"/>
      <c r="M45" s="65"/>
      <c r="N45" s="65"/>
      <c r="O45" s="65"/>
      <c r="P45" s="65"/>
      <c r="Q45" s="65"/>
      <c r="R45" s="65"/>
      <c r="S45" s="65"/>
      <c r="T45" s="65"/>
      <c r="U45" s="65"/>
      <c r="V45" s="63"/>
      <c r="W45" s="63"/>
      <c r="X45" s="75"/>
      <c r="Y45" s="63"/>
      <c r="Z45" s="63"/>
      <c r="AA45" s="69"/>
      <c r="AB45" s="65"/>
      <c r="AC45" s="63"/>
      <c r="AD45" s="65"/>
      <c r="AE45" s="65"/>
      <c r="AF45" s="65"/>
      <c r="AG45" s="69"/>
      <c r="AH45" s="65"/>
      <c r="AI45" s="75"/>
      <c r="AJ45" s="63"/>
      <c r="AK45" s="63"/>
      <c r="AL45" s="63"/>
      <c r="AM45" s="63"/>
      <c r="AN45" s="125"/>
      <c r="AO45" s="62"/>
      <c r="AP45" s="62"/>
      <c r="AQ45" s="63"/>
      <c r="AR45" s="63"/>
      <c r="AS45" s="63"/>
      <c r="AT45" s="64"/>
      <c r="AU45" s="63"/>
      <c r="AV45" s="65"/>
      <c r="AW45" s="65"/>
      <c r="AX45" s="65"/>
      <c r="AY45" s="63"/>
      <c r="AZ45" s="31"/>
      <c r="BA45" s="35"/>
      <c r="BB45" s="35"/>
      <c r="BC45" s="311"/>
      <c r="BD45" s="28"/>
    </row>
    <row r="46" spans="1:62" ht="15.75" customHeight="1">
      <c r="A46" s="22"/>
      <c r="B46" s="202">
        <v>12</v>
      </c>
      <c r="C46" s="310"/>
      <c r="D46" s="65"/>
      <c r="E46" s="65"/>
      <c r="F46" s="65"/>
      <c r="G46" s="65"/>
      <c r="H46" s="65"/>
      <c r="I46" s="65"/>
      <c r="J46" s="65"/>
      <c r="K46" s="65"/>
      <c r="L46" s="65"/>
      <c r="M46" s="62"/>
      <c r="N46" s="65"/>
      <c r="O46" s="65"/>
      <c r="P46" s="63"/>
      <c r="Q46" s="64"/>
      <c r="R46" s="63"/>
      <c r="S46" s="63"/>
      <c r="T46" s="65"/>
      <c r="U46" s="63"/>
      <c r="V46" s="65"/>
      <c r="W46" s="63"/>
      <c r="X46" s="63"/>
      <c r="Y46" s="63"/>
      <c r="Z46" s="63"/>
      <c r="AA46" s="63"/>
      <c r="AB46" s="65"/>
      <c r="AC46" s="65"/>
      <c r="AD46" s="62"/>
      <c r="AE46" s="63"/>
      <c r="AF46" s="63"/>
      <c r="AG46" s="65"/>
      <c r="AH46" s="65"/>
      <c r="AI46" s="62"/>
      <c r="AJ46" s="63"/>
      <c r="AK46" s="65"/>
      <c r="AL46" s="63"/>
      <c r="AM46" s="63"/>
      <c r="AN46" s="126"/>
      <c r="AO46" s="65"/>
      <c r="AP46" s="65"/>
      <c r="AQ46" s="125"/>
      <c r="AR46" s="65"/>
      <c r="AS46" s="65"/>
      <c r="AT46" s="63"/>
      <c r="AU46" s="63"/>
      <c r="AV46" s="63"/>
      <c r="AW46" s="63"/>
      <c r="AX46" s="63"/>
      <c r="AY46" s="63"/>
      <c r="AZ46" s="31"/>
      <c r="BA46" s="35"/>
      <c r="BB46" s="35"/>
      <c r="BC46" s="311"/>
      <c r="BD46" s="28"/>
    </row>
    <row r="47" spans="1:62" ht="13.5" customHeight="1">
      <c r="A47" s="22"/>
      <c r="B47" s="202">
        <v>13</v>
      </c>
      <c r="C47" s="310"/>
      <c r="D47" s="65"/>
      <c r="E47" s="65"/>
      <c r="F47" s="65"/>
      <c r="G47" s="65"/>
      <c r="H47" s="84"/>
      <c r="I47" s="65"/>
      <c r="J47" s="65"/>
      <c r="K47" s="65"/>
      <c r="L47" s="65"/>
      <c r="M47" s="126"/>
      <c r="N47" s="65"/>
      <c r="O47" s="65"/>
      <c r="P47" s="65"/>
      <c r="Q47" s="198"/>
      <c r="R47" s="65"/>
      <c r="S47" s="63"/>
      <c r="T47" s="63"/>
      <c r="U47" s="63"/>
      <c r="V47" s="65"/>
      <c r="W47" s="84"/>
      <c r="X47" s="65"/>
      <c r="Y47" s="65"/>
      <c r="Z47" s="65"/>
      <c r="AA47" s="65"/>
      <c r="AB47" s="65"/>
      <c r="AC47" s="65"/>
      <c r="AD47" s="65"/>
      <c r="AE47" s="65"/>
      <c r="AF47" s="65"/>
      <c r="AG47" s="65"/>
      <c r="AH47" s="126"/>
      <c r="AI47" s="65"/>
      <c r="AJ47" s="125"/>
      <c r="AK47" s="65"/>
      <c r="AL47" s="65"/>
      <c r="AM47" s="65"/>
      <c r="AN47" s="65"/>
      <c r="AO47" s="65"/>
      <c r="AP47" s="65"/>
      <c r="AQ47" s="125"/>
      <c r="AR47" s="65"/>
      <c r="AS47" s="125"/>
      <c r="AT47" s="64"/>
      <c r="AU47" s="63"/>
      <c r="AV47" s="65"/>
      <c r="AW47" s="65"/>
      <c r="AX47" s="65"/>
      <c r="AY47" s="63"/>
      <c r="AZ47" s="31"/>
      <c r="BA47" s="35"/>
      <c r="BB47" s="35"/>
      <c r="BC47" s="311"/>
      <c r="BD47" s="28"/>
    </row>
    <row r="48" spans="1:62" ht="13.5" customHeight="1">
      <c r="A48" s="22"/>
      <c r="B48" s="202">
        <v>14</v>
      </c>
      <c r="C48" s="312"/>
      <c r="D48" s="65"/>
      <c r="E48" s="65"/>
      <c r="F48" s="65"/>
      <c r="G48" s="65"/>
      <c r="H48" s="65"/>
      <c r="I48" s="65"/>
      <c r="J48" s="65"/>
      <c r="K48" s="198"/>
      <c r="L48" s="65"/>
      <c r="M48" s="65"/>
      <c r="N48" s="65"/>
      <c r="O48" s="65"/>
      <c r="P48" s="65"/>
      <c r="Q48" s="198"/>
      <c r="R48" s="65"/>
      <c r="S48" s="65"/>
      <c r="T48" s="65"/>
      <c r="U48" s="198"/>
      <c r="V48" s="65"/>
      <c r="W48" s="65"/>
      <c r="X48" s="65"/>
      <c r="Y48" s="65"/>
      <c r="Z48" s="65"/>
      <c r="AA48" s="65"/>
      <c r="AB48" s="65"/>
      <c r="AC48" s="65"/>
      <c r="AD48" s="65"/>
      <c r="AE48" s="65"/>
      <c r="AF48" s="65"/>
      <c r="AG48" s="65"/>
      <c r="AH48" s="65"/>
      <c r="AI48" s="65"/>
      <c r="AJ48" s="125"/>
      <c r="AK48" s="112"/>
      <c r="AL48" s="62"/>
      <c r="AM48" s="63"/>
      <c r="AN48" s="63"/>
      <c r="AO48" s="63"/>
      <c r="AP48" s="63"/>
      <c r="AQ48" s="64"/>
      <c r="AR48" s="63"/>
      <c r="AS48" s="65"/>
      <c r="AT48" s="65"/>
      <c r="AU48" s="65"/>
      <c r="AV48" s="65"/>
      <c r="AW48" s="65"/>
      <c r="AX48" s="65"/>
      <c r="AY48" s="63"/>
      <c r="AZ48" s="31"/>
      <c r="BA48" s="35"/>
      <c r="BB48" s="35"/>
      <c r="BC48" s="311"/>
      <c r="BD48" s="28"/>
    </row>
    <row r="49" spans="1:67" ht="13.5" customHeight="1">
      <c r="A49" s="22"/>
      <c r="B49" s="202">
        <v>15</v>
      </c>
      <c r="C49" s="313" t="s">
        <v>71</v>
      </c>
      <c r="D49" s="223"/>
      <c r="E49" s="224"/>
      <c r="F49" s="223"/>
      <c r="G49" s="224"/>
      <c r="H49" s="225"/>
      <c r="I49" s="226"/>
      <c r="J49" s="227"/>
      <c r="K49" s="227"/>
      <c r="L49" s="227"/>
      <c r="M49" s="228"/>
      <c r="N49" s="227"/>
      <c r="O49" s="227"/>
      <c r="P49" s="227"/>
      <c r="Q49" s="229"/>
      <c r="R49" s="227"/>
      <c r="S49" s="227"/>
      <c r="T49" s="227"/>
      <c r="U49" s="227"/>
      <c r="V49" s="227"/>
      <c r="W49" s="229"/>
      <c r="X49" s="227"/>
      <c r="Y49" s="227"/>
      <c r="Z49" s="227"/>
      <c r="AA49" s="229"/>
      <c r="AB49" s="227"/>
      <c r="AC49" s="227"/>
      <c r="AD49" s="227"/>
      <c r="AE49" s="227"/>
      <c r="AF49" s="227"/>
      <c r="AG49" s="232"/>
      <c r="AH49" s="227"/>
      <c r="AI49" s="227"/>
      <c r="AJ49" s="227"/>
      <c r="AK49" s="227"/>
      <c r="AL49" s="227"/>
      <c r="AM49" s="227"/>
      <c r="AN49" s="227"/>
      <c r="AO49" s="227"/>
      <c r="AP49" s="227"/>
      <c r="AQ49" s="230"/>
      <c r="AR49" s="227"/>
      <c r="AS49" s="230"/>
      <c r="AT49" s="227"/>
      <c r="AU49" s="227"/>
      <c r="AV49" s="227"/>
      <c r="AW49" s="227"/>
      <c r="AX49" s="227"/>
      <c r="AY49" s="224"/>
      <c r="AZ49" s="224"/>
      <c r="BA49" s="231"/>
      <c r="BB49" s="231"/>
      <c r="BC49" s="314"/>
      <c r="BD49" s="28"/>
    </row>
    <row r="50" spans="1:67" ht="13.5" customHeight="1">
      <c r="A50" s="22"/>
      <c r="B50" s="202">
        <v>16</v>
      </c>
      <c r="C50" s="310"/>
      <c r="D50" s="65"/>
      <c r="E50" s="65"/>
      <c r="F50" s="65"/>
      <c r="G50" s="65"/>
      <c r="H50" s="65"/>
      <c r="I50" s="65"/>
      <c r="J50" s="65"/>
      <c r="K50" s="65"/>
      <c r="L50" s="65"/>
      <c r="M50" s="62"/>
      <c r="N50" s="65"/>
      <c r="O50" s="65"/>
      <c r="P50" s="63"/>
      <c r="Q50" s="64"/>
      <c r="R50" s="63"/>
      <c r="S50" s="111"/>
      <c r="T50" s="112"/>
      <c r="U50" s="111"/>
      <c r="V50" s="112"/>
      <c r="W50" s="111"/>
      <c r="X50" s="111"/>
      <c r="Y50" s="111"/>
      <c r="Z50" s="111"/>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3"/>
      <c r="AZ50" s="53"/>
      <c r="BA50" s="323"/>
      <c r="BB50" s="324"/>
      <c r="BC50" s="325"/>
      <c r="BD50" s="28"/>
    </row>
    <row r="51" spans="1:67" ht="13.5" customHeight="1">
      <c r="A51" s="22"/>
      <c r="B51" s="202">
        <v>17</v>
      </c>
      <c r="C51" s="310"/>
      <c r="D51" s="65"/>
      <c r="E51" s="65"/>
      <c r="F51" s="65"/>
      <c r="G51" s="65"/>
      <c r="H51" s="126"/>
      <c r="I51" s="65"/>
      <c r="J51" s="65"/>
      <c r="K51" s="65"/>
      <c r="L51" s="198"/>
      <c r="M51" s="65"/>
      <c r="N51" s="65"/>
      <c r="O51" s="65"/>
      <c r="P51" s="198"/>
      <c r="Q51" s="65"/>
      <c r="R51" s="65"/>
      <c r="S51" s="65"/>
      <c r="T51" s="198"/>
      <c r="U51" s="65"/>
      <c r="V51" s="65"/>
      <c r="W51" s="65"/>
      <c r="X51" s="65"/>
      <c r="Y51" s="65"/>
      <c r="Z51" s="65"/>
      <c r="AA51" s="65"/>
      <c r="AB51" s="65"/>
      <c r="AC51" s="65"/>
      <c r="AD51" s="65"/>
      <c r="AE51" s="65"/>
      <c r="AF51" s="65"/>
      <c r="AG51" s="65"/>
      <c r="AH51" s="65"/>
      <c r="AI51" s="65"/>
      <c r="AJ51" s="65"/>
      <c r="AK51" s="125"/>
      <c r="AL51" s="65"/>
      <c r="AM51" s="65"/>
      <c r="AN51" s="65"/>
      <c r="AO51" s="65"/>
      <c r="AP51" s="65"/>
      <c r="AQ51" s="65"/>
      <c r="AR51" s="65"/>
      <c r="AS51" s="65"/>
      <c r="AT51" s="65"/>
      <c r="AU51" s="65"/>
      <c r="AV51" s="65"/>
      <c r="AW51" s="65"/>
      <c r="AX51" s="65"/>
      <c r="AY51" s="63"/>
      <c r="AZ51" s="31"/>
      <c r="BA51" s="30"/>
      <c r="BB51" s="175"/>
      <c r="BC51" s="326"/>
      <c r="BD51" s="28"/>
    </row>
    <row r="52" spans="1:67" ht="5.15" customHeight="1">
      <c r="A52" s="22"/>
      <c r="B52" s="202"/>
      <c r="C52" s="315"/>
      <c r="D52" s="73"/>
      <c r="E52" s="73"/>
      <c r="F52" s="73"/>
      <c r="G52" s="73"/>
      <c r="H52" s="316"/>
      <c r="I52" s="275"/>
      <c r="J52" s="273"/>
      <c r="K52" s="275"/>
      <c r="L52" s="273"/>
      <c r="M52" s="317"/>
      <c r="N52" s="317"/>
      <c r="O52" s="270"/>
      <c r="P52" s="317"/>
      <c r="Q52" s="270"/>
      <c r="R52" s="317"/>
      <c r="S52" s="73"/>
      <c r="T52" s="73"/>
      <c r="U52" s="73"/>
      <c r="V52" s="73"/>
      <c r="W52" s="73"/>
      <c r="X52" s="316"/>
      <c r="Y52" s="275"/>
      <c r="Z52" s="273"/>
      <c r="AA52" s="275"/>
      <c r="AB52" s="273"/>
      <c r="AC52" s="317"/>
      <c r="AD52" s="317"/>
      <c r="AE52" s="270"/>
      <c r="AF52" s="317"/>
      <c r="AG52" s="270"/>
      <c r="AH52" s="317"/>
      <c r="AI52" s="276"/>
      <c r="AJ52" s="317"/>
      <c r="AK52" s="270"/>
      <c r="AL52" s="73"/>
      <c r="AM52" s="73"/>
      <c r="AN52" s="73"/>
      <c r="AO52" s="73"/>
      <c r="AP52" s="73"/>
      <c r="AQ52" s="73"/>
      <c r="AR52" s="73"/>
      <c r="AS52" s="73"/>
      <c r="AT52" s="73"/>
      <c r="AU52" s="73"/>
      <c r="AV52" s="318"/>
      <c r="AW52" s="73"/>
      <c r="AX52" s="73"/>
      <c r="AY52" s="269"/>
      <c r="AZ52" s="269"/>
      <c r="BA52" s="319"/>
      <c r="BB52" s="320"/>
      <c r="BC52" s="321"/>
      <c r="BD52" s="28"/>
    </row>
    <row r="53" spans="1:67" ht="13.5" customHeight="1">
      <c r="A53" s="22"/>
      <c r="B53" s="202">
        <v>18</v>
      </c>
      <c r="C53" s="75"/>
      <c r="D53" s="63"/>
      <c r="E53" s="63"/>
      <c r="F53" s="63"/>
      <c r="G53" s="63"/>
      <c r="H53" s="69"/>
      <c r="I53" s="69"/>
      <c r="J53" s="65"/>
      <c r="K53" s="69"/>
      <c r="L53" s="65"/>
      <c r="M53" s="69"/>
      <c r="N53" s="64"/>
      <c r="O53" s="69"/>
      <c r="P53" s="65"/>
      <c r="Q53" s="65"/>
      <c r="R53" s="65"/>
      <c r="S53" s="63"/>
      <c r="T53" s="63"/>
      <c r="U53" s="63"/>
      <c r="V53" s="63"/>
      <c r="W53" s="63"/>
      <c r="X53" s="64"/>
      <c r="Y53" s="63"/>
      <c r="Z53" s="65"/>
      <c r="AA53" s="64"/>
      <c r="AB53" s="63"/>
      <c r="AC53" s="65"/>
      <c r="AD53" s="64"/>
      <c r="AE53" s="65"/>
      <c r="AF53" s="65"/>
      <c r="AG53" s="64"/>
      <c r="AH53" s="65"/>
      <c r="AI53" s="65"/>
      <c r="AJ53" s="126"/>
      <c r="AK53" s="65"/>
      <c r="AL53" s="65"/>
      <c r="AM53" s="65"/>
      <c r="AN53" s="65"/>
      <c r="AO53" s="65"/>
      <c r="AP53" s="65"/>
      <c r="AQ53" s="65"/>
      <c r="AR53" s="65"/>
      <c r="AS53" s="65"/>
      <c r="AT53" s="65"/>
      <c r="AU53" s="65"/>
      <c r="AV53" s="65"/>
      <c r="AW53" s="65"/>
      <c r="AX53" s="65"/>
      <c r="AY53" s="63"/>
      <c r="AZ53" s="264"/>
      <c r="BA53" s="301"/>
      <c r="BB53" s="302"/>
      <c r="BC53" s="343"/>
      <c r="BD53" s="28"/>
    </row>
    <row r="54" spans="1:67" ht="13.5" customHeight="1">
      <c r="A54" s="22"/>
      <c r="B54" s="202">
        <v>20</v>
      </c>
      <c r="C54" s="204" t="s">
        <v>78</v>
      </c>
      <c r="D54" s="28"/>
      <c r="E54" s="28"/>
      <c r="F54" s="28"/>
      <c r="G54" s="28"/>
      <c r="H54" s="121"/>
      <c r="I54" s="62"/>
      <c r="J54" s="63"/>
      <c r="K54" s="62"/>
      <c r="L54" s="63"/>
      <c r="M54" s="69"/>
      <c r="N54" s="69"/>
      <c r="O54" s="65"/>
      <c r="P54" s="69"/>
      <c r="Q54" s="65"/>
      <c r="R54" s="69"/>
      <c r="S54" s="28"/>
      <c r="T54" s="28"/>
      <c r="U54" s="28"/>
      <c r="V54" s="28"/>
      <c r="W54" s="28"/>
      <c r="X54" s="121"/>
      <c r="Y54" s="62"/>
      <c r="Z54" s="63"/>
      <c r="AA54" s="62"/>
      <c r="AB54" s="63"/>
      <c r="AC54" s="69"/>
      <c r="AD54" s="69"/>
      <c r="AE54" s="65"/>
      <c r="AF54" s="69"/>
      <c r="AG54" s="65"/>
      <c r="AH54" s="69"/>
      <c r="AI54" s="64"/>
      <c r="AJ54" s="69"/>
      <c r="AK54" s="65"/>
      <c r="AL54" s="28"/>
      <c r="AM54" s="28"/>
      <c r="AN54" s="28"/>
      <c r="AO54" s="28"/>
      <c r="AP54" s="28"/>
      <c r="AQ54" s="28"/>
      <c r="AR54" s="28"/>
      <c r="AS54" s="28"/>
      <c r="AT54" s="28"/>
      <c r="AU54" s="28"/>
      <c r="AV54" s="233" t="s">
        <v>72</v>
      </c>
      <c r="AW54" s="28"/>
      <c r="AX54" s="28"/>
      <c r="AY54" s="31"/>
      <c r="AZ54" s="269"/>
      <c r="BA54" s="319"/>
      <c r="BB54" s="320"/>
      <c r="BC54" s="344"/>
      <c r="BD54" s="28"/>
    </row>
    <row r="55" spans="1:67" ht="5.15" customHeight="1">
      <c r="A55" s="22"/>
      <c r="B55" s="202"/>
      <c r="C55" s="296"/>
      <c r="D55" s="72"/>
      <c r="E55" s="72"/>
      <c r="F55" s="72"/>
      <c r="G55" s="72"/>
      <c r="H55" s="297"/>
      <c r="I55" s="278"/>
      <c r="J55" s="279"/>
      <c r="K55" s="278"/>
      <c r="L55" s="279"/>
      <c r="M55" s="298"/>
      <c r="N55" s="298"/>
      <c r="O55" s="263"/>
      <c r="P55" s="298"/>
      <c r="Q55" s="263"/>
      <c r="R55" s="298"/>
      <c r="S55" s="72"/>
      <c r="T55" s="72"/>
      <c r="U55" s="72"/>
      <c r="V55" s="72"/>
      <c r="W55" s="72"/>
      <c r="X55" s="297"/>
      <c r="Y55" s="278"/>
      <c r="Z55" s="279"/>
      <c r="AA55" s="278"/>
      <c r="AB55" s="279"/>
      <c r="AC55" s="298"/>
      <c r="AD55" s="298"/>
      <c r="AE55" s="263"/>
      <c r="AF55" s="298"/>
      <c r="AG55" s="263"/>
      <c r="AH55" s="298"/>
      <c r="AI55" s="280"/>
      <c r="AJ55" s="298"/>
      <c r="AK55" s="263"/>
      <c r="AL55" s="72"/>
      <c r="AM55" s="72"/>
      <c r="AN55" s="72"/>
      <c r="AO55" s="72"/>
      <c r="AP55" s="72"/>
      <c r="AQ55" s="72"/>
      <c r="AR55" s="72"/>
      <c r="AS55" s="72"/>
      <c r="AT55" s="72"/>
      <c r="AU55" s="72"/>
      <c r="AV55" s="300"/>
      <c r="AW55" s="72"/>
      <c r="AX55" s="72"/>
      <c r="AY55" s="264"/>
      <c r="AZ55" s="264"/>
      <c r="BA55" s="301"/>
      <c r="BB55" s="302"/>
      <c r="BC55" s="303"/>
      <c r="BD55" s="28"/>
    </row>
    <row r="56" spans="1:67" ht="13.5" customHeight="1">
      <c r="A56" s="22"/>
      <c r="B56" s="202">
        <v>21</v>
      </c>
      <c r="C56" s="304" t="s">
        <v>32</v>
      </c>
      <c r="D56" s="234" t="s">
        <v>260</v>
      </c>
      <c r="E56" s="235"/>
      <c r="F56" s="234" t="s">
        <v>64</v>
      </c>
      <c r="G56" s="235"/>
      <c r="H56" s="235"/>
      <c r="I56" s="236"/>
      <c r="J56" s="237" t="s">
        <v>34</v>
      </c>
      <c r="K56" s="238"/>
      <c r="L56" s="238"/>
      <c r="M56" s="238"/>
      <c r="N56" s="235"/>
      <c r="O56" s="236"/>
      <c r="P56" s="239" t="s">
        <v>67</v>
      </c>
      <c r="Q56" s="240"/>
      <c r="R56" s="240"/>
      <c r="S56" s="241"/>
      <c r="T56" s="234" t="s">
        <v>79</v>
      </c>
      <c r="U56" s="235"/>
      <c r="V56" s="235"/>
      <c r="W56" s="236"/>
      <c r="X56" s="234" t="s">
        <v>224</v>
      </c>
      <c r="Y56" s="235"/>
      <c r="Z56" s="235"/>
      <c r="AA56" s="235"/>
      <c r="AB56" s="239" t="s">
        <v>65</v>
      </c>
      <c r="AC56" s="240"/>
      <c r="AD56" s="240"/>
      <c r="AE56" s="240"/>
      <c r="AF56" s="241"/>
      <c r="AG56" s="240" t="s">
        <v>68</v>
      </c>
      <c r="AH56" s="240"/>
      <c r="AI56" s="240"/>
      <c r="AJ56" s="241"/>
      <c r="AK56" s="240" t="s">
        <v>66</v>
      </c>
      <c r="AL56" s="240"/>
      <c r="AM56" s="240"/>
      <c r="AN56" s="241"/>
      <c r="AO56" s="239" t="s">
        <v>141</v>
      </c>
      <c r="AP56" s="240"/>
      <c r="AQ56" s="240"/>
      <c r="AR56" s="241"/>
      <c r="AS56" s="239" t="s">
        <v>82</v>
      </c>
      <c r="AT56" s="240"/>
      <c r="AU56" s="240"/>
      <c r="AV56" s="240"/>
      <c r="AW56" s="239" t="s">
        <v>83</v>
      </c>
      <c r="AX56" s="240"/>
      <c r="AY56" s="240"/>
      <c r="AZ56" s="241"/>
      <c r="BA56" s="239" t="s">
        <v>84</v>
      </c>
      <c r="BB56" s="240"/>
      <c r="BC56" s="240"/>
      <c r="BD56" s="241"/>
      <c r="BE56" s="240" t="s">
        <v>85</v>
      </c>
      <c r="BF56" s="240"/>
      <c r="BG56" s="241"/>
      <c r="BH56" s="240" t="s">
        <v>86</v>
      </c>
      <c r="BI56" s="240"/>
      <c r="BJ56" s="240"/>
      <c r="BK56" s="241"/>
      <c r="BL56" s="240" t="s">
        <v>69</v>
      </c>
      <c r="BM56" s="240"/>
      <c r="BN56" s="240"/>
      <c r="BO56" s="241"/>
    </row>
    <row r="57" spans="1:67" ht="13.5" customHeight="1">
      <c r="A57" s="22"/>
      <c r="B57" s="202">
        <v>22</v>
      </c>
      <c r="C57" s="308">
        <v>1</v>
      </c>
      <c r="D57" s="148" t="str">
        <f>N42</f>
        <v>R</v>
      </c>
      <c r="E57" s="149"/>
      <c r="F57" s="148" t="str">
        <f>D42</f>
        <v>1250103874</v>
      </c>
      <c r="G57" s="149"/>
      <c r="H57" s="149"/>
      <c r="I57" s="151"/>
      <c r="J57" s="242" t="str">
        <f>H42</f>
        <v>HR25-9TP-16P(74)</v>
      </c>
      <c r="K57" s="150"/>
      <c r="L57" s="150"/>
      <c r="M57" s="150"/>
      <c r="N57" s="161"/>
      <c r="O57" s="162"/>
      <c r="P57" s="148" t="s">
        <v>144</v>
      </c>
      <c r="Q57" s="150"/>
      <c r="R57" s="150"/>
      <c r="S57" s="162"/>
      <c r="T57" s="1002">
        <f>R42</f>
        <v>1000</v>
      </c>
      <c r="U57" s="1003"/>
      <c r="V57" s="1003"/>
      <c r="W57" s="1004"/>
      <c r="X57" s="1030">
        <f>AH42</f>
        <v>510.27</v>
      </c>
      <c r="Y57" s="1031"/>
      <c r="Z57" s="1031"/>
      <c r="AA57" s="1032"/>
      <c r="AB57" s="1030">
        <f>V42</f>
        <v>980</v>
      </c>
      <c r="AC57" s="1031"/>
      <c r="AD57" s="1031"/>
      <c r="AE57" s="1031"/>
      <c r="AF57" s="1032"/>
      <c r="AG57" s="1030">
        <f>Z42</f>
        <v>1610</v>
      </c>
      <c r="AH57" s="1031"/>
      <c r="AI57" s="1031"/>
      <c r="AJ57" s="1032"/>
      <c r="AK57" s="1030">
        <f>AD42</f>
        <v>1035</v>
      </c>
      <c r="AL57" s="1031"/>
      <c r="AM57" s="1031"/>
      <c r="AN57" s="1032"/>
      <c r="AO57" s="1026">
        <f>AD42/AM42-1</f>
        <v>0.30020225368390641</v>
      </c>
      <c r="AP57" s="1027"/>
      <c r="AQ57" s="1027"/>
      <c r="AR57" s="1028"/>
      <c r="AS57" s="1023">
        <f>(AK57-AG57)/AG57</f>
        <v>-0.35714285714285715</v>
      </c>
      <c r="AT57" s="1024"/>
      <c r="AU57" s="1024"/>
      <c r="AV57" s="1025"/>
      <c r="AW57" s="148"/>
      <c r="AX57" s="150"/>
      <c r="AY57" s="150"/>
      <c r="AZ57" s="162"/>
      <c r="BA57" s="1026" t="str">
        <f>IFERROR(1-(AD42/AQ42),"")</f>
        <v/>
      </c>
      <c r="BB57" s="1027"/>
      <c r="BC57" s="1027"/>
      <c r="BD57" s="1028"/>
      <c r="BE57" s="1014">
        <f>AU42</f>
        <v>64.7</v>
      </c>
      <c r="BF57" s="1015"/>
      <c r="BG57" s="1016"/>
      <c r="BH57" s="149" t="str">
        <f>AX42</f>
        <v>サンウー</v>
      </c>
      <c r="BI57" s="150"/>
      <c r="BJ57" s="150"/>
      <c r="BK57" s="152"/>
      <c r="BL57" s="149" t="s">
        <v>30</v>
      </c>
      <c r="BM57" s="150"/>
      <c r="BN57" s="150"/>
      <c r="BO57" s="152"/>
    </row>
    <row r="58" spans="1:67" ht="13.5" customHeight="1">
      <c r="A58" s="22"/>
      <c r="B58" s="202">
        <v>23</v>
      </c>
      <c r="C58" s="308">
        <v>2</v>
      </c>
      <c r="D58" s="148" t="str">
        <f>N43</f>
        <v>R</v>
      </c>
      <c r="E58" s="149"/>
      <c r="F58" s="148" t="str">
        <f>D43</f>
        <v>1250109471</v>
      </c>
      <c r="G58" s="149"/>
      <c r="H58" s="149"/>
      <c r="I58" s="151"/>
      <c r="J58" s="242" t="str">
        <f>H43</f>
        <v>HR25-9TR-16S(71)</v>
      </c>
      <c r="K58" s="150"/>
      <c r="L58" s="150"/>
      <c r="M58" s="150"/>
      <c r="N58" s="161"/>
      <c r="O58" s="162"/>
      <c r="P58" s="148" t="s">
        <v>144</v>
      </c>
      <c r="Q58" s="150"/>
      <c r="R58" s="150"/>
      <c r="S58" s="162"/>
      <c r="T58" s="1002">
        <f>R43</f>
        <v>500</v>
      </c>
      <c r="U58" s="1003"/>
      <c r="V58" s="1003"/>
      <c r="W58" s="1004"/>
      <c r="X58" s="1030">
        <f>AH43</f>
        <v>247.92</v>
      </c>
      <c r="Y58" s="1031"/>
      <c r="Z58" s="1031"/>
      <c r="AA58" s="1032"/>
      <c r="AB58" s="1030">
        <f>V43</f>
        <v>500</v>
      </c>
      <c r="AC58" s="1031"/>
      <c r="AD58" s="1031"/>
      <c r="AE58" s="1031"/>
      <c r="AF58" s="1032"/>
      <c r="AG58" s="1030">
        <f>Z43</f>
        <v>794</v>
      </c>
      <c r="AH58" s="1031"/>
      <c r="AI58" s="1031"/>
      <c r="AJ58" s="1032"/>
      <c r="AK58" s="1030">
        <f>AD43</f>
        <v>630</v>
      </c>
      <c r="AL58" s="1031"/>
      <c r="AM58" s="1031"/>
      <c r="AN58" s="1032"/>
      <c r="AO58" s="1026">
        <f>AD43/AM43-1</f>
        <v>0.3030798188098538</v>
      </c>
      <c r="AP58" s="1027"/>
      <c r="AQ58" s="1027"/>
      <c r="AR58" s="1028"/>
      <c r="AS58" s="1023">
        <f>(AK58-AG58)/AG58</f>
        <v>-0.20654911838790932</v>
      </c>
      <c r="AT58" s="1024"/>
      <c r="AU58" s="1024"/>
      <c r="AV58" s="1025"/>
      <c r="AW58" s="148"/>
      <c r="AX58" s="150"/>
      <c r="AY58" s="150"/>
      <c r="AZ58" s="162"/>
      <c r="BA58" s="1026" t="str">
        <f>IFERROR(1-(AD43/AQ43),"")</f>
        <v/>
      </c>
      <c r="BB58" s="1027"/>
      <c r="BC58" s="1027"/>
      <c r="BD58" s="1028"/>
      <c r="BE58" s="1014">
        <f>AU43</f>
        <v>39.4</v>
      </c>
      <c r="BF58" s="1015"/>
      <c r="BG58" s="1016"/>
      <c r="BH58" s="149" t="str">
        <f>AX43</f>
        <v>サンウー</v>
      </c>
      <c r="BI58" s="150"/>
      <c r="BJ58" s="150"/>
      <c r="BK58" s="152"/>
      <c r="BL58" s="149" t="s">
        <v>30</v>
      </c>
      <c r="BM58" s="150"/>
      <c r="BN58" s="150"/>
      <c r="BO58" s="152"/>
    </row>
    <row r="59" spans="1:67" ht="13.5" customHeight="1">
      <c r="A59" s="22"/>
      <c r="B59" s="202">
        <v>20</v>
      </c>
      <c r="C59" s="337" t="s">
        <v>281</v>
      </c>
      <c r="D59" s="28"/>
      <c r="E59" s="28"/>
      <c r="F59" s="28"/>
      <c r="G59" s="28"/>
      <c r="H59" s="121"/>
      <c r="I59" s="62"/>
      <c r="J59" s="63"/>
      <c r="K59" s="62"/>
      <c r="L59" s="63"/>
      <c r="M59" s="69"/>
      <c r="N59" s="69"/>
      <c r="O59" s="65"/>
      <c r="P59" s="69"/>
      <c r="Q59" s="65"/>
      <c r="R59" s="69"/>
      <c r="S59" s="28"/>
      <c r="T59" s="28"/>
      <c r="U59" s="28"/>
      <c r="V59" s="28"/>
      <c r="W59" s="28"/>
      <c r="X59" s="121"/>
      <c r="Y59" s="62"/>
      <c r="Z59" s="63"/>
      <c r="AA59" s="62"/>
      <c r="AB59" s="63"/>
      <c r="AC59" s="69"/>
      <c r="AD59" s="69"/>
      <c r="AE59" s="65"/>
      <c r="AF59" s="69"/>
      <c r="AG59" s="65"/>
      <c r="AH59" s="69"/>
      <c r="AI59" s="64"/>
      <c r="AJ59" s="69"/>
      <c r="AK59" s="65"/>
      <c r="AL59" s="28"/>
      <c r="AM59" s="28"/>
      <c r="AN59" s="28"/>
      <c r="AO59" s="28"/>
      <c r="AP59" s="28"/>
      <c r="AQ59" s="28"/>
      <c r="AR59" s="28"/>
      <c r="AS59" s="28"/>
      <c r="AT59" s="28"/>
      <c r="AU59" s="28"/>
      <c r="AV59" s="233"/>
      <c r="AW59" s="28"/>
      <c r="AX59" s="28"/>
      <c r="AY59" s="31"/>
      <c r="AZ59" s="95"/>
      <c r="BA59" s="92"/>
      <c r="BB59" s="329"/>
      <c r="BC59" s="338"/>
      <c r="BD59" s="37"/>
      <c r="BE59" s="37"/>
    </row>
    <row r="60" spans="1:67" ht="13.5" customHeight="1">
      <c r="A60" s="22"/>
      <c r="B60" s="202">
        <v>24</v>
      </c>
      <c r="C60" s="304"/>
      <c r="D60" s="502" t="s">
        <v>280</v>
      </c>
      <c r="E60" s="503"/>
      <c r="F60" s="504" t="s">
        <v>30</v>
      </c>
      <c r="G60" s="503"/>
      <c r="H60" s="503"/>
      <c r="I60" s="505"/>
      <c r="J60" s="504" t="s">
        <v>30</v>
      </c>
      <c r="K60" s="506"/>
      <c r="L60" s="506"/>
      <c r="M60" s="506"/>
      <c r="N60" s="503"/>
      <c r="O60" s="505"/>
      <c r="P60" s="507"/>
      <c r="Q60" s="508"/>
      <c r="R60" s="508"/>
      <c r="S60" s="509"/>
      <c r="T60" s="502"/>
      <c r="U60" s="503"/>
      <c r="V60" s="503"/>
      <c r="W60" s="505"/>
      <c r="X60" s="508"/>
      <c r="Y60" s="503"/>
      <c r="Z60" s="503"/>
      <c r="AA60" s="503"/>
      <c r="AB60" s="507" t="s">
        <v>98</v>
      </c>
      <c r="AC60" s="508"/>
      <c r="AD60" s="508"/>
      <c r="AE60" s="508"/>
      <c r="AF60" s="509"/>
      <c r="AG60" s="510" t="s">
        <v>145</v>
      </c>
      <c r="AH60" s="508"/>
      <c r="AI60" s="508"/>
      <c r="AJ60" s="509"/>
      <c r="AK60" s="510" t="s">
        <v>142</v>
      </c>
      <c r="AL60" s="508"/>
      <c r="AM60" s="508"/>
      <c r="AN60" s="509"/>
      <c r="AO60" s="507" t="s">
        <v>143</v>
      </c>
      <c r="AP60" s="508"/>
      <c r="AQ60" s="508"/>
      <c r="AR60" s="509"/>
      <c r="AS60" s="507" t="s">
        <v>82</v>
      </c>
      <c r="AT60" s="508"/>
      <c r="AU60" s="508"/>
      <c r="AV60" s="508"/>
      <c r="AW60" s="507" t="s">
        <v>100</v>
      </c>
      <c r="AX60" s="508"/>
      <c r="AY60" s="508"/>
      <c r="AZ60" s="509"/>
      <c r="BA60" s="507" t="s">
        <v>101</v>
      </c>
      <c r="BB60" s="508"/>
      <c r="BC60" s="508"/>
      <c r="BD60" s="509"/>
      <c r="BE60" s="513" t="s">
        <v>30</v>
      </c>
      <c r="BF60" s="508"/>
      <c r="BG60" s="509"/>
      <c r="BH60" s="508"/>
      <c r="BI60" s="508"/>
      <c r="BJ60" s="508"/>
      <c r="BK60" s="509"/>
      <c r="BL60" s="513" t="s">
        <v>30</v>
      </c>
      <c r="BM60" s="508"/>
      <c r="BN60" s="508"/>
      <c r="BO60" s="509"/>
    </row>
    <row r="61" spans="1:67" ht="13.5" customHeight="1">
      <c r="A61" s="22"/>
      <c r="B61" s="202">
        <v>25</v>
      </c>
      <c r="C61" s="308">
        <v>1</v>
      </c>
      <c r="D61" s="148" t="s">
        <v>92</v>
      </c>
      <c r="E61" s="149"/>
      <c r="F61" s="148" t="s">
        <v>30</v>
      </c>
      <c r="G61" s="149"/>
      <c r="H61" s="149"/>
      <c r="I61" s="151"/>
      <c r="J61" s="221" t="s">
        <v>30</v>
      </c>
      <c r="K61" s="222"/>
      <c r="L61" s="222"/>
      <c r="M61" s="222"/>
      <c r="N61" s="161"/>
      <c r="O61" s="162"/>
      <c r="P61" s="148"/>
      <c r="Q61" s="150"/>
      <c r="R61" s="150"/>
      <c r="S61" s="162"/>
      <c r="T61" s="119"/>
      <c r="U61" s="120"/>
      <c r="V61" s="120"/>
      <c r="W61" s="162"/>
      <c r="X61" s="990"/>
      <c r="Y61" s="991"/>
      <c r="Z61" s="991"/>
      <c r="AA61" s="992"/>
      <c r="AB61" s="993">
        <f>SUMPRODUCT($T$57:$W$58,$AK$57:$AN$58)</f>
        <v>1350000</v>
      </c>
      <c r="AC61" s="994"/>
      <c r="AD61" s="994"/>
      <c r="AE61" s="994"/>
      <c r="AF61" s="995"/>
      <c r="AG61" s="1017">
        <f>SUM(AM$42:AP$43)</f>
        <v>1279.5</v>
      </c>
      <c r="AH61" s="1018"/>
      <c r="AI61" s="1018"/>
      <c r="AJ61" s="1019"/>
      <c r="AK61" s="1017">
        <f>$AB61-SUMPRODUCT($R$42:$U$43,$AM$42:$AP$43)</f>
        <v>312235</v>
      </c>
      <c r="AL61" s="1018"/>
      <c r="AM61" s="1018"/>
      <c r="AN61" s="1019"/>
      <c r="AO61" s="996">
        <f>$AK61/($AB61-$AK61)</f>
        <v>0.30087254821660009</v>
      </c>
      <c r="AP61" s="997"/>
      <c r="AQ61" s="997"/>
      <c r="AR61" s="998"/>
      <c r="AS61" s="996">
        <f>AW61/($AB61-AW61)</f>
        <v>-0.3273542600896861</v>
      </c>
      <c r="AT61" s="997"/>
      <c r="AU61" s="997"/>
      <c r="AV61" s="998"/>
      <c r="AW61" s="1020">
        <f>$T$57*($AK$57-$AG$57)+$T$58*($AK$58-$AG$58)</f>
        <v>-657000</v>
      </c>
      <c r="AX61" s="1021"/>
      <c r="AY61" s="1021"/>
      <c r="AZ61" s="1022"/>
      <c r="BA61" s="1005">
        <f>SUMPRODUCT($T$57:$W$58,$AG$57:$AJ$58)</f>
        <v>2007000</v>
      </c>
      <c r="BB61" s="1006"/>
      <c r="BC61" s="1006"/>
      <c r="BD61" s="1007"/>
      <c r="BE61" s="149" t="s">
        <v>30</v>
      </c>
      <c r="BF61" s="150"/>
      <c r="BG61" s="152"/>
      <c r="BH61" s="149" t="s">
        <v>30</v>
      </c>
      <c r="BI61" s="150"/>
      <c r="BJ61" s="150"/>
      <c r="BK61" s="152"/>
      <c r="BL61" s="149" t="s">
        <v>30</v>
      </c>
      <c r="BM61" s="150"/>
      <c r="BN61" s="150"/>
      <c r="BO61" s="152"/>
    </row>
    <row r="62" spans="1:67" ht="13.5" customHeight="1">
      <c r="A62" s="22"/>
      <c r="B62" s="202">
        <v>20</v>
      </c>
      <c r="C62" s="337" t="s">
        <v>279</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c r="AW62" s="28"/>
      <c r="AX62" s="28"/>
      <c r="AY62" s="31"/>
      <c r="AZ62" s="95"/>
      <c r="BA62" s="92"/>
      <c r="BB62" s="329"/>
      <c r="BC62" s="338"/>
      <c r="BD62" s="37"/>
      <c r="BE62" s="37"/>
    </row>
    <row r="63" spans="1:67" ht="13.5" customHeight="1">
      <c r="A63" s="22"/>
      <c r="B63" s="202">
        <v>24</v>
      </c>
      <c r="C63" s="304"/>
      <c r="D63" s="243"/>
      <c r="E63" s="244"/>
      <c r="F63" s="243"/>
      <c r="G63" s="244"/>
      <c r="H63" s="244"/>
      <c r="I63" s="245"/>
      <c r="J63" s="246" t="s">
        <v>30</v>
      </c>
      <c r="K63" s="247"/>
      <c r="L63" s="247"/>
      <c r="M63" s="247"/>
      <c r="N63" s="244"/>
      <c r="O63" s="245"/>
      <c r="P63" s="248"/>
      <c r="Q63" s="249"/>
      <c r="R63" s="249"/>
      <c r="S63" s="250"/>
      <c r="T63" s="243"/>
      <c r="U63" s="244"/>
      <c r="V63" s="244"/>
      <c r="W63" s="245"/>
      <c r="X63" s="249"/>
      <c r="Y63" s="244"/>
      <c r="Z63" s="244"/>
      <c r="AA63" s="244"/>
      <c r="AB63" s="248" t="s">
        <v>98</v>
      </c>
      <c r="AC63" s="249"/>
      <c r="AD63" s="249"/>
      <c r="AE63" s="249"/>
      <c r="AF63" s="250"/>
      <c r="AG63" s="330" t="s">
        <v>145</v>
      </c>
      <c r="AH63" s="249"/>
      <c r="AI63" s="249"/>
      <c r="AJ63" s="250"/>
      <c r="AK63" s="330" t="s">
        <v>142</v>
      </c>
      <c r="AL63" s="249"/>
      <c r="AM63" s="249"/>
      <c r="AN63" s="250"/>
      <c r="AO63" s="248" t="s">
        <v>143</v>
      </c>
      <c r="AP63" s="249"/>
      <c r="AQ63" s="249"/>
      <c r="AR63" s="250"/>
      <c r="AS63" s="248" t="s">
        <v>82</v>
      </c>
      <c r="AT63" s="249"/>
      <c r="AU63" s="249"/>
      <c r="AV63" s="249"/>
      <c r="AW63" s="248" t="s">
        <v>100</v>
      </c>
      <c r="AX63" s="249"/>
      <c r="AY63" s="249"/>
      <c r="AZ63" s="250"/>
      <c r="BA63" s="248" t="s">
        <v>101</v>
      </c>
      <c r="BB63" s="249"/>
      <c r="BC63" s="249"/>
      <c r="BD63" s="250"/>
      <c r="BE63" s="251" t="s">
        <v>30</v>
      </c>
      <c r="BF63" s="249"/>
      <c r="BG63" s="250"/>
      <c r="BH63" s="249"/>
      <c r="BI63" s="249"/>
      <c r="BJ63" s="249"/>
      <c r="BK63" s="250"/>
      <c r="BL63" s="251" t="s">
        <v>30</v>
      </c>
      <c r="BM63" s="249"/>
      <c r="BN63" s="249"/>
      <c r="BO63" s="250"/>
    </row>
    <row r="64" spans="1:67" ht="13.5" customHeight="1">
      <c r="A64" s="22"/>
      <c r="B64" s="202">
        <v>25</v>
      </c>
      <c r="C64" s="308"/>
      <c r="D64" s="148"/>
      <c r="E64" s="149"/>
      <c r="F64" s="148"/>
      <c r="G64" s="149"/>
      <c r="H64" s="149"/>
      <c r="I64" s="151"/>
      <c r="J64" s="221"/>
      <c r="K64" s="222"/>
      <c r="L64" s="222"/>
      <c r="M64" s="222"/>
      <c r="N64" s="161"/>
      <c r="O64" s="162"/>
      <c r="P64" s="148"/>
      <c r="Q64" s="150"/>
      <c r="R64" s="150"/>
      <c r="S64" s="162"/>
      <c r="T64" s="119"/>
      <c r="U64" s="120"/>
      <c r="V64" s="120"/>
      <c r="W64" s="162"/>
      <c r="X64" s="990"/>
      <c r="Y64" s="991"/>
      <c r="Z64" s="991"/>
      <c r="AA64" s="992"/>
      <c r="AB64" s="993">
        <f>SUMPRODUCT($T$57:$W$58,$AK$57:$AN$58)</f>
        <v>1350000</v>
      </c>
      <c r="AC64" s="994"/>
      <c r="AD64" s="994"/>
      <c r="AE64" s="994"/>
      <c r="AF64" s="995"/>
      <c r="AG64" s="1017">
        <f>SUM(AM$42:AP$43)</f>
        <v>1279.5</v>
      </c>
      <c r="AH64" s="1018"/>
      <c r="AI64" s="1018"/>
      <c r="AJ64" s="1019"/>
      <c r="AK64" s="1017">
        <f>$AB64-SUMPRODUCT($R$42:$U$43,$AM$42:$AP$43)</f>
        <v>312235</v>
      </c>
      <c r="AL64" s="1018"/>
      <c r="AM64" s="1018"/>
      <c r="AN64" s="1019"/>
      <c r="AO64" s="996">
        <f>$AK64/($AB64-$AK64)</f>
        <v>0.30087254821660009</v>
      </c>
      <c r="AP64" s="997"/>
      <c r="AQ64" s="997"/>
      <c r="AR64" s="998"/>
      <c r="AS64" s="996">
        <f>AW64/($AB64-AW64)</f>
        <v>-0.3273542600896861</v>
      </c>
      <c r="AT64" s="997"/>
      <c r="AU64" s="997"/>
      <c r="AV64" s="998"/>
      <c r="AW64" s="1020">
        <f>$T$57*($AK$57-$AG$57)+$T$58*($AK$58-$AG$58)</f>
        <v>-657000</v>
      </c>
      <c r="AX64" s="1021"/>
      <c r="AY64" s="1021"/>
      <c r="AZ64" s="1022"/>
      <c r="BA64" s="1005">
        <f>SUMPRODUCT($T$57:$W$58,$AG$57:$AJ$58)</f>
        <v>2007000</v>
      </c>
      <c r="BB64" s="1006"/>
      <c r="BC64" s="1006"/>
      <c r="BD64" s="1007"/>
      <c r="BE64" s="149" t="s">
        <v>30</v>
      </c>
      <c r="BF64" s="150"/>
      <c r="BG64" s="152"/>
      <c r="BH64" s="149" t="s">
        <v>30</v>
      </c>
      <c r="BI64" s="150"/>
      <c r="BJ64" s="150"/>
      <c r="BK64" s="152"/>
      <c r="BL64" s="149" t="s">
        <v>30</v>
      </c>
      <c r="BM64" s="150"/>
      <c r="BN64" s="150"/>
      <c r="BO64" s="152"/>
    </row>
    <row r="65" spans="1:60" ht="13.5" customHeight="1">
      <c r="A65" s="22"/>
      <c r="B65" s="202">
        <v>26</v>
      </c>
      <c r="C65" s="339"/>
      <c r="D65" s="75"/>
      <c r="E65" s="75"/>
      <c r="F65" s="75"/>
      <c r="G65" s="75"/>
      <c r="H65" s="199"/>
      <c r="I65" s="199"/>
      <c r="J65" s="200"/>
      <c r="K65" s="199"/>
      <c r="L65" s="200"/>
      <c r="M65" s="199"/>
      <c r="N65" s="199"/>
      <c r="O65" s="83"/>
      <c r="P65" s="84"/>
      <c r="Q65" s="84"/>
      <c r="R65" s="84"/>
      <c r="S65" s="75"/>
      <c r="T65" s="75"/>
      <c r="U65" s="75"/>
      <c r="V65" s="75"/>
      <c r="W65" s="75"/>
      <c r="X65" s="85"/>
      <c r="Y65" s="75"/>
      <c r="Z65" s="84"/>
      <c r="AA65" s="85"/>
      <c r="AB65" s="75"/>
      <c r="AC65" s="84"/>
      <c r="AD65" s="85"/>
      <c r="AE65" s="84"/>
      <c r="AF65" s="84"/>
      <c r="AG65" s="85"/>
      <c r="AH65" s="84"/>
      <c r="AI65" s="84"/>
      <c r="AJ65" s="90"/>
      <c r="AK65" s="84"/>
      <c r="AL65" s="84"/>
      <c r="AM65" s="84"/>
      <c r="AN65" s="84"/>
      <c r="AO65" s="84"/>
      <c r="AP65" s="84"/>
      <c r="AQ65" s="84"/>
      <c r="AR65" s="84"/>
      <c r="AS65" s="65"/>
      <c r="AT65" s="65"/>
      <c r="AU65" s="65"/>
      <c r="AV65" s="65"/>
      <c r="AW65" s="65"/>
      <c r="AX65" s="65"/>
      <c r="AY65" s="63"/>
      <c r="AZ65" s="264"/>
      <c r="BA65" s="30"/>
      <c r="BB65" s="175"/>
      <c r="BC65" s="345"/>
      <c r="BD65" s="28"/>
    </row>
    <row r="66" spans="1:60" ht="13.5" customHeight="1">
      <c r="A66" s="22"/>
      <c r="B66" s="202">
        <v>27</v>
      </c>
      <c r="C66" s="340"/>
      <c r="D66"/>
      <c r="E66"/>
      <c r="F66"/>
      <c r="G66"/>
      <c r="H66"/>
      <c r="I66"/>
      <c r="J66"/>
      <c r="K66"/>
      <c r="L66"/>
      <c r="M66"/>
      <c r="N66"/>
      <c r="O66"/>
      <c r="P66"/>
      <c r="Q66"/>
      <c r="S66" s="35"/>
      <c r="T66" s="35"/>
      <c r="U66" s="35"/>
      <c r="V66" s="35"/>
      <c r="Y66" s="35"/>
      <c r="Z66" s="35"/>
      <c r="AD66" s="35"/>
      <c r="AE66" s="35"/>
      <c r="AF66" s="35"/>
      <c r="AG66" s="35"/>
      <c r="AH66" s="35"/>
      <c r="AI66" s="35"/>
      <c r="AJ66" s="35"/>
      <c r="AK66" s="35"/>
      <c r="AL66" s="84"/>
      <c r="AM66" s="84"/>
      <c r="AN66" s="84"/>
      <c r="AO66" s="84"/>
      <c r="AP66" s="84"/>
      <c r="AQ66" s="84"/>
      <c r="AR66" s="84"/>
      <c r="AS66" s="254"/>
      <c r="AT66" s="35"/>
      <c r="AU66" s="35"/>
      <c r="AV66" s="65"/>
      <c r="AW66" s="65"/>
      <c r="AX66" s="65"/>
      <c r="AY66" s="63"/>
      <c r="AZ66" s="31"/>
      <c r="BA66" s="30"/>
      <c r="BB66" s="175"/>
      <c r="BC66" s="345"/>
      <c r="BD66" s="28"/>
    </row>
    <row r="67" spans="1:60" ht="13.5" customHeight="1">
      <c r="A67" s="22"/>
      <c r="B67" s="202">
        <v>28</v>
      </c>
      <c r="C67" s="341"/>
      <c r="D67" s="71"/>
      <c r="E67" s="71"/>
      <c r="F67" s="71"/>
      <c r="G67" s="71"/>
      <c r="H67" s="71"/>
      <c r="I67" s="71"/>
      <c r="J67" s="71"/>
      <c r="K67" s="68"/>
      <c r="L67" s="68"/>
      <c r="M67" s="68"/>
      <c r="N67" s="91"/>
      <c r="O67" s="68"/>
      <c r="P67" s="68"/>
      <c r="Q67" s="68"/>
      <c r="R67" s="68"/>
      <c r="S67" s="68"/>
      <c r="T67" s="68"/>
      <c r="U67" s="68"/>
      <c r="V67" s="68"/>
      <c r="W67" s="91"/>
      <c r="X67" s="68"/>
      <c r="Y67" s="68"/>
      <c r="Z67" s="68"/>
      <c r="AA67" s="68"/>
      <c r="AB67" s="68"/>
      <c r="AC67" s="68"/>
      <c r="AD67" s="68"/>
      <c r="AE67" s="68"/>
      <c r="AF67" s="68"/>
      <c r="AG67" s="68"/>
      <c r="AH67" s="68"/>
      <c r="AI67" s="68"/>
      <c r="AJ67" s="68"/>
      <c r="AK67" s="68"/>
      <c r="AL67" s="68"/>
      <c r="AM67" s="65"/>
      <c r="AN67" s="65"/>
      <c r="AO67" s="65"/>
      <c r="AP67" s="65"/>
      <c r="AQ67" s="65"/>
      <c r="AR67" s="65"/>
      <c r="AS67" s="65"/>
      <c r="AT67" s="35"/>
      <c r="AU67" s="65"/>
      <c r="AV67" s="65"/>
      <c r="AW67" s="65"/>
      <c r="AX67" s="65"/>
      <c r="AY67" s="65"/>
      <c r="AZ67" s="31"/>
      <c r="BA67" s="30"/>
      <c r="BB67" s="175"/>
      <c r="BC67" s="345"/>
      <c r="BD67" s="28"/>
      <c r="BG67" s="24"/>
      <c r="BH67" s="28"/>
    </row>
    <row r="68" spans="1:60" ht="13.5" customHeight="1">
      <c r="A68" s="22"/>
      <c r="B68" s="202">
        <v>29</v>
      </c>
      <c r="C68" s="342"/>
      <c r="D68" s="332"/>
      <c r="E68" s="65"/>
      <c r="F68" s="65"/>
      <c r="G68" s="65"/>
      <c r="H68" s="65"/>
      <c r="I68" s="65"/>
      <c r="J68" s="1008"/>
      <c r="K68" s="1009"/>
      <c r="L68" s="1009"/>
      <c r="M68" s="1009"/>
      <c r="N68"/>
      <c r="O68"/>
      <c r="P68"/>
      <c r="Q68"/>
      <c r="R68"/>
      <c r="S68"/>
      <c r="T68"/>
      <c r="U68"/>
      <c r="V68"/>
      <c r="W68" s="65"/>
      <c r="X68" s="65"/>
      <c r="Y68" s="65"/>
      <c r="Z68" s="65"/>
      <c r="AA68" s="65"/>
      <c r="AB68" s="65"/>
      <c r="AC68" s="65"/>
      <c r="AD68" s="65"/>
      <c r="AE68" s="65"/>
      <c r="AF68" s="65"/>
      <c r="AG68" s="65"/>
      <c r="AH68" s="65"/>
      <c r="AI68" s="65"/>
      <c r="AJ68" s="65"/>
      <c r="AK68" s="65"/>
      <c r="AL68" s="65"/>
      <c r="AM68" s="198"/>
      <c r="AN68" s="198"/>
      <c r="AO68" s="198"/>
      <c r="AP68" s="198"/>
      <c r="AQ68" s="198"/>
      <c r="AR68" s="198"/>
      <c r="AS68" s="254"/>
      <c r="AT68" s="35"/>
      <c r="AU68" s="35"/>
      <c r="AV68" s="254"/>
      <c r="AW68" s="198"/>
      <c r="AX68" s="198"/>
      <c r="AY68" s="198"/>
      <c r="AZ68" s="31"/>
      <c r="BA68" s="30"/>
      <c r="BB68" s="175"/>
      <c r="BC68" s="345"/>
      <c r="BD68" s="28"/>
      <c r="BG68" s="24"/>
      <c r="BH68" s="28"/>
    </row>
    <row r="69" spans="1:60" ht="5.15" customHeight="1">
      <c r="A69" s="22"/>
      <c r="B69" s="202"/>
      <c r="C69" s="315"/>
      <c r="D69" s="73"/>
      <c r="E69" s="73"/>
      <c r="F69" s="73"/>
      <c r="G69" s="73"/>
      <c r="H69" s="316"/>
      <c r="I69" s="275"/>
      <c r="J69" s="273"/>
      <c r="K69" s="275"/>
      <c r="L69" s="273"/>
      <c r="M69" s="317"/>
      <c r="N69" s="317"/>
      <c r="O69" s="270"/>
      <c r="P69" s="317"/>
      <c r="Q69" s="270"/>
      <c r="R69" s="317"/>
      <c r="S69" s="73"/>
      <c r="T69" s="73"/>
      <c r="U69" s="73"/>
      <c r="V69" s="73"/>
      <c r="W69" s="73"/>
      <c r="X69" s="316"/>
      <c r="Y69" s="275"/>
      <c r="Z69" s="273"/>
      <c r="AA69" s="275"/>
      <c r="AB69" s="273"/>
      <c r="AC69" s="317"/>
      <c r="AD69" s="317"/>
      <c r="AE69" s="270"/>
      <c r="AF69" s="317"/>
      <c r="AG69" s="270"/>
      <c r="AH69" s="317"/>
      <c r="AI69" s="276"/>
      <c r="AJ69" s="317"/>
      <c r="AK69" s="270"/>
      <c r="AL69" s="73"/>
      <c r="AM69" s="73"/>
      <c r="AN69" s="73"/>
      <c r="AO69" s="73"/>
      <c r="AP69" s="73"/>
      <c r="AQ69" s="73"/>
      <c r="AR69" s="73"/>
      <c r="AS69" s="73"/>
      <c r="AT69" s="73"/>
      <c r="AU69" s="73"/>
      <c r="AV69" s="318"/>
      <c r="AW69" s="73"/>
      <c r="AX69" s="73"/>
      <c r="AY69" s="269"/>
      <c r="AZ69" s="269"/>
      <c r="BA69" s="319"/>
      <c r="BB69" s="320"/>
      <c r="BC69" s="344"/>
      <c r="BD69" s="28"/>
    </row>
    <row r="70" spans="1:60" ht="13.5" customHeight="1">
      <c r="A70" s="22"/>
      <c r="B70" s="202">
        <v>31</v>
      </c>
      <c r="C70" s="331"/>
      <c r="D70" s="332"/>
      <c r="E70" s="65"/>
      <c r="F70" s="65"/>
      <c r="G70" s="65"/>
      <c r="H70" s="65"/>
      <c r="I70" s="65"/>
      <c r="J70" s="1010"/>
      <c r="K70" s="1010"/>
      <c r="L70" s="1010"/>
      <c r="M70" s="1010"/>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198"/>
      <c r="AN70" s="198"/>
      <c r="AO70" s="198"/>
      <c r="AP70" s="198"/>
      <c r="AQ70" s="198"/>
      <c r="AR70" s="198"/>
      <c r="AS70" s="198"/>
      <c r="AT70" s="198"/>
      <c r="AU70" s="198"/>
      <c r="AV70" s="198"/>
      <c r="AW70" s="198"/>
      <c r="AX70" s="198"/>
      <c r="AY70" s="198"/>
      <c r="AZ70" s="33"/>
      <c r="BA70" s="46"/>
      <c r="BB70" s="78"/>
      <c r="BC70" s="34"/>
      <c r="BD70" s="28"/>
      <c r="BG70" s="24"/>
      <c r="BH70" s="28"/>
    </row>
    <row r="71" spans="1:60" ht="14.15" customHeight="1">
      <c r="A71" s="22"/>
      <c r="B71" s="129"/>
      <c r="C71" s="346" t="s">
        <v>131</v>
      </c>
      <c r="D71" s="28"/>
      <c r="E71" s="28"/>
      <c r="F71" s="28"/>
      <c r="G71" s="28"/>
      <c r="S71" s="35"/>
      <c r="T71" s="35"/>
      <c r="U71" s="35"/>
      <c r="V71" s="35"/>
      <c r="Y71" s="35"/>
      <c r="Z71" s="35"/>
      <c r="AD71" s="35"/>
      <c r="AE71" s="35"/>
      <c r="AF71" s="35"/>
      <c r="AG71" s="35"/>
      <c r="AH71" s="35"/>
      <c r="AI71" s="35"/>
      <c r="AJ71" s="28"/>
      <c r="AK71" s="28"/>
      <c r="AL71" s="28"/>
      <c r="AM71" s="130"/>
      <c r="AN71" s="130"/>
      <c r="AO71" s="35"/>
      <c r="AP71" s="35"/>
      <c r="AQ71" s="35"/>
      <c r="AR71" s="35"/>
      <c r="AS71" s="35"/>
      <c r="AT71" s="35"/>
      <c r="AU71" s="35"/>
      <c r="AV71" s="35"/>
      <c r="AW71" s="35"/>
      <c r="AX71" s="65"/>
      <c r="AY71" s="65"/>
      <c r="AZ71" s="33"/>
      <c r="BA71" s="46"/>
      <c r="BB71" s="78"/>
      <c r="BC71" s="34"/>
      <c r="BD71" s="28"/>
      <c r="BG71" s="35"/>
    </row>
    <row r="72" spans="1:60" ht="5.15" customHeight="1">
      <c r="A72" s="22"/>
      <c r="B72" s="202"/>
      <c r="C72" s="296"/>
      <c r="D72" s="72"/>
      <c r="E72" s="72"/>
      <c r="F72" s="72"/>
      <c r="G72" s="72"/>
      <c r="H72" s="297"/>
      <c r="I72" s="278"/>
      <c r="J72" s="279"/>
      <c r="K72" s="278"/>
      <c r="L72" s="279"/>
      <c r="M72" s="298"/>
      <c r="N72" s="298"/>
      <c r="O72" s="263"/>
      <c r="P72" s="298"/>
      <c r="Q72" s="263"/>
      <c r="R72" s="298"/>
      <c r="S72" s="72"/>
      <c r="T72" s="72"/>
      <c r="U72" s="72"/>
      <c r="V72" s="72"/>
      <c r="W72" s="72"/>
      <c r="X72" s="297"/>
      <c r="Y72" s="278"/>
      <c r="Z72" s="279"/>
      <c r="AA72" s="278"/>
      <c r="AB72" s="279"/>
      <c r="AC72" s="298"/>
      <c r="AD72" s="298"/>
      <c r="AE72" s="263"/>
      <c r="AF72" s="298"/>
      <c r="AG72" s="263"/>
      <c r="AH72" s="298"/>
      <c r="AI72" s="280"/>
      <c r="AJ72" s="298"/>
      <c r="AK72" s="263"/>
      <c r="AL72" s="72"/>
      <c r="AM72" s="72"/>
      <c r="AN72" s="72"/>
      <c r="AO72" s="72"/>
      <c r="AP72" s="72"/>
      <c r="AQ72" s="72"/>
      <c r="AR72" s="72"/>
      <c r="AS72" s="72"/>
      <c r="AT72" s="72"/>
      <c r="AU72" s="72"/>
      <c r="AV72" s="300"/>
      <c r="AW72" s="72"/>
      <c r="AX72" s="72"/>
      <c r="AY72" s="265"/>
      <c r="AZ72" s="33"/>
      <c r="BA72" s="46"/>
      <c r="BB72" s="78"/>
      <c r="BC72" s="34"/>
      <c r="BD72" s="28"/>
    </row>
    <row r="73" spans="1:60" ht="14.15" customHeight="1">
      <c r="A73" s="23"/>
      <c r="B73" s="351"/>
      <c r="C73" s="282"/>
      <c r="D73" s="28"/>
      <c r="E73" s="28"/>
      <c r="F73" s="28"/>
      <c r="G73" s="28"/>
      <c r="H73" s="28"/>
      <c r="I73" s="28"/>
      <c r="J73" s="28"/>
      <c r="K73" s="28"/>
      <c r="L73" s="28"/>
      <c r="M73" s="28"/>
      <c r="N73" s="28"/>
      <c r="O73" s="28"/>
      <c r="P73" s="28"/>
      <c r="Q73" s="25"/>
      <c r="S73" s="35"/>
      <c r="T73" s="28"/>
      <c r="U73" s="28"/>
      <c r="V73" s="28"/>
      <c r="W73" s="28"/>
      <c r="X73" s="28"/>
      <c r="Y73" s="28"/>
      <c r="Z73" s="28"/>
      <c r="AC73" s="28"/>
      <c r="AD73" s="28"/>
      <c r="AE73" s="35"/>
      <c r="AF73" s="35"/>
      <c r="AG73" s="35"/>
      <c r="AH73" s="35"/>
      <c r="AI73" s="35"/>
      <c r="AJ73" s="28"/>
      <c r="AK73" s="28"/>
      <c r="AL73" s="28"/>
      <c r="AM73" s="35"/>
      <c r="AN73" s="35"/>
      <c r="AO73" s="135"/>
      <c r="AP73" s="136"/>
      <c r="AQ73" s="130"/>
      <c r="AR73" s="130"/>
      <c r="AS73" s="130"/>
      <c r="AT73" s="130"/>
      <c r="AU73" s="81"/>
      <c r="AV73" s="35"/>
      <c r="AW73" s="35"/>
      <c r="AX73" s="65"/>
      <c r="AY73" s="347"/>
      <c r="AZ73" s="33"/>
      <c r="BA73" s="46"/>
      <c r="BB73" s="78"/>
      <c r="BC73" s="34"/>
      <c r="BD73" s="28"/>
      <c r="BG73" s="35"/>
    </row>
    <row r="74" spans="1:60" ht="14.15" customHeight="1">
      <c r="A74" s="23"/>
      <c r="B74" s="351"/>
      <c r="C74" s="352"/>
      <c r="D74" s="348" t="s">
        <v>38</v>
      </c>
      <c r="E74" s="131"/>
      <c r="F74" s="131"/>
      <c r="G74" s="131"/>
      <c r="H74" s="132"/>
      <c r="I74" s="132"/>
      <c r="J74" s="106"/>
      <c r="K74" s="133"/>
      <c r="L74" s="134"/>
      <c r="M74" s="144"/>
      <c r="N74" s="144"/>
      <c r="O74" s="131"/>
      <c r="P74" s="134"/>
      <c r="Q74" s="107"/>
      <c r="R74" s="133" t="s">
        <v>40</v>
      </c>
      <c r="S74" s="134"/>
      <c r="T74" s="107"/>
      <c r="U74" s="107"/>
      <c r="V74" s="133" t="s">
        <v>44</v>
      </c>
      <c r="W74" s="134"/>
      <c r="X74" s="107"/>
      <c r="Y74" s="35"/>
      <c r="Z74" s="35"/>
      <c r="AC74" s="28"/>
      <c r="AD74" s="28"/>
      <c r="AE74" s="28"/>
      <c r="AF74" s="35"/>
      <c r="AG74" s="35"/>
      <c r="AH74" s="28"/>
      <c r="AI74" s="28"/>
      <c r="AJ74" s="28"/>
      <c r="AK74" s="81"/>
      <c r="AL74" s="28"/>
      <c r="AM74" s="28"/>
      <c r="AN74" s="28"/>
      <c r="AO74" s="28"/>
      <c r="AP74" s="28"/>
      <c r="AQ74" s="65"/>
      <c r="AR74" s="65"/>
      <c r="AS74" s="65"/>
      <c r="AT74" s="125"/>
      <c r="AU74" s="65"/>
      <c r="AV74" s="65"/>
      <c r="AW74" s="65"/>
      <c r="AX74" s="65"/>
      <c r="AY74" s="347"/>
      <c r="AZ74" s="33"/>
      <c r="BA74" s="46"/>
      <c r="BB74" s="78"/>
      <c r="BC74" s="34"/>
      <c r="BD74" s="28"/>
      <c r="BE74" s="35"/>
      <c r="BF74" s="35"/>
      <c r="BG74" s="35"/>
    </row>
    <row r="75" spans="1:60" ht="13.5" customHeight="1">
      <c r="A75" s="22"/>
      <c r="B75" s="353"/>
      <c r="C75" s="352"/>
      <c r="D75" s="349" t="s">
        <v>45</v>
      </c>
      <c r="E75" s="137"/>
      <c r="F75" s="137"/>
      <c r="G75" s="137"/>
      <c r="H75" s="137"/>
      <c r="I75" s="137"/>
      <c r="J75" s="137"/>
      <c r="K75" s="350"/>
      <c r="L75" s="139"/>
      <c r="M75" s="108"/>
      <c r="N75" s="108"/>
      <c r="O75" s="145"/>
      <c r="P75" s="139"/>
      <c r="Q75" s="109"/>
      <c r="R75" s="138" t="s">
        <v>41</v>
      </c>
      <c r="S75" s="139"/>
      <c r="T75" s="108"/>
      <c r="U75" s="109"/>
      <c r="V75" s="140"/>
      <c r="W75" s="141"/>
      <c r="X75" s="142"/>
      <c r="Y75" s="116"/>
      <c r="Z75" s="41"/>
      <c r="AA75" s="116"/>
      <c r="AB75" s="116"/>
      <c r="AC75" s="116"/>
      <c r="AD75" s="116"/>
      <c r="AE75" s="116"/>
      <c r="AF75" s="116"/>
      <c r="AG75" s="116"/>
      <c r="AH75" s="116"/>
      <c r="AI75" s="116"/>
      <c r="AJ75" s="116"/>
      <c r="AK75" s="116"/>
      <c r="AL75" s="116"/>
      <c r="AM75" s="116"/>
      <c r="AN75" s="116"/>
      <c r="AO75" s="116"/>
      <c r="AP75" s="116"/>
      <c r="AQ75" s="65"/>
      <c r="AR75" s="65"/>
      <c r="AS75" s="65"/>
      <c r="AT75" s="125"/>
      <c r="AU75" s="65"/>
      <c r="AV75" s="65"/>
      <c r="AW75" s="65"/>
      <c r="AX75" s="65"/>
      <c r="AY75" s="347"/>
      <c r="AZ75" s="33"/>
      <c r="BA75" s="46"/>
      <c r="BB75" s="78"/>
      <c r="BC75" s="34"/>
      <c r="BD75" s="28"/>
      <c r="BE75" s="35"/>
      <c r="BF75" s="35"/>
      <c r="BG75" s="35"/>
    </row>
    <row r="76" spans="1:60"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77"/>
      <c r="AZ76" s="33"/>
      <c r="BA76" s="46"/>
      <c r="BB76" s="78"/>
      <c r="BC76" s="34"/>
      <c r="BD76" s="28"/>
    </row>
    <row r="77" spans="1:60" ht="14.15" customHeight="1">
      <c r="A77" s="22"/>
      <c r="B77" s="202">
        <v>34</v>
      </c>
      <c r="C77" s="331"/>
      <c r="D77" s="332"/>
      <c r="E77" s="65"/>
      <c r="F77" s="65"/>
      <c r="G77" s="65"/>
      <c r="H77" s="65"/>
      <c r="I77" s="65"/>
      <c r="J77" s="1029"/>
      <c r="K77" s="1029"/>
      <c r="L77" s="1029"/>
      <c r="M77" s="1029"/>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135"/>
      <c r="AQ77" s="135"/>
      <c r="AR77" s="65"/>
      <c r="AS77" s="65"/>
      <c r="AT77" s="125"/>
      <c r="AU77" s="65"/>
      <c r="AV77" s="65"/>
      <c r="AW77" s="65"/>
      <c r="AX77" s="65"/>
      <c r="AY77" s="65"/>
      <c r="AZ77" s="33"/>
      <c r="BA77" s="46"/>
      <c r="BB77" s="78"/>
      <c r="BC77" s="34"/>
      <c r="BD77" s="28"/>
      <c r="BG77" s="24"/>
      <c r="BH77" s="28"/>
    </row>
    <row r="78" spans="1:60" ht="14.15" customHeight="1">
      <c r="A78" s="22"/>
      <c r="B78" s="202">
        <v>35</v>
      </c>
      <c r="C78" s="346" t="s">
        <v>247</v>
      </c>
      <c r="D78" s="332"/>
      <c r="E78" s="65"/>
      <c r="F78" s="65"/>
      <c r="G78" s="65"/>
      <c r="H78" s="65"/>
      <c r="I78" s="65"/>
      <c r="J78" s="989"/>
      <c r="K78" s="989"/>
      <c r="L78" s="989"/>
      <c r="M78" s="989"/>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125"/>
      <c r="AU78" s="65"/>
      <c r="AV78" s="65"/>
      <c r="AW78" s="65"/>
      <c r="AX78" s="65"/>
      <c r="AY78" s="65"/>
      <c r="AZ78" s="33"/>
      <c r="BA78" s="46"/>
      <c r="BB78" s="335"/>
      <c r="BC78" s="336"/>
      <c r="BD78" s="28"/>
      <c r="BG78" s="24"/>
      <c r="BH78" s="28"/>
    </row>
    <row r="79" spans="1:60" ht="14.15" customHeight="1">
      <c r="A79" s="22"/>
      <c r="B79" s="202">
        <v>35</v>
      </c>
      <c r="C79" s="331"/>
      <c r="D79" s="478" t="s">
        <v>248</v>
      </c>
      <c r="E79" s="65"/>
      <c r="F79" s="65"/>
      <c r="G79" s="65"/>
      <c r="H79" s="65"/>
      <c r="I79" s="65"/>
      <c r="J79" s="477"/>
      <c r="K79" s="477"/>
      <c r="L79" s="477"/>
      <c r="M79" s="477"/>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125"/>
      <c r="AU79" s="65"/>
      <c r="AV79" s="65"/>
      <c r="AW79" s="65"/>
      <c r="AX79" s="65"/>
      <c r="AY79" s="65"/>
      <c r="AZ79" s="33"/>
      <c r="BA79" s="46"/>
      <c r="BB79" s="335"/>
      <c r="BC79" s="336"/>
      <c r="BD79" s="28"/>
      <c r="BG79" s="24"/>
      <c r="BH79" s="28"/>
    </row>
    <row r="80" spans="1:60" ht="14.15" customHeight="1">
      <c r="A80" s="22"/>
      <c r="B80" s="202">
        <v>35</v>
      </c>
      <c r="C80" s="331"/>
      <c r="D80" s="332"/>
      <c r="E80" s="65"/>
      <c r="F80" s="65"/>
      <c r="G80" s="65"/>
      <c r="H80" s="65"/>
      <c r="I80" s="65"/>
      <c r="J80" s="1011"/>
      <c r="K80" s="1011"/>
      <c r="L80" s="1011"/>
      <c r="M80" s="1011"/>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125"/>
      <c r="AU80" s="65"/>
      <c r="AV80" s="65"/>
      <c r="AW80" s="65"/>
      <c r="AX80" s="65"/>
      <c r="AY80" s="65"/>
      <c r="AZ80" s="33"/>
      <c r="BA80" s="46"/>
      <c r="BB80" s="335"/>
      <c r="BC80" s="336"/>
      <c r="BD80" s="28"/>
      <c r="BG80" s="24"/>
      <c r="BH80" s="28"/>
    </row>
    <row r="81" spans="1:60" ht="5.15" customHeight="1">
      <c r="A81" s="22"/>
      <c r="B81" s="202"/>
      <c r="C81" s="296"/>
      <c r="D81" s="72"/>
      <c r="E81" s="72"/>
      <c r="F81" s="72"/>
      <c r="G81" s="72"/>
      <c r="H81" s="297"/>
      <c r="I81" s="278"/>
      <c r="J81" s="279"/>
      <c r="K81" s="278"/>
      <c r="L81" s="279"/>
      <c r="M81" s="298"/>
      <c r="N81" s="298"/>
      <c r="O81" s="263"/>
      <c r="P81" s="298"/>
      <c r="Q81" s="263"/>
      <c r="R81" s="298"/>
      <c r="S81" s="72"/>
      <c r="T81" s="72"/>
      <c r="U81" s="72"/>
      <c r="V81" s="72"/>
      <c r="W81" s="72"/>
      <c r="X81" s="297"/>
      <c r="Y81" s="278"/>
      <c r="Z81" s="279"/>
      <c r="AA81" s="278"/>
      <c r="AB81" s="279"/>
      <c r="AC81" s="298"/>
      <c r="AD81" s="298"/>
      <c r="AE81" s="263"/>
      <c r="AF81" s="298"/>
      <c r="AG81" s="263"/>
      <c r="AH81" s="298"/>
      <c r="AI81" s="280"/>
      <c r="AJ81" s="298"/>
      <c r="AK81" s="263"/>
      <c r="AL81" s="72"/>
      <c r="AM81" s="72"/>
      <c r="AN81" s="72"/>
      <c r="AO81" s="72"/>
      <c r="AP81" s="72"/>
      <c r="AQ81" s="72"/>
      <c r="AR81" s="72"/>
      <c r="AS81" s="72"/>
      <c r="AT81" s="72"/>
      <c r="AU81" s="72"/>
      <c r="AV81" s="300"/>
      <c r="AW81" s="72"/>
      <c r="AX81" s="72"/>
      <c r="AY81" s="265"/>
      <c r="AZ81" s="33"/>
      <c r="BA81" s="46"/>
      <c r="BB81" s="78"/>
      <c r="BC81" s="34"/>
      <c r="BD81" s="28"/>
    </row>
    <row r="82" spans="1:60" ht="14.15" customHeight="1">
      <c r="A82" s="23"/>
      <c r="B82" s="351"/>
      <c r="C82" s="282"/>
      <c r="D82" s="28" t="s">
        <v>240</v>
      </c>
      <c r="E82" s="28"/>
      <c r="F82" s="28"/>
      <c r="G82" s="28"/>
      <c r="H82" s="468" t="s">
        <v>245</v>
      </c>
      <c r="I82" s="257"/>
      <c r="J82" s="258"/>
      <c r="K82" s="258"/>
      <c r="L82" s="258"/>
      <c r="M82" s="259"/>
      <c r="N82" s="258"/>
      <c r="O82" s="110"/>
      <c r="P82" s="261" t="s">
        <v>33</v>
      </c>
      <c r="Q82" s="25"/>
      <c r="R82" s="469" t="s">
        <v>246</v>
      </c>
      <c r="S82" s="470"/>
      <c r="T82" s="471"/>
      <c r="U82" s="471"/>
      <c r="V82" s="483"/>
      <c r="W82" s="472"/>
      <c r="X82" s="471"/>
      <c r="Y82" s="473"/>
      <c r="Z82" s="474"/>
      <c r="AB82" s="469" t="s">
        <v>289</v>
      </c>
      <c r="AC82" s="470"/>
      <c r="AD82" s="471"/>
      <c r="AE82" s="471"/>
      <c r="AF82" s="471"/>
      <c r="AG82" s="472"/>
      <c r="AH82" s="471"/>
      <c r="AI82" s="473"/>
      <c r="AJ82" s="472"/>
      <c r="AK82" s="479"/>
      <c r="AL82" s="479"/>
      <c r="AM82" s="473"/>
      <c r="AN82" s="473"/>
      <c r="AO82" s="471"/>
      <c r="AP82" s="480"/>
      <c r="AQ82" s="471"/>
      <c r="AR82" s="471"/>
      <c r="AS82" s="471"/>
      <c r="AT82" s="471"/>
      <c r="AU82" s="481"/>
      <c r="AV82" s="473"/>
      <c r="AW82" s="473"/>
      <c r="AX82" s="482"/>
      <c r="AY82" s="347"/>
      <c r="AZ82" s="33"/>
      <c r="BA82" s="46"/>
      <c r="BB82" s="78"/>
      <c r="BC82" s="34"/>
      <c r="BD82" s="28"/>
      <c r="BG82" s="35"/>
    </row>
    <row r="83" spans="1:60" ht="14.15" customHeight="1">
      <c r="A83" s="23"/>
      <c r="B83" s="351"/>
      <c r="C83" s="282"/>
      <c r="D83" s="28"/>
      <c r="E83" s="28"/>
      <c r="F83" s="28"/>
      <c r="G83" s="28"/>
      <c r="H83" s="469" t="s">
        <v>54</v>
      </c>
      <c r="I83" s="470"/>
      <c r="J83" s="471"/>
      <c r="K83" s="471"/>
      <c r="L83" s="471"/>
      <c r="M83" s="472"/>
      <c r="N83" s="471"/>
      <c r="O83" s="473"/>
      <c r="P83" s="472"/>
      <c r="Q83" s="479"/>
      <c r="R83" s="479"/>
      <c r="S83" s="473"/>
      <c r="T83" s="473"/>
      <c r="U83" s="471"/>
      <c r="V83" s="480"/>
      <c r="W83" s="471"/>
      <c r="X83" s="471"/>
      <c r="Y83" s="471"/>
      <c r="Z83" s="471"/>
      <c r="AA83" s="481"/>
      <c r="AB83" s="473"/>
      <c r="AC83" s="473"/>
      <c r="AD83" s="479"/>
      <c r="AE83" s="471"/>
      <c r="AF83" s="471"/>
      <c r="AG83" s="472"/>
      <c r="AH83" s="471"/>
      <c r="AI83" s="473"/>
      <c r="AJ83" s="472"/>
      <c r="AK83" s="479"/>
      <c r="AL83" s="479"/>
      <c r="AM83" s="473"/>
      <c r="AN83" s="473"/>
      <c r="AO83" s="471"/>
      <c r="AP83" s="480"/>
      <c r="AQ83" s="471"/>
      <c r="AR83" s="471"/>
      <c r="AS83" s="471"/>
      <c r="AT83" s="471"/>
      <c r="AU83" s="481"/>
      <c r="AV83" s="473"/>
      <c r="AW83" s="473"/>
      <c r="AX83" s="482"/>
      <c r="AY83" s="347"/>
      <c r="AZ83" s="33"/>
      <c r="BA83" s="46"/>
      <c r="BB83" s="78"/>
      <c r="BC83" s="34"/>
      <c r="BD83" s="28"/>
      <c r="BG83" s="35"/>
    </row>
    <row r="84" spans="1:60" ht="5.15" customHeight="1">
      <c r="A84" s="22"/>
      <c r="B84" s="202"/>
      <c r="C84" s="315"/>
      <c r="D84" s="73"/>
      <c r="E84" s="73"/>
      <c r="F84" s="73"/>
      <c r="G84" s="73"/>
      <c r="H84" s="316"/>
      <c r="I84" s="275"/>
      <c r="J84" s="273"/>
      <c r="K84" s="275"/>
      <c r="L84" s="273"/>
      <c r="M84" s="317"/>
      <c r="N84" s="317"/>
      <c r="O84" s="270"/>
      <c r="P84" s="317"/>
      <c r="Q84" s="270"/>
      <c r="R84" s="317"/>
      <c r="S84" s="73"/>
      <c r="T84" s="73"/>
      <c r="U84" s="73"/>
      <c r="V84" s="73"/>
      <c r="W84" s="73"/>
      <c r="X84" s="316"/>
      <c r="Y84" s="275"/>
      <c r="Z84" s="273"/>
      <c r="AA84" s="275"/>
      <c r="AB84" s="273"/>
      <c r="AC84" s="317"/>
      <c r="AD84" s="317"/>
      <c r="AE84" s="270"/>
      <c r="AF84" s="317"/>
      <c r="AG84" s="270"/>
      <c r="AH84" s="317"/>
      <c r="AI84" s="276"/>
      <c r="AJ84" s="317"/>
      <c r="AK84" s="270"/>
      <c r="AL84" s="73"/>
      <c r="AM84" s="73"/>
      <c r="AN84" s="73"/>
      <c r="AO84" s="73"/>
      <c r="AP84" s="73"/>
      <c r="AQ84" s="73"/>
      <c r="AR84" s="73"/>
      <c r="AS84" s="73"/>
      <c r="AT84" s="73"/>
      <c r="AU84" s="73"/>
      <c r="AV84" s="318"/>
      <c r="AW84" s="73"/>
      <c r="AX84" s="73"/>
      <c r="AY84" s="277"/>
      <c r="AZ84" s="33"/>
      <c r="BA84" s="46"/>
      <c r="BB84" s="78"/>
      <c r="BC84" s="34"/>
      <c r="BD84" s="28"/>
    </row>
    <row r="85" spans="1:60" ht="5.15" customHeight="1">
      <c r="A85" s="22"/>
      <c r="B85" s="202"/>
      <c r="C85" s="476"/>
      <c r="D85" s="72"/>
      <c r="E85" s="72"/>
      <c r="F85" s="72"/>
      <c r="G85" s="72"/>
      <c r="H85" s="297"/>
      <c r="I85" s="278"/>
      <c r="J85" s="279"/>
      <c r="K85" s="278"/>
      <c r="L85" s="279"/>
      <c r="M85" s="298"/>
      <c r="N85" s="298"/>
      <c r="O85" s="263"/>
      <c r="P85" s="298"/>
      <c r="Q85" s="263"/>
      <c r="R85" s="298"/>
      <c r="S85" s="72"/>
      <c r="T85" s="72"/>
      <c r="U85" s="72"/>
      <c r="V85" s="72"/>
      <c r="W85" s="72"/>
      <c r="X85" s="297"/>
      <c r="Y85" s="278"/>
      <c r="Z85" s="279"/>
      <c r="AA85" s="278"/>
      <c r="AB85" s="279"/>
      <c r="AC85" s="298"/>
      <c r="AD85" s="298"/>
      <c r="AE85" s="263"/>
      <c r="AF85" s="298"/>
      <c r="AG85" s="263"/>
      <c r="AH85" s="298"/>
      <c r="AI85" s="280"/>
      <c r="AJ85" s="298"/>
      <c r="AK85" s="263"/>
      <c r="AL85" s="72"/>
      <c r="AM85" s="72"/>
      <c r="AN85" s="72"/>
      <c r="AO85" s="72"/>
      <c r="AP85" s="72"/>
      <c r="AQ85" s="72"/>
      <c r="AR85" s="72"/>
      <c r="AS85" s="72"/>
      <c r="AT85" s="72"/>
      <c r="AU85" s="72"/>
      <c r="AV85" s="300"/>
      <c r="AW85" s="72"/>
      <c r="AX85" s="72"/>
      <c r="AY85" s="264"/>
      <c r="AZ85" s="33"/>
      <c r="BA85" s="46"/>
      <c r="BB85" s="78"/>
      <c r="BC85" s="34"/>
      <c r="BD85" s="28"/>
    </row>
    <row r="86" spans="1:60" ht="14.15" customHeight="1">
      <c r="A86" s="22"/>
      <c r="B86" s="202">
        <v>35</v>
      </c>
      <c r="C86" s="62" t="s">
        <v>243</v>
      </c>
      <c r="D86" s="332"/>
      <c r="E86" s="65"/>
      <c r="F86" s="65"/>
      <c r="G86" s="65"/>
      <c r="H86" s="65"/>
      <c r="I86" s="65"/>
      <c r="J86" s="989"/>
      <c r="K86" s="989"/>
      <c r="L86" s="989"/>
      <c r="M86" s="989"/>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5.15" customHeight="1">
      <c r="A87" s="22"/>
      <c r="B87" s="202"/>
      <c r="C87" s="296"/>
      <c r="D87" s="72"/>
      <c r="E87" s="72"/>
      <c r="F87" s="72"/>
      <c r="G87" s="72"/>
      <c r="H87" s="297"/>
      <c r="I87" s="278"/>
      <c r="J87" s="279"/>
      <c r="K87" s="278"/>
      <c r="L87" s="279"/>
      <c r="M87" s="298"/>
      <c r="N87" s="298"/>
      <c r="O87" s="263"/>
      <c r="P87" s="298"/>
      <c r="Q87" s="263"/>
      <c r="R87" s="298"/>
      <c r="S87" s="72"/>
      <c r="T87" s="72"/>
      <c r="U87" s="72"/>
      <c r="V87" s="72"/>
      <c r="W87" s="72"/>
      <c r="X87" s="297"/>
      <c r="Y87" s="278"/>
      <c r="Z87" s="279"/>
      <c r="AA87" s="278"/>
      <c r="AB87" s="279"/>
      <c r="AC87" s="298"/>
      <c r="AD87" s="298"/>
      <c r="AE87" s="263"/>
      <c r="AF87" s="298"/>
      <c r="AG87" s="263"/>
      <c r="AH87" s="298"/>
      <c r="AI87" s="280"/>
      <c r="AJ87" s="298"/>
      <c r="AK87" s="263"/>
      <c r="AL87" s="72"/>
      <c r="AM87" s="72"/>
      <c r="AN87" s="72"/>
      <c r="AO87" s="72"/>
      <c r="AP87" s="72"/>
      <c r="AQ87" s="72"/>
      <c r="AR87" s="72"/>
      <c r="AS87" s="72"/>
      <c r="AT87" s="72"/>
      <c r="AU87" s="72"/>
      <c r="AV87" s="300"/>
      <c r="AW87" s="72"/>
      <c r="AX87" s="72"/>
      <c r="AY87" s="265"/>
      <c r="AZ87" s="33"/>
      <c r="BA87" s="46"/>
      <c r="BB87" s="78"/>
      <c r="BC87" s="34"/>
      <c r="BD87" s="28"/>
    </row>
    <row r="88" spans="1:60" ht="14.15" customHeight="1">
      <c r="A88" s="23"/>
      <c r="B88" s="351"/>
      <c r="C88" s="282"/>
      <c r="D88" s="28" t="s">
        <v>240</v>
      </c>
      <c r="E88" s="28"/>
      <c r="F88" s="28"/>
      <c r="G88" s="28"/>
      <c r="H88" s="468" t="s">
        <v>241</v>
      </c>
      <c r="I88" s="257"/>
      <c r="J88" s="258"/>
      <c r="K88" s="258"/>
      <c r="L88" s="258"/>
      <c r="M88" s="259"/>
      <c r="N88" s="258"/>
      <c r="O88" s="110"/>
      <c r="P88" s="261" t="s">
        <v>33</v>
      </c>
      <c r="Q88" s="25"/>
      <c r="R88" s="469" t="s">
        <v>242</v>
      </c>
      <c r="S88" s="470"/>
      <c r="T88" s="471"/>
      <c r="U88" s="471"/>
      <c r="V88" s="483"/>
      <c r="W88" s="484" t="s">
        <v>254</v>
      </c>
      <c r="X88" s="471"/>
      <c r="Y88" s="473"/>
      <c r="Z88" s="474"/>
      <c r="AB88" s="529" t="s">
        <v>290</v>
      </c>
      <c r="AC88" s="530"/>
      <c r="AD88" s="531"/>
      <c r="AE88" s="531"/>
      <c r="AF88" s="531"/>
      <c r="AG88" s="532"/>
      <c r="AH88" s="531"/>
      <c r="AI88" s="533"/>
      <c r="AJ88" s="532"/>
      <c r="AK88" s="61"/>
      <c r="AL88" s="61"/>
      <c r="AM88" s="533"/>
      <c r="AN88" s="533"/>
      <c r="AO88" s="531"/>
      <c r="AP88" s="534"/>
      <c r="AQ88" s="531"/>
      <c r="AR88" s="531"/>
      <c r="AS88" s="531"/>
      <c r="AT88" s="531"/>
      <c r="AU88" s="535"/>
      <c r="AV88" s="533"/>
      <c r="AW88" s="533"/>
      <c r="AX88" s="70"/>
      <c r="AY88" s="347"/>
      <c r="AZ88" s="33"/>
      <c r="BA88" s="46"/>
      <c r="BB88" s="78"/>
      <c r="BC88" s="34"/>
      <c r="BD88" s="28"/>
      <c r="BG88" s="35"/>
    </row>
    <row r="89" spans="1:60" ht="14.15" customHeight="1">
      <c r="A89" s="23"/>
      <c r="B89" s="351"/>
      <c r="C89" s="282"/>
      <c r="D89" s="28"/>
      <c r="E89" s="28"/>
      <c r="F89" s="28"/>
      <c r="G89" s="28"/>
      <c r="H89" s="469" t="s">
        <v>253</v>
      </c>
      <c r="I89" s="470"/>
      <c r="J89" s="471"/>
      <c r="K89" s="471"/>
      <c r="L89" s="471"/>
      <c r="M89" s="472"/>
      <c r="N89" s="471"/>
      <c r="O89" s="473"/>
      <c r="P89" s="472"/>
      <c r="Q89" s="479"/>
      <c r="R89" s="479"/>
      <c r="S89" s="473"/>
      <c r="T89" s="473"/>
      <c r="U89" s="471"/>
      <c r="V89" s="480"/>
      <c r="W89" s="471"/>
      <c r="X89" s="471"/>
      <c r="Y89" s="471"/>
      <c r="Z89" s="471"/>
      <c r="AA89" s="481"/>
      <c r="AB89" s="473"/>
      <c r="AC89" s="473"/>
      <c r="AD89" s="479"/>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5.15" customHeight="1">
      <c r="A90" s="22"/>
      <c r="B90" s="202"/>
      <c r="C90" s="315"/>
      <c r="D90" s="73"/>
      <c r="E90" s="73"/>
      <c r="F90" s="73"/>
      <c r="G90" s="73"/>
      <c r="H90" s="316"/>
      <c r="I90" s="275"/>
      <c r="J90" s="273"/>
      <c r="K90" s="275"/>
      <c r="L90" s="273"/>
      <c r="M90" s="317"/>
      <c r="N90" s="317"/>
      <c r="O90" s="270"/>
      <c r="P90" s="317"/>
      <c r="Q90" s="270"/>
      <c r="R90" s="317"/>
      <c r="S90" s="73"/>
      <c r="T90" s="73"/>
      <c r="U90" s="73"/>
      <c r="V90" s="73"/>
      <c r="W90" s="73"/>
      <c r="X90" s="316"/>
      <c r="Y90" s="275"/>
      <c r="Z90" s="273"/>
      <c r="AA90" s="275"/>
      <c r="AB90" s="273"/>
      <c r="AC90" s="317"/>
      <c r="AD90" s="317"/>
      <c r="AE90" s="270"/>
      <c r="AF90" s="317"/>
      <c r="AG90" s="270"/>
      <c r="AH90" s="317"/>
      <c r="AI90" s="276"/>
      <c r="AJ90" s="317"/>
      <c r="AK90" s="270"/>
      <c r="AL90" s="73"/>
      <c r="AM90" s="73"/>
      <c r="AN90" s="73"/>
      <c r="AO90" s="73"/>
      <c r="AP90" s="73"/>
      <c r="AQ90" s="73"/>
      <c r="AR90" s="73"/>
      <c r="AS90" s="73"/>
      <c r="AT90" s="73"/>
      <c r="AU90" s="73"/>
      <c r="AV90" s="318"/>
      <c r="AW90" s="73"/>
      <c r="AX90" s="73"/>
      <c r="AY90" s="277"/>
      <c r="AZ90" s="33"/>
      <c r="BA90" s="46"/>
      <c r="BB90" s="78"/>
      <c r="BC90" s="34"/>
      <c r="BD90" s="28"/>
    </row>
    <row r="91" spans="1:60" ht="5.15" customHeight="1">
      <c r="A91" s="22"/>
      <c r="B91" s="202"/>
      <c r="C91" s="47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4"/>
      <c r="AZ91" s="33"/>
      <c r="BA91" s="46"/>
      <c r="BB91" s="335"/>
      <c r="BC91" s="336"/>
      <c r="BD91" s="28"/>
    </row>
    <row r="92" spans="1:60" ht="14.15" customHeight="1">
      <c r="A92" s="22"/>
      <c r="B92" s="202">
        <v>35</v>
      </c>
      <c r="C92" s="62" t="s">
        <v>243</v>
      </c>
      <c r="D92" s="332"/>
      <c r="E92" s="65"/>
      <c r="F92" s="65"/>
      <c r="G92" s="65"/>
      <c r="H92" s="65"/>
      <c r="I92" s="65"/>
      <c r="J92" s="477"/>
      <c r="K92" s="477"/>
      <c r="L92" s="477"/>
      <c r="M92" s="477"/>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125"/>
      <c r="AU92" s="65"/>
      <c r="AV92" s="65"/>
      <c r="AW92" s="65"/>
      <c r="AX92" s="65"/>
      <c r="AY92" s="65"/>
      <c r="AZ92" s="33"/>
      <c r="BA92" s="46"/>
      <c r="BB92" s="335"/>
      <c r="BC92" s="336"/>
      <c r="BD92" s="28"/>
      <c r="BG92" s="24"/>
      <c r="BH92" s="28"/>
    </row>
    <row r="93" spans="1:60" ht="14.15" customHeight="1">
      <c r="A93" s="22"/>
      <c r="B93" s="202">
        <v>35</v>
      </c>
      <c r="C93" s="331"/>
      <c r="D93" s="332"/>
      <c r="E93" s="65"/>
      <c r="F93" s="65"/>
      <c r="G93" s="65"/>
      <c r="H93" s="65"/>
      <c r="I93" s="65"/>
      <c r="J93" s="477"/>
      <c r="K93" s="477"/>
      <c r="L93" s="477"/>
      <c r="M93" s="477"/>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14.15" customHeight="1">
      <c r="A94" s="22"/>
      <c r="B94" s="202">
        <v>35</v>
      </c>
      <c r="C94" s="346" t="s">
        <v>249</v>
      </c>
      <c r="D94" s="332"/>
      <c r="E94" s="65"/>
      <c r="F94" s="65"/>
      <c r="G94" s="65"/>
      <c r="H94" s="65"/>
      <c r="I94" s="65"/>
      <c r="J94" s="989"/>
      <c r="K94" s="989"/>
      <c r="L94" s="989"/>
      <c r="M94" s="989"/>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125"/>
      <c r="AU94" s="65"/>
      <c r="AV94" s="65"/>
      <c r="AW94" s="65"/>
      <c r="AX94" s="65"/>
      <c r="AY94" s="65"/>
      <c r="AZ94" s="33"/>
      <c r="BA94" s="46"/>
      <c r="BB94" s="335"/>
      <c r="BC94" s="336"/>
      <c r="BD94" s="28"/>
      <c r="BG94" s="24"/>
      <c r="BH94" s="28"/>
    </row>
    <row r="95" spans="1:60" ht="5.15" customHeight="1">
      <c r="A95" s="22"/>
      <c r="B95" s="202"/>
      <c r="C95" s="29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5"/>
      <c r="AZ95" s="33"/>
      <c r="BA95" s="46"/>
      <c r="BB95" s="335"/>
      <c r="BC95" s="336"/>
      <c r="BD95" s="28"/>
    </row>
    <row r="96" spans="1:60" ht="13.5" customHeight="1">
      <c r="A96" s="22"/>
      <c r="B96" s="45"/>
      <c r="C96" s="266"/>
      <c r="D96" s="28" t="s">
        <v>250</v>
      </c>
      <c r="E96" s="28"/>
      <c r="F96" s="28"/>
      <c r="G96" s="28"/>
      <c r="H96" s="24"/>
      <c r="I96" s="24"/>
      <c r="J96" s="24"/>
      <c r="K96" s="24"/>
      <c r="L96" s="24"/>
      <c r="M96" s="127"/>
      <c r="N96" s="75"/>
      <c r="O96" s="84"/>
      <c r="P96" s="84"/>
      <c r="Q96" s="85"/>
      <c r="R96" s="75"/>
      <c r="S96" s="75"/>
      <c r="T96" s="75"/>
      <c r="U96" s="84"/>
      <c r="V96" s="85"/>
      <c r="W96" s="75"/>
      <c r="X96" s="65"/>
      <c r="Y96" s="28"/>
      <c r="Z96" s="28"/>
      <c r="AA96" s="28"/>
      <c r="AB96" s="28"/>
      <c r="AC96" s="28"/>
      <c r="AD96" s="28"/>
      <c r="AE96" s="28"/>
      <c r="AF96" s="28"/>
      <c r="AG96" s="28"/>
      <c r="AH96" s="28"/>
      <c r="AI96" s="28"/>
      <c r="AJ96" s="28"/>
      <c r="AK96" s="28"/>
      <c r="AL96" s="28"/>
      <c r="AM96" s="31"/>
      <c r="AN96" s="31"/>
      <c r="AO96" s="31"/>
      <c r="AP96" s="31"/>
      <c r="AQ96" s="31"/>
      <c r="AR96" s="31"/>
      <c r="AS96" s="31"/>
      <c r="AT96" s="31"/>
      <c r="AU96" s="31"/>
      <c r="AV96" s="31"/>
      <c r="AW96" s="31"/>
      <c r="AX96" s="65"/>
      <c r="AY96" s="267"/>
      <c r="AZ96" s="33"/>
      <c r="BA96" s="46"/>
      <c r="BB96" s="335"/>
      <c r="BC96" s="336"/>
      <c r="BD96" s="28"/>
      <c r="BE96" s="35"/>
      <c r="BF96" s="35"/>
      <c r="BG96" s="35"/>
    </row>
    <row r="97" spans="1:69" ht="13.5" customHeight="1">
      <c r="A97" s="22"/>
      <c r="B97" s="45"/>
      <c r="C97" s="266"/>
      <c r="D97" s="28"/>
      <c r="E97" s="28"/>
      <c r="F97" s="28"/>
      <c r="G97" s="28"/>
      <c r="H97" s="348" t="s">
        <v>252</v>
      </c>
      <c r="I97" s="131"/>
      <c r="J97" s="131"/>
      <c r="K97" s="131"/>
      <c r="L97" s="132"/>
      <c r="M97" s="132"/>
      <c r="N97" s="106"/>
      <c r="O97" s="133"/>
      <c r="P97" s="134"/>
      <c r="Q97" s="133" t="s">
        <v>251</v>
      </c>
      <c r="R97" s="134"/>
      <c r="S97" s="107"/>
      <c r="T97" s="107"/>
      <c r="U97" s="107"/>
      <c r="V97" s="107"/>
      <c r="W97" s="107"/>
      <c r="X97" s="107"/>
      <c r="Y97" s="107"/>
      <c r="Z97" s="107"/>
      <c r="AA97" s="107"/>
      <c r="AB97" s="107"/>
      <c r="AC97" s="107"/>
      <c r="AD97" s="107"/>
      <c r="AE97" s="107"/>
      <c r="AF97" s="107"/>
      <c r="AG97" s="107"/>
      <c r="AH97" s="107"/>
      <c r="AI97" s="107"/>
      <c r="AJ97" s="107"/>
      <c r="AK97" s="107"/>
      <c r="AL97" s="133" t="s">
        <v>44</v>
      </c>
      <c r="AM97" s="134"/>
      <c r="AN97" s="107"/>
      <c r="AO97" s="31"/>
      <c r="AP97" s="31"/>
      <c r="AQ97" s="31"/>
      <c r="AR97" s="31"/>
      <c r="AS97" s="31"/>
      <c r="AT97" s="31"/>
      <c r="AU97" s="31"/>
      <c r="AV97" s="31"/>
      <c r="AW97" s="31"/>
      <c r="AX97" s="65"/>
      <c r="AY97" s="267"/>
      <c r="AZ97" s="33"/>
      <c r="BA97" s="46"/>
      <c r="BB97" s="335"/>
      <c r="BC97" s="336"/>
      <c r="BD97" s="28"/>
      <c r="BE97" s="35"/>
      <c r="BF97" s="35"/>
      <c r="BG97" s="35"/>
    </row>
    <row r="98" spans="1:69" ht="13.5" customHeight="1">
      <c r="A98" s="22"/>
      <c r="B98" s="45"/>
      <c r="C98" s="266"/>
      <c r="D98" s="28"/>
      <c r="E98" s="28"/>
      <c r="F98" s="28"/>
      <c r="G98" s="28"/>
      <c r="H98" s="485" t="s">
        <v>255</v>
      </c>
      <c r="I98" s="137"/>
      <c r="J98" s="137"/>
      <c r="K98" s="137"/>
      <c r="L98" s="137"/>
      <c r="M98" s="137"/>
      <c r="N98" s="137"/>
      <c r="O98" s="350"/>
      <c r="P98" s="139"/>
      <c r="Q98" s="486" t="s">
        <v>54</v>
      </c>
      <c r="R98" s="139"/>
      <c r="S98" s="108"/>
      <c r="T98" s="108"/>
      <c r="U98" s="108"/>
      <c r="V98" s="156"/>
      <c r="W98" s="110"/>
      <c r="X98" s="110"/>
      <c r="Y98" s="156"/>
      <c r="Z98" s="156"/>
      <c r="AA98" s="110"/>
      <c r="AB98" s="110"/>
      <c r="AC98" s="37"/>
      <c r="AD98" s="37"/>
      <c r="AE98" s="37"/>
      <c r="AF98" s="37"/>
      <c r="AG98" s="37"/>
      <c r="AH98" s="37"/>
      <c r="AI98" s="37"/>
      <c r="AJ98" s="37"/>
      <c r="AK98" s="97"/>
      <c r="AL98" s="140"/>
      <c r="AM98" s="141"/>
      <c r="AN98" s="142"/>
      <c r="AO98" s="31"/>
      <c r="AP98" s="31"/>
      <c r="AQ98" s="31"/>
      <c r="AR98" s="31"/>
      <c r="AS98" s="31"/>
      <c r="AT98" s="31"/>
      <c r="AU98" s="31"/>
      <c r="AV98" s="31"/>
      <c r="AW98" s="31"/>
      <c r="AX98" s="65"/>
      <c r="AY98" s="267"/>
      <c r="AZ98" s="33"/>
      <c r="BA98" s="46"/>
      <c r="BB98" s="335"/>
      <c r="BC98" s="336"/>
      <c r="BD98" s="28"/>
      <c r="BE98" s="35"/>
      <c r="BF98" s="35"/>
      <c r="BG98" s="35"/>
    </row>
    <row r="99" spans="1:69" ht="13.5" customHeight="1">
      <c r="A99" s="22"/>
      <c r="B99" s="45"/>
      <c r="C99" s="266"/>
      <c r="D99" s="28"/>
      <c r="E99" s="28"/>
      <c r="F99" s="28"/>
      <c r="G99" s="28"/>
      <c r="H99" s="485" t="s">
        <v>256</v>
      </c>
      <c r="I99" s="137"/>
      <c r="J99" s="137"/>
      <c r="K99" s="137"/>
      <c r="L99" s="137"/>
      <c r="M99" s="137"/>
      <c r="N99" s="137"/>
      <c r="O99" s="350"/>
      <c r="P99" s="139"/>
      <c r="Q99" s="486" t="s">
        <v>54</v>
      </c>
      <c r="R99" s="139"/>
      <c r="S99" s="108"/>
      <c r="T99" s="108"/>
      <c r="U99" s="108"/>
      <c r="V99" s="156"/>
      <c r="W99" s="110"/>
      <c r="X99" s="110"/>
      <c r="Y99" s="156"/>
      <c r="Z99" s="156"/>
      <c r="AA99" s="110"/>
      <c r="AB99" s="110"/>
      <c r="AC99" s="37"/>
      <c r="AD99" s="37"/>
      <c r="AE99" s="37"/>
      <c r="AF99" s="37"/>
      <c r="AG99" s="37"/>
      <c r="AH99" s="37"/>
      <c r="AI99" s="37"/>
      <c r="AJ99" s="37"/>
      <c r="AK99" s="97"/>
      <c r="AL99" s="140"/>
      <c r="AM99" s="141"/>
      <c r="AN99" s="142"/>
      <c r="AO99" s="31"/>
      <c r="AP99" s="31"/>
      <c r="AQ99" s="31"/>
      <c r="AR99" s="31"/>
      <c r="AS99" s="31"/>
      <c r="AT99" s="31"/>
      <c r="AU99" s="31"/>
      <c r="AV99" s="31"/>
      <c r="AW99" s="31"/>
      <c r="AX99" s="65"/>
      <c r="AY99" s="267"/>
      <c r="AZ99" s="33"/>
      <c r="BA99" s="46"/>
      <c r="BB99" s="335"/>
      <c r="BC99" s="336"/>
      <c r="BD99" s="28"/>
      <c r="BE99" s="35"/>
      <c r="BF99" s="35"/>
      <c r="BG99" s="35"/>
    </row>
    <row r="100" spans="1:69" ht="13.5" customHeight="1">
      <c r="A100" s="22"/>
      <c r="B100" s="45"/>
      <c r="C100" s="266"/>
      <c r="D100" s="28"/>
      <c r="E100" s="28"/>
      <c r="F100" s="28"/>
      <c r="G100" s="28"/>
      <c r="H100" s="485" t="s">
        <v>257</v>
      </c>
      <c r="I100" s="137"/>
      <c r="J100" s="137"/>
      <c r="K100" s="137"/>
      <c r="L100" s="137"/>
      <c r="M100" s="137"/>
      <c r="N100" s="137"/>
      <c r="O100" s="350"/>
      <c r="P100" s="139"/>
      <c r="Q100" s="486" t="s">
        <v>54</v>
      </c>
      <c r="R100" s="139"/>
      <c r="S100" s="108"/>
      <c r="T100" s="108"/>
      <c r="U100" s="108"/>
      <c r="V100" s="156"/>
      <c r="W100" s="110"/>
      <c r="X100" s="110"/>
      <c r="Y100" s="156"/>
      <c r="Z100" s="156"/>
      <c r="AA100" s="110"/>
      <c r="AB100" s="110"/>
      <c r="AC100" s="37"/>
      <c r="AD100" s="37"/>
      <c r="AE100" s="37"/>
      <c r="AF100" s="37"/>
      <c r="AG100" s="37"/>
      <c r="AH100" s="37"/>
      <c r="AI100" s="37"/>
      <c r="AJ100" s="37"/>
      <c r="AK100" s="97"/>
      <c r="AL100" s="140"/>
      <c r="AM100" s="141"/>
      <c r="AN100" s="142"/>
      <c r="AO100" s="31"/>
      <c r="AP100" s="31"/>
      <c r="AQ100" s="31"/>
      <c r="AR100" s="31"/>
      <c r="AS100" s="31"/>
      <c r="AT100" s="31"/>
      <c r="AU100" s="31"/>
      <c r="AV100" s="31"/>
      <c r="AW100" s="31"/>
      <c r="AX100" s="65"/>
      <c r="AY100" s="267"/>
      <c r="AZ100" s="33"/>
      <c r="BA100" s="46"/>
      <c r="BB100" s="335"/>
      <c r="BC100" s="336"/>
      <c r="BD100" s="28"/>
      <c r="BE100" s="35"/>
      <c r="BF100" s="35"/>
      <c r="BG100" s="35"/>
    </row>
    <row r="101" spans="1:69"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335"/>
      <c r="BC101" s="336"/>
      <c r="BD101" s="28"/>
    </row>
    <row r="102" spans="1:69" ht="14.15" customHeight="1">
      <c r="A102" s="22"/>
      <c r="B102" s="202"/>
      <c r="C102" s="331"/>
      <c r="D102" s="332"/>
      <c r="E102" s="65"/>
      <c r="F102" s="65"/>
      <c r="G102" s="65"/>
      <c r="H102" s="65"/>
      <c r="I102" s="65"/>
      <c r="J102" s="354"/>
      <c r="K102" s="354"/>
      <c r="L102" s="354"/>
      <c r="M102" s="354"/>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9" ht="13.5" customHeight="1">
      <c r="A103" s="22"/>
      <c r="B103" s="202">
        <v>36</v>
      </c>
      <c r="C103" s="331"/>
      <c r="D103" s="332"/>
      <c r="E103" s="65"/>
      <c r="F103" s="65"/>
      <c r="G103" s="65"/>
      <c r="H103" s="65"/>
      <c r="I103" s="65"/>
      <c r="J103" s="989"/>
      <c r="K103" s="989"/>
      <c r="L103" s="989"/>
      <c r="M103" s="989"/>
      <c r="N103" s="63"/>
      <c r="O103" s="65"/>
      <c r="P103" s="65"/>
      <c r="Q103" s="65"/>
      <c r="R103" s="28"/>
      <c r="S103" s="28"/>
      <c r="T103" s="31"/>
      <c r="U103" s="31"/>
      <c r="V103" s="31"/>
      <c r="W103" s="31"/>
      <c r="X103" s="31"/>
      <c r="Y103" s="44"/>
      <c r="Z103" s="31"/>
      <c r="AA103" s="28"/>
      <c r="AB103" s="44"/>
      <c r="AC103" s="31"/>
      <c r="AD103" s="28"/>
      <c r="AE103" s="44"/>
      <c r="AF103" s="28"/>
      <c r="AG103" s="116"/>
      <c r="AH103" s="41"/>
      <c r="AI103" s="116"/>
      <c r="AJ103" s="116"/>
      <c r="AK103" s="116"/>
      <c r="AL103" s="116"/>
      <c r="AM103" s="116"/>
      <c r="AN103" s="116"/>
      <c r="AO103" s="116"/>
      <c r="AP103" s="116"/>
      <c r="AQ103" s="116"/>
      <c r="AR103" s="116"/>
      <c r="AS103" s="116"/>
      <c r="AT103" s="116"/>
      <c r="AU103" s="116"/>
      <c r="AV103" s="116"/>
      <c r="AW103" s="116"/>
      <c r="AX103" s="116"/>
      <c r="AY103" s="116"/>
      <c r="AZ103" s="33"/>
      <c r="BA103" s="46"/>
      <c r="BB103" s="78"/>
      <c r="BC103" s="34"/>
      <c r="BD103" s="28"/>
      <c r="BG103" s="24"/>
      <c r="BH103" s="28"/>
    </row>
    <row r="104" spans="1:69" ht="13.5" customHeight="1">
      <c r="A104" s="22"/>
      <c r="B104" s="202">
        <v>37</v>
      </c>
      <c r="C104" s="331"/>
      <c r="D104" s="332"/>
      <c r="E104" s="65"/>
      <c r="F104" s="65"/>
      <c r="G104" s="65"/>
      <c r="H104" s="65"/>
      <c r="I104" s="65"/>
      <c r="J104" s="989"/>
      <c r="K104" s="989"/>
      <c r="L104" s="989"/>
      <c r="M104" s="989"/>
      <c r="N104" s="193"/>
      <c r="O104" s="195"/>
      <c r="P104" s="193"/>
      <c r="Q104" s="194"/>
      <c r="R104" s="194"/>
      <c r="S104" s="194"/>
      <c r="T104" s="196"/>
      <c r="U104" s="196"/>
      <c r="V104" s="196"/>
      <c r="W104" s="196"/>
      <c r="X104" s="196"/>
      <c r="Y104" s="195"/>
      <c r="Z104" s="196"/>
      <c r="AA104" s="194"/>
      <c r="AB104" s="195"/>
      <c r="AC104" s="196"/>
      <c r="AD104" s="194"/>
      <c r="AE104" s="195"/>
      <c r="AF104" s="194"/>
      <c r="AG104" s="194"/>
      <c r="AH104" s="195"/>
      <c r="AI104" s="194"/>
      <c r="AJ104" s="194"/>
      <c r="AK104" s="197"/>
      <c r="AL104" s="194"/>
      <c r="AM104" s="194"/>
      <c r="AN104" s="194"/>
      <c r="AO104" s="194"/>
      <c r="AP104" s="194"/>
      <c r="AQ104" s="194"/>
      <c r="AR104" s="194"/>
      <c r="AS104" s="194"/>
      <c r="AT104" s="194"/>
      <c r="AU104" s="194"/>
      <c r="AV104" s="194"/>
      <c r="AW104" s="194"/>
      <c r="AX104" s="194"/>
      <c r="AY104" s="194"/>
      <c r="AZ104" s="33"/>
      <c r="BA104" s="46"/>
      <c r="BB104" s="78"/>
      <c r="BC104" s="34"/>
      <c r="BD104" s="28"/>
      <c r="BG104" s="24"/>
      <c r="BH104" s="28"/>
    </row>
    <row r="105" spans="1:69">
      <c r="A105" s="22"/>
      <c r="B105" s="32"/>
      <c r="C105" s="28"/>
      <c r="D105" s="28"/>
      <c r="E105" s="28"/>
      <c r="F105" s="28"/>
      <c r="G105" s="28"/>
      <c r="H105" s="28"/>
      <c r="I105" s="28"/>
      <c r="J105" s="28"/>
      <c r="K105" s="28"/>
      <c r="L105" s="28"/>
      <c r="M105" s="28"/>
      <c r="N105" s="28"/>
      <c r="O105" s="28"/>
      <c r="P105" s="28"/>
      <c r="Q105" s="28"/>
      <c r="R105" s="28"/>
      <c r="S105" s="81"/>
      <c r="T105" s="81"/>
      <c r="U105" s="81"/>
      <c r="V105" s="81"/>
      <c r="W105" s="28"/>
      <c r="X105" s="28"/>
      <c r="Y105" s="81"/>
      <c r="Z105" s="81"/>
      <c r="AA105" s="28"/>
      <c r="AB105" s="28"/>
      <c r="AC105" s="28"/>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31"/>
      <c r="AZ105" s="33"/>
      <c r="BA105" s="46"/>
      <c r="BB105" s="78"/>
      <c r="BC105" s="34"/>
    </row>
    <row r="106" spans="1:69" s="81" customFormat="1">
      <c r="A106" s="155"/>
      <c r="B106" s="95"/>
      <c r="C106" s="110"/>
      <c r="D106" s="110"/>
      <c r="E106" s="110"/>
      <c r="F106" s="110"/>
      <c r="G106" s="110"/>
      <c r="H106" s="110"/>
      <c r="I106" s="110"/>
      <c r="J106" s="110"/>
      <c r="K106" s="110"/>
      <c r="L106" s="110"/>
      <c r="M106" s="110"/>
      <c r="N106" s="110"/>
      <c r="O106" s="110"/>
      <c r="P106" s="110"/>
      <c r="Q106" s="110"/>
      <c r="R106" s="110"/>
      <c r="S106" s="156"/>
      <c r="T106" s="156"/>
      <c r="U106" s="156"/>
      <c r="V106" s="156"/>
      <c r="W106" s="110"/>
      <c r="X106" s="110"/>
      <c r="Y106" s="156"/>
      <c r="Z106" s="156"/>
      <c r="AA106" s="110"/>
      <c r="AB106" s="110"/>
      <c r="AC106" s="110"/>
      <c r="AD106" s="156"/>
      <c r="AE106" s="156"/>
      <c r="AF106" s="156"/>
      <c r="AG106" s="156"/>
      <c r="AH106" s="156"/>
      <c r="AI106" s="156"/>
      <c r="AJ106" s="156"/>
      <c r="AK106" s="156"/>
      <c r="AL106" s="156"/>
      <c r="AM106" s="156"/>
      <c r="AN106" s="156"/>
      <c r="AO106" s="156"/>
      <c r="AP106" s="156"/>
      <c r="AQ106" s="156"/>
      <c r="AR106" s="156"/>
      <c r="AS106" s="156"/>
      <c r="AT106" s="156"/>
      <c r="AU106" s="156"/>
      <c r="AV106" s="156"/>
      <c r="AW106" s="156"/>
      <c r="AX106" s="156"/>
      <c r="AY106" s="95"/>
      <c r="AZ106" s="95"/>
      <c r="BA106" s="157"/>
      <c r="BB106" s="79"/>
      <c r="BC106" s="40"/>
      <c r="BE106" s="28"/>
      <c r="BF106" s="28"/>
      <c r="BG106" s="28"/>
      <c r="BH106" s="35"/>
      <c r="BI106" s="35"/>
      <c r="BJ106" s="35"/>
      <c r="BK106" s="35"/>
      <c r="BL106" s="35"/>
      <c r="BM106" s="35"/>
      <c r="BN106" s="35"/>
      <c r="BO106" s="35"/>
      <c r="BP106" s="35"/>
      <c r="BQ106" s="35"/>
    </row>
  </sheetData>
  <mergeCells count="86">
    <mergeCell ref="AW61:AZ61"/>
    <mergeCell ref="BA61:BD61"/>
    <mergeCell ref="X61:AA61"/>
    <mergeCell ref="AB61:AF61"/>
    <mergeCell ref="AG61:AJ61"/>
    <mergeCell ref="AK61:AN61"/>
    <mergeCell ref="AO61:AR6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42:U42"/>
    <mergeCell ref="V42:Y42"/>
    <mergeCell ref="Z42:AC42"/>
    <mergeCell ref="AD42:AG42"/>
    <mergeCell ref="AH42:AL42"/>
    <mergeCell ref="AQ42:AT42"/>
    <mergeCell ref="AU42:AW42"/>
    <mergeCell ref="AQ43:AT43"/>
    <mergeCell ref="AU43:AW43"/>
    <mergeCell ref="T57:W57"/>
    <mergeCell ref="X57:AA57"/>
    <mergeCell ref="AB57:AF57"/>
    <mergeCell ref="AG57:AJ57"/>
    <mergeCell ref="AK57:AN57"/>
    <mergeCell ref="AS57:AV57"/>
    <mergeCell ref="R43:U43"/>
    <mergeCell ref="V43:Y43"/>
    <mergeCell ref="Z43:AC43"/>
    <mergeCell ref="AD43:AG43"/>
    <mergeCell ref="AH43:AL43"/>
    <mergeCell ref="AK64:AN64"/>
    <mergeCell ref="AO64:AR64"/>
    <mergeCell ref="AS64:AV64"/>
    <mergeCell ref="BE57:BG57"/>
    <mergeCell ref="T58:W58"/>
    <mergeCell ref="X58:AA58"/>
    <mergeCell ref="AB58:AF58"/>
    <mergeCell ref="AG58:AJ58"/>
    <mergeCell ref="AK58:AN58"/>
    <mergeCell ref="AS58:AV58"/>
    <mergeCell ref="BE58:BG58"/>
    <mergeCell ref="BA57:BD57"/>
    <mergeCell ref="BA58:BD58"/>
    <mergeCell ref="AW64:AZ64"/>
    <mergeCell ref="BA64:BD64"/>
    <mergeCell ref="AS61:AV61"/>
    <mergeCell ref="J86:M86"/>
    <mergeCell ref="J94:M94"/>
    <mergeCell ref="J103:M103"/>
    <mergeCell ref="J104:M104"/>
    <mergeCell ref="AM42:AP42"/>
    <mergeCell ref="AM43:AP43"/>
    <mergeCell ref="AO57:AR57"/>
    <mergeCell ref="AO58:AR58"/>
    <mergeCell ref="J68:M68"/>
    <mergeCell ref="J70:M70"/>
    <mergeCell ref="J77:M77"/>
    <mergeCell ref="X64:AA64"/>
    <mergeCell ref="AB64:AF64"/>
    <mergeCell ref="AG64:AJ64"/>
    <mergeCell ref="J78:M78"/>
    <mergeCell ref="J80:M80"/>
  </mergeCells>
  <phoneticPr fontId="56"/>
  <conditionalFormatting sqref="AO61:AV61">
    <cfRule type="cellIs" dxfId="29" priority="1" operator="lessThan">
      <formula>0</formula>
    </cfRule>
    <cfRule type="expression" dxfId="28" priority="2">
      <formula>$AK$64&lt;30</formula>
    </cfRule>
  </conditionalFormatting>
  <conditionalFormatting sqref="AO64:AV64">
    <cfRule type="cellIs" dxfId="27" priority="6" operator="lessThan">
      <formula>0</formula>
    </cfRule>
    <cfRule type="expression" dxfId="26" priority="10">
      <formula>$AK$64&lt;30</formula>
    </cfRule>
  </conditionalFormatting>
  <conditionalFormatting sqref="AS57:AV58">
    <cfRule type="cellIs" dxfId="25"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2DBC6-994B-4366-A549-4789C391367A}">
  <dimension ref="A1:BV116"/>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円(コリア原計)</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59"/>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35"/>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111</v>
      </c>
      <c r="D26" s="28"/>
      <c r="E26" s="28"/>
      <c r="F26" s="28"/>
      <c r="H26" s="58"/>
      <c r="I26" s="59"/>
      <c r="J26" s="59"/>
      <c r="K26" s="59"/>
      <c r="L26" s="60"/>
      <c r="M26" s="59"/>
      <c r="N26" s="61"/>
      <c r="O26" s="61"/>
      <c r="P26" s="70"/>
      <c r="Q26" s="64"/>
      <c r="R26" s="28" t="s">
        <v>115</v>
      </c>
      <c r="S26" s="35"/>
      <c r="T26" s="35"/>
      <c r="U26" s="28"/>
      <c r="V26" s="28"/>
      <c r="W26" s="28"/>
      <c r="Y26" s="58"/>
      <c r="Z26" s="59"/>
      <c r="AA26" s="59"/>
      <c r="AB26" s="59"/>
      <c r="AC26" s="60"/>
      <c r="AD26" s="59"/>
      <c r="AE26" s="61"/>
      <c r="AF26" s="61"/>
      <c r="AG26" s="70"/>
      <c r="AH26" s="28"/>
      <c r="AI26" s="28"/>
      <c r="AJ26" s="35"/>
      <c r="AK26" s="28"/>
      <c r="AL26" s="28"/>
      <c r="AM26" s="28"/>
      <c r="AN26" s="28"/>
      <c r="AO26" s="35"/>
      <c r="AP26" s="102"/>
      <c r="AQ26" s="103"/>
      <c r="AR26" s="103"/>
      <c r="AS26" s="103"/>
      <c r="AT26" s="102"/>
      <c r="AU26" s="104"/>
      <c r="AV26" s="102"/>
      <c r="AW26" s="103"/>
      <c r="AX26" s="63"/>
      <c r="AY26" s="283"/>
      <c r="AZ26" s="33"/>
      <c r="BA26" s="46"/>
      <c r="BB26" s="78"/>
      <c r="BC26" s="34"/>
      <c r="BD26" s="28"/>
      <c r="BE26" s="35"/>
      <c r="BF26" s="35"/>
      <c r="BG26" s="35"/>
    </row>
    <row r="27" spans="1:59" ht="14.15" customHeight="1">
      <c r="A27" s="22"/>
      <c r="B27" s="256"/>
      <c r="C27" s="284" t="s">
        <v>117</v>
      </c>
      <c r="F27" s="285"/>
      <c r="G27" s="285"/>
      <c r="H27" s="98" t="s">
        <v>122</v>
      </c>
      <c r="I27" s="257"/>
      <c r="J27" s="258"/>
      <c r="K27" s="258"/>
      <c r="L27" s="258"/>
      <c r="M27" s="259"/>
      <c r="N27" s="258"/>
      <c r="O27" s="110"/>
      <c r="P27" s="260" t="s">
        <v>33</v>
      </c>
      <c r="R27" s="130"/>
      <c r="S27" s="35"/>
      <c r="T27" s="285" t="s">
        <v>120</v>
      </c>
      <c r="U27" s="35"/>
      <c r="V27" s="285"/>
      <c r="W27" s="285"/>
      <c r="X27" s="285"/>
      <c r="Y27" s="98" t="s">
        <v>123</v>
      </c>
      <c r="Z27" s="257"/>
      <c r="AA27" s="258"/>
      <c r="AB27" s="258"/>
      <c r="AC27" s="258"/>
      <c r="AD27" s="259"/>
      <c r="AE27" s="258"/>
      <c r="AF27" s="110"/>
      <c r="AG27" s="261" t="s">
        <v>33</v>
      </c>
      <c r="AH27" s="35"/>
      <c r="AI27" s="35"/>
      <c r="AJ27" s="35"/>
      <c r="AK27" s="285" t="s">
        <v>121</v>
      </c>
      <c r="AL27" s="35"/>
      <c r="AM27" s="285"/>
      <c r="AN27" s="35"/>
      <c r="AO27" s="35"/>
      <c r="AP27" s="98" t="s">
        <v>116</v>
      </c>
      <c r="AQ27" s="257"/>
      <c r="AR27" s="258"/>
      <c r="AS27" s="258"/>
      <c r="AT27" s="258"/>
      <c r="AU27" s="259"/>
      <c r="AV27" s="110"/>
      <c r="AW27" s="37"/>
      <c r="AX27" s="262" t="s">
        <v>33</v>
      </c>
      <c r="AY27" s="286"/>
      <c r="AZ27" s="33"/>
      <c r="BA27" s="46"/>
      <c r="BB27" s="78"/>
      <c r="BC27" s="34"/>
      <c r="BD27" s="35"/>
      <c r="BE27" s="35"/>
      <c r="BF27" s="35"/>
      <c r="BG27" s="35"/>
    </row>
    <row r="28" spans="1:59" ht="13.5" customHeight="1">
      <c r="A28" s="22"/>
      <c r="B28" s="45"/>
      <c r="C28" s="282" t="s">
        <v>125</v>
      </c>
      <c r="D28" s="28"/>
      <c r="E28" s="28"/>
      <c r="F28" s="28"/>
      <c r="H28" s="58"/>
      <c r="I28" s="59"/>
      <c r="J28" s="59"/>
      <c r="K28" s="59"/>
      <c r="L28" s="60"/>
      <c r="M28" s="59"/>
      <c r="N28" s="61"/>
      <c r="O28" s="61"/>
      <c r="P28" s="70"/>
      <c r="Q28" s="64"/>
      <c r="R28" s="28"/>
      <c r="S28" s="35"/>
      <c r="T28" s="28" t="s">
        <v>130</v>
      </c>
      <c r="U28" s="28"/>
      <c r="V28" s="28"/>
      <c r="W28" s="28"/>
      <c r="Y28" s="58"/>
      <c r="Z28" s="59"/>
      <c r="AA28" s="59"/>
      <c r="AB28" s="59"/>
      <c r="AC28" s="60"/>
      <c r="AD28" s="59"/>
      <c r="AE28" s="61"/>
      <c r="AF28" s="61"/>
      <c r="AG28" s="94" t="s">
        <v>129</v>
      </c>
      <c r="AH28" s="28"/>
      <c r="AI28" s="28"/>
      <c r="AJ28" s="35"/>
      <c r="AK28" s="28" t="s">
        <v>118</v>
      </c>
      <c r="AL28" s="28"/>
      <c r="AM28" s="28"/>
      <c r="AN28" s="28"/>
      <c r="AO28" s="35"/>
      <c r="AP28" s="58"/>
      <c r="AQ28" s="59"/>
      <c r="AR28" s="59"/>
      <c r="AS28" s="59"/>
      <c r="AT28" s="60"/>
      <c r="AU28" s="59"/>
      <c r="AV28" s="61"/>
      <c r="AW28" s="61"/>
      <c r="AX28" s="260" t="s">
        <v>33</v>
      </c>
      <c r="AY28" s="283"/>
      <c r="AZ28" s="33"/>
      <c r="BA28" s="46"/>
      <c r="BB28" s="78"/>
      <c r="BC28" s="34"/>
      <c r="BD28" s="28"/>
      <c r="BE28" s="35"/>
      <c r="BF28" s="35"/>
      <c r="BG28" s="35"/>
    </row>
    <row r="29" spans="1:59" ht="13.5" customHeight="1">
      <c r="A29" s="22"/>
      <c r="B29" s="32"/>
      <c r="C29" s="287" t="s">
        <v>124</v>
      </c>
      <c r="D29" s="41"/>
      <c r="E29" s="41"/>
      <c r="F29" s="41"/>
      <c r="G29" s="41"/>
      <c r="H29" s="163"/>
      <c r="I29" s="164"/>
      <c r="J29" s="165"/>
      <c r="K29" s="164"/>
      <c r="L29" s="165"/>
      <c r="M29" s="164"/>
      <c r="N29" s="166"/>
      <c r="O29" s="164"/>
      <c r="P29" s="165"/>
      <c r="Q29" s="165"/>
      <c r="R29" s="165"/>
      <c r="S29" s="167"/>
      <c r="T29" s="167"/>
      <c r="U29" s="167"/>
      <c r="V29" s="167"/>
      <c r="W29" s="167"/>
      <c r="X29" s="166"/>
      <c r="Y29" s="167"/>
      <c r="Z29" s="165"/>
      <c r="AA29" s="166"/>
      <c r="AB29" s="167"/>
      <c r="AC29" s="165"/>
      <c r="AD29" s="166"/>
      <c r="AE29" s="165"/>
      <c r="AF29" s="165"/>
      <c r="AG29" s="166"/>
      <c r="AH29" s="165"/>
      <c r="AI29" s="165"/>
      <c r="AJ29" s="168"/>
      <c r="AK29" s="165"/>
      <c r="AL29" s="165"/>
      <c r="AM29" s="165"/>
      <c r="AN29" s="165"/>
      <c r="AO29" s="165"/>
      <c r="AP29" s="165"/>
      <c r="AQ29" s="165"/>
      <c r="AR29" s="165"/>
      <c r="AS29" s="165"/>
      <c r="AT29" s="165"/>
      <c r="AU29" s="165"/>
      <c r="AV29" s="165"/>
      <c r="AW29" s="165"/>
      <c r="AX29" s="160" t="s">
        <v>37</v>
      </c>
      <c r="AY29" s="283"/>
      <c r="AZ29" s="33"/>
      <c r="BA29" s="46"/>
      <c r="BB29" s="78"/>
      <c r="BC29" s="34"/>
      <c r="BD29" s="28"/>
      <c r="BE29" s="35"/>
      <c r="BF29" s="35"/>
      <c r="BG29" s="35"/>
    </row>
    <row r="30" spans="1:59" ht="13.5" customHeight="1">
      <c r="A30" s="22"/>
      <c r="B30" s="32"/>
      <c r="C30" s="287"/>
      <c r="D30" s="41"/>
      <c r="E30" s="41"/>
      <c r="F30" s="41"/>
      <c r="G30" s="41"/>
      <c r="H30" s="169"/>
      <c r="I30" s="170"/>
      <c r="J30" s="171"/>
      <c r="K30" s="170"/>
      <c r="L30" s="171"/>
      <c r="M30" s="170"/>
      <c r="N30" s="172"/>
      <c r="O30" s="170"/>
      <c r="P30" s="171"/>
      <c r="Q30" s="171"/>
      <c r="R30" s="171"/>
      <c r="S30" s="173"/>
      <c r="T30" s="173"/>
      <c r="U30" s="173"/>
      <c r="V30" s="173"/>
      <c r="W30" s="173"/>
      <c r="X30" s="172"/>
      <c r="Y30" s="173"/>
      <c r="Z30" s="171"/>
      <c r="AA30" s="172"/>
      <c r="AB30" s="173"/>
      <c r="AC30" s="171"/>
      <c r="AD30" s="172"/>
      <c r="AE30" s="171"/>
      <c r="AF30" s="171"/>
      <c r="AG30" s="172"/>
      <c r="AH30" s="171"/>
      <c r="AI30" s="171"/>
      <c r="AJ30" s="174"/>
      <c r="AK30" s="171"/>
      <c r="AL30" s="171"/>
      <c r="AM30" s="171"/>
      <c r="AN30" s="171"/>
      <c r="AO30" s="171"/>
      <c r="AP30" s="171"/>
      <c r="AQ30" s="171"/>
      <c r="AR30" s="171"/>
      <c r="AS30" s="171"/>
      <c r="AT30" s="171"/>
      <c r="AU30" s="171"/>
      <c r="AV30" s="171"/>
      <c r="AW30" s="171"/>
      <c r="AX30" s="122" t="s">
        <v>33</v>
      </c>
      <c r="AY30" s="283"/>
      <c r="AZ30" s="33"/>
      <c r="BA30" s="46"/>
      <c r="BB30" s="78"/>
      <c r="BC30" s="34"/>
      <c r="BD30" s="28"/>
      <c r="BE30" s="35"/>
      <c r="BF30" s="35"/>
      <c r="BG30" s="35"/>
    </row>
    <row r="31" spans="1:59" ht="13.5" customHeight="1">
      <c r="A31" s="22"/>
      <c r="B31" s="32"/>
      <c r="C31" s="287" t="s">
        <v>126</v>
      </c>
      <c r="D31" s="41"/>
      <c r="E31" s="41"/>
      <c r="F31" s="41"/>
      <c r="G31" s="41"/>
      <c r="H31" s="163" t="s">
        <v>171</v>
      </c>
      <c r="I31" s="164"/>
      <c r="J31" s="165"/>
      <c r="K31" s="164"/>
      <c r="L31" s="165"/>
      <c r="M31" s="164"/>
      <c r="N31" s="166"/>
      <c r="O31" s="164"/>
      <c r="P31" s="165"/>
      <c r="Q31" s="165"/>
      <c r="R31" s="165"/>
      <c r="S31" s="167"/>
      <c r="T31" s="167"/>
      <c r="U31" s="167"/>
      <c r="V31" s="167"/>
      <c r="W31" s="167"/>
      <c r="X31" s="166"/>
      <c r="Y31" s="167"/>
      <c r="Z31" s="165"/>
      <c r="AA31" s="166"/>
      <c r="AB31" s="167"/>
      <c r="AC31" s="165"/>
      <c r="AD31" s="166"/>
      <c r="AE31" s="165"/>
      <c r="AF31" s="165"/>
      <c r="AG31" s="166"/>
      <c r="AH31" s="165"/>
      <c r="AI31" s="165"/>
      <c r="AJ31" s="168"/>
      <c r="AK31" s="165"/>
      <c r="AL31" s="165"/>
      <c r="AM31" s="165"/>
      <c r="AN31" s="165"/>
      <c r="AO31" s="165"/>
      <c r="AP31" s="165"/>
      <c r="AQ31" s="165"/>
      <c r="AR31" s="165"/>
      <c r="AS31" s="165"/>
      <c r="AT31" s="165"/>
      <c r="AU31" s="165"/>
      <c r="AV31" s="165"/>
      <c r="AW31" s="165"/>
      <c r="AX31" s="160" t="s">
        <v>37</v>
      </c>
      <c r="AY31" s="283"/>
      <c r="AZ31" s="33"/>
      <c r="BA31" s="46"/>
      <c r="BB31" s="78"/>
      <c r="BC31" s="34"/>
      <c r="BD31" s="28"/>
      <c r="BE31" s="35"/>
      <c r="BF31" s="35"/>
      <c r="BG31" s="35"/>
    </row>
    <row r="32" spans="1:59" ht="13.5" customHeight="1">
      <c r="A32" s="22"/>
      <c r="B32" s="32"/>
      <c r="C32" s="287"/>
      <c r="D32" s="41"/>
      <c r="E32" s="41"/>
      <c r="F32" s="41"/>
      <c r="G32" s="41"/>
      <c r="H32" s="169"/>
      <c r="I32" s="170"/>
      <c r="J32" s="171"/>
      <c r="K32" s="170"/>
      <c r="L32" s="171"/>
      <c r="M32" s="170"/>
      <c r="N32" s="172"/>
      <c r="O32" s="170"/>
      <c r="P32" s="171"/>
      <c r="Q32" s="171"/>
      <c r="R32" s="171"/>
      <c r="S32" s="173"/>
      <c r="T32" s="173"/>
      <c r="U32" s="173"/>
      <c r="V32" s="173"/>
      <c r="W32" s="173"/>
      <c r="X32" s="172"/>
      <c r="Y32" s="173"/>
      <c r="Z32" s="171"/>
      <c r="AA32" s="172"/>
      <c r="AB32" s="173"/>
      <c r="AC32" s="171"/>
      <c r="AD32" s="172"/>
      <c r="AE32" s="171"/>
      <c r="AF32" s="171"/>
      <c r="AG32" s="172"/>
      <c r="AH32" s="171"/>
      <c r="AI32" s="171"/>
      <c r="AJ32" s="174"/>
      <c r="AK32" s="171"/>
      <c r="AL32" s="171"/>
      <c r="AM32" s="171"/>
      <c r="AN32" s="171"/>
      <c r="AO32" s="171"/>
      <c r="AP32" s="171"/>
      <c r="AQ32" s="171"/>
      <c r="AR32" s="171"/>
      <c r="AS32" s="171"/>
      <c r="AT32" s="171"/>
      <c r="AU32" s="171"/>
      <c r="AV32" s="171"/>
      <c r="AW32" s="171"/>
      <c r="AX32" s="122" t="s">
        <v>33</v>
      </c>
      <c r="AY32" s="283"/>
      <c r="AZ32" s="33"/>
      <c r="BA32" s="46"/>
      <c r="BB32" s="78"/>
      <c r="BC32" s="34"/>
      <c r="BD32" s="28"/>
      <c r="BE32" s="35"/>
      <c r="BF32" s="35"/>
      <c r="BG32" s="35"/>
    </row>
    <row r="33" spans="1:74" ht="13.5" customHeight="1">
      <c r="A33" s="22"/>
      <c r="B33" s="32"/>
      <c r="C33" s="287" t="s">
        <v>127</v>
      </c>
      <c r="D33" s="41"/>
      <c r="E33" s="41"/>
      <c r="F33" s="41"/>
      <c r="G33" s="41"/>
      <c r="H33" s="163"/>
      <c r="I33" s="164"/>
      <c r="J33" s="165"/>
      <c r="K33" s="164"/>
      <c r="L33" s="165"/>
      <c r="M33" s="164"/>
      <c r="N33" s="166"/>
      <c r="O33" s="164"/>
      <c r="P33" s="165"/>
      <c r="Q33" s="165"/>
      <c r="R33" s="165"/>
      <c r="S33" s="167"/>
      <c r="T33" s="167"/>
      <c r="U33" s="167"/>
      <c r="V33" s="167"/>
      <c r="W33" s="167"/>
      <c r="X33" s="166"/>
      <c r="Y33" s="167"/>
      <c r="Z33" s="165"/>
      <c r="AA33" s="166"/>
      <c r="AB33" s="167"/>
      <c r="AC33" s="165"/>
      <c r="AD33" s="166"/>
      <c r="AE33" s="165"/>
      <c r="AF33" s="165"/>
      <c r="AG33" s="166"/>
      <c r="AH33" s="165"/>
      <c r="AI33" s="165"/>
      <c r="AJ33" s="168"/>
      <c r="AK33" s="165"/>
      <c r="AL33" s="165"/>
      <c r="AM33" s="165"/>
      <c r="AN33" s="165"/>
      <c r="AO33" s="165"/>
      <c r="AP33" s="165"/>
      <c r="AQ33" s="165"/>
      <c r="AR33" s="165"/>
      <c r="AS33" s="165"/>
      <c r="AT33" s="165"/>
      <c r="AU33" s="165"/>
      <c r="AV33" s="165"/>
      <c r="AW33" s="165"/>
      <c r="AX33" s="160" t="s">
        <v>37</v>
      </c>
      <c r="AY33" s="283"/>
      <c r="AZ33" s="33"/>
      <c r="BA33" s="46"/>
      <c r="BB33" s="78"/>
      <c r="BC33" s="34"/>
      <c r="BD33" s="28"/>
      <c r="BE33" s="35"/>
      <c r="BF33" s="35"/>
      <c r="BG33" s="35"/>
    </row>
    <row r="34" spans="1:74" ht="13.5" customHeight="1">
      <c r="A34" s="22"/>
      <c r="B34" s="32"/>
      <c r="C34" s="287"/>
      <c r="D34" s="41"/>
      <c r="E34" s="41"/>
      <c r="F34" s="41"/>
      <c r="G34" s="41"/>
      <c r="H34" s="169"/>
      <c r="I34" s="170"/>
      <c r="J34" s="171"/>
      <c r="K34" s="170"/>
      <c r="L34" s="171"/>
      <c r="M34" s="170"/>
      <c r="N34" s="172"/>
      <c r="O34" s="170"/>
      <c r="P34" s="171"/>
      <c r="Q34" s="171"/>
      <c r="R34" s="171"/>
      <c r="S34" s="173"/>
      <c r="T34" s="173"/>
      <c r="U34" s="173"/>
      <c r="V34" s="173"/>
      <c r="W34" s="173"/>
      <c r="X34" s="172"/>
      <c r="Y34" s="173"/>
      <c r="Z34" s="171"/>
      <c r="AA34" s="172"/>
      <c r="AB34" s="173"/>
      <c r="AC34" s="171"/>
      <c r="AD34" s="172"/>
      <c r="AE34" s="171"/>
      <c r="AF34" s="171"/>
      <c r="AG34" s="172"/>
      <c r="AH34" s="171"/>
      <c r="AI34" s="171"/>
      <c r="AJ34" s="174"/>
      <c r="AK34" s="171"/>
      <c r="AL34" s="171"/>
      <c r="AM34" s="171"/>
      <c r="AN34" s="171"/>
      <c r="AO34" s="171"/>
      <c r="AP34" s="171"/>
      <c r="AQ34" s="171"/>
      <c r="AR34" s="171"/>
      <c r="AS34" s="171"/>
      <c r="AT34" s="171"/>
      <c r="AU34" s="171"/>
      <c r="AV34" s="171"/>
      <c r="AW34" s="171"/>
      <c r="AX34" s="122" t="s">
        <v>33</v>
      </c>
      <c r="AY34" s="283"/>
      <c r="AZ34" s="33"/>
      <c r="BA34" s="46"/>
      <c r="BB34" s="78"/>
      <c r="BC34" s="34"/>
      <c r="BD34" s="28"/>
      <c r="BE34" s="35"/>
      <c r="BF34" s="35"/>
      <c r="BG34" s="35"/>
    </row>
    <row r="35" spans="1:74" ht="5.15" customHeight="1">
      <c r="A35" s="22"/>
      <c r="B35" s="32"/>
      <c r="C35" s="288"/>
      <c r="D35" s="289"/>
      <c r="E35" s="289"/>
      <c r="F35" s="289"/>
      <c r="G35" s="289"/>
      <c r="H35" s="290"/>
      <c r="I35" s="290"/>
      <c r="J35" s="291"/>
      <c r="K35" s="290"/>
      <c r="L35" s="291"/>
      <c r="M35" s="290"/>
      <c r="N35" s="292"/>
      <c r="O35" s="290"/>
      <c r="P35" s="291"/>
      <c r="Q35" s="291"/>
      <c r="R35" s="291"/>
      <c r="S35" s="293"/>
      <c r="T35" s="293"/>
      <c r="U35" s="293"/>
      <c r="V35" s="293"/>
      <c r="W35" s="293"/>
      <c r="X35" s="292"/>
      <c r="Y35" s="293"/>
      <c r="Z35" s="291"/>
      <c r="AA35" s="292"/>
      <c r="AB35" s="293"/>
      <c r="AC35" s="291"/>
      <c r="AD35" s="292"/>
      <c r="AE35" s="291"/>
      <c r="AF35" s="291"/>
      <c r="AG35" s="292"/>
      <c r="AH35" s="291"/>
      <c r="AI35" s="291"/>
      <c r="AJ35" s="294"/>
      <c r="AK35" s="291"/>
      <c r="AL35" s="291"/>
      <c r="AM35" s="291"/>
      <c r="AN35" s="291"/>
      <c r="AO35" s="291"/>
      <c r="AP35" s="291"/>
      <c r="AQ35" s="291"/>
      <c r="AR35" s="291"/>
      <c r="AS35" s="291"/>
      <c r="AT35" s="291"/>
      <c r="AU35" s="291"/>
      <c r="AV35" s="291"/>
      <c r="AW35" s="291"/>
      <c r="AX35" s="276"/>
      <c r="AY35" s="295"/>
      <c r="AZ35" s="33"/>
      <c r="BA35" s="46"/>
      <c r="BB35" s="78"/>
      <c r="BC35" s="34"/>
      <c r="BD35" s="28"/>
      <c r="BE35" s="35"/>
      <c r="BF35" s="35"/>
      <c r="BG35" s="35"/>
    </row>
    <row r="36" spans="1:74" ht="13.5" customHeight="1">
      <c r="A36" s="22"/>
      <c r="B36" s="32"/>
      <c r="C36" s="41"/>
      <c r="D36" s="41"/>
      <c r="E36" s="41"/>
      <c r="F36" s="41"/>
      <c r="G36" s="41"/>
      <c r="H36" s="364"/>
      <c r="I36" s="364"/>
      <c r="J36" s="365"/>
      <c r="K36" s="364"/>
      <c r="L36" s="365"/>
      <c r="M36" s="364"/>
      <c r="N36" s="366"/>
      <c r="O36" s="364"/>
      <c r="P36" s="365"/>
      <c r="Q36" s="365"/>
      <c r="R36" s="365"/>
      <c r="S36" s="367"/>
      <c r="T36" s="367"/>
      <c r="U36" s="367"/>
      <c r="V36" s="367"/>
      <c r="W36" s="367"/>
      <c r="X36" s="366"/>
      <c r="Y36" s="367"/>
      <c r="Z36" s="365"/>
      <c r="AA36" s="366"/>
      <c r="AB36" s="367"/>
      <c r="AC36" s="365"/>
      <c r="AD36" s="366"/>
      <c r="AE36" s="365"/>
      <c r="AF36" s="365"/>
      <c r="AG36" s="366"/>
      <c r="AH36" s="365"/>
      <c r="AI36" s="365"/>
      <c r="AJ36" s="368"/>
      <c r="AK36" s="365"/>
      <c r="AL36" s="365"/>
      <c r="AM36" s="365"/>
      <c r="AN36" s="365"/>
      <c r="AO36" s="365"/>
      <c r="AP36" s="365"/>
      <c r="AQ36" s="365"/>
      <c r="AR36" s="365"/>
      <c r="AS36" s="365"/>
      <c r="AT36" s="365"/>
      <c r="AU36" s="365"/>
      <c r="AV36" s="365"/>
      <c r="AW36" s="365"/>
      <c r="AX36" s="280"/>
      <c r="AY36" s="279"/>
      <c r="AZ36" s="33"/>
      <c r="BA36" s="46"/>
      <c r="BB36" s="78"/>
      <c r="BC36" s="34"/>
      <c r="BD36" s="28"/>
      <c r="BE36" s="35"/>
      <c r="BF36" s="35"/>
      <c r="BG36" s="35"/>
    </row>
    <row r="37" spans="1:74" ht="13.5" customHeight="1">
      <c r="A37" s="22"/>
      <c r="B37" s="202">
        <v>5</v>
      </c>
      <c r="C37" s="204" t="s">
        <v>264</v>
      </c>
      <c r="D37" s="28"/>
      <c r="E37" s="28"/>
      <c r="F37" s="28"/>
      <c r="G37" s="28"/>
      <c r="H37" s="121"/>
      <c r="I37" s="62"/>
      <c r="J37" s="62"/>
      <c r="K37" s="63"/>
      <c r="L37" s="69"/>
      <c r="M37" s="69"/>
      <c r="N37" s="65"/>
      <c r="O37" s="69"/>
      <c r="P37" s="65"/>
      <c r="Q37" s="65"/>
      <c r="R37" s="69"/>
      <c r="S37" s="28"/>
      <c r="T37" s="28"/>
      <c r="U37" s="28"/>
      <c r="V37" s="28"/>
      <c r="W37" s="28"/>
      <c r="X37" s="121"/>
      <c r="Y37" s="62"/>
      <c r="Z37" s="63"/>
      <c r="AA37" s="62"/>
      <c r="AB37" s="63"/>
      <c r="AC37" s="69"/>
      <c r="AD37" s="69"/>
      <c r="AE37" s="65"/>
      <c r="AF37" s="69"/>
      <c r="AG37" s="65"/>
      <c r="AH37" s="69"/>
      <c r="AI37" s="64"/>
      <c r="AJ37" s="69"/>
      <c r="AK37" s="65"/>
      <c r="AL37" s="28"/>
      <c r="AM37" s="28"/>
      <c r="AN37" s="28"/>
      <c r="AO37" s="28"/>
      <c r="AP37" s="28"/>
      <c r="AQ37" s="28"/>
      <c r="AR37" s="28"/>
      <c r="AS37" s="28"/>
      <c r="AT37" s="28"/>
      <c r="AU37" s="28"/>
      <c r="AV37" s="233"/>
      <c r="AW37" s="28"/>
      <c r="AX37" s="28"/>
      <c r="AY37" s="31"/>
      <c r="AZ37" s="33"/>
      <c r="BA37" s="46"/>
      <c r="BB37" s="159"/>
      <c r="BC37" s="115"/>
      <c r="BD37" s="28"/>
    </row>
    <row r="38" spans="1:74" ht="5.15" customHeight="1">
      <c r="A38" s="22"/>
      <c r="B38" s="202"/>
      <c r="C38" s="296"/>
      <c r="D38" s="72"/>
      <c r="E38" s="72"/>
      <c r="F38" s="72"/>
      <c r="G38" s="72"/>
      <c r="H38" s="297"/>
      <c r="I38" s="278"/>
      <c r="J38" s="278"/>
      <c r="K38" s="279"/>
      <c r="L38" s="298"/>
      <c r="M38" s="298"/>
      <c r="N38" s="263"/>
      <c r="O38" s="298"/>
      <c r="P38" s="263"/>
      <c r="Q38" s="263"/>
      <c r="R38" s="298"/>
      <c r="S38" s="72"/>
      <c r="T38" s="72"/>
      <c r="U38" s="72"/>
      <c r="V38" s="72"/>
      <c r="W38" s="72"/>
      <c r="X38" s="297"/>
      <c r="Y38" s="278"/>
      <c r="Z38" s="279"/>
      <c r="AA38" s="278"/>
      <c r="AB38" s="279"/>
      <c r="AC38" s="298"/>
      <c r="AD38" s="298"/>
      <c r="AE38" s="263"/>
      <c r="AF38" s="298"/>
      <c r="AG38" s="263"/>
      <c r="AH38" s="298"/>
      <c r="AI38" s="280"/>
      <c r="AJ38" s="298"/>
      <c r="AK38" s="263"/>
      <c r="AL38" s="72"/>
      <c r="AM38" s="72"/>
      <c r="AN38" s="72"/>
      <c r="AO38" s="72"/>
      <c r="AP38" s="72"/>
      <c r="AQ38" s="72"/>
      <c r="AR38" s="72"/>
      <c r="AS38" s="72"/>
      <c r="AT38" s="72"/>
      <c r="AU38" s="72"/>
      <c r="AV38" s="300"/>
      <c r="AW38" s="72"/>
      <c r="AX38" s="72"/>
      <c r="AY38" s="265"/>
      <c r="AZ38" s="33"/>
      <c r="BA38" s="46"/>
      <c r="BB38" s="159"/>
      <c r="BC38" s="115"/>
      <c r="BD38" s="28"/>
    </row>
    <row r="39" spans="1:74" ht="13.9" customHeight="1">
      <c r="A39" s="22"/>
      <c r="B39" s="202"/>
      <c r="C39" s="501" t="s">
        <v>282</v>
      </c>
      <c r="D39" s="28"/>
      <c r="E39" s="28"/>
      <c r="F39" s="28"/>
      <c r="G39" s="86" t="s">
        <v>277</v>
      </c>
      <c r="H39" s="86"/>
      <c r="I39" s="86"/>
      <c r="J39" s="86"/>
      <c r="K39" s="86"/>
      <c r="L39" s="322"/>
      <c r="M39" s="75"/>
      <c r="N39" s="65"/>
      <c r="O39" s="69"/>
      <c r="P39" s="65"/>
      <c r="Q39" s="65"/>
      <c r="R39" s="69"/>
      <c r="S39" s="28"/>
      <c r="T39" s="28"/>
      <c r="U39" s="28"/>
      <c r="V39" s="28"/>
      <c r="W39" s="28"/>
      <c r="X39" s="121"/>
      <c r="Y39" s="62"/>
      <c r="Z39" s="63"/>
      <c r="AA39" s="62"/>
      <c r="AB39" s="63"/>
      <c r="AC39" s="69"/>
      <c r="AD39" s="69"/>
      <c r="AE39" s="65"/>
      <c r="AF39" s="69"/>
      <c r="AG39" s="65"/>
      <c r="AH39" s="69"/>
      <c r="AI39" s="64"/>
      <c r="AJ39" s="69"/>
      <c r="AK39" s="65"/>
      <c r="AL39" s="28"/>
      <c r="AM39" s="28"/>
      <c r="AN39" s="28"/>
      <c r="AO39" s="28"/>
      <c r="AP39" s="28"/>
      <c r="AQ39" s="28"/>
      <c r="AR39" s="28"/>
      <c r="AS39" s="28"/>
      <c r="AT39" s="28"/>
      <c r="AU39" s="28"/>
      <c r="AV39" s="233"/>
      <c r="AW39" s="28"/>
      <c r="AX39" s="28"/>
      <c r="AY39" s="267"/>
      <c r="AZ39" s="33"/>
      <c r="BA39" s="46"/>
      <c r="BB39" s="159"/>
      <c r="BC39" s="115"/>
      <c r="BD39" s="28"/>
    </row>
    <row r="40" spans="1:74" ht="13.5" customHeight="1">
      <c r="A40" s="22"/>
      <c r="B40" s="202">
        <v>6</v>
      </c>
      <c r="C40" s="304" t="s">
        <v>32</v>
      </c>
      <c r="D40" s="205" t="s">
        <v>262</v>
      </c>
      <c r="E40" s="206"/>
      <c r="F40" s="206"/>
      <c r="G40" s="207"/>
      <c r="H40" s="208" t="s">
        <v>276</v>
      </c>
      <c r="I40" s="209"/>
      <c r="J40" s="209"/>
      <c r="K40" s="206"/>
      <c r="L40" s="207"/>
      <c r="M40" s="515"/>
      <c r="N40" s="28"/>
      <c r="O40" s="28"/>
      <c r="P40" s="28"/>
      <c r="Q40" s="28"/>
      <c r="R40" s="28"/>
      <c r="S40" s="35"/>
      <c r="T40" s="35"/>
      <c r="U40" s="35"/>
      <c r="V40" s="35"/>
      <c r="Y40" s="35"/>
      <c r="Z40" s="35"/>
      <c r="AD40" s="35"/>
      <c r="AE40" s="35"/>
      <c r="AF40" s="35"/>
      <c r="AG40" s="35"/>
      <c r="AH40" s="35"/>
      <c r="AI40" s="35"/>
      <c r="AJ40" s="35"/>
      <c r="AK40" s="35"/>
      <c r="AL40" s="35"/>
      <c r="AM40" s="35"/>
      <c r="AN40" s="35"/>
      <c r="AO40" s="35"/>
      <c r="AP40" s="35"/>
      <c r="AQ40" s="35"/>
      <c r="AR40" s="35"/>
      <c r="AS40" s="35"/>
      <c r="AT40" s="35"/>
      <c r="AU40" s="35"/>
      <c r="AV40" s="35"/>
      <c r="AW40" s="35"/>
      <c r="AX40" s="35"/>
      <c r="AY40" s="311"/>
      <c r="AZ40" s="33"/>
      <c r="BA40" s="46"/>
      <c r="BB40" s="159"/>
      <c r="BC40" s="115"/>
      <c r="BD40" s="35"/>
      <c r="BE40" s="35"/>
      <c r="BF40" s="35"/>
      <c r="BG40" s="35"/>
    </row>
    <row r="41" spans="1:74" ht="13.5" customHeight="1">
      <c r="A41" s="22"/>
      <c r="B41" s="202">
        <v>8</v>
      </c>
      <c r="C41" s="308">
        <v>1</v>
      </c>
      <c r="D41" s="148" t="s">
        <v>148</v>
      </c>
      <c r="E41" s="149"/>
      <c r="F41" s="149"/>
      <c r="G41" s="151"/>
      <c r="H41" s="1054">
        <v>110</v>
      </c>
      <c r="I41" s="991"/>
      <c r="J41" s="991"/>
      <c r="K41" s="991"/>
      <c r="L41" s="992"/>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74" ht="13.5" customHeight="1">
      <c r="A42" s="22"/>
      <c r="B42" s="202">
        <v>9</v>
      </c>
      <c r="C42" s="308">
        <v>2</v>
      </c>
      <c r="D42" s="148" t="s">
        <v>263</v>
      </c>
      <c r="E42" s="149"/>
      <c r="F42" s="149"/>
      <c r="G42" s="151"/>
      <c r="H42" s="1054">
        <v>125</v>
      </c>
      <c r="I42" s="991"/>
      <c r="J42" s="991"/>
      <c r="K42" s="991"/>
      <c r="L42" s="992"/>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74" ht="5.15" customHeight="1">
      <c r="A43" s="22"/>
      <c r="B43" s="202"/>
      <c r="C43" s="315"/>
      <c r="D43" s="73"/>
      <c r="E43" s="73"/>
      <c r="F43" s="73"/>
      <c r="G43" s="73"/>
      <c r="H43" s="316"/>
      <c r="I43" s="275"/>
      <c r="J43" s="275"/>
      <c r="K43" s="273"/>
      <c r="L43" s="317"/>
      <c r="M43" s="317"/>
      <c r="N43" s="270"/>
      <c r="O43" s="317"/>
      <c r="P43" s="270"/>
      <c r="Q43" s="270"/>
      <c r="R43" s="317"/>
      <c r="S43" s="73"/>
      <c r="T43" s="73"/>
      <c r="U43" s="73"/>
      <c r="V43" s="73"/>
      <c r="W43" s="73"/>
      <c r="X43" s="316"/>
      <c r="Y43" s="275"/>
      <c r="Z43" s="273"/>
      <c r="AA43" s="275"/>
      <c r="AB43" s="273"/>
      <c r="AC43" s="317"/>
      <c r="AD43" s="317"/>
      <c r="AE43" s="270"/>
      <c r="AF43" s="317"/>
      <c r="AG43" s="270"/>
      <c r="AH43" s="317"/>
      <c r="AI43" s="276"/>
      <c r="AJ43" s="317"/>
      <c r="AK43" s="270"/>
      <c r="AL43" s="73"/>
      <c r="AM43" s="73"/>
      <c r="AN43" s="73"/>
      <c r="AO43" s="73"/>
      <c r="AP43" s="73"/>
      <c r="AQ43" s="73"/>
      <c r="AR43" s="73"/>
      <c r="AS43" s="73"/>
      <c r="AT43" s="73"/>
      <c r="AU43" s="73"/>
      <c r="AV43" s="318"/>
      <c r="AW43" s="73"/>
      <c r="AX43" s="73"/>
      <c r="AY43" s="277"/>
      <c r="AZ43" s="33"/>
      <c r="BA43" s="46"/>
      <c r="BB43" s="159"/>
      <c r="BC43" s="115"/>
      <c r="BD43" s="28"/>
    </row>
    <row r="44" spans="1:74" ht="13.5" customHeight="1">
      <c r="A44" s="22"/>
      <c r="B44" s="202">
        <v>10</v>
      </c>
      <c r="C44" s="492"/>
      <c r="D44" s="65"/>
      <c r="E44" s="65"/>
      <c r="F44" s="65"/>
      <c r="G44" s="65"/>
      <c r="H44" s="65"/>
      <c r="I44" s="65"/>
      <c r="J44" s="65"/>
      <c r="K44" s="65"/>
      <c r="L44" s="65"/>
      <c r="M44" s="62"/>
      <c r="N44" s="63"/>
      <c r="O44" s="65"/>
      <c r="P44" s="65"/>
      <c r="Q44" s="64"/>
      <c r="R44" s="63"/>
      <c r="S44" s="190"/>
      <c r="T44" s="190"/>
      <c r="U44" s="191"/>
      <c r="V44" s="192"/>
      <c r="W44" s="190"/>
      <c r="X44" s="65"/>
      <c r="Y44" s="65"/>
      <c r="Z44" s="65"/>
      <c r="AA44" s="65"/>
      <c r="AB44" s="65"/>
      <c r="AC44" s="65"/>
      <c r="AD44" s="65"/>
      <c r="AE44" s="65"/>
      <c r="AF44" s="65"/>
      <c r="AG44" s="65"/>
      <c r="AH44" s="65"/>
      <c r="AI44" s="65"/>
      <c r="AJ44" s="65"/>
      <c r="AK44" s="65"/>
      <c r="AL44" s="65"/>
      <c r="AM44" s="63"/>
      <c r="AN44" s="63"/>
      <c r="AO44" s="63"/>
      <c r="AP44" s="63"/>
      <c r="AQ44" s="63"/>
      <c r="AR44" s="63"/>
      <c r="AS44" s="63"/>
      <c r="AT44" s="63"/>
      <c r="AU44" s="63"/>
      <c r="AV44" s="63"/>
      <c r="AW44" s="63"/>
      <c r="AX44" s="63"/>
      <c r="AY44" s="63"/>
      <c r="AZ44" s="33"/>
      <c r="BA44" s="46"/>
      <c r="BB44" s="159"/>
      <c r="BC44" s="115"/>
      <c r="BD44" s="28"/>
    </row>
    <row r="45" spans="1:74" ht="13.5" customHeight="1">
      <c r="A45" s="22"/>
      <c r="B45" s="202">
        <v>5</v>
      </c>
      <c r="C45" s="204" t="s">
        <v>63</v>
      </c>
      <c r="D45" s="28"/>
      <c r="E45" s="28"/>
      <c r="F45" s="28"/>
      <c r="G45" s="28"/>
      <c r="H45" s="121"/>
      <c r="I45" s="62"/>
      <c r="J45" s="63"/>
      <c r="K45" s="62"/>
      <c r="L45" s="63"/>
      <c r="M45" s="69"/>
      <c r="N45" s="69"/>
      <c r="O45" s="65"/>
      <c r="P45" s="69"/>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31"/>
      <c r="AZ45" s="33"/>
      <c r="BA45" s="46"/>
      <c r="BB45" s="159"/>
      <c r="BC45" s="115"/>
      <c r="BD45" s="28"/>
    </row>
    <row r="46" spans="1:74" ht="5.15" customHeight="1">
      <c r="A46" s="22"/>
      <c r="B46" s="202"/>
      <c r="C46" s="296"/>
      <c r="D46" s="72"/>
      <c r="E46" s="72"/>
      <c r="F46" s="72"/>
      <c r="G46" s="72"/>
      <c r="H46" s="297"/>
      <c r="I46" s="278"/>
      <c r="J46" s="279"/>
      <c r="K46" s="278"/>
      <c r="L46" s="279"/>
      <c r="M46" s="298"/>
      <c r="N46" s="298"/>
      <c r="O46" s="263"/>
      <c r="P46" s="298"/>
      <c r="Q46" s="263"/>
      <c r="R46" s="298"/>
      <c r="S46" s="72"/>
      <c r="T46" s="72"/>
      <c r="U46" s="72"/>
      <c r="V46" s="72"/>
      <c r="W46" s="72"/>
      <c r="X46" s="297"/>
      <c r="Y46" s="278"/>
      <c r="Z46" s="279"/>
      <c r="AA46" s="278"/>
      <c r="AB46" s="279"/>
      <c r="AC46" s="298"/>
      <c r="AD46" s="298"/>
      <c r="AE46" s="263"/>
      <c r="AF46" s="298"/>
      <c r="AG46" s="263"/>
      <c r="AH46" s="298"/>
      <c r="AI46" s="280"/>
      <c r="AJ46" s="298"/>
      <c r="AK46" s="263"/>
      <c r="AL46" s="72"/>
      <c r="AM46" s="72"/>
      <c r="AN46" s="72"/>
      <c r="AO46" s="72"/>
      <c r="AP46" s="72"/>
      <c r="AQ46" s="72"/>
      <c r="AR46" s="72"/>
      <c r="AS46" s="72"/>
      <c r="AT46" s="72"/>
      <c r="AU46" s="72"/>
      <c r="AV46" s="300"/>
      <c r="AW46" s="72"/>
      <c r="AX46" s="72"/>
      <c r="AY46" s="264"/>
      <c r="AZ46" s="264"/>
      <c r="BA46" s="301"/>
      <c r="BB46" s="302"/>
      <c r="BC46" s="303"/>
      <c r="BD46" s="28"/>
    </row>
    <row r="47" spans="1:74" ht="13.5" customHeight="1">
      <c r="A47" s="22"/>
      <c r="B47" s="45"/>
      <c r="C47" s="266"/>
      <c r="D47" s="28" t="s">
        <v>288</v>
      </c>
      <c r="E47" s="28"/>
      <c r="F47" s="28"/>
      <c r="G47" s="28"/>
      <c r="H47" s="86" t="s">
        <v>146</v>
      </c>
      <c r="I47" s="86"/>
      <c r="J47" s="86"/>
      <c r="K47" s="86"/>
      <c r="L47" s="86"/>
      <c r="M47" s="322"/>
      <c r="N47" s="87"/>
      <c r="O47" s="88"/>
      <c r="P47" s="88"/>
      <c r="Q47" s="89"/>
      <c r="R47" s="87"/>
      <c r="S47" s="87"/>
      <c r="T47" s="87"/>
      <c r="U47" s="88"/>
      <c r="V47" s="89"/>
      <c r="W47" s="87"/>
      <c r="X47" s="65"/>
      <c r="Y47" s="28"/>
      <c r="Z47" s="28"/>
      <c r="AA47" s="28"/>
      <c r="AB47" s="28"/>
      <c r="AC47" s="28"/>
      <c r="AD47" s="28"/>
      <c r="AE47" s="28"/>
      <c r="AF47" s="28"/>
      <c r="AG47" s="28"/>
      <c r="AH47" s="28"/>
      <c r="AI47" s="28"/>
      <c r="AJ47" s="28"/>
      <c r="AK47" s="28"/>
      <c r="AL47" s="28"/>
      <c r="AM47" s="31"/>
      <c r="AN47" s="31"/>
      <c r="AO47" s="31"/>
      <c r="AP47" s="31"/>
      <c r="AQ47" s="31"/>
      <c r="AR47" s="31"/>
      <c r="AS47" s="31"/>
      <c r="AT47" s="31"/>
      <c r="AU47" s="31"/>
      <c r="AV47" s="31"/>
      <c r="AW47" s="31"/>
      <c r="AX47" s="65"/>
      <c r="AY47" s="31"/>
      <c r="AZ47" s="52"/>
      <c r="BA47" s="93"/>
      <c r="BB47" s="327"/>
      <c r="BC47" s="328"/>
      <c r="BD47" s="28"/>
      <c r="BE47" s="35"/>
      <c r="BF47" s="35"/>
      <c r="BG47" s="35"/>
    </row>
    <row r="48" spans="1:74" ht="13.5" customHeight="1">
      <c r="A48" s="22"/>
      <c r="B48" s="202">
        <v>6</v>
      </c>
      <c r="C48" s="304" t="s">
        <v>32</v>
      </c>
      <c r="D48" s="205" t="s">
        <v>64</v>
      </c>
      <c r="E48" s="206"/>
      <c r="F48" s="206"/>
      <c r="G48" s="207"/>
      <c r="H48" s="208" t="s">
        <v>73</v>
      </c>
      <c r="I48" s="209"/>
      <c r="J48" s="209"/>
      <c r="K48" s="209"/>
      <c r="L48" s="206"/>
      <c r="M48" s="207"/>
      <c r="N48" s="205" t="s">
        <v>74</v>
      </c>
      <c r="O48" s="206"/>
      <c r="P48" s="206"/>
      <c r="Q48" s="207"/>
      <c r="R48" s="205" t="s">
        <v>75</v>
      </c>
      <c r="S48" s="206"/>
      <c r="T48" s="206"/>
      <c r="U48" s="206"/>
      <c r="V48" s="210" t="s">
        <v>292</v>
      </c>
      <c r="W48" s="211"/>
      <c r="X48" s="211"/>
      <c r="Y48" s="212"/>
      <c r="Z48" s="210" t="s">
        <v>150</v>
      </c>
      <c r="AA48" s="211"/>
      <c r="AB48" s="211"/>
      <c r="AC48" s="212"/>
      <c r="AD48" s="210" t="s">
        <v>293</v>
      </c>
      <c r="AE48" s="211"/>
      <c r="AF48" s="211"/>
      <c r="AG48" s="212"/>
      <c r="AH48" s="211" t="s">
        <v>76</v>
      </c>
      <c r="AI48" s="211"/>
      <c r="AJ48" s="211"/>
      <c r="AK48" s="212"/>
      <c r="AL48" s="211" t="s">
        <v>89</v>
      </c>
      <c r="AM48" s="211"/>
      <c r="AN48" s="211"/>
      <c r="AO48" s="212"/>
      <c r="AP48" s="210" t="s">
        <v>153</v>
      </c>
      <c r="AQ48" s="211"/>
      <c r="AR48" s="211"/>
      <c r="AS48" s="211"/>
      <c r="AT48" s="210" t="s">
        <v>154</v>
      </c>
      <c r="AU48" s="211"/>
      <c r="AV48" s="211"/>
      <c r="AW48" s="211"/>
      <c r="AX48" s="210" t="s">
        <v>83</v>
      </c>
      <c r="AY48" s="211"/>
      <c r="AZ48" s="211"/>
      <c r="BA48" s="212"/>
      <c r="BB48" s="210" t="s">
        <v>87</v>
      </c>
      <c r="BC48" s="211"/>
      <c r="BD48" s="211"/>
      <c r="BE48" s="212"/>
      <c r="BF48" s="210" t="s">
        <v>156</v>
      </c>
      <c r="BG48" s="211"/>
      <c r="BH48" s="211"/>
      <c r="BI48" s="212"/>
      <c r="BJ48" s="305" t="s">
        <v>86</v>
      </c>
      <c r="BK48" s="211"/>
      <c r="BL48" s="211"/>
      <c r="BM48" s="212"/>
      <c r="BN48" s="211" t="s">
        <v>69</v>
      </c>
      <c r="BO48" s="211"/>
      <c r="BP48" s="211"/>
      <c r="BQ48" s="212"/>
      <c r="BR48" s="28"/>
      <c r="BS48" s="28"/>
      <c r="BT48" s="28"/>
      <c r="BU48" s="28"/>
      <c r="BV48" s="28"/>
    </row>
    <row r="49" spans="1:74" ht="13.5" customHeight="1">
      <c r="A49" s="22"/>
      <c r="B49" s="202">
        <v>7</v>
      </c>
      <c r="C49" s="306"/>
      <c r="D49" s="213" t="s">
        <v>30</v>
      </c>
      <c r="E49" s="216"/>
      <c r="F49" s="214"/>
      <c r="G49" s="215"/>
      <c r="H49" s="213" t="s">
        <v>30</v>
      </c>
      <c r="I49" s="216"/>
      <c r="J49" s="216"/>
      <c r="K49" s="216"/>
      <c r="L49" s="214"/>
      <c r="M49" s="215"/>
      <c r="N49" s="213" t="s">
        <v>30</v>
      </c>
      <c r="O49" s="214"/>
      <c r="P49" s="214"/>
      <c r="Q49" s="215"/>
      <c r="R49" s="213" t="s">
        <v>30</v>
      </c>
      <c r="S49" s="216"/>
      <c r="T49" s="214"/>
      <c r="U49" s="214"/>
      <c r="V49" s="217" t="s">
        <v>43</v>
      </c>
      <c r="W49" s="218"/>
      <c r="X49" s="219"/>
      <c r="Y49" s="220"/>
      <c r="Z49" s="217" t="s">
        <v>30</v>
      </c>
      <c r="AA49" s="218"/>
      <c r="AB49" s="219"/>
      <c r="AC49" s="220"/>
      <c r="AD49" s="217" t="s">
        <v>43</v>
      </c>
      <c r="AE49" s="218"/>
      <c r="AF49" s="219"/>
      <c r="AG49" s="220"/>
      <c r="AH49" s="218" t="s">
        <v>30</v>
      </c>
      <c r="AI49" s="500"/>
      <c r="AJ49" s="219"/>
      <c r="AK49" s="220"/>
      <c r="AL49" s="500"/>
      <c r="AM49" s="218"/>
      <c r="AN49" s="219"/>
      <c r="AO49" s="220"/>
      <c r="AP49" s="217" t="s">
        <v>43</v>
      </c>
      <c r="AQ49" s="218"/>
      <c r="AR49" s="219"/>
      <c r="AS49" s="219"/>
      <c r="AT49" s="217" t="s">
        <v>155</v>
      </c>
      <c r="AU49" s="218"/>
      <c r="AV49" s="219"/>
      <c r="AW49" s="219"/>
      <c r="AX49" s="217" t="s">
        <v>155</v>
      </c>
      <c r="AY49" s="218"/>
      <c r="AZ49" s="219"/>
      <c r="BA49" s="220"/>
      <c r="BB49" s="217" t="s">
        <v>88</v>
      </c>
      <c r="BC49" s="218"/>
      <c r="BD49" s="219"/>
      <c r="BE49" s="220"/>
      <c r="BF49" s="217" t="s">
        <v>157</v>
      </c>
      <c r="BG49" s="218"/>
      <c r="BH49" s="219"/>
      <c r="BI49" s="220"/>
      <c r="BJ49" s="307" t="s">
        <v>43</v>
      </c>
      <c r="BK49" s="218"/>
      <c r="BL49" s="219"/>
      <c r="BM49" s="220"/>
      <c r="BN49" s="218" t="s">
        <v>43</v>
      </c>
      <c r="BO49" s="218"/>
      <c r="BP49" s="219"/>
      <c r="BQ49" s="220"/>
      <c r="BR49" s="28"/>
      <c r="BS49" s="28"/>
      <c r="BT49" s="28"/>
      <c r="BU49" s="28"/>
      <c r="BV49" s="28"/>
    </row>
    <row r="50" spans="1:74" ht="13.5" customHeight="1">
      <c r="A50" s="22"/>
      <c r="B50" s="202">
        <v>8</v>
      </c>
      <c r="C50" s="308">
        <v>1</v>
      </c>
      <c r="D50" s="148" t="s">
        <v>158</v>
      </c>
      <c r="E50" s="149"/>
      <c r="F50" s="149"/>
      <c r="G50" s="151"/>
      <c r="H50" s="242" t="s">
        <v>159</v>
      </c>
      <c r="I50" s="150"/>
      <c r="J50" s="150"/>
      <c r="K50" s="150"/>
      <c r="L50" s="161"/>
      <c r="M50" s="162"/>
      <c r="N50" s="242" t="s">
        <v>160</v>
      </c>
      <c r="O50" s="150"/>
      <c r="P50" s="150"/>
      <c r="Q50" s="99" t="s">
        <v>33</v>
      </c>
      <c r="R50" s="1002">
        <v>70000</v>
      </c>
      <c r="S50" s="1003"/>
      <c r="T50" s="1003"/>
      <c r="U50" s="1004"/>
      <c r="V50" s="148" t="s">
        <v>148</v>
      </c>
      <c r="W50" s="150"/>
      <c r="X50" s="150"/>
      <c r="Y50" s="99" t="s">
        <v>33</v>
      </c>
      <c r="Z50" s="1042">
        <v>6.7299999999999999E-2</v>
      </c>
      <c r="AA50" s="1043"/>
      <c r="AB50" s="1043"/>
      <c r="AC50" s="1044"/>
      <c r="AD50" s="148" t="s">
        <v>148</v>
      </c>
      <c r="AE50" s="150"/>
      <c r="AF50" s="150"/>
      <c r="AG50" s="99" t="s">
        <v>33</v>
      </c>
      <c r="AH50" s="1042">
        <v>0.1211</v>
      </c>
      <c r="AI50" s="1043"/>
      <c r="AJ50" s="1043"/>
      <c r="AK50" s="1044"/>
      <c r="AL50" s="1042"/>
      <c r="AM50" s="1043"/>
      <c r="AN50" s="1043"/>
      <c r="AO50" s="1044"/>
      <c r="AP50" s="1051">
        <v>0.01</v>
      </c>
      <c r="AQ50" s="1052"/>
      <c r="AR50" s="1052"/>
      <c r="AS50" s="1053"/>
      <c r="AT50" s="1042">
        <v>0.13589999999999999</v>
      </c>
      <c r="AU50" s="1043"/>
      <c r="AV50" s="1043"/>
      <c r="AW50" s="1044"/>
      <c r="AX50" s="1042">
        <v>0.151</v>
      </c>
      <c r="AY50" s="1043"/>
      <c r="AZ50" s="1043"/>
      <c r="BA50" s="1044"/>
      <c r="BB50" s="1042">
        <v>0.151</v>
      </c>
      <c r="BC50" s="1043"/>
      <c r="BD50" s="1043"/>
      <c r="BE50" s="1044"/>
      <c r="BF50" s="1042">
        <v>6.1000000000000004E-3</v>
      </c>
      <c r="BG50" s="1043"/>
      <c r="BH50" s="1043"/>
      <c r="BI50" s="1044"/>
      <c r="BJ50" s="1036"/>
      <c r="BK50" s="1037"/>
      <c r="BL50" s="1037"/>
      <c r="BM50" s="1038"/>
      <c r="BN50" s="149" t="s">
        <v>30</v>
      </c>
      <c r="BO50" s="150"/>
      <c r="BP50" s="150"/>
      <c r="BQ50" s="152"/>
      <c r="BR50" s="28"/>
      <c r="BS50" s="28"/>
      <c r="BT50" s="28"/>
      <c r="BU50" s="28"/>
      <c r="BV50" s="28"/>
    </row>
    <row r="51" spans="1:74" ht="13.5" customHeight="1">
      <c r="A51" s="22"/>
      <c r="B51" s="202">
        <v>9</v>
      </c>
      <c r="C51" s="308">
        <v>2</v>
      </c>
      <c r="D51" s="148"/>
      <c r="E51" s="149"/>
      <c r="F51" s="149"/>
      <c r="G51" s="151"/>
      <c r="H51" s="242"/>
      <c r="I51" s="150"/>
      <c r="J51" s="150"/>
      <c r="K51" s="150"/>
      <c r="L51" s="161"/>
      <c r="M51" s="162"/>
      <c r="N51" s="242"/>
      <c r="O51" s="150"/>
      <c r="P51" s="150"/>
      <c r="Q51" s="99" t="s">
        <v>33</v>
      </c>
      <c r="R51" s="1002"/>
      <c r="S51" s="1003"/>
      <c r="T51" s="1003"/>
      <c r="U51" s="1004"/>
      <c r="V51" s="148"/>
      <c r="W51" s="150"/>
      <c r="X51" s="150"/>
      <c r="Y51" s="99" t="s">
        <v>33</v>
      </c>
      <c r="Z51" s="990"/>
      <c r="AA51" s="1012"/>
      <c r="AB51" s="1012"/>
      <c r="AC51" s="1013"/>
      <c r="AD51" s="148"/>
      <c r="AE51" s="150"/>
      <c r="AF51" s="150"/>
      <c r="AG51" s="99" t="s">
        <v>33</v>
      </c>
      <c r="AH51" s="990"/>
      <c r="AI51" s="1012"/>
      <c r="AJ51" s="1012"/>
      <c r="AK51" s="1013"/>
      <c r="AL51" s="990"/>
      <c r="AM51" s="1012"/>
      <c r="AN51" s="1012"/>
      <c r="AO51" s="1013"/>
      <c r="AP51" s="990"/>
      <c r="AQ51" s="1012"/>
      <c r="AR51" s="1012"/>
      <c r="AS51" s="1013"/>
      <c r="AT51" s="990"/>
      <c r="AU51" s="1012"/>
      <c r="AV51" s="1012"/>
      <c r="AW51" s="1013"/>
      <c r="AX51" s="990"/>
      <c r="AY51" s="1012"/>
      <c r="AZ51" s="1012"/>
      <c r="BA51" s="1013"/>
      <c r="BB51" s="990"/>
      <c r="BC51" s="1012"/>
      <c r="BD51" s="1012"/>
      <c r="BE51" s="1013"/>
      <c r="BF51" s="990"/>
      <c r="BG51" s="1012"/>
      <c r="BH51" s="1012"/>
      <c r="BI51" s="1013"/>
      <c r="BJ51" s="148"/>
      <c r="BK51" s="150"/>
      <c r="BL51" s="150"/>
      <c r="BM51" s="152"/>
      <c r="BN51" s="149"/>
      <c r="BO51" s="150"/>
      <c r="BP51" s="150"/>
      <c r="BQ51" s="152"/>
      <c r="BR51" s="28"/>
      <c r="BS51" s="28"/>
      <c r="BT51" s="28"/>
      <c r="BU51" s="28"/>
      <c r="BV51" s="28"/>
    </row>
    <row r="52" spans="1:74" ht="13.5" customHeight="1">
      <c r="A52" s="22"/>
      <c r="B52" s="202">
        <v>10</v>
      </c>
      <c r="C52" s="310"/>
      <c r="D52" s="65"/>
      <c r="E52" s="65"/>
      <c r="F52" s="65"/>
      <c r="G52" s="65"/>
      <c r="H52" s="65"/>
      <c r="I52" s="65"/>
      <c r="J52" s="65"/>
      <c r="K52" s="65"/>
      <c r="L52" s="65"/>
      <c r="M52" s="62"/>
      <c r="N52" s="63"/>
      <c r="O52" s="65"/>
      <c r="P52" s="65"/>
      <c r="Q52" s="64"/>
      <c r="R52" s="63"/>
      <c r="S52" s="190"/>
      <c r="T52" s="190"/>
      <c r="U52" s="191"/>
      <c r="V52" s="192"/>
      <c r="W52" s="190"/>
      <c r="X52" s="65"/>
      <c r="Y52" s="65"/>
      <c r="Z52" s="65"/>
      <c r="AB52" s="65"/>
      <c r="AC52" s="65"/>
      <c r="AD52" s="65"/>
      <c r="AE52" s="65"/>
      <c r="AF52" s="65"/>
      <c r="AG52" s="65"/>
      <c r="AH52" s="65"/>
      <c r="AI52" s="65"/>
      <c r="AJ52" s="65"/>
      <c r="AK52" s="65"/>
      <c r="AL52" s="65"/>
      <c r="AM52" s="63"/>
      <c r="AN52" s="63"/>
      <c r="AO52" s="63"/>
      <c r="AP52" s="63"/>
      <c r="AQ52" s="63"/>
      <c r="AR52" s="63"/>
      <c r="AS52" s="63"/>
      <c r="AT52" s="63"/>
      <c r="AU52" s="63"/>
      <c r="AV52" s="63"/>
      <c r="AW52" s="63"/>
      <c r="AX52" s="63"/>
      <c r="AY52" s="63"/>
      <c r="AZ52" s="31"/>
      <c r="BA52" s="35"/>
      <c r="BB52" s="35"/>
      <c r="BC52" s="311"/>
      <c r="BD52" s="28"/>
    </row>
    <row r="53" spans="1:74" ht="13.5" customHeight="1">
      <c r="A53" s="22"/>
      <c r="B53" s="202">
        <v>11</v>
      </c>
      <c r="C53" s="312"/>
      <c r="D53" s="65"/>
      <c r="E53" s="65"/>
      <c r="F53" s="65"/>
      <c r="G53" s="65"/>
      <c r="H53" s="65"/>
      <c r="I53" s="65"/>
      <c r="J53" s="65"/>
      <c r="K53" s="65"/>
      <c r="L53" s="65"/>
      <c r="M53" s="65"/>
      <c r="N53" s="65"/>
      <c r="O53" s="65"/>
      <c r="P53" s="65"/>
      <c r="Q53" s="65"/>
      <c r="R53" s="65"/>
      <c r="S53" s="65"/>
      <c r="T53" s="65"/>
      <c r="U53" s="65"/>
      <c r="V53" s="63"/>
      <c r="W53" s="63"/>
      <c r="X53" s="75"/>
      <c r="Y53" s="63"/>
      <c r="Z53" s="63"/>
      <c r="AA53" s="69"/>
      <c r="AB53" s="65"/>
      <c r="AC53" s="63"/>
      <c r="AD53" s="65"/>
      <c r="AE53" s="65"/>
      <c r="AF53" s="65"/>
      <c r="AG53" s="69"/>
      <c r="AH53" s="65"/>
      <c r="AI53" s="75"/>
      <c r="AJ53" s="63"/>
      <c r="AK53" s="63"/>
      <c r="AL53" s="63"/>
      <c r="AM53" s="63"/>
      <c r="AN53" s="125"/>
      <c r="AO53" s="62"/>
      <c r="AP53" s="62"/>
      <c r="AQ53" s="63"/>
      <c r="AR53" s="63"/>
      <c r="AS53" s="63"/>
      <c r="AT53" s="64"/>
      <c r="AU53" s="63"/>
      <c r="AV53" s="65"/>
      <c r="AW53" s="65"/>
      <c r="AX53" s="65"/>
      <c r="AY53" s="63"/>
      <c r="AZ53" s="31"/>
      <c r="BA53" s="35"/>
      <c r="BB53" s="35"/>
      <c r="BC53" s="311"/>
      <c r="BD53" s="28"/>
    </row>
    <row r="54" spans="1:74" ht="15.75" customHeight="1">
      <c r="A54" s="22"/>
      <c r="B54" s="202">
        <v>12</v>
      </c>
      <c r="C54" s="310"/>
      <c r="D54" s="65"/>
      <c r="E54" s="65"/>
      <c r="F54" s="65"/>
      <c r="G54" s="65"/>
      <c r="H54" s="65"/>
      <c r="I54" s="65"/>
      <c r="J54" s="65"/>
      <c r="K54" s="65"/>
      <c r="L54" s="65"/>
      <c r="M54" s="62"/>
      <c r="N54" s="65"/>
      <c r="O54" s="65"/>
      <c r="P54" s="63"/>
      <c r="Q54" s="64"/>
      <c r="R54" s="63"/>
      <c r="S54" s="63"/>
      <c r="T54" s="65"/>
      <c r="U54" s="63"/>
      <c r="V54" s="65"/>
      <c r="W54" s="63"/>
      <c r="X54" s="63"/>
      <c r="Y54" s="63"/>
      <c r="Z54" s="63"/>
      <c r="AA54" s="63"/>
      <c r="AB54" s="65"/>
      <c r="AC54" s="65"/>
      <c r="AD54" s="62"/>
      <c r="AE54" s="63"/>
      <c r="AF54" s="63"/>
      <c r="AG54" s="65"/>
      <c r="AH54" s="65"/>
      <c r="AI54" s="62"/>
      <c r="AJ54" s="63"/>
      <c r="AK54" s="65"/>
      <c r="AL54" s="63"/>
      <c r="AM54" s="63"/>
      <c r="AN54" s="126"/>
      <c r="AO54" s="65"/>
      <c r="AP54" s="65"/>
      <c r="AQ54" s="125"/>
      <c r="AR54" s="65"/>
      <c r="AS54" s="65"/>
      <c r="AT54" s="63"/>
      <c r="AU54" s="63"/>
      <c r="AV54" s="63"/>
      <c r="AW54" s="63"/>
      <c r="AX54" s="63"/>
      <c r="AY54" s="63"/>
      <c r="AZ54" s="31"/>
      <c r="BA54" s="35"/>
      <c r="BB54" s="35"/>
      <c r="BC54" s="311"/>
      <c r="BD54" s="28"/>
    </row>
    <row r="55" spans="1:74" ht="13.5" customHeight="1">
      <c r="A55" s="22"/>
      <c r="B55" s="202">
        <v>13</v>
      </c>
      <c r="C55" s="310"/>
      <c r="D55" s="65"/>
      <c r="E55" s="65"/>
      <c r="F55" s="65"/>
      <c r="G55" s="65"/>
      <c r="H55" s="84"/>
      <c r="I55" s="65"/>
      <c r="J55" s="65"/>
      <c r="K55" s="65"/>
      <c r="L55" s="65"/>
      <c r="M55" s="126"/>
      <c r="N55" s="65"/>
      <c r="O55" s="65"/>
      <c r="P55" s="65"/>
      <c r="Q55" s="198"/>
      <c r="R55" s="65"/>
      <c r="S55" s="63"/>
      <c r="T55" s="63"/>
      <c r="U55" s="63"/>
      <c r="V55" s="65"/>
      <c r="W55" s="84"/>
      <c r="X55" s="65"/>
      <c r="Y55" s="65"/>
      <c r="Z55" s="65"/>
      <c r="AA55" s="65"/>
      <c r="AB55" s="65"/>
      <c r="AC55" s="65"/>
      <c r="AD55" s="65"/>
      <c r="AE55" s="65"/>
      <c r="AF55" s="65"/>
      <c r="AG55" s="65"/>
      <c r="AH55" s="126"/>
      <c r="AI55" s="65"/>
      <c r="AJ55" s="125"/>
      <c r="AK55" s="65"/>
      <c r="AL55" s="65"/>
      <c r="AM55" s="65"/>
      <c r="AN55" s="65"/>
      <c r="AO55" s="65"/>
      <c r="AP55" s="65"/>
      <c r="AQ55" s="125"/>
      <c r="AR55" s="65"/>
      <c r="AS55" s="125"/>
      <c r="AT55" s="64"/>
      <c r="AU55" s="63"/>
      <c r="AV55" s="65"/>
      <c r="AW55" s="65"/>
      <c r="AX55" s="65"/>
      <c r="AY55" s="63"/>
      <c r="AZ55" s="31"/>
      <c r="BA55" s="35"/>
      <c r="BB55" s="35"/>
      <c r="BC55" s="311"/>
      <c r="BD55" s="28"/>
    </row>
    <row r="56" spans="1:74" ht="13.5" customHeight="1">
      <c r="A56" s="22"/>
      <c r="B56" s="202">
        <v>14</v>
      </c>
      <c r="C56" s="312"/>
      <c r="D56" s="65"/>
      <c r="E56" s="65"/>
      <c r="F56" s="65"/>
      <c r="G56" s="65"/>
      <c r="H56" s="65"/>
      <c r="I56" s="65"/>
      <c r="J56" s="65"/>
      <c r="K56" s="198"/>
      <c r="L56" s="65"/>
      <c r="M56" s="65"/>
      <c r="N56" s="65"/>
      <c r="O56" s="65"/>
      <c r="P56" s="65"/>
      <c r="Q56" s="198"/>
      <c r="R56" s="65"/>
      <c r="S56" s="65"/>
      <c r="T56" s="65"/>
      <c r="U56" s="198"/>
      <c r="V56" s="65"/>
      <c r="W56" s="65"/>
      <c r="X56" s="65"/>
      <c r="Y56" s="65"/>
      <c r="Z56" s="65"/>
      <c r="AA56" s="65"/>
      <c r="AB56" s="65"/>
      <c r="AC56" s="65"/>
      <c r="AD56" s="65"/>
      <c r="AE56" s="65"/>
      <c r="AF56" s="65"/>
      <c r="AG56" s="65"/>
      <c r="AH56" s="65"/>
      <c r="AI56" s="65"/>
      <c r="AJ56" s="125"/>
      <c r="AK56" s="112"/>
      <c r="AL56" s="62"/>
      <c r="AM56" s="63"/>
      <c r="AN56" s="63"/>
      <c r="AO56" s="63"/>
      <c r="AP56" s="63"/>
      <c r="AQ56" s="64"/>
      <c r="AR56" s="63"/>
      <c r="AS56" s="65"/>
      <c r="AT56" s="65"/>
      <c r="AU56" s="65"/>
      <c r="AV56" s="65"/>
      <c r="AW56" s="65"/>
      <c r="AX56" s="65"/>
      <c r="AY56" s="63"/>
      <c r="AZ56" s="31"/>
      <c r="BA56" s="35"/>
      <c r="BB56" s="35"/>
      <c r="BC56" s="311"/>
      <c r="BD56" s="28"/>
    </row>
    <row r="57" spans="1:74" ht="13.5" customHeight="1">
      <c r="A57" s="22"/>
      <c r="B57" s="202">
        <v>15</v>
      </c>
      <c r="C57" s="313" t="s">
        <v>71</v>
      </c>
      <c r="D57" s="223"/>
      <c r="E57" s="224"/>
      <c r="F57" s="223"/>
      <c r="G57" s="224"/>
      <c r="H57" s="225"/>
      <c r="I57" s="226"/>
      <c r="J57" s="227"/>
      <c r="K57" s="227"/>
      <c r="L57" s="227"/>
      <c r="M57" s="228"/>
      <c r="N57" s="227"/>
      <c r="O57" s="227"/>
      <c r="P57" s="227"/>
      <c r="Q57" s="229"/>
      <c r="R57" s="227"/>
      <c r="S57" s="227"/>
      <c r="T57" s="227"/>
      <c r="U57" s="227"/>
      <c r="V57" s="227"/>
      <c r="W57" s="229"/>
      <c r="X57" s="227"/>
      <c r="Y57" s="227"/>
      <c r="Z57" s="227"/>
      <c r="AA57" s="229"/>
      <c r="AB57" s="227"/>
      <c r="AC57" s="227"/>
      <c r="AD57" s="227"/>
      <c r="AE57" s="227"/>
      <c r="AF57" s="227"/>
      <c r="AG57" s="232"/>
      <c r="AH57" s="227"/>
      <c r="AI57" s="227"/>
      <c r="AJ57" s="227"/>
      <c r="AK57" s="227"/>
      <c r="AL57" s="227"/>
      <c r="AM57" s="227"/>
      <c r="AN57" s="227"/>
      <c r="AO57" s="227"/>
      <c r="AP57" s="227"/>
      <c r="AQ57" s="230"/>
      <c r="AR57" s="227"/>
      <c r="AS57" s="230"/>
      <c r="AT57" s="227"/>
      <c r="AU57" s="227"/>
      <c r="AV57" s="227"/>
      <c r="AW57" s="227"/>
      <c r="AX57" s="227"/>
      <c r="AY57" s="224"/>
      <c r="AZ57" s="224"/>
      <c r="BA57" s="231"/>
      <c r="BB57" s="231"/>
      <c r="BC57" s="314"/>
      <c r="BD57" s="28"/>
    </row>
    <row r="58" spans="1:74" ht="13.5" customHeight="1">
      <c r="A58" s="22"/>
      <c r="B58" s="202">
        <v>16</v>
      </c>
      <c r="C58" s="310"/>
      <c r="D58" s="65"/>
      <c r="E58" s="65"/>
      <c r="F58" s="65"/>
      <c r="G58" s="65"/>
      <c r="H58" s="65"/>
      <c r="I58" s="65"/>
      <c r="J58" s="65"/>
      <c r="K58" s="65"/>
      <c r="L58" s="65"/>
      <c r="M58" s="62"/>
      <c r="N58" s="65"/>
      <c r="O58" s="65"/>
      <c r="P58" s="63"/>
      <c r="Q58" s="64"/>
      <c r="R58" s="63"/>
      <c r="S58" s="111"/>
      <c r="T58" s="112"/>
      <c r="U58" s="111"/>
      <c r="V58" s="112"/>
      <c r="W58" s="111"/>
      <c r="X58" s="111"/>
      <c r="Y58" s="111"/>
      <c r="Z58" s="111"/>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3"/>
      <c r="AZ58" s="53"/>
      <c r="BA58" s="323"/>
      <c r="BB58" s="324"/>
      <c r="BC58" s="325"/>
      <c r="BD58" s="28"/>
    </row>
    <row r="59" spans="1:74" ht="13.5" customHeight="1">
      <c r="A59" s="22"/>
      <c r="B59" s="202">
        <v>17</v>
      </c>
      <c r="C59" s="310"/>
      <c r="D59" s="65"/>
      <c r="E59" s="65"/>
      <c r="F59" s="65"/>
      <c r="G59" s="65"/>
      <c r="H59" s="126"/>
      <c r="I59" s="65"/>
      <c r="J59" s="65"/>
      <c r="K59" s="65"/>
      <c r="L59" s="198"/>
      <c r="M59" s="65"/>
      <c r="N59" s="65"/>
      <c r="O59" s="65"/>
      <c r="P59" s="198"/>
      <c r="Q59" s="65"/>
      <c r="R59" s="65"/>
      <c r="S59" s="65"/>
      <c r="T59" s="198"/>
      <c r="U59" s="65"/>
      <c r="V59" s="65"/>
      <c r="W59" s="65"/>
      <c r="X59" s="65"/>
      <c r="Y59" s="65"/>
      <c r="Z59" s="65"/>
      <c r="AA59" s="65"/>
      <c r="AB59" s="65"/>
      <c r="AC59" s="65"/>
      <c r="AD59" s="65"/>
      <c r="AE59" s="65"/>
      <c r="AF59" s="65"/>
      <c r="AG59" s="65"/>
      <c r="AH59" s="65"/>
      <c r="AI59" s="65"/>
      <c r="AJ59" s="65"/>
      <c r="AK59" s="125"/>
      <c r="AL59" s="65"/>
      <c r="AM59" s="65"/>
      <c r="AN59" s="65"/>
      <c r="AO59" s="65"/>
      <c r="AP59" s="65"/>
      <c r="AQ59" s="65"/>
      <c r="AR59" s="65"/>
      <c r="AS59" s="65"/>
      <c r="AT59" s="65"/>
      <c r="AU59" s="65"/>
      <c r="AV59" s="65"/>
      <c r="AW59" s="65"/>
      <c r="AX59" s="65"/>
      <c r="AY59" s="63"/>
      <c r="AZ59" s="31"/>
      <c r="BA59" s="30"/>
      <c r="BB59" s="175"/>
      <c r="BC59" s="326"/>
      <c r="BD59" s="28"/>
    </row>
    <row r="60" spans="1:74" ht="5.15" customHeight="1">
      <c r="A60" s="22"/>
      <c r="B60" s="202"/>
      <c r="C60" s="315"/>
      <c r="D60" s="73"/>
      <c r="E60" s="73"/>
      <c r="F60" s="73"/>
      <c r="G60" s="73"/>
      <c r="H60" s="316"/>
      <c r="I60" s="275"/>
      <c r="J60" s="273"/>
      <c r="K60" s="275"/>
      <c r="L60" s="273"/>
      <c r="M60" s="317"/>
      <c r="N60" s="317"/>
      <c r="O60" s="270"/>
      <c r="P60" s="317"/>
      <c r="Q60" s="270"/>
      <c r="R60" s="317"/>
      <c r="S60" s="73"/>
      <c r="T60" s="73"/>
      <c r="U60" s="73"/>
      <c r="V60" s="73"/>
      <c r="W60" s="73"/>
      <c r="X60" s="316"/>
      <c r="Y60" s="275"/>
      <c r="Z60" s="273"/>
      <c r="AA60" s="275"/>
      <c r="AB60" s="273"/>
      <c r="AC60" s="317"/>
      <c r="AD60" s="317"/>
      <c r="AE60" s="270"/>
      <c r="AF60" s="317"/>
      <c r="AG60" s="270"/>
      <c r="AH60" s="317"/>
      <c r="AI60" s="276"/>
      <c r="AJ60" s="317"/>
      <c r="AK60" s="270"/>
      <c r="AL60" s="73"/>
      <c r="AM60" s="73"/>
      <c r="AN60" s="73"/>
      <c r="AO60" s="73"/>
      <c r="AP60" s="73"/>
      <c r="AQ60" s="73"/>
      <c r="AR60" s="73"/>
      <c r="AS60" s="73"/>
      <c r="AT60" s="73"/>
      <c r="AU60" s="73"/>
      <c r="AV60" s="318"/>
      <c r="AW60" s="73"/>
      <c r="AX60" s="73"/>
      <c r="AY60" s="269"/>
      <c r="AZ60" s="269"/>
      <c r="BA60" s="319"/>
      <c r="BB60" s="320"/>
      <c r="BC60" s="321"/>
      <c r="BD60" s="28"/>
    </row>
    <row r="61" spans="1:74" ht="13.5" customHeight="1">
      <c r="A61" s="22"/>
      <c r="B61" s="202">
        <v>18</v>
      </c>
      <c r="C61" s="75"/>
      <c r="D61" s="63"/>
      <c r="E61" s="63"/>
      <c r="F61" s="63"/>
      <c r="G61" s="63"/>
      <c r="H61" s="69"/>
      <c r="I61" s="69"/>
      <c r="J61" s="65"/>
      <c r="K61" s="69"/>
      <c r="L61" s="65"/>
      <c r="M61" s="69"/>
      <c r="N61" s="64"/>
      <c r="O61" s="69"/>
      <c r="P61" s="65"/>
      <c r="Q61" s="65"/>
      <c r="R61" s="65"/>
      <c r="S61" s="63"/>
      <c r="T61" s="63"/>
      <c r="U61" s="63"/>
      <c r="V61" s="63"/>
      <c r="W61" s="63"/>
      <c r="X61" s="64"/>
      <c r="Y61" s="63"/>
      <c r="Z61" s="65"/>
      <c r="AA61" s="64"/>
      <c r="AB61" s="63"/>
      <c r="AC61" s="65"/>
      <c r="AD61" s="64"/>
      <c r="AE61" s="65"/>
      <c r="AF61" s="65"/>
      <c r="AG61" s="64"/>
      <c r="AH61" s="65"/>
      <c r="AI61" s="65"/>
      <c r="AJ61" s="126"/>
      <c r="AK61" s="65"/>
      <c r="AL61" s="65"/>
      <c r="AM61" s="65"/>
      <c r="AN61" s="65"/>
      <c r="AO61" s="65"/>
      <c r="AP61" s="65"/>
      <c r="AQ61" s="65"/>
      <c r="AR61" s="65"/>
      <c r="AS61" s="65"/>
      <c r="AT61" s="65"/>
      <c r="AU61" s="65"/>
      <c r="AV61" s="65"/>
      <c r="AW61" s="65"/>
      <c r="AX61" s="65"/>
      <c r="AY61" s="63"/>
      <c r="AZ61" s="264"/>
      <c r="BA61" s="301"/>
      <c r="BB61" s="302"/>
      <c r="BC61" s="343"/>
      <c r="BD61" s="28"/>
    </row>
    <row r="62" spans="1:74" ht="13.5" customHeight="1">
      <c r="A62" s="22"/>
      <c r="B62" s="202">
        <v>20</v>
      </c>
      <c r="C62" s="204" t="s">
        <v>78</v>
      </c>
      <c r="D62" s="28"/>
      <c r="E62" s="28"/>
      <c r="F62" s="28"/>
      <c r="G62" s="28"/>
      <c r="H62" s="121"/>
      <c r="I62" s="62"/>
      <c r="J62" s="63"/>
      <c r="K62" s="62"/>
      <c r="L62" s="63"/>
      <c r="M62" s="69"/>
      <c r="N62" s="69"/>
      <c r="O62" s="65"/>
      <c r="P62" s="69"/>
      <c r="Q62" s="65"/>
      <c r="R62" s="69"/>
      <c r="S62" s="28"/>
      <c r="T62" s="28"/>
      <c r="U62" s="28"/>
      <c r="V62" s="28"/>
      <c r="W62" s="28"/>
      <c r="X62" s="121"/>
      <c r="Y62" s="62"/>
      <c r="Z62" s="63"/>
      <c r="AA62" s="62"/>
      <c r="AB62" s="63"/>
      <c r="AC62" s="69"/>
      <c r="AD62" s="69"/>
      <c r="AE62" s="65"/>
      <c r="AF62" s="69"/>
      <c r="AG62" s="65"/>
      <c r="AH62" s="69"/>
      <c r="AI62" s="64"/>
      <c r="AJ62" s="69"/>
      <c r="AK62" s="65"/>
      <c r="AL62" s="28"/>
      <c r="AM62" s="28"/>
      <c r="AN62" s="28"/>
      <c r="AO62" s="28"/>
      <c r="AP62" s="28"/>
      <c r="AQ62" s="28"/>
      <c r="AR62" s="28"/>
      <c r="AS62" s="28"/>
      <c r="AT62" s="28"/>
      <c r="AU62" s="28"/>
      <c r="AV62" s="233" t="s">
        <v>72</v>
      </c>
      <c r="AW62" s="28"/>
      <c r="AX62" s="28"/>
      <c r="AY62" s="31"/>
      <c r="AZ62" s="269"/>
      <c r="BA62" s="319"/>
      <c r="BB62" s="320"/>
      <c r="BC62" s="344"/>
      <c r="BD62" s="28"/>
    </row>
    <row r="63" spans="1:74" ht="5.15" customHeight="1">
      <c r="A63" s="22"/>
      <c r="B63" s="202"/>
      <c r="C63" s="296"/>
      <c r="D63" s="72"/>
      <c r="E63" s="72"/>
      <c r="F63" s="72"/>
      <c r="G63" s="72"/>
      <c r="H63" s="297"/>
      <c r="I63" s="278"/>
      <c r="J63" s="279"/>
      <c r="K63" s="278"/>
      <c r="L63" s="279"/>
      <c r="M63" s="298"/>
      <c r="N63" s="298"/>
      <c r="O63" s="263"/>
      <c r="P63" s="298"/>
      <c r="Q63" s="263"/>
      <c r="R63" s="298"/>
      <c r="S63" s="72"/>
      <c r="T63" s="72"/>
      <c r="U63" s="72"/>
      <c r="V63" s="72"/>
      <c r="W63" s="72"/>
      <c r="X63" s="297"/>
      <c r="Y63" s="278"/>
      <c r="Z63" s="279"/>
      <c r="AA63" s="278"/>
      <c r="AB63" s="279"/>
      <c r="AC63" s="298"/>
      <c r="AD63" s="298"/>
      <c r="AE63" s="263"/>
      <c r="AF63" s="298"/>
      <c r="AG63" s="263"/>
      <c r="AH63" s="298"/>
      <c r="AI63" s="280"/>
      <c r="AJ63" s="298"/>
      <c r="AK63" s="263"/>
      <c r="AL63" s="72"/>
      <c r="AM63" s="72"/>
      <c r="AN63" s="72"/>
      <c r="AO63" s="72"/>
      <c r="AP63" s="72"/>
      <c r="AQ63" s="72"/>
      <c r="AR63" s="72"/>
      <c r="AS63" s="72"/>
      <c r="AT63" s="72"/>
      <c r="AU63" s="72"/>
      <c r="AV63" s="300"/>
      <c r="AW63" s="72"/>
      <c r="AX63" s="72"/>
      <c r="AY63" s="264"/>
      <c r="AZ63" s="264"/>
      <c r="BA63" s="301"/>
      <c r="BB63" s="302"/>
      <c r="BC63" s="303"/>
      <c r="BD63" s="28"/>
    </row>
    <row r="64" spans="1:74" ht="13.5" customHeight="1">
      <c r="A64" s="22"/>
      <c r="B64" s="202">
        <v>21</v>
      </c>
      <c r="C64" s="304" t="s">
        <v>32</v>
      </c>
      <c r="D64" s="234" t="s">
        <v>260</v>
      </c>
      <c r="E64" s="235"/>
      <c r="F64" s="234" t="s">
        <v>64</v>
      </c>
      <c r="G64" s="235"/>
      <c r="H64" s="235"/>
      <c r="I64" s="236"/>
      <c r="J64" s="237" t="s">
        <v>34</v>
      </c>
      <c r="K64" s="238"/>
      <c r="L64" s="238"/>
      <c r="M64" s="238"/>
      <c r="N64" s="235"/>
      <c r="O64" s="236"/>
      <c r="P64" s="239" t="s">
        <v>67</v>
      </c>
      <c r="Q64" s="240"/>
      <c r="R64" s="240"/>
      <c r="S64" s="241"/>
      <c r="T64" s="234" t="s">
        <v>79</v>
      </c>
      <c r="U64" s="235"/>
      <c r="V64" s="235"/>
      <c r="W64" s="236"/>
      <c r="X64" s="234" t="s">
        <v>150</v>
      </c>
      <c r="Y64" s="235"/>
      <c r="Z64" s="235"/>
      <c r="AA64" s="235"/>
      <c r="AB64" s="239" t="s">
        <v>65</v>
      </c>
      <c r="AC64" s="240"/>
      <c r="AD64" s="240"/>
      <c r="AE64" s="240"/>
      <c r="AF64" s="241"/>
      <c r="AG64" s="240" t="s">
        <v>68</v>
      </c>
      <c r="AH64" s="240"/>
      <c r="AI64" s="240"/>
      <c r="AJ64" s="241"/>
      <c r="AK64" s="240" t="s">
        <v>66</v>
      </c>
      <c r="AL64" s="240"/>
      <c r="AM64" s="240"/>
      <c r="AN64" s="241"/>
      <c r="AO64" s="239" t="s">
        <v>161</v>
      </c>
      <c r="AP64" s="240"/>
      <c r="AQ64" s="240"/>
      <c r="AR64" s="241"/>
      <c r="AS64" s="239" t="s">
        <v>82</v>
      </c>
      <c r="AT64" s="240"/>
      <c r="AU64" s="240"/>
      <c r="AV64" s="240"/>
      <c r="AW64" s="357" t="s">
        <v>83</v>
      </c>
      <c r="AX64" s="240"/>
      <c r="AY64" s="240"/>
      <c r="AZ64" s="241"/>
      <c r="BA64" s="239" t="s">
        <v>84</v>
      </c>
      <c r="BB64" s="240"/>
      <c r="BC64" s="240"/>
      <c r="BD64" s="241"/>
      <c r="BE64" s="240" t="s">
        <v>85</v>
      </c>
      <c r="BF64" s="240"/>
      <c r="BG64" s="241"/>
      <c r="BH64" s="240" t="s">
        <v>86</v>
      </c>
      <c r="BI64" s="240"/>
      <c r="BJ64" s="240"/>
      <c r="BK64" s="241"/>
      <c r="BL64" s="240" t="s">
        <v>69</v>
      </c>
      <c r="BM64" s="240"/>
      <c r="BN64" s="240"/>
      <c r="BO64" s="241"/>
    </row>
    <row r="65" spans="1:67" ht="13.5" customHeight="1">
      <c r="A65" s="22"/>
      <c r="B65" s="202">
        <v>22</v>
      </c>
      <c r="C65" s="308">
        <v>1</v>
      </c>
      <c r="D65" s="148" t="str">
        <f>N50</f>
        <v>KFH</v>
      </c>
      <c r="E65" s="149"/>
      <c r="F65" s="148" t="str">
        <f>D50</f>
        <v>4800215830</v>
      </c>
      <c r="G65" s="149"/>
      <c r="H65" s="149"/>
      <c r="I65" s="151"/>
      <c r="J65" s="242" t="str">
        <f>H50</f>
        <v>TF38-20S-0.5SV(830)</v>
      </c>
      <c r="K65" s="150"/>
      <c r="L65" s="150"/>
      <c r="M65" s="150"/>
      <c r="N65" s="161"/>
      <c r="O65" s="162"/>
      <c r="P65" s="148" t="s">
        <v>147</v>
      </c>
      <c r="Q65" s="150"/>
      <c r="R65" s="150"/>
      <c r="S65" s="162"/>
      <c r="T65" s="1002">
        <f>R50</f>
        <v>70000</v>
      </c>
      <c r="U65" s="1003"/>
      <c r="V65" s="1003"/>
      <c r="W65" s="1004"/>
      <c r="X65" s="1045">
        <f>SUM(Z50:AC51)</f>
        <v>6.7299999999999999E-2</v>
      </c>
      <c r="Y65" s="1046"/>
      <c r="Z65" s="1046"/>
      <c r="AA65" s="1047"/>
      <c r="AB65" s="1048">
        <f>BB50</f>
        <v>0.151</v>
      </c>
      <c r="AC65" s="1049"/>
      <c r="AD65" s="1049"/>
      <c r="AE65" s="1049"/>
      <c r="AF65" s="1050"/>
      <c r="AG65" s="1042">
        <f>AL50</f>
        <v>0</v>
      </c>
      <c r="AH65" s="1043"/>
      <c r="AI65" s="1043"/>
      <c r="AJ65" s="1044"/>
      <c r="AK65" s="1042">
        <f>AH50</f>
        <v>0.1211</v>
      </c>
      <c r="AL65" s="1043"/>
      <c r="AM65" s="1043"/>
      <c r="AN65" s="1044"/>
      <c r="AO65" s="1026">
        <f>1-Z50/AT50</f>
        <v>0.50478292862398821</v>
      </c>
      <c r="AP65" s="1027"/>
      <c r="AQ65" s="1027"/>
      <c r="AR65" s="1028"/>
      <c r="AS65" s="1023" t="str">
        <f>IFERROR((AK65-AG65)/AG65,"")</f>
        <v/>
      </c>
      <c r="AT65" s="1024"/>
      <c r="AU65" s="1024"/>
      <c r="AV65" s="1025"/>
      <c r="AW65" s="1042">
        <f>AX50</f>
        <v>0.151</v>
      </c>
      <c r="AX65" s="1043"/>
      <c r="AY65" s="1043"/>
      <c r="AZ65" s="1044"/>
      <c r="BA65" s="1026">
        <f>1-(AH50/AX50)</f>
        <v>0.19801324503311257</v>
      </c>
      <c r="BB65" s="1027"/>
      <c r="BC65" s="1027"/>
      <c r="BD65" s="1028"/>
      <c r="BE65" s="1045">
        <f>BF50</f>
        <v>6.1000000000000004E-3</v>
      </c>
      <c r="BF65" s="1046"/>
      <c r="BG65" s="1047"/>
      <c r="BH65" s="1036"/>
      <c r="BI65" s="1037"/>
      <c r="BJ65" s="1037"/>
      <c r="BK65" s="1038"/>
      <c r="BL65" s="149" t="s">
        <v>30</v>
      </c>
      <c r="BM65" s="150"/>
      <c r="BN65" s="150"/>
      <c r="BO65" s="152"/>
    </row>
    <row r="66" spans="1:67" ht="13.5" customHeight="1">
      <c r="A66" s="22"/>
      <c r="B66" s="202">
        <v>23</v>
      </c>
      <c r="C66" s="308">
        <v>2</v>
      </c>
      <c r="D66" s="148"/>
      <c r="E66" s="149"/>
      <c r="F66" s="148" t="s">
        <v>30</v>
      </c>
      <c r="G66" s="149"/>
      <c r="H66" s="149"/>
      <c r="I66" s="151"/>
      <c r="J66" s="242"/>
      <c r="K66" s="150"/>
      <c r="L66" s="150"/>
      <c r="M66" s="150"/>
      <c r="N66" s="161"/>
      <c r="O66" s="162"/>
      <c r="P66" s="148"/>
      <c r="Q66" s="150"/>
      <c r="R66" s="150"/>
      <c r="S66" s="162"/>
      <c r="T66" s="1002"/>
      <c r="U66" s="1003"/>
      <c r="V66" s="1003"/>
      <c r="W66" s="1004"/>
      <c r="X66" s="990"/>
      <c r="Y66" s="1012"/>
      <c r="Z66" s="1012"/>
      <c r="AA66" s="1013"/>
      <c r="AB66" s="1039"/>
      <c r="AC66" s="1040"/>
      <c r="AD66" s="1040"/>
      <c r="AE66" s="1040"/>
      <c r="AF66" s="1041"/>
      <c r="AG66" s="990"/>
      <c r="AH66" s="1012"/>
      <c r="AI66" s="1012"/>
      <c r="AJ66" s="1013"/>
      <c r="AK66" s="990"/>
      <c r="AL66" s="1012"/>
      <c r="AM66" s="1012"/>
      <c r="AN66" s="1013"/>
      <c r="AO66" s="1026"/>
      <c r="AP66" s="1027"/>
      <c r="AQ66" s="1027"/>
      <c r="AR66" s="1028"/>
      <c r="AS66" s="1023"/>
      <c r="AT66" s="1024"/>
      <c r="AU66" s="1024"/>
      <c r="AV66" s="1025"/>
      <c r="AW66" s="990"/>
      <c r="AX66" s="1012"/>
      <c r="AY66" s="1012"/>
      <c r="AZ66" s="1013"/>
      <c r="BA66" s="1026"/>
      <c r="BB66" s="1027"/>
      <c r="BC66" s="1027"/>
      <c r="BD66" s="1028"/>
      <c r="BE66" s="1014"/>
      <c r="BF66" s="1015"/>
      <c r="BG66" s="1016"/>
      <c r="BH66" s="149"/>
      <c r="BI66" s="150"/>
      <c r="BJ66" s="150"/>
      <c r="BK66" s="152"/>
      <c r="BL66" s="149"/>
      <c r="BM66" s="150"/>
      <c r="BN66" s="150"/>
      <c r="BO66" s="152"/>
    </row>
    <row r="67" spans="1:67" ht="13.5" customHeight="1">
      <c r="A67" s="22"/>
      <c r="B67" s="202">
        <v>20</v>
      </c>
      <c r="C67" s="337" t="s">
        <v>281</v>
      </c>
      <c r="D67" s="28"/>
      <c r="E67" s="28"/>
      <c r="F67" s="28"/>
      <c r="G67" s="28"/>
      <c r="H67" s="121"/>
      <c r="I67" s="62"/>
      <c r="J67" s="63"/>
      <c r="K67" s="62"/>
      <c r="L67" s="63"/>
      <c r="M67" s="69"/>
      <c r="N67" s="69"/>
      <c r="O67" s="65"/>
      <c r="P67" s="69"/>
      <c r="Q67" s="65"/>
      <c r="R67" s="69"/>
      <c r="S67" s="28"/>
      <c r="T67" s="28"/>
      <c r="U67" s="28"/>
      <c r="V67" s="28"/>
      <c r="W67" s="28"/>
      <c r="X67" s="121"/>
      <c r="Y67" s="62"/>
      <c r="Z67" s="63"/>
      <c r="AA67" s="62"/>
      <c r="AB67" s="63"/>
      <c r="AC67" s="69"/>
      <c r="AD67" s="69"/>
      <c r="AE67" s="65"/>
      <c r="AF67" s="69"/>
      <c r="AG67" s="65"/>
      <c r="AH67" s="69"/>
      <c r="AI67" s="64"/>
      <c r="AJ67" s="69"/>
      <c r="AK67" s="65"/>
      <c r="AL67" s="28"/>
      <c r="AM67" s="28"/>
      <c r="AN67" s="28"/>
      <c r="AO67" s="28"/>
      <c r="AP67" s="28"/>
      <c r="AQ67" s="28"/>
      <c r="AR67" s="28"/>
      <c r="AS67" s="28"/>
      <c r="AT67" s="28"/>
      <c r="AU67" s="28"/>
      <c r="AV67" s="233"/>
      <c r="AW67" s="28"/>
      <c r="AX67" s="28"/>
      <c r="AY67" s="31"/>
      <c r="AZ67" s="95"/>
      <c r="BA67" s="92"/>
      <c r="BB67" s="329"/>
      <c r="BC67" s="338"/>
      <c r="BD67" s="37"/>
      <c r="BE67" s="37"/>
    </row>
    <row r="68" spans="1:67" ht="13.5" customHeight="1">
      <c r="A68" s="22"/>
      <c r="B68" s="202">
        <v>24</v>
      </c>
      <c r="C68" s="304"/>
      <c r="D68" s="502" t="s">
        <v>280</v>
      </c>
      <c r="E68" s="503"/>
      <c r="F68" s="504" t="s">
        <v>294</v>
      </c>
      <c r="G68" s="503"/>
      <c r="H68" s="503"/>
      <c r="I68" s="505"/>
      <c r="J68" s="504" t="s">
        <v>30</v>
      </c>
      <c r="K68" s="506"/>
      <c r="L68" s="506"/>
      <c r="M68" s="506"/>
      <c r="N68" s="503"/>
      <c r="O68" s="505"/>
      <c r="P68" s="507"/>
      <c r="Q68" s="508"/>
      <c r="R68" s="508"/>
      <c r="S68" s="509"/>
      <c r="T68" s="502" t="s">
        <v>102</v>
      </c>
      <c r="U68" s="503"/>
      <c r="V68" s="503"/>
      <c r="W68" s="509"/>
      <c r="X68" s="510" t="s">
        <v>234</v>
      </c>
      <c r="Y68" s="508"/>
      <c r="Z68" s="508"/>
      <c r="AA68" s="509"/>
      <c r="AB68" s="513" t="s">
        <v>30</v>
      </c>
      <c r="AC68" s="508"/>
      <c r="AD68" s="508"/>
      <c r="AE68" s="508"/>
      <c r="AF68" s="508"/>
      <c r="AG68" s="511" t="s">
        <v>163</v>
      </c>
      <c r="AH68" s="508"/>
      <c r="AI68" s="508"/>
      <c r="AJ68" s="509"/>
      <c r="AK68" s="514" t="s">
        <v>164</v>
      </c>
      <c r="AL68" s="508"/>
      <c r="AM68" s="508"/>
      <c r="AN68" s="509"/>
      <c r="AO68" s="507" t="s">
        <v>82</v>
      </c>
      <c r="AP68" s="508"/>
      <c r="AQ68" s="508"/>
      <c r="AR68" s="508"/>
      <c r="AS68" s="507" t="s">
        <v>100</v>
      </c>
      <c r="AT68" s="508"/>
      <c r="AU68" s="508"/>
      <c r="AV68" s="509"/>
      <c r="AW68" s="511" t="s">
        <v>30</v>
      </c>
      <c r="AX68" s="508"/>
      <c r="AY68" s="508"/>
      <c r="AZ68" s="509"/>
      <c r="BA68" s="511" t="s">
        <v>30</v>
      </c>
      <c r="BB68" s="508"/>
      <c r="BC68" s="508"/>
      <c r="BD68" s="509"/>
      <c r="BE68" s="508"/>
      <c r="BF68" s="508"/>
      <c r="BG68" s="509"/>
      <c r="BH68" s="508"/>
      <c r="BI68" s="508"/>
      <c r="BJ68" s="508"/>
      <c r="BK68" s="509"/>
      <c r="BL68" s="508"/>
      <c r="BM68" s="508"/>
      <c r="BN68" s="508"/>
      <c r="BO68" s="509"/>
    </row>
    <row r="69" spans="1:67" ht="13.5" customHeight="1">
      <c r="A69" s="22"/>
      <c r="B69" s="202">
        <v>25</v>
      </c>
      <c r="C69" s="308">
        <v>1</v>
      </c>
      <c r="D69" s="148" t="s">
        <v>160</v>
      </c>
      <c r="E69" s="149"/>
      <c r="F69" s="148" t="s">
        <v>148</v>
      </c>
      <c r="G69" s="149"/>
      <c r="H69" s="149"/>
      <c r="I69" s="151"/>
      <c r="J69" s="221"/>
      <c r="K69" s="222"/>
      <c r="L69" s="222"/>
      <c r="M69" s="222"/>
      <c r="N69" s="161"/>
      <c r="O69" s="162"/>
      <c r="P69" s="148"/>
      <c r="Q69" s="150"/>
      <c r="R69" s="150"/>
      <c r="S69" s="162"/>
      <c r="T69" s="1002">
        <f>SUMPRODUCT($T$65:$W$66,$AK$65:$AN$66)</f>
        <v>8477</v>
      </c>
      <c r="U69" s="1003"/>
      <c r="V69" s="1003"/>
      <c r="W69" s="1004"/>
      <c r="X69" s="1017">
        <f>SUMPRODUCT(R46:U47,Z46:AC47)</f>
        <v>0</v>
      </c>
      <c r="Y69" s="1018"/>
      <c r="Z69" s="1018"/>
      <c r="AA69" s="1019"/>
      <c r="AB69" s="252"/>
      <c r="AC69" s="252"/>
      <c r="AD69" s="252"/>
      <c r="AE69" s="252"/>
      <c r="AF69" s="252"/>
      <c r="AG69" s="1017">
        <f>$T69-$X69</f>
        <v>8477</v>
      </c>
      <c r="AH69" s="1018"/>
      <c r="AI69" s="1018"/>
      <c r="AJ69" s="1019"/>
      <c r="AK69" s="1033">
        <f>AG69/T69</f>
        <v>1</v>
      </c>
      <c r="AL69" s="1034"/>
      <c r="AM69" s="1034"/>
      <c r="AN69" s="1035"/>
      <c r="AO69" s="996">
        <f>IFERROR(AS69/($T69-AS69),"")</f>
        <v>-0.5</v>
      </c>
      <c r="AP69" s="997"/>
      <c r="AQ69" s="997"/>
      <c r="AR69" s="998"/>
      <c r="AS69" s="1020">
        <f>$T$65*($AG$65-$AK$65)+$T$66*($AG$66-$AK$66)</f>
        <v>-8477</v>
      </c>
      <c r="AT69" s="1021"/>
      <c r="AU69" s="1021"/>
      <c r="AV69" s="1022"/>
      <c r="AW69" s="1005"/>
      <c r="AX69" s="1006"/>
      <c r="AY69" s="1006"/>
      <c r="AZ69" s="1007"/>
      <c r="BA69" s="148" t="s">
        <v>30</v>
      </c>
      <c r="BB69" s="150"/>
      <c r="BC69" s="150"/>
      <c r="BD69" s="152"/>
      <c r="BE69" s="149" t="s">
        <v>30</v>
      </c>
      <c r="BF69" s="150"/>
      <c r="BG69" s="152"/>
      <c r="BH69" s="149" t="s">
        <v>30</v>
      </c>
      <c r="BI69" s="150"/>
      <c r="BJ69" s="150"/>
      <c r="BK69" s="152"/>
      <c r="BL69" s="149" t="s">
        <v>30</v>
      </c>
      <c r="BM69" s="150"/>
      <c r="BN69" s="150"/>
      <c r="BO69" s="152"/>
    </row>
    <row r="70" spans="1:67" ht="13.5" customHeight="1">
      <c r="A70" s="22"/>
      <c r="B70" s="202">
        <v>25</v>
      </c>
      <c r="C70" s="308">
        <v>2</v>
      </c>
      <c r="D70" s="148" t="s">
        <v>160</v>
      </c>
      <c r="E70" s="149"/>
      <c r="F70" s="148" t="s">
        <v>207</v>
      </c>
      <c r="G70" s="149"/>
      <c r="H70" s="149"/>
      <c r="I70" s="151"/>
      <c r="J70" s="221"/>
      <c r="K70" s="222"/>
      <c r="L70" s="222"/>
      <c r="M70" s="222"/>
      <c r="N70" s="161"/>
      <c r="O70" s="162"/>
      <c r="P70" s="148"/>
      <c r="Q70" s="150"/>
      <c r="R70" s="150"/>
      <c r="S70" s="162"/>
      <c r="T70" s="1002">
        <f>SUMPRODUCT($T$65:$W$66,$AK$65:$AN$66)</f>
        <v>8477</v>
      </c>
      <c r="U70" s="1003"/>
      <c r="V70" s="1003"/>
      <c r="W70" s="1004"/>
      <c r="X70" s="1017">
        <f>SUMPRODUCT(R47:U48,Z47:AC48)</f>
        <v>0</v>
      </c>
      <c r="Y70" s="1018"/>
      <c r="Z70" s="1018"/>
      <c r="AA70" s="1019"/>
      <c r="AB70" s="252"/>
      <c r="AC70" s="252"/>
      <c r="AD70" s="252"/>
      <c r="AE70" s="252"/>
      <c r="AF70" s="252"/>
      <c r="AG70" s="1017">
        <f>$T70-$X70</f>
        <v>8477</v>
      </c>
      <c r="AH70" s="1018"/>
      <c r="AI70" s="1018"/>
      <c r="AJ70" s="1019"/>
      <c r="AK70" s="1033">
        <f>AG70/T70</f>
        <v>1</v>
      </c>
      <c r="AL70" s="1034"/>
      <c r="AM70" s="1034"/>
      <c r="AN70" s="1035"/>
      <c r="AO70" s="996">
        <f>IFERROR(AS70/($T70-AS70),"")</f>
        <v>-0.5</v>
      </c>
      <c r="AP70" s="997"/>
      <c r="AQ70" s="997"/>
      <c r="AR70" s="998"/>
      <c r="AS70" s="1020">
        <f>$T$65*($AG$65-$AK$65)+$T$66*($AG$66-$AK$66)</f>
        <v>-8477</v>
      </c>
      <c r="AT70" s="1021"/>
      <c r="AU70" s="1021"/>
      <c r="AV70" s="1022"/>
      <c r="AW70" s="1005"/>
      <c r="AX70" s="1006"/>
      <c r="AY70" s="1006"/>
      <c r="AZ70" s="1007"/>
      <c r="BA70" s="148" t="s">
        <v>30</v>
      </c>
      <c r="BB70" s="150"/>
      <c r="BC70" s="150"/>
      <c r="BD70" s="152"/>
      <c r="BE70" s="149" t="s">
        <v>30</v>
      </c>
      <c r="BF70" s="150"/>
      <c r="BG70" s="152"/>
      <c r="BH70" s="149" t="s">
        <v>30</v>
      </c>
      <c r="BI70" s="150"/>
      <c r="BJ70" s="150"/>
      <c r="BK70" s="152"/>
      <c r="BL70" s="149" t="s">
        <v>30</v>
      </c>
      <c r="BM70" s="150"/>
      <c r="BN70" s="150"/>
      <c r="BO70" s="152"/>
    </row>
    <row r="71" spans="1:67"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67" ht="13.5" customHeight="1">
      <c r="A72" s="22"/>
      <c r="B72" s="202">
        <v>24</v>
      </c>
      <c r="C72" s="304"/>
      <c r="D72" s="243"/>
      <c r="E72" s="244"/>
      <c r="F72" s="243" t="s">
        <v>296</v>
      </c>
      <c r="G72" s="244"/>
      <c r="H72" s="244"/>
      <c r="I72" s="245"/>
      <c r="J72" s="246" t="s">
        <v>30</v>
      </c>
      <c r="K72" s="247"/>
      <c r="L72" s="247"/>
      <c r="M72" s="247"/>
      <c r="N72" s="244"/>
      <c r="O72" s="245"/>
      <c r="P72" s="248"/>
      <c r="Q72" s="249"/>
      <c r="R72" s="249"/>
      <c r="S72" s="250"/>
      <c r="T72" s="243" t="s">
        <v>102</v>
      </c>
      <c r="U72" s="244"/>
      <c r="V72" s="244"/>
      <c r="W72" s="250"/>
      <c r="X72" s="330" t="s">
        <v>234</v>
      </c>
      <c r="Y72" s="249"/>
      <c r="Z72" s="249"/>
      <c r="AA72" s="250"/>
      <c r="AB72" s="251" t="s">
        <v>30</v>
      </c>
      <c r="AC72" s="249"/>
      <c r="AD72" s="249"/>
      <c r="AE72" s="249"/>
      <c r="AF72" s="249"/>
      <c r="AG72" s="253" t="s">
        <v>163</v>
      </c>
      <c r="AH72" s="249"/>
      <c r="AI72" s="249"/>
      <c r="AJ72" s="250"/>
      <c r="AK72" s="358" t="s">
        <v>164</v>
      </c>
      <c r="AL72" s="249"/>
      <c r="AM72" s="249"/>
      <c r="AN72" s="250"/>
      <c r="AO72" s="248" t="s">
        <v>82</v>
      </c>
      <c r="AP72" s="249"/>
      <c r="AQ72" s="249"/>
      <c r="AR72" s="249"/>
      <c r="AS72" s="248" t="s">
        <v>100</v>
      </c>
      <c r="AT72" s="249"/>
      <c r="AU72" s="249"/>
      <c r="AV72" s="250"/>
      <c r="AW72" s="253" t="s">
        <v>30</v>
      </c>
      <c r="AX72" s="249"/>
      <c r="AY72" s="249"/>
      <c r="AZ72" s="250"/>
      <c r="BA72" s="253" t="s">
        <v>30</v>
      </c>
      <c r="BB72" s="249"/>
      <c r="BC72" s="249"/>
      <c r="BD72" s="250"/>
      <c r="BE72" s="249"/>
      <c r="BF72" s="249"/>
      <c r="BG72" s="250"/>
      <c r="BH72" s="249"/>
      <c r="BI72" s="249"/>
      <c r="BJ72" s="249"/>
      <c r="BK72" s="250"/>
      <c r="BL72" s="249"/>
      <c r="BM72" s="249"/>
      <c r="BN72" s="249"/>
      <c r="BO72" s="250"/>
    </row>
    <row r="73" spans="1:67" ht="13.5" customHeight="1">
      <c r="A73" s="22"/>
      <c r="B73" s="202">
        <v>25</v>
      </c>
      <c r="C73" s="308"/>
      <c r="D73" s="148"/>
      <c r="E73" s="149"/>
      <c r="F73" s="148" t="s">
        <v>148</v>
      </c>
      <c r="G73" s="149"/>
      <c r="H73" s="149"/>
      <c r="I73" s="151"/>
      <c r="J73" s="221"/>
      <c r="K73" s="222"/>
      <c r="L73" s="222"/>
      <c r="M73" s="222"/>
      <c r="N73" s="161"/>
      <c r="O73" s="162"/>
      <c r="P73" s="148"/>
      <c r="Q73" s="150"/>
      <c r="R73" s="150"/>
      <c r="S73" s="162"/>
      <c r="T73" s="1002">
        <f>SUMPRODUCT($T$65:$W$66,$AK$65:$AN$66)</f>
        <v>8477</v>
      </c>
      <c r="U73" s="1003"/>
      <c r="V73" s="1003"/>
      <c r="W73" s="1004"/>
      <c r="X73" s="1017">
        <f>SUMPRODUCT(R49:U50,Z49:AC50)</f>
        <v>4711</v>
      </c>
      <c r="Y73" s="1018"/>
      <c r="Z73" s="1018"/>
      <c r="AA73" s="1019"/>
      <c r="AB73" s="252"/>
      <c r="AC73" s="252"/>
      <c r="AD73" s="252"/>
      <c r="AE73" s="252"/>
      <c r="AF73" s="252"/>
      <c r="AG73" s="1017">
        <f>$T73-$X73</f>
        <v>3766</v>
      </c>
      <c r="AH73" s="1018"/>
      <c r="AI73" s="1018"/>
      <c r="AJ73" s="1019"/>
      <c r="AK73" s="1033">
        <f>AG73/T73</f>
        <v>0.44426094137076794</v>
      </c>
      <c r="AL73" s="1034"/>
      <c r="AM73" s="1034"/>
      <c r="AN73" s="1035"/>
      <c r="AO73" s="996">
        <f>IFERROR(AS73/($T73-AS73),"")</f>
        <v>-0.5</v>
      </c>
      <c r="AP73" s="997"/>
      <c r="AQ73" s="997"/>
      <c r="AR73" s="998"/>
      <c r="AS73" s="1020">
        <f>$T$65*($AG$65-$AK$65)+$T$66*($AG$66-$AK$66)</f>
        <v>-8477</v>
      </c>
      <c r="AT73" s="1021"/>
      <c r="AU73" s="1021"/>
      <c r="AV73" s="1022"/>
      <c r="AW73" s="1005"/>
      <c r="AX73" s="1006"/>
      <c r="AY73" s="1006"/>
      <c r="AZ73" s="1007"/>
      <c r="BA73" s="148" t="s">
        <v>30</v>
      </c>
      <c r="BB73" s="150"/>
      <c r="BC73" s="150"/>
      <c r="BD73" s="152"/>
      <c r="BE73" s="149" t="s">
        <v>30</v>
      </c>
      <c r="BF73" s="150"/>
      <c r="BG73" s="152"/>
      <c r="BH73" s="149" t="s">
        <v>30</v>
      </c>
      <c r="BI73" s="150"/>
      <c r="BJ73" s="150"/>
      <c r="BK73" s="152"/>
      <c r="BL73" s="149" t="s">
        <v>30</v>
      </c>
      <c r="BM73" s="150"/>
      <c r="BN73" s="150"/>
      <c r="BO73" s="152"/>
    </row>
    <row r="74" spans="1:67" ht="13.5" customHeight="1">
      <c r="A74" s="22"/>
      <c r="B74" s="202">
        <v>25</v>
      </c>
      <c r="C74" s="308"/>
      <c r="D74" s="148"/>
      <c r="E74" s="149"/>
      <c r="F74" s="148" t="s">
        <v>207</v>
      </c>
      <c r="G74" s="149"/>
      <c r="H74" s="149"/>
      <c r="I74" s="151"/>
      <c r="J74" s="221"/>
      <c r="K74" s="222"/>
      <c r="L74" s="222"/>
      <c r="M74" s="222"/>
      <c r="N74" s="161"/>
      <c r="O74" s="162"/>
      <c r="P74" s="148"/>
      <c r="Q74" s="150"/>
      <c r="R74" s="150"/>
      <c r="S74" s="162"/>
      <c r="T74" s="1002">
        <f>SUMPRODUCT($T$65:$W$66,$AK$65:$AN$66)</f>
        <v>8477</v>
      </c>
      <c r="U74" s="1003"/>
      <c r="V74" s="1003"/>
      <c r="W74" s="1004"/>
      <c r="X74" s="1017">
        <f>SUMPRODUCT(R50:U51,Z50:AC51)</f>
        <v>4711</v>
      </c>
      <c r="Y74" s="1018"/>
      <c r="Z74" s="1018"/>
      <c r="AA74" s="1019"/>
      <c r="AB74" s="252"/>
      <c r="AC74" s="252"/>
      <c r="AD74" s="252"/>
      <c r="AE74" s="252"/>
      <c r="AF74" s="252"/>
      <c r="AG74" s="1017">
        <f>$T74-$X74</f>
        <v>3766</v>
      </c>
      <c r="AH74" s="1018"/>
      <c r="AI74" s="1018"/>
      <c r="AJ74" s="1019"/>
      <c r="AK74" s="1033">
        <f>AG74/T74</f>
        <v>0.44426094137076794</v>
      </c>
      <c r="AL74" s="1034"/>
      <c r="AM74" s="1034"/>
      <c r="AN74" s="1035"/>
      <c r="AO74" s="996">
        <f>IFERROR(AS74/($T74-AS74),"")</f>
        <v>-0.5</v>
      </c>
      <c r="AP74" s="997"/>
      <c r="AQ74" s="997"/>
      <c r="AR74" s="998"/>
      <c r="AS74" s="1020">
        <f>$T$65*($AG$65-$AK$65)+$T$66*($AG$66-$AK$66)</f>
        <v>-8477</v>
      </c>
      <c r="AT74" s="1021"/>
      <c r="AU74" s="1021"/>
      <c r="AV74" s="1022"/>
      <c r="AW74" s="1005"/>
      <c r="AX74" s="1006"/>
      <c r="AY74" s="1006"/>
      <c r="AZ74" s="1007"/>
      <c r="BA74" s="148" t="s">
        <v>30</v>
      </c>
      <c r="BB74" s="150"/>
      <c r="BC74" s="150"/>
      <c r="BD74" s="152"/>
      <c r="BE74" s="149" t="s">
        <v>30</v>
      </c>
      <c r="BF74" s="150"/>
      <c r="BG74" s="152"/>
      <c r="BH74" s="149" t="s">
        <v>30</v>
      </c>
      <c r="BI74" s="150"/>
      <c r="BJ74" s="150"/>
      <c r="BK74" s="152"/>
      <c r="BL74" s="149" t="s">
        <v>30</v>
      </c>
      <c r="BM74" s="150"/>
      <c r="BN74" s="150"/>
      <c r="BO74" s="152"/>
    </row>
    <row r="75" spans="1:67" ht="13.5" customHeight="1">
      <c r="A75" s="22"/>
      <c r="B75" s="202">
        <v>26</v>
      </c>
      <c r="C75" s="339"/>
      <c r="D75" s="75"/>
      <c r="E75" s="75"/>
      <c r="F75" s="75"/>
      <c r="G75" s="75"/>
      <c r="H75" s="199"/>
      <c r="I75" s="199"/>
      <c r="J75" s="200"/>
      <c r="K75" s="199"/>
      <c r="L75" s="200"/>
      <c r="M75" s="199"/>
      <c r="N75" s="199"/>
      <c r="O75" s="83"/>
      <c r="P75" s="84"/>
      <c r="Q75" s="84"/>
      <c r="R75" s="84"/>
      <c r="S75" s="75"/>
      <c r="T75" s="75"/>
      <c r="U75" s="75"/>
      <c r="V75" s="75"/>
      <c r="W75" s="75"/>
      <c r="X75" s="85"/>
      <c r="Y75" s="75"/>
      <c r="Z75" s="84"/>
      <c r="AA75" s="85"/>
      <c r="AB75" s="75"/>
      <c r="AC75" s="84"/>
      <c r="AD75" s="85"/>
      <c r="AE75" s="84"/>
      <c r="AF75" s="84"/>
      <c r="AG75" s="85"/>
      <c r="AH75" s="84"/>
      <c r="AI75" s="84"/>
      <c r="AJ75" s="90"/>
      <c r="AK75" s="84"/>
      <c r="AL75" s="84"/>
      <c r="AM75" s="84"/>
      <c r="AN75" s="84"/>
      <c r="AO75" s="84"/>
      <c r="AP75" s="84"/>
      <c r="AQ75" s="84"/>
      <c r="AR75" s="84"/>
      <c r="AS75" s="65"/>
      <c r="AT75" s="65"/>
      <c r="AU75" s="65"/>
      <c r="AV75" s="65"/>
      <c r="AW75" s="65"/>
      <c r="AX75" s="65"/>
      <c r="AY75" s="63"/>
      <c r="AZ75" s="264"/>
      <c r="BA75" s="301"/>
      <c r="BB75" s="302"/>
      <c r="BC75" s="343"/>
      <c r="BD75" s="28"/>
    </row>
    <row r="76" spans="1:67" ht="13.5" customHeight="1">
      <c r="A76" s="22"/>
      <c r="B76" s="202">
        <v>27</v>
      </c>
      <c r="C76" s="340"/>
      <c r="D76"/>
      <c r="E76"/>
      <c r="F76"/>
      <c r="G76"/>
      <c r="H76"/>
      <c r="I76"/>
      <c r="J76"/>
      <c r="K76"/>
      <c r="L76"/>
      <c r="M76"/>
      <c r="N76"/>
      <c r="O76"/>
      <c r="P76"/>
      <c r="Q76"/>
      <c r="S76" s="35"/>
      <c r="T76" s="35"/>
      <c r="U76" s="35"/>
      <c r="V76" s="35"/>
      <c r="Y76" s="35"/>
      <c r="Z76" s="35"/>
      <c r="AD76" s="35"/>
      <c r="AE76" s="35"/>
      <c r="AF76" s="35"/>
      <c r="AG76" s="35"/>
      <c r="AH76" s="35"/>
      <c r="AI76" s="35"/>
      <c r="AJ76" s="35"/>
      <c r="AK76" s="35"/>
      <c r="AL76" s="84"/>
      <c r="AM76" s="84"/>
      <c r="AN76" s="84"/>
      <c r="AO76" s="84"/>
      <c r="AP76" s="84"/>
      <c r="AQ76" s="84"/>
      <c r="AR76" s="84"/>
      <c r="AS76" s="254"/>
      <c r="AT76" s="35"/>
      <c r="AU76" s="35"/>
      <c r="AV76" s="65"/>
      <c r="AW76" s="65"/>
      <c r="AX76" s="65"/>
      <c r="AY76" s="63"/>
      <c r="AZ76" s="31"/>
      <c r="BA76" s="30"/>
      <c r="BB76" s="175"/>
      <c r="BC76" s="345"/>
      <c r="BD76" s="28"/>
    </row>
    <row r="77" spans="1:67" ht="13.5" customHeight="1">
      <c r="A77" s="22"/>
      <c r="B77" s="202">
        <v>28</v>
      </c>
      <c r="C77" s="341"/>
      <c r="D77" s="71"/>
      <c r="E77" s="71"/>
      <c r="F77" s="71"/>
      <c r="G77" s="71"/>
      <c r="H77" s="71"/>
      <c r="I77" s="71"/>
      <c r="J77" s="71"/>
      <c r="K77" s="68"/>
      <c r="L77" s="68"/>
      <c r="M77" s="68"/>
      <c r="N77" s="91"/>
      <c r="O77" s="68"/>
      <c r="P77" s="68"/>
      <c r="Q77" s="68"/>
      <c r="R77" s="68"/>
      <c r="S77" s="68"/>
      <c r="T77" s="68"/>
      <c r="U77" s="68"/>
      <c r="V77" s="68"/>
      <c r="W77" s="91"/>
      <c r="X77" s="68"/>
      <c r="Y77" s="68"/>
      <c r="Z77" s="68"/>
      <c r="AA77" s="68"/>
      <c r="AB77" s="68"/>
      <c r="AC77" s="68"/>
      <c r="AD77" s="68"/>
      <c r="AE77" s="68"/>
      <c r="AF77" s="68"/>
      <c r="AG77" s="68"/>
      <c r="AH77" s="68"/>
      <c r="AI77" s="68"/>
      <c r="AJ77" s="68"/>
      <c r="AK77" s="68"/>
      <c r="AL77" s="68"/>
      <c r="AM77" s="65"/>
      <c r="AN77" s="65"/>
      <c r="AO77" s="65"/>
      <c r="AP77" s="65"/>
      <c r="AQ77" s="65"/>
      <c r="AR77" s="65"/>
      <c r="AS77" s="65"/>
      <c r="AT77" s="35"/>
      <c r="AU77" s="65"/>
      <c r="AV77" s="65"/>
      <c r="AW77" s="65"/>
      <c r="AX77" s="65"/>
      <c r="AY77" s="65"/>
      <c r="AZ77" s="31"/>
      <c r="BA77" s="30"/>
      <c r="BB77" s="175"/>
      <c r="BC77" s="345"/>
      <c r="BD77" s="28"/>
      <c r="BG77" s="24"/>
      <c r="BH77" s="28"/>
    </row>
    <row r="78" spans="1:67" ht="13.5" customHeight="1">
      <c r="A78" s="22"/>
      <c r="B78" s="202">
        <v>29</v>
      </c>
      <c r="C78" s="342"/>
      <c r="D78" s="332"/>
      <c r="E78" s="65"/>
      <c r="F78" s="65"/>
      <c r="G78" s="65"/>
      <c r="H78" s="65"/>
      <c r="I78" s="65"/>
      <c r="J78" s="1008"/>
      <c r="K78" s="1009"/>
      <c r="L78" s="1009"/>
      <c r="M78" s="1009"/>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67" ht="5.15" customHeight="1">
      <c r="A79" s="22"/>
      <c r="B79" s="202"/>
      <c r="C79" s="315"/>
      <c r="D79" s="73"/>
      <c r="E79" s="73"/>
      <c r="F79" s="73"/>
      <c r="G79" s="73"/>
      <c r="H79" s="316"/>
      <c r="I79" s="275"/>
      <c r="J79" s="273"/>
      <c r="K79" s="275"/>
      <c r="L79" s="273"/>
      <c r="M79" s="317"/>
      <c r="N79" s="317"/>
      <c r="O79" s="270"/>
      <c r="P79" s="317"/>
      <c r="Q79" s="270"/>
      <c r="R79" s="317"/>
      <c r="S79" s="73"/>
      <c r="T79" s="73"/>
      <c r="U79" s="73"/>
      <c r="V79" s="73"/>
      <c r="W79" s="73"/>
      <c r="X79" s="316"/>
      <c r="Y79" s="275"/>
      <c r="Z79" s="273"/>
      <c r="AA79" s="275"/>
      <c r="AB79" s="273"/>
      <c r="AC79" s="317"/>
      <c r="AD79" s="317"/>
      <c r="AE79" s="270"/>
      <c r="AF79" s="317"/>
      <c r="AG79" s="270"/>
      <c r="AH79" s="317"/>
      <c r="AI79" s="276"/>
      <c r="AJ79" s="317"/>
      <c r="AK79" s="270"/>
      <c r="AL79" s="73"/>
      <c r="AM79" s="73"/>
      <c r="AN79" s="73"/>
      <c r="AO79" s="73"/>
      <c r="AP79" s="73"/>
      <c r="AQ79" s="73"/>
      <c r="AR79" s="73"/>
      <c r="AS79" s="73"/>
      <c r="AT79" s="73"/>
      <c r="AU79" s="73"/>
      <c r="AV79" s="318"/>
      <c r="AW79" s="73"/>
      <c r="AX79" s="73"/>
      <c r="AY79" s="269"/>
      <c r="AZ79" s="269"/>
      <c r="BA79" s="319"/>
      <c r="BB79" s="320"/>
      <c r="BC79" s="344"/>
      <c r="BD79" s="28"/>
    </row>
    <row r="80" spans="1:67" ht="13.5" customHeight="1">
      <c r="A80" s="22"/>
      <c r="B80" s="202">
        <v>31</v>
      </c>
      <c r="C80" s="331"/>
      <c r="D80" s="332"/>
      <c r="E80" s="65"/>
      <c r="F80" s="65"/>
      <c r="G80" s="65"/>
      <c r="H80" s="65"/>
      <c r="I80" s="65"/>
      <c r="J80" s="1010"/>
      <c r="K80" s="1010"/>
      <c r="L80" s="1010"/>
      <c r="M80" s="1010"/>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198"/>
      <c r="AN80" s="198"/>
      <c r="AO80" s="198"/>
      <c r="AP80" s="198"/>
      <c r="AQ80" s="198"/>
      <c r="AR80" s="198"/>
      <c r="AS80" s="198"/>
      <c r="AT80" s="198"/>
      <c r="AU80" s="198"/>
      <c r="AV80" s="198"/>
      <c r="AW80" s="198"/>
      <c r="AX80" s="198"/>
      <c r="AY80" s="198"/>
      <c r="AZ80" s="33"/>
      <c r="BA80" s="46"/>
      <c r="BB80" s="78"/>
      <c r="BC80" s="34"/>
      <c r="BD80" s="28"/>
      <c r="BG80" s="24"/>
      <c r="BH80" s="28"/>
    </row>
    <row r="81" spans="1:60" ht="14.15" customHeight="1">
      <c r="A81" s="22"/>
      <c r="B81" s="129"/>
      <c r="C81" s="346" t="s">
        <v>131</v>
      </c>
      <c r="D81" s="28"/>
      <c r="E81" s="28"/>
      <c r="F81" s="28"/>
      <c r="G81" s="28"/>
      <c r="S81" s="35"/>
      <c r="T81" s="35"/>
      <c r="U81" s="35"/>
      <c r="V81" s="35"/>
      <c r="Y81" s="35"/>
      <c r="Z81" s="35"/>
      <c r="AD81" s="35"/>
      <c r="AE81" s="35"/>
      <c r="AF81" s="35"/>
      <c r="AG81" s="35"/>
      <c r="AH81" s="35"/>
      <c r="AI81" s="35"/>
      <c r="AJ81" s="28"/>
      <c r="AK81" s="28"/>
      <c r="AL81" s="28"/>
      <c r="AM81" s="130"/>
      <c r="AN81" s="130"/>
      <c r="AO81" s="35"/>
      <c r="AP81" s="35"/>
      <c r="AQ81" s="35"/>
      <c r="AR81" s="35"/>
      <c r="AS81" s="35"/>
      <c r="AT81" s="35"/>
      <c r="AU81" s="35"/>
      <c r="AV81" s="35"/>
      <c r="AW81" s="35"/>
      <c r="AX81" s="65"/>
      <c r="AY81" s="65"/>
      <c r="AZ81" s="33"/>
      <c r="BA81" s="46"/>
      <c r="BB81" s="78"/>
      <c r="BC81" s="34"/>
      <c r="BD81" s="28"/>
      <c r="BG81" s="35"/>
    </row>
    <row r="82" spans="1:60" ht="5.15" customHeight="1">
      <c r="A82" s="22"/>
      <c r="B82" s="202"/>
      <c r="C82" s="296"/>
      <c r="D82" s="72"/>
      <c r="E82" s="72"/>
      <c r="F82" s="72"/>
      <c r="G82" s="72"/>
      <c r="H82" s="297"/>
      <c r="I82" s="278"/>
      <c r="J82" s="279"/>
      <c r="K82" s="278"/>
      <c r="L82" s="279"/>
      <c r="M82" s="298"/>
      <c r="N82" s="298"/>
      <c r="O82" s="263"/>
      <c r="P82" s="298"/>
      <c r="Q82" s="263"/>
      <c r="R82" s="298"/>
      <c r="S82" s="72"/>
      <c r="T82" s="72"/>
      <c r="U82" s="72"/>
      <c r="V82" s="72"/>
      <c r="W82" s="72"/>
      <c r="X82" s="297"/>
      <c r="Y82" s="278"/>
      <c r="Z82" s="279"/>
      <c r="AA82" s="278"/>
      <c r="AB82" s="279"/>
      <c r="AC82" s="298"/>
      <c r="AD82" s="298"/>
      <c r="AE82" s="263"/>
      <c r="AF82" s="298"/>
      <c r="AG82" s="263"/>
      <c r="AH82" s="298"/>
      <c r="AI82" s="280"/>
      <c r="AJ82" s="298"/>
      <c r="AK82" s="263"/>
      <c r="AL82" s="72"/>
      <c r="AM82" s="72"/>
      <c r="AN82" s="72"/>
      <c r="AO82" s="72"/>
      <c r="AP82" s="72"/>
      <c r="AQ82" s="72"/>
      <c r="AR82" s="72"/>
      <c r="AS82" s="72"/>
      <c r="AT82" s="72"/>
      <c r="AU82" s="72"/>
      <c r="AV82" s="300"/>
      <c r="AW82" s="72"/>
      <c r="AX82" s="72"/>
      <c r="AY82" s="265"/>
      <c r="AZ82" s="33"/>
      <c r="BA82" s="46"/>
      <c r="BB82" s="78"/>
      <c r="BC82" s="34"/>
      <c r="BD82" s="28"/>
    </row>
    <row r="83" spans="1:60" ht="14.15" customHeight="1">
      <c r="A83" s="23"/>
      <c r="B83" s="351"/>
      <c r="C83" s="282"/>
      <c r="D83" s="28"/>
      <c r="E83" s="28"/>
      <c r="F83" s="28"/>
      <c r="G83" s="28"/>
      <c r="H83" s="28"/>
      <c r="I83" s="28"/>
      <c r="J83" s="28"/>
      <c r="K83" s="28"/>
      <c r="L83" s="28"/>
      <c r="M83" s="28"/>
      <c r="N83" s="28"/>
      <c r="O83" s="28"/>
      <c r="P83" s="28"/>
      <c r="Q83" s="25"/>
      <c r="S83" s="35"/>
      <c r="T83" s="28"/>
      <c r="U83" s="28"/>
      <c r="V83" s="28"/>
      <c r="W83" s="28"/>
      <c r="X83" s="28"/>
      <c r="Y83" s="28"/>
      <c r="Z83" s="28"/>
      <c r="AC83" s="28"/>
      <c r="AD83" s="28"/>
      <c r="AE83" s="35"/>
      <c r="AF83" s="35"/>
      <c r="AG83" s="35"/>
      <c r="AH83" s="35"/>
      <c r="AI83" s="35"/>
      <c r="AJ83" s="28"/>
      <c r="AK83" s="28"/>
      <c r="AL83" s="28"/>
      <c r="AM83" s="35"/>
      <c r="AN83" s="35"/>
      <c r="AO83" s="135"/>
      <c r="AP83" s="136"/>
      <c r="AQ83" s="130"/>
      <c r="AR83" s="130"/>
      <c r="AS83" s="130"/>
      <c r="AT83" s="130"/>
      <c r="AU83" s="81"/>
      <c r="AV83" s="35"/>
      <c r="AW83" s="35"/>
      <c r="AX83" s="65"/>
      <c r="AY83" s="347"/>
      <c r="AZ83" s="33"/>
      <c r="BA83" s="46"/>
      <c r="BB83" s="78"/>
      <c r="BC83" s="34"/>
      <c r="BD83" s="28"/>
      <c r="BG83" s="35"/>
    </row>
    <row r="84" spans="1:60" ht="14.15" customHeight="1">
      <c r="A84" s="23"/>
      <c r="B84" s="351"/>
      <c r="C84" s="352"/>
      <c r="D84" s="348" t="s">
        <v>38</v>
      </c>
      <c r="E84" s="131"/>
      <c r="F84" s="131"/>
      <c r="G84" s="131"/>
      <c r="H84" s="132"/>
      <c r="I84" s="132"/>
      <c r="J84" s="106"/>
      <c r="K84" s="133"/>
      <c r="L84" s="134"/>
      <c r="M84" s="144"/>
      <c r="N84" s="144"/>
      <c r="O84" s="131"/>
      <c r="P84" s="134"/>
      <c r="Q84" s="107"/>
      <c r="R84" s="133" t="s">
        <v>40</v>
      </c>
      <c r="S84" s="134"/>
      <c r="T84" s="107"/>
      <c r="U84" s="107"/>
      <c r="V84" s="133" t="s">
        <v>44</v>
      </c>
      <c r="W84" s="134"/>
      <c r="X84" s="107"/>
      <c r="Y84" s="35"/>
      <c r="Z84" s="35"/>
      <c r="AC84" s="28"/>
      <c r="AD84" s="28"/>
      <c r="AE84" s="28"/>
      <c r="AF84" s="35"/>
      <c r="AG84" s="35"/>
      <c r="AH84" s="28"/>
      <c r="AI84" s="28"/>
      <c r="AJ84" s="28"/>
      <c r="AK84" s="81"/>
      <c r="AL84" s="28"/>
      <c r="AM84" s="28"/>
      <c r="AN84" s="28"/>
      <c r="AO84" s="28"/>
      <c r="AP84" s="28"/>
      <c r="AQ84" s="65"/>
      <c r="AR84" s="65"/>
      <c r="AS84" s="65"/>
      <c r="AT84" s="125"/>
      <c r="AU84" s="65"/>
      <c r="AV84" s="65"/>
      <c r="AW84" s="65"/>
      <c r="AX84" s="65"/>
      <c r="AY84" s="347"/>
      <c r="AZ84" s="33"/>
      <c r="BA84" s="46"/>
      <c r="BB84" s="78"/>
      <c r="BC84" s="34"/>
      <c r="BD84" s="28"/>
      <c r="BE84" s="35"/>
      <c r="BF84" s="35"/>
      <c r="BG84" s="35"/>
    </row>
    <row r="85" spans="1:60" ht="13.5" customHeight="1">
      <c r="A85" s="22"/>
      <c r="B85" s="353"/>
      <c r="C85" s="352"/>
      <c r="D85" s="349" t="s">
        <v>45</v>
      </c>
      <c r="E85" s="137"/>
      <c r="F85" s="137"/>
      <c r="G85" s="137"/>
      <c r="H85" s="137"/>
      <c r="I85" s="137"/>
      <c r="J85" s="137"/>
      <c r="K85" s="350"/>
      <c r="L85" s="139"/>
      <c r="M85" s="108"/>
      <c r="N85" s="108"/>
      <c r="O85" s="145"/>
      <c r="P85" s="139"/>
      <c r="Q85" s="109"/>
      <c r="R85" s="138" t="s">
        <v>41</v>
      </c>
      <c r="S85" s="139"/>
      <c r="T85" s="108"/>
      <c r="U85" s="109"/>
      <c r="V85" s="140"/>
      <c r="W85" s="141"/>
      <c r="X85" s="142"/>
      <c r="Y85" s="116"/>
      <c r="Z85" s="41"/>
      <c r="AA85" s="116"/>
      <c r="AB85" s="116"/>
      <c r="AC85" s="116"/>
      <c r="AD85" s="116"/>
      <c r="AE85" s="116"/>
      <c r="AF85" s="116"/>
      <c r="AG85" s="116"/>
      <c r="AH85" s="116"/>
      <c r="AI85" s="116"/>
      <c r="AJ85" s="116"/>
      <c r="AK85" s="116"/>
      <c r="AL85" s="116"/>
      <c r="AM85" s="116"/>
      <c r="AN85" s="116"/>
      <c r="AO85" s="116"/>
      <c r="AP85" s="116"/>
      <c r="AQ85" s="65"/>
      <c r="AR85" s="65"/>
      <c r="AS85" s="65"/>
      <c r="AT85" s="125"/>
      <c r="AU85" s="65"/>
      <c r="AV85" s="65"/>
      <c r="AW85" s="65"/>
      <c r="AX85" s="65"/>
      <c r="AY85" s="347"/>
      <c r="AZ85" s="33"/>
      <c r="BA85" s="46"/>
      <c r="BB85" s="78"/>
      <c r="BC85" s="34"/>
      <c r="BD85" s="28"/>
      <c r="BE85" s="35"/>
      <c r="BF85" s="35"/>
      <c r="BG85" s="35"/>
    </row>
    <row r="86" spans="1:60" ht="5.15" customHeight="1">
      <c r="A86" s="22"/>
      <c r="B86" s="202"/>
      <c r="C86" s="315"/>
      <c r="D86" s="73"/>
      <c r="E86" s="73"/>
      <c r="F86" s="73"/>
      <c r="G86" s="73"/>
      <c r="H86" s="316"/>
      <c r="I86" s="275"/>
      <c r="J86" s="273"/>
      <c r="K86" s="275"/>
      <c r="L86" s="273"/>
      <c r="M86" s="317"/>
      <c r="N86" s="317"/>
      <c r="O86" s="270"/>
      <c r="P86" s="317"/>
      <c r="Q86" s="270"/>
      <c r="R86" s="317"/>
      <c r="S86" s="73"/>
      <c r="T86" s="73"/>
      <c r="U86" s="73"/>
      <c r="V86" s="73"/>
      <c r="W86" s="73"/>
      <c r="X86" s="316"/>
      <c r="Y86" s="275"/>
      <c r="Z86" s="273"/>
      <c r="AA86" s="275"/>
      <c r="AB86" s="273"/>
      <c r="AC86" s="317"/>
      <c r="AD86" s="317"/>
      <c r="AE86" s="270"/>
      <c r="AF86" s="317"/>
      <c r="AG86" s="270"/>
      <c r="AH86" s="317"/>
      <c r="AI86" s="276"/>
      <c r="AJ86" s="317"/>
      <c r="AK86" s="270"/>
      <c r="AL86" s="73"/>
      <c r="AM86" s="73"/>
      <c r="AN86" s="73"/>
      <c r="AO86" s="73"/>
      <c r="AP86" s="73"/>
      <c r="AQ86" s="73"/>
      <c r="AR86" s="73"/>
      <c r="AS86" s="73"/>
      <c r="AT86" s="73"/>
      <c r="AU86" s="73"/>
      <c r="AV86" s="318"/>
      <c r="AW86" s="73"/>
      <c r="AX86" s="73"/>
      <c r="AY86" s="277"/>
      <c r="AZ86" s="33"/>
      <c r="BA86" s="46"/>
      <c r="BB86" s="78"/>
      <c r="BC86" s="34"/>
      <c r="BD86" s="28"/>
    </row>
    <row r="87" spans="1:60" ht="14.15" customHeight="1">
      <c r="A87" s="22"/>
      <c r="B87" s="202">
        <v>34</v>
      </c>
      <c r="C87" s="331"/>
      <c r="D87" s="332"/>
      <c r="E87" s="65"/>
      <c r="F87" s="65"/>
      <c r="G87" s="65"/>
      <c r="H87" s="65"/>
      <c r="I87" s="65"/>
      <c r="J87" s="1029"/>
      <c r="K87" s="1029"/>
      <c r="L87" s="1029"/>
      <c r="M87" s="1029"/>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135"/>
      <c r="AQ87" s="135"/>
      <c r="AR87" s="65"/>
      <c r="AS87" s="65"/>
      <c r="AT87" s="125"/>
      <c r="AU87" s="65"/>
      <c r="AV87" s="65"/>
      <c r="AW87" s="65"/>
      <c r="AX87" s="65"/>
      <c r="AY87" s="65"/>
      <c r="AZ87" s="33"/>
      <c r="BA87" s="46"/>
      <c r="BB87" s="78"/>
      <c r="BC87" s="34"/>
      <c r="BD87" s="28"/>
      <c r="BG87" s="24"/>
      <c r="BH87" s="28"/>
    </row>
    <row r="88" spans="1:60" ht="14.15" customHeight="1">
      <c r="A88" s="22"/>
      <c r="B88" s="202">
        <v>35</v>
      </c>
      <c r="C88" s="346" t="s">
        <v>247</v>
      </c>
      <c r="D88" s="332"/>
      <c r="E88" s="65"/>
      <c r="F88" s="65"/>
      <c r="G88" s="65"/>
      <c r="H88" s="65"/>
      <c r="I88" s="65"/>
      <c r="J88" s="989"/>
      <c r="K88" s="989"/>
      <c r="L88" s="989"/>
      <c r="M88" s="989"/>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0" ht="14.15" customHeight="1">
      <c r="A89" s="22"/>
      <c r="B89" s="202">
        <v>35</v>
      </c>
      <c r="C89" s="331"/>
      <c r="D89" s="478" t="s">
        <v>248</v>
      </c>
      <c r="E89" s="65"/>
      <c r="F89" s="65"/>
      <c r="G89" s="65"/>
      <c r="H89" s="65"/>
      <c r="I89" s="65"/>
      <c r="J89" s="477"/>
      <c r="K89" s="477"/>
      <c r="L89" s="477"/>
      <c r="M89" s="477"/>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0" ht="14.15" customHeight="1">
      <c r="A90" s="22"/>
      <c r="B90" s="202">
        <v>35</v>
      </c>
      <c r="C90" s="331"/>
      <c r="D90" s="332"/>
      <c r="E90" s="65"/>
      <c r="F90" s="65"/>
      <c r="G90" s="65"/>
      <c r="H90" s="65"/>
      <c r="I90" s="65"/>
      <c r="J90" s="1011"/>
      <c r="K90" s="1011"/>
      <c r="L90" s="1011"/>
      <c r="M90" s="1011"/>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0" ht="5.15" customHeight="1">
      <c r="A91" s="22"/>
      <c r="B91" s="202"/>
      <c r="C91" s="296"/>
      <c r="D91" s="72"/>
      <c r="E91" s="72"/>
      <c r="F91" s="72"/>
      <c r="G91" s="72"/>
      <c r="H91" s="297"/>
      <c r="I91" s="278"/>
      <c r="J91" s="279"/>
      <c r="K91" s="278"/>
      <c r="L91" s="279"/>
      <c r="M91" s="298"/>
      <c r="N91" s="298"/>
      <c r="O91" s="263"/>
      <c r="P91" s="298"/>
      <c r="Q91" s="263"/>
      <c r="R91" s="298"/>
      <c r="S91" s="72"/>
      <c r="T91" s="72"/>
      <c r="U91" s="72"/>
      <c r="V91" s="72"/>
      <c r="W91" s="72"/>
      <c r="X91" s="297"/>
      <c r="Y91" s="278"/>
      <c r="Z91" s="279"/>
      <c r="AA91" s="278"/>
      <c r="AB91" s="279"/>
      <c r="AC91" s="298"/>
      <c r="AD91" s="298"/>
      <c r="AE91" s="263"/>
      <c r="AF91" s="298"/>
      <c r="AG91" s="263"/>
      <c r="AH91" s="298"/>
      <c r="AI91" s="280"/>
      <c r="AJ91" s="298"/>
      <c r="AK91" s="263"/>
      <c r="AL91" s="72"/>
      <c r="AM91" s="72"/>
      <c r="AN91" s="72"/>
      <c r="AO91" s="72"/>
      <c r="AP91" s="72"/>
      <c r="AQ91" s="72"/>
      <c r="AR91" s="72"/>
      <c r="AS91" s="72"/>
      <c r="AT91" s="72"/>
      <c r="AU91" s="72"/>
      <c r="AV91" s="300"/>
      <c r="AW91" s="72"/>
      <c r="AX91" s="72"/>
      <c r="AY91" s="265"/>
      <c r="AZ91" s="33"/>
      <c r="BA91" s="46"/>
      <c r="BB91" s="78"/>
      <c r="BC91" s="34"/>
      <c r="BD91" s="28"/>
    </row>
    <row r="92" spans="1:60" ht="14.15" customHeight="1">
      <c r="A92" s="23"/>
      <c r="B92" s="351"/>
      <c r="C92" s="282"/>
      <c r="D92" s="28" t="s">
        <v>240</v>
      </c>
      <c r="E92" s="28"/>
      <c r="F92" s="28"/>
      <c r="G92" s="28"/>
      <c r="H92" s="468" t="s">
        <v>245</v>
      </c>
      <c r="I92" s="257"/>
      <c r="J92" s="258"/>
      <c r="K92" s="258"/>
      <c r="L92" s="258"/>
      <c r="M92" s="259"/>
      <c r="N92" s="258"/>
      <c r="O92" s="110"/>
      <c r="P92" s="261" t="s">
        <v>33</v>
      </c>
      <c r="Q92" s="25"/>
      <c r="R92" s="469" t="s">
        <v>246</v>
      </c>
      <c r="S92" s="470"/>
      <c r="T92" s="471"/>
      <c r="U92" s="471"/>
      <c r="V92" s="483"/>
      <c r="W92" s="472"/>
      <c r="X92" s="471"/>
      <c r="Y92" s="473"/>
      <c r="Z92" s="474"/>
      <c r="AB92" s="469" t="s">
        <v>289</v>
      </c>
      <c r="AC92" s="470"/>
      <c r="AD92" s="471"/>
      <c r="AE92" s="471"/>
      <c r="AF92" s="471"/>
      <c r="AG92" s="472"/>
      <c r="AH92" s="471"/>
      <c r="AI92" s="473"/>
      <c r="AJ92" s="472"/>
      <c r="AK92" s="479"/>
      <c r="AL92" s="479"/>
      <c r="AM92" s="473"/>
      <c r="AN92" s="473"/>
      <c r="AO92" s="471"/>
      <c r="AP92" s="480"/>
      <c r="AQ92" s="471"/>
      <c r="AR92" s="471"/>
      <c r="AS92" s="471"/>
      <c r="AT92" s="471"/>
      <c r="AU92" s="481"/>
      <c r="AV92" s="473"/>
      <c r="AW92" s="473"/>
      <c r="AX92" s="482"/>
      <c r="AY92" s="347"/>
      <c r="AZ92" s="33"/>
      <c r="BA92" s="46"/>
      <c r="BB92" s="78"/>
      <c r="BC92" s="34"/>
      <c r="BD92" s="28"/>
      <c r="BG92" s="35"/>
    </row>
    <row r="93" spans="1:60" ht="14.15" customHeight="1">
      <c r="A93" s="23"/>
      <c r="B93" s="351"/>
      <c r="C93" s="282"/>
      <c r="D93" s="28"/>
      <c r="E93" s="28"/>
      <c r="F93" s="28"/>
      <c r="G93" s="28"/>
      <c r="H93" s="469" t="s">
        <v>54</v>
      </c>
      <c r="I93" s="470"/>
      <c r="J93" s="471"/>
      <c r="K93" s="471"/>
      <c r="L93" s="471"/>
      <c r="M93" s="472"/>
      <c r="N93" s="471"/>
      <c r="O93" s="473"/>
      <c r="P93" s="472"/>
      <c r="Q93" s="479"/>
      <c r="R93" s="479"/>
      <c r="S93" s="473"/>
      <c r="T93" s="473"/>
      <c r="U93" s="471"/>
      <c r="V93" s="480"/>
      <c r="W93" s="471"/>
      <c r="X93" s="471"/>
      <c r="Y93" s="471"/>
      <c r="Z93" s="471"/>
      <c r="AA93" s="481"/>
      <c r="AB93" s="473"/>
      <c r="AC93" s="473"/>
      <c r="AD93" s="479"/>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0" ht="5.15" customHeight="1">
      <c r="A94" s="22"/>
      <c r="B94" s="202"/>
      <c r="C94" s="315"/>
      <c r="D94" s="73"/>
      <c r="E94" s="73"/>
      <c r="F94" s="73"/>
      <c r="G94" s="73"/>
      <c r="H94" s="316"/>
      <c r="I94" s="275"/>
      <c r="J94" s="273"/>
      <c r="K94" s="275"/>
      <c r="L94" s="273"/>
      <c r="M94" s="317"/>
      <c r="N94" s="317"/>
      <c r="O94" s="270"/>
      <c r="P94" s="317"/>
      <c r="Q94" s="270"/>
      <c r="R94" s="317"/>
      <c r="S94" s="73"/>
      <c r="T94" s="73"/>
      <c r="U94" s="73"/>
      <c r="V94" s="73"/>
      <c r="W94" s="73"/>
      <c r="X94" s="316"/>
      <c r="Y94" s="275"/>
      <c r="Z94" s="273"/>
      <c r="AA94" s="275"/>
      <c r="AB94" s="273"/>
      <c r="AC94" s="317"/>
      <c r="AD94" s="317"/>
      <c r="AE94" s="270"/>
      <c r="AF94" s="317"/>
      <c r="AG94" s="270"/>
      <c r="AH94" s="317"/>
      <c r="AI94" s="276"/>
      <c r="AJ94" s="317"/>
      <c r="AK94" s="270"/>
      <c r="AL94" s="73"/>
      <c r="AM94" s="73"/>
      <c r="AN94" s="73"/>
      <c r="AO94" s="73"/>
      <c r="AP94" s="73"/>
      <c r="AQ94" s="73"/>
      <c r="AR94" s="73"/>
      <c r="AS94" s="73"/>
      <c r="AT94" s="73"/>
      <c r="AU94" s="73"/>
      <c r="AV94" s="318"/>
      <c r="AW94" s="73"/>
      <c r="AX94" s="73"/>
      <c r="AY94" s="277"/>
      <c r="AZ94" s="33"/>
      <c r="BA94" s="46"/>
      <c r="BB94" s="78"/>
      <c r="BC94" s="34"/>
      <c r="BD94" s="28"/>
    </row>
    <row r="95" spans="1:60" ht="5.15" customHeight="1">
      <c r="A95" s="22"/>
      <c r="B95" s="202"/>
      <c r="C95" s="476"/>
      <c r="D95" s="72"/>
      <c r="E95" s="72"/>
      <c r="F95" s="72"/>
      <c r="G95" s="72"/>
      <c r="H95" s="297"/>
      <c r="I95" s="278"/>
      <c r="J95" s="279"/>
      <c r="K95" s="278"/>
      <c r="L95" s="279"/>
      <c r="M95" s="298"/>
      <c r="N95" s="298"/>
      <c r="O95" s="263"/>
      <c r="P95" s="298"/>
      <c r="Q95" s="263"/>
      <c r="R95" s="298"/>
      <c r="S95" s="72"/>
      <c r="T95" s="72"/>
      <c r="U95" s="72"/>
      <c r="V95" s="72"/>
      <c r="W95" s="72"/>
      <c r="X95" s="297"/>
      <c r="Y95" s="278"/>
      <c r="Z95" s="279"/>
      <c r="AA95" s="278"/>
      <c r="AB95" s="279"/>
      <c r="AC95" s="298"/>
      <c r="AD95" s="298"/>
      <c r="AE95" s="263"/>
      <c r="AF95" s="298"/>
      <c r="AG95" s="263"/>
      <c r="AH95" s="298"/>
      <c r="AI95" s="280"/>
      <c r="AJ95" s="298"/>
      <c r="AK95" s="263"/>
      <c r="AL95" s="72"/>
      <c r="AM95" s="72"/>
      <c r="AN95" s="72"/>
      <c r="AO95" s="72"/>
      <c r="AP95" s="72"/>
      <c r="AQ95" s="72"/>
      <c r="AR95" s="72"/>
      <c r="AS95" s="72"/>
      <c r="AT95" s="72"/>
      <c r="AU95" s="72"/>
      <c r="AV95" s="300"/>
      <c r="AW95" s="72"/>
      <c r="AX95" s="72"/>
      <c r="AY95" s="264"/>
      <c r="AZ95" s="33"/>
      <c r="BA95" s="46"/>
      <c r="BB95" s="78"/>
      <c r="BC95" s="34"/>
      <c r="BD95" s="28"/>
    </row>
    <row r="96" spans="1:60" ht="14.15" customHeight="1">
      <c r="A96" s="22"/>
      <c r="B96" s="202">
        <v>35</v>
      </c>
      <c r="C96" s="62" t="s">
        <v>243</v>
      </c>
      <c r="D96" s="332"/>
      <c r="E96" s="65"/>
      <c r="F96" s="65"/>
      <c r="G96" s="65"/>
      <c r="H96" s="65"/>
      <c r="I96" s="65"/>
      <c r="J96" s="989"/>
      <c r="K96" s="989"/>
      <c r="L96" s="989"/>
      <c r="M96" s="989"/>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125"/>
      <c r="AU96" s="65"/>
      <c r="AV96" s="65"/>
      <c r="AW96" s="65"/>
      <c r="AX96" s="65"/>
      <c r="AY96" s="65"/>
      <c r="AZ96" s="33"/>
      <c r="BA96" s="46"/>
      <c r="BB96" s="335"/>
      <c r="BC96" s="336"/>
      <c r="BD96" s="28"/>
      <c r="BG96" s="24"/>
      <c r="BH96" s="28"/>
    </row>
    <row r="97" spans="1:60" ht="5.15" customHeight="1">
      <c r="A97" s="22"/>
      <c r="B97" s="202"/>
      <c r="C97" s="296"/>
      <c r="D97" s="72"/>
      <c r="E97" s="72"/>
      <c r="F97" s="72"/>
      <c r="G97" s="72"/>
      <c r="H97" s="297"/>
      <c r="I97" s="278"/>
      <c r="J97" s="279"/>
      <c r="K97" s="278"/>
      <c r="L97" s="279"/>
      <c r="M97" s="298"/>
      <c r="N97" s="298"/>
      <c r="O97" s="263"/>
      <c r="P97" s="298"/>
      <c r="Q97" s="263"/>
      <c r="R97" s="298"/>
      <c r="S97" s="72"/>
      <c r="T97" s="72"/>
      <c r="U97" s="72"/>
      <c r="V97" s="72"/>
      <c r="W97" s="72"/>
      <c r="X97" s="297"/>
      <c r="Y97" s="278"/>
      <c r="Z97" s="279"/>
      <c r="AA97" s="278"/>
      <c r="AB97" s="279"/>
      <c r="AC97" s="298"/>
      <c r="AD97" s="298"/>
      <c r="AE97" s="263"/>
      <c r="AF97" s="298"/>
      <c r="AG97" s="263"/>
      <c r="AH97" s="298"/>
      <c r="AI97" s="280"/>
      <c r="AJ97" s="298"/>
      <c r="AK97" s="263"/>
      <c r="AL97" s="72"/>
      <c r="AM97" s="72"/>
      <c r="AN97" s="72"/>
      <c r="AO97" s="72"/>
      <c r="AP97" s="72"/>
      <c r="AQ97" s="72"/>
      <c r="AR97" s="72"/>
      <c r="AS97" s="72"/>
      <c r="AT97" s="72"/>
      <c r="AU97" s="72"/>
      <c r="AV97" s="300"/>
      <c r="AW97" s="72"/>
      <c r="AX97" s="72"/>
      <c r="AY97" s="265"/>
      <c r="AZ97" s="33"/>
      <c r="BA97" s="46"/>
      <c r="BB97" s="78"/>
      <c r="BC97" s="34"/>
      <c r="BD97" s="28"/>
    </row>
    <row r="98" spans="1:60" ht="14.15" customHeight="1">
      <c r="A98" s="23"/>
      <c r="B98" s="351"/>
      <c r="C98" s="282"/>
      <c r="D98" s="28" t="s">
        <v>240</v>
      </c>
      <c r="E98" s="28"/>
      <c r="F98" s="28"/>
      <c r="G98" s="28"/>
      <c r="H98" s="468" t="s">
        <v>241</v>
      </c>
      <c r="I98" s="257"/>
      <c r="J98" s="258"/>
      <c r="K98" s="258"/>
      <c r="L98" s="258"/>
      <c r="M98" s="259"/>
      <c r="N98" s="258"/>
      <c r="O98" s="110"/>
      <c r="P98" s="261" t="s">
        <v>33</v>
      </c>
      <c r="Q98" s="25"/>
      <c r="R98" s="469" t="s">
        <v>242</v>
      </c>
      <c r="S98" s="470"/>
      <c r="T98" s="471"/>
      <c r="U98" s="471"/>
      <c r="V98" s="483"/>
      <c r="W98" s="484" t="s">
        <v>254</v>
      </c>
      <c r="X98" s="471"/>
      <c r="Y98" s="473"/>
      <c r="Z98" s="474"/>
      <c r="AB98" s="529" t="s">
        <v>290</v>
      </c>
      <c r="AC98" s="530"/>
      <c r="AD98" s="531"/>
      <c r="AE98" s="531"/>
      <c r="AF98" s="531"/>
      <c r="AG98" s="532"/>
      <c r="AH98" s="531"/>
      <c r="AI98" s="533"/>
      <c r="AJ98" s="532"/>
      <c r="AK98" s="61"/>
      <c r="AL98" s="61"/>
      <c r="AM98" s="533"/>
      <c r="AN98" s="533"/>
      <c r="AO98" s="531"/>
      <c r="AP98" s="534"/>
      <c r="AQ98" s="531"/>
      <c r="AR98" s="531"/>
      <c r="AS98" s="531"/>
      <c r="AT98" s="531"/>
      <c r="AU98" s="535"/>
      <c r="AV98" s="533"/>
      <c r="AW98" s="533"/>
      <c r="AX98" s="70"/>
      <c r="AY98" s="347"/>
      <c r="AZ98" s="33"/>
      <c r="BA98" s="46"/>
      <c r="BB98" s="78"/>
      <c r="BC98" s="34"/>
      <c r="BD98" s="28"/>
      <c r="BG98" s="35"/>
    </row>
    <row r="99" spans="1:60" ht="14.15" customHeight="1">
      <c r="A99" s="23"/>
      <c r="B99" s="351"/>
      <c r="C99" s="282"/>
      <c r="D99" s="28"/>
      <c r="E99" s="28"/>
      <c r="F99" s="28"/>
      <c r="G99" s="28"/>
      <c r="H99" s="469" t="s">
        <v>253</v>
      </c>
      <c r="I99" s="470"/>
      <c r="J99" s="471"/>
      <c r="K99" s="471"/>
      <c r="L99" s="471"/>
      <c r="M99" s="472"/>
      <c r="N99" s="471"/>
      <c r="O99" s="473"/>
      <c r="P99" s="472"/>
      <c r="Q99" s="479"/>
      <c r="R99" s="479"/>
      <c r="S99" s="473"/>
      <c r="T99" s="473"/>
      <c r="U99" s="471"/>
      <c r="V99" s="480"/>
      <c r="W99" s="471"/>
      <c r="X99" s="471"/>
      <c r="Y99" s="471"/>
      <c r="Z99" s="471"/>
      <c r="AA99" s="481"/>
      <c r="AB99" s="473"/>
      <c r="AC99" s="473"/>
      <c r="AD99" s="479"/>
      <c r="AE99" s="471"/>
      <c r="AF99" s="471"/>
      <c r="AG99" s="472"/>
      <c r="AH99" s="471"/>
      <c r="AI99" s="473"/>
      <c r="AJ99" s="472"/>
      <c r="AK99" s="479"/>
      <c r="AL99" s="479"/>
      <c r="AM99" s="473"/>
      <c r="AN99" s="473"/>
      <c r="AO99" s="471"/>
      <c r="AP99" s="480"/>
      <c r="AQ99" s="471"/>
      <c r="AR99" s="471"/>
      <c r="AS99" s="471"/>
      <c r="AT99" s="471"/>
      <c r="AU99" s="481"/>
      <c r="AV99" s="473"/>
      <c r="AW99" s="473"/>
      <c r="AX99" s="482"/>
      <c r="AY99" s="347"/>
      <c r="AZ99" s="33"/>
      <c r="BA99" s="46"/>
      <c r="BB99" s="78"/>
      <c r="BC99" s="34"/>
      <c r="BD99" s="28"/>
      <c r="BG99" s="35"/>
    </row>
    <row r="100" spans="1:60" ht="5.15" customHeight="1">
      <c r="A100" s="22"/>
      <c r="B100" s="202"/>
      <c r="C100" s="315"/>
      <c r="D100" s="73"/>
      <c r="E100" s="73"/>
      <c r="F100" s="73"/>
      <c r="G100" s="73"/>
      <c r="H100" s="316"/>
      <c r="I100" s="275"/>
      <c r="J100" s="273"/>
      <c r="K100" s="275"/>
      <c r="L100" s="273"/>
      <c r="M100" s="317"/>
      <c r="N100" s="317"/>
      <c r="O100" s="270"/>
      <c r="P100" s="317"/>
      <c r="Q100" s="270"/>
      <c r="R100" s="317"/>
      <c r="S100" s="73"/>
      <c r="T100" s="73"/>
      <c r="U100" s="73"/>
      <c r="V100" s="73"/>
      <c r="W100" s="73"/>
      <c r="X100" s="316"/>
      <c r="Y100" s="275"/>
      <c r="Z100" s="273"/>
      <c r="AA100" s="275"/>
      <c r="AB100" s="273"/>
      <c r="AC100" s="317"/>
      <c r="AD100" s="317"/>
      <c r="AE100" s="270"/>
      <c r="AF100" s="317"/>
      <c r="AG100" s="270"/>
      <c r="AH100" s="317"/>
      <c r="AI100" s="276"/>
      <c r="AJ100" s="317"/>
      <c r="AK100" s="270"/>
      <c r="AL100" s="73"/>
      <c r="AM100" s="73"/>
      <c r="AN100" s="73"/>
      <c r="AO100" s="73"/>
      <c r="AP100" s="73"/>
      <c r="AQ100" s="73"/>
      <c r="AR100" s="73"/>
      <c r="AS100" s="73"/>
      <c r="AT100" s="73"/>
      <c r="AU100" s="73"/>
      <c r="AV100" s="318"/>
      <c r="AW100" s="73"/>
      <c r="AX100" s="73"/>
      <c r="AY100" s="277"/>
      <c r="AZ100" s="33"/>
      <c r="BA100" s="46"/>
      <c r="BB100" s="78"/>
      <c r="BC100" s="34"/>
      <c r="BD100" s="28"/>
    </row>
    <row r="101" spans="1:60" ht="5.15" customHeight="1">
      <c r="A101" s="22"/>
      <c r="B101" s="202"/>
      <c r="C101" s="476"/>
      <c r="D101" s="72"/>
      <c r="E101" s="72"/>
      <c r="F101" s="72"/>
      <c r="G101" s="72"/>
      <c r="H101" s="297"/>
      <c r="I101" s="278"/>
      <c r="J101" s="279"/>
      <c r="K101" s="278"/>
      <c r="L101" s="279"/>
      <c r="M101" s="298"/>
      <c r="N101" s="298"/>
      <c r="O101" s="263"/>
      <c r="P101" s="298"/>
      <c r="Q101" s="263"/>
      <c r="R101" s="298"/>
      <c r="S101" s="72"/>
      <c r="T101" s="72"/>
      <c r="U101" s="72"/>
      <c r="V101" s="72"/>
      <c r="W101" s="72"/>
      <c r="X101" s="297"/>
      <c r="Y101" s="278"/>
      <c r="Z101" s="279"/>
      <c r="AA101" s="278"/>
      <c r="AB101" s="279"/>
      <c r="AC101" s="298"/>
      <c r="AD101" s="298"/>
      <c r="AE101" s="263"/>
      <c r="AF101" s="298"/>
      <c r="AG101" s="263"/>
      <c r="AH101" s="298"/>
      <c r="AI101" s="280"/>
      <c r="AJ101" s="298"/>
      <c r="AK101" s="263"/>
      <c r="AL101" s="72"/>
      <c r="AM101" s="72"/>
      <c r="AN101" s="72"/>
      <c r="AO101" s="72"/>
      <c r="AP101" s="72"/>
      <c r="AQ101" s="72"/>
      <c r="AR101" s="72"/>
      <c r="AS101" s="72"/>
      <c r="AT101" s="72"/>
      <c r="AU101" s="72"/>
      <c r="AV101" s="300"/>
      <c r="AW101" s="72"/>
      <c r="AX101" s="72"/>
      <c r="AY101" s="264"/>
      <c r="AZ101" s="33"/>
      <c r="BA101" s="46"/>
      <c r="BB101" s="78"/>
      <c r="BC101" s="34"/>
      <c r="BD101" s="28"/>
    </row>
    <row r="102" spans="1:60" ht="14.15" customHeight="1">
      <c r="A102" s="22"/>
      <c r="B102" s="202">
        <v>35</v>
      </c>
      <c r="C102" s="62" t="s">
        <v>243</v>
      </c>
      <c r="D102" s="332"/>
      <c r="E102" s="65"/>
      <c r="F102" s="65"/>
      <c r="G102" s="65"/>
      <c r="H102" s="65"/>
      <c r="I102" s="65"/>
      <c r="J102" s="477"/>
      <c r="K102" s="477"/>
      <c r="L102" s="477"/>
      <c r="M102" s="477"/>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125"/>
      <c r="AU102" s="65"/>
      <c r="AV102" s="65"/>
      <c r="AW102" s="65"/>
      <c r="AX102" s="65"/>
      <c r="AY102" s="65"/>
      <c r="AZ102" s="33"/>
      <c r="BA102" s="46"/>
      <c r="BB102" s="335"/>
      <c r="BC102" s="336"/>
      <c r="BD102" s="28"/>
      <c r="BG102" s="24"/>
      <c r="BH102" s="28"/>
    </row>
    <row r="103" spans="1:60" ht="14.15" customHeight="1">
      <c r="A103" s="22"/>
      <c r="B103" s="202">
        <v>35</v>
      </c>
      <c r="C103" s="331"/>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46" t="s">
        <v>249</v>
      </c>
      <c r="D104" s="332"/>
      <c r="E104" s="65"/>
      <c r="F104" s="65"/>
      <c r="G104" s="65"/>
      <c r="H104" s="65"/>
      <c r="I104" s="65"/>
      <c r="J104" s="989"/>
      <c r="K104" s="989"/>
      <c r="L104" s="989"/>
      <c r="M104" s="989"/>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5.15" customHeight="1">
      <c r="A105" s="22"/>
      <c r="B105" s="202"/>
      <c r="C105" s="296"/>
      <c r="D105" s="72"/>
      <c r="E105" s="72"/>
      <c r="F105" s="72"/>
      <c r="G105" s="72"/>
      <c r="H105" s="297"/>
      <c r="I105" s="278"/>
      <c r="J105" s="279"/>
      <c r="K105" s="278"/>
      <c r="L105" s="279"/>
      <c r="M105" s="298"/>
      <c r="N105" s="298"/>
      <c r="O105" s="263"/>
      <c r="P105" s="298"/>
      <c r="Q105" s="263"/>
      <c r="R105" s="298"/>
      <c r="S105" s="72"/>
      <c r="T105" s="72"/>
      <c r="U105" s="72"/>
      <c r="V105" s="72"/>
      <c r="W105" s="72"/>
      <c r="X105" s="297"/>
      <c r="Y105" s="278"/>
      <c r="Z105" s="279"/>
      <c r="AA105" s="278"/>
      <c r="AB105" s="279"/>
      <c r="AC105" s="298"/>
      <c r="AD105" s="298"/>
      <c r="AE105" s="263"/>
      <c r="AF105" s="298"/>
      <c r="AG105" s="263"/>
      <c r="AH105" s="298"/>
      <c r="AI105" s="280"/>
      <c r="AJ105" s="298"/>
      <c r="AK105" s="263"/>
      <c r="AL105" s="72"/>
      <c r="AM105" s="72"/>
      <c r="AN105" s="72"/>
      <c r="AO105" s="72"/>
      <c r="AP105" s="72"/>
      <c r="AQ105" s="72"/>
      <c r="AR105" s="72"/>
      <c r="AS105" s="72"/>
      <c r="AT105" s="72"/>
      <c r="AU105" s="72"/>
      <c r="AV105" s="300"/>
      <c r="AW105" s="72"/>
      <c r="AX105" s="72"/>
      <c r="AY105" s="265"/>
      <c r="AZ105" s="33"/>
      <c r="BA105" s="46"/>
      <c r="BB105" s="335"/>
      <c r="BC105" s="336"/>
      <c r="BD105" s="28"/>
    </row>
    <row r="106" spans="1:60" ht="13.5" customHeight="1">
      <c r="A106" s="22"/>
      <c r="B106" s="45"/>
      <c r="C106" s="266"/>
      <c r="D106" s="28" t="s">
        <v>250</v>
      </c>
      <c r="E106" s="28"/>
      <c r="F106" s="28"/>
      <c r="G106" s="28"/>
      <c r="H106" s="24"/>
      <c r="I106" s="24"/>
      <c r="J106" s="24"/>
      <c r="K106" s="24"/>
      <c r="L106" s="24"/>
      <c r="M106" s="127"/>
      <c r="N106" s="75"/>
      <c r="O106" s="84"/>
      <c r="P106" s="84"/>
      <c r="Q106" s="85"/>
      <c r="R106" s="75"/>
      <c r="S106" s="75"/>
      <c r="T106" s="75"/>
      <c r="U106" s="84"/>
      <c r="V106" s="85"/>
      <c r="W106" s="75"/>
      <c r="X106" s="65"/>
      <c r="Y106" s="28"/>
      <c r="Z106" s="28"/>
      <c r="AA106" s="28"/>
      <c r="AB106" s="28"/>
      <c r="AC106" s="28"/>
      <c r="AD106" s="28"/>
      <c r="AE106" s="28"/>
      <c r="AF106" s="28"/>
      <c r="AG106" s="28"/>
      <c r="AH106" s="28"/>
      <c r="AI106" s="28"/>
      <c r="AJ106" s="28"/>
      <c r="AK106" s="28"/>
      <c r="AL106" s="28"/>
      <c r="AM106" s="31"/>
      <c r="AN106" s="31"/>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348" t="s">
        <v>252</v>
      </c>
      <c r="I107" s="131"/>
      <c r="J107" s="131"/>
      <c r="K107" s="131"/>
      <c r="L107" s="132"/>
      <c r="M107" s="132"/>
      <c r="N107" s="106"/>
      <c r="O107" s="133"/>
      <c r="P107" s="134"/>
      <c r="Q107" s="133" t="s">
        <v>251</v>
      </c>
      <c r="R107" s="134"/>
      <c r="S107" s="107"/>
      <c r="T107" s="107"/>
      <c r="U107" s="107"/>
      <c r="V107" s="107"/>
      <c r="W107" s="107"/>
      <c r="X107" s="107"/>
      <c r="Y107" s="107"/>
      <c r="Z107" s="107"/>
      <c r="AA107" s="107"/>
      <c r="AB107" s="107"/>
      <c r="AC107" s="107"/>
      <c r="AD107" s="107"/>
      <c r="AE107" s="107"/>
      <c r="AF107" s="107"/>
      <c r="AG107" s="107"/>
      <c r="AH107" s="107"/>
      <c r="AI107" s="107"/>
      <c r="AJ107" s="107"/>
      <c r="AK107" s="107"/>
      <c r="AL107" s="133" t="s">
        <v>44</v>
      </c>
      <c r="AM107" s="134"/>
      <c r="AN107" s="107"/>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485" t="s">
        <v>255</v>
      </c>
      <c r="I108" s="137"/>
      <c r="J108" s="137"/>
      <c r="K108" s="137"/>
      <c r="L108" s="137"/>
      <c r="M108" s="137"/>
      <c r="N108" s="137"/>
      <c r="O108" s="350"/>
      <c r="P108" s="139"/>
      <c r="Q108" s="486" t="s">
        <v>54</v>
      </c>
      <c r="R108" s="139"/>
      <c r="S108" s="108"/>
      <c r="T108" s="108"/>
      <c r="U108" s="108"/>
      <c r="V108" s="156"/>
      <c r="W108" s="110"/>
      <c r="X108" s="110"/>
      <c r="Y108" s="156"/>
      <c r="Z108" s="156"/>
      <c r="AA108" s="110"/>
      <c r="AB108" s="110"/>
      <c r="AC108" s="37"/>
      <c r="AD108" s="37"/>
      <c r="AE108" s="37"/>
      <c r="AF108" s="37"/>
      <c r="AG108" s="37"/>
      <c r="AH108" s="37"/>
      <c r="AI108" s="37"/>
      <c r="AJ108" s="37"/>
      <c r="AK108" s="97"/>
      <c r="AL108" s="140"/>
      <c r="AM108" s="141"/>
      <c r="AN108" s="142"/>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256</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257</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5.15" customHeight="1">
      <c r="A111" s="22"/>
      <c r="B111" s="202"/>
      <c r="C111" s="315"/>
      <c r="D111" s="73"/>
      <c r="E111" s="73"/>
      <c r="F111" s="73"/>
      <c r="G111" s="73"/>
      <c r="H111" s="316"/>
      <c r="I111" s="275"/>
      <c r="J111" s="273"/>
      <c r="K111" s="275"/>
      <c r="L111" s="273"/>
      <c r="M111" s="317"/>
      <c r="N111" s="317"/>
      <c r="O111" s="270"/>
      <c r="P111" s="317"/>
      <c r="Q111" s="270"/>
      <c r="R111" s="317"/>
      <c r="S111" s="73"/>
      <c r="T111" s="73"/>
      <c r="U111" s="73"/>
      <c r="V111" s="73"/>
      <c r="W111" s="73"/>
      <c r="X111" s="316"/>
      <c r="Y111" s="275"/>
      <c r="Z111" s="273"/>
      <c r="AA111" s="275"/>
      <c r="AB111" s="273"/>
      <c r="AC111" s="317"/>
      <c r="AD111" s="317"/>
      <c r="AE111" s="270"/>
      <c r="AF111" s="317"/>
      <c r="AG111" s="270"/>
      <c r="AH111" s="317"/>
      <c r="AI111" s="276"/>
      <c r="AJ111" s="317"/>
      <c r="AK111" s="270"/>
      <c r="AL111" s="73"/>
      <c r="AM111" s="73"/>
      <c r="AN111" s="73"/>
      <c r="AO111" s="73"/>
      <c r="AP111" s="73"/>
      <c r="AQ111" s="73"/>
      <c r="AR111" s="73"/>
      <c r="AS111" s="73"/>
      <c r="AT111" s="73"/>
      <c r="AU111" s="73"/>
      <c r="AV111" s="318"/>
      <c r="AW111" s="73"/>
      <c r="AX111" s="73"/>
      <c r="AY111" s="277"/>
      <c r="AZ111" s="33"/>
      <c r="BA111" s="46"/>
      <c r="BB111" s="335"/>
      <c r="BC111" s="336"/>
      <c r="BD111" s="28"/>
    </row>
    <row r="112" spans="1:60" ht="14.15" customHeight="1">
      <c r="A112" s="22"/>
      <c r="B112" s="202">
        <v>35</v>
      </c>
      <c r="C112" s="331"/>
      <c r="D112" s="332"/>
      <c r="E112" s="65"/>
      <c r="F112" s="65"/>
      <c r="G112" s="65"/>
      <c r="H112" s="65"/>
      <c r="I112" s="65"/>
      <c r="J112" s="989"/>
      <c r="K112" s="989"/>
      <c r="L112" s="989"/>
      <c r="M112" s="989"/>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125"/>
      <c r="AU112" s="65"/>
      <c r="AV112" s="65"/>
      <c r="AW112" s="65"/>
      <c r="AX112" s="65"/>
      <c r="AY112" s="65"/>
      <c r="AZ112" s="33"/>
      <c r="BA112" s="46"/>
      <c r="BB112" s="78"/>
      <c r="BC112" s="34"/>
      <c r="BD112" s="28"/>
      <c r="BG112" s="24"/>
      <c r="BH112" s="28"/>
    </row>
    <row r="113" spans="1:69" ht="13.5" customHeight="1">
      <c r="A113" s="22"/>
      <c r="B113" s="202">
        <v>36</v>
      </c>
      <c r="C113" s="331"/>
      <c r="D113" s="332"/>
      <c r="E113" s="65"/>
      <c r="F113" s="65"/>
      <c r="G113" s="65"/>
      <c r="H113" s="65"/>
      <c r="I113" s="65"/>
      <c r="J113" s="989"/>
      <c r="K113" s="989"/>
      <c r="L113" s="989"/>
      <c r="M113" s="989"/>
      <c r="N113" s="63"/>
      <c r="O113" s="65"/>
      <c r="P113" s="65"/>
      <c r="Q113" s="65"/>
      <c r="R113" s="28"/>
      <c r="S113" s="28"/>
      <c r="T113" s="31"/>
      <c r="U113" s="31"/>
      <c r="V113" s="31"/>
      <c r="W113" s="31"/>
      <c r="X113" s="31"/>
      <c r="Y113" s="44"/>
      <c r="Z113" s="31"/>
      <c r="AA113" s="28"/>
      <c r="AB113" s="44"/>
      <c r="AC113" s="31"/>
      <c r="AD113" s="28"/>
      <c r="AE113" s="44"/>
      <c r="AF113" s="28"/>
      <c r="AG113" s="116"/>
      <c r="AH113" s="41"/>
      <c r="AI113" s="116"/>
      <c r="AJ113" s="116"/>
      <c r="AK113" s="116"/>
      <c r="AL113" s="116"/>
      <c r="AM113" s="116"/>
      <c r="AN113" s="116"/>
      <c r="AO113" s="116"/>
      <c r="AP113" s="116"/>
      <c r="AQ113" s="116"/>
      <c r="AR113" s="116"/>
      <c r="AS113" s="116"/>
      <c r="AT113" s="116"/>
      <c r="AU113" s="116"/>
      <c r="AV113" s="116"/>
      <c r="AW113" s="116"/>
      <c r="AX113" s="116"/>
      <c r="AY113" s="116"/>
      <c r="AZ113" s="33"/>
      <c r="BA113" s="46"/>
      <c r="BB113" s="78"/>
      <c r="BC113" s="34"/>
      <c r="BD113" s="28"/>
      <c r="BG113" s="24"/>
      <c r="BH113" s="28"/>
    </row>
    <row r="114" spans="1:69" ht="13.5" customHeight="1">
      <c r="A114" s="22"/>
      <c r="B114" s="202">
        <v>37</v>
      </c>
      <c r="C114" s="331"/>
      <c r="D114" s="332"/>
      <c r="E114" s="65"/>
      <c r="F114" s="65"/>
      <c r="G114" s="65"/>
      <c r="H114" s="65"/>
      <c r="I114" s="65"/>
      <c r="J114" s="989"/>
      <c r="K114" s="989"/>
      <c r="L114" s="989"/>
      <c r="M114" s="989"/>
      <c r="N114" s="193"/>
      <c r="O114" s="195"/>
      <c r="P114" s="193"/>
      <c r="Q114" s="194"/>
      <c r="R114" s="194"/>
      <c r="S114" s="194"/>
      <c r="T114" s="196"/>
      <c r="U114" s="196"/>
      <c r="V114" s="196"/>
      <c r="W114" s="196"/>
      <c r="X114" s="196"/>
      <c r="Y114" s="195"/>
      <c r="Z114" s="196"/>
      <c r="AA114" s="194"/>
      <c r="AB114" s="195"/>
      <c r="AC114" s="196"/>
      <c r="AD114" s="194"/>
      <c r="AE114" s="195"/>
      <c r="AF114" s="194"/>
      <c r="AG114" s="194"/>
      <c r="AH114" s="195"/>
      <c r="AI114" s="194"/>
      <c r="AJ114" s="194"/>
      <c r="AK114" s="197"/>
      <c r="AL114" s="194"/>
      <c r="AM114" s="194"/>
      <c r="AN114" s="194"/>
      <c r="AO114" s="194"/>
      <c r="AP114" s="194"/>
      <c r="AQ114" s="194"/>
      <c r="AR114" s="194"/>
      <c r="AS114" s="194"/>
      <c r="AT114" s="194"/>
      <c r="AU114" s="194"/>
      <c r="AV114" s="194"/>
      <c r="AW114" s="194"/>
      <c r="AX114" s="194"/>
      <c r="AY114" s="194"/>
      <c r="AZ114" s="33"/>
      <c r="BA114" s="46"/>
      <c r="BB114" s="78"/>
      <c r="BC114" s="34"/>
      <c r="BD114" s="28"/>
      <c r="BG114" s="24"/>
      <c r="BH114" s="28"/>
    </row>
    <row r="115" spans="1:69">
      <c r="A115" s="22"/>
      <c r="B115" s="32"/>
      <c r="C115" s="28"/>
      <c r="D115" s="28"/>
      <c r="E115" s="28"/>
      <c r="F115" s="28"/>
      <c r="G115" s="28"/>
      <c r="H115" s="28"/>
      <c r="I115" s="28"/>
      <c r="J115" s="28"/>
      <c r="K115" s="28"/>
      <c r="L115" s="28"/>
      <c r="M115" s="28"/>
      <c r="N115" s="28"/>
      <c r="O115" s="28"/>
      <c r="P115" s="28"/>
      <c r="Q115" s="28"/>
      <c r="R115" s="28"/>
      <c r="S115" s="81"/>
      <c r="T115" s="81"/>
      <c r="U115" s="81"/>
      <c r="V115" s="81"/>
      <c r="W115" s="28"/>
      <c r="X115" s="28"/>
      <c r="Y115" s="81"/>
      <c r="Z115" s="81"/>
      <c r="AA115" s="28"/>
      <c r="AB115" s="28"/>
      <c r="AC115" s="28"/>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31"/>
      <c r="AZ115" s="33"/>
      <c r="BA115" s="46"/>
      <c r="BB115" s="78"/>
      <c r="BC115" s="34"/>
    </row>
    <row r="116" spans="1:69" s="81" customFormat="1">
      <c r="A116" s="155"/>
      <c r="B116" s="95"/>
      <c r="C116" s="110"/>
      <c r="D116" s="110"/>
      <c r="E116" s="110"/>
      <c r="F116" s="110"/>
      <c r="G116" s="110"/>
      <c r="H116" s="110"/>
      <c r="I116" s="110"/>
      <c r="J116" s="110"/>
      <c r="K116" s="110"/>
      <c r="L116" s="110"/>
      <c r="M116" s="110"/>
      <c r="N116" s="110"/>
      <c r="O116" s="110"/>
      <c r="P116" s="110"/>
      <c r="Q116" s="110"/>
      <c r="R116" s="110"/>
      <c r="S116" s="156"/>
      <c r="T116" s="156"/>
      <c r="U116" s="156"/>
      <c r="V116" s="156"/>
      <c r="W116" s="110"/>
      <c r="X116" s="110"/>
      <c r="Y116" s="156"/>
      <c r="Z116" s="156"/>
      <c r="AA116" s="110"/>
      <c r="AB116" s="110"/>
      <c r="AC116" s="110"/>
      <c r="AD116" s="156"/>
      <c r="AE116" s="156"/>
      <c r="AF116" s="156"/>
      <c r="AG116" s="156"/>
      <c r="AH116" s="156"/>
      <c r="AI116" s="156"/>
      <c r="AJ116" s="156"/>
      <c r="AK116" s="156"/>
      <c r="AL116" s="156"/>
      <c r="AM116" s="156"/>
      <c r="AN116" s="156"/>
      <c r="AO116" s="156"/>
      <c r="AP116" s="156"/>
      <c r="AQ116" s="156"/>
      <c r="AR116" s="156"/>
      <c r="AS116" s="156"/>
      <c r="AT116" s="156"/>
      <c r="AU116" s="156"/>
      <c r="AV116" s="156"/>
      <c r="AW116" s="156"/>
      <c r="AX116" s="156"/>
      <c r="AY116" s="95"/>
      <c r="AZ116" s="95"/>
      <c r="BA116" s="157"/>
      <c r="BB116" s="79"/>
      <c r="BC116" s="40"/>
      <c r="BE116" s="28"/>
      <c r="BF116" s="28"/>
      <c r="BG116" s="28"/>
      <c r="BH116" s="35"/>
      <c r="BI116" s="35"/>
      <c r="BJ116" s="35"/>
      <c r="BK116" s="35"/>
      <c r="BL116" s="35"/>
      <c r="BM116" s="35"/>
      <c r="BN116" s="35"/>
      <c r="BO116" s="35"/>
      <c r="BP116" s="35"/>
      <c r="BQ116" s="35"/>
    </row>
  </sheetData>
  <mergeCells count="107">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A5:BA5"/>
    <mergeCell ref="BB5:BC5"/>
    <mergeCell ref="R50:U50"/>
    <mergeCell ref="Z50:AC50"/>
    <mergeCell ref="AT50:AW50"/>
    <mergeCell ref="AX50:BA50"/>
    <mergeCell ref="AH50:AK50"/>
    <mergeCell ref="AL50:AO50"/>
    <mergeCell ref="AP50:AS50"/>
    <mergeCell ref="H41:L41"/>
    <mergeCell ref="H42:L42"/>
    <mergeCell ref="AG65:AJ65"/>
    <mergeCell ref="AK65:AN65"/>
    <mergeCell ref="AO65:AR65"/>
    <mergeCell ref="AS65:AV65"/>
    <mergeCell ref="AW65:AZ65"/>
    <mergeCell ref="R51:U51"/>
    <mergeCell ref="Z51:AC51"/>
    <mergeCell ref="AT51:AW51"/>
    <mergeCell ref="AH51:AK51"/>
    <mergeCell ref="AL51:AO51"/>
    <mergeCell ref="J114:M114"/>
    <mergeCell ref="BA66:BD66"/>
    <mergeCell ref="BE66:BG66"/>
    <mergeCell ref="X74:AA74"/>
    <mergeCell ref="AK74:AN74"/>
    <mergeCell ref="AO74:AR74"/>
    <mergeCell ref="AS74:AV74"/>
    <mergeCell ref="AW74:AZ74"/>
    <mergeCell ref="J78:M78"/>
    <mergeCell ref="J80:M80"/>
    <mergeCell ref="J87:M87"/>
    <mergeCell ref="J112:M112"/>
    <mergeCell ref="J113:M113"/>
    <mergeCell ref="AS66:AV66"/>
    <mergeCell ref="J88:M88"/>
    <mergeCell ref="J90:M90"/>
    <mergeCell ref="AS70:AV70"/>
    <mergeCell ref="AW70:AZ70"/>
    <mergeCell ref="T70:W70"/>
    <mergeCell ref="X70:AA70"/>
    <mergeCell ref="AG70:AJ70"/>
    <mergeCell ref="AK70:AN70"/>
    <mergeCell ref="AO70:AR70"/>
    <mergeCell ref="J96:M96"/>
    <mergeCell ref="J104:M104"/>
    <mergeCell ref="AP51:AS51"/>
    <mergeCell ref="T74:W74"/>
    <mergeCell ref="BJ50:BM50"/>
    <mergeCell ref="BH65:BK65"/>
    <mergeCell ref="AG74:AJ74"/>
    <mergeCell ref="AO66:AR66"/>
    <mergeCell ref="AK66:AN66"/>
    <mergeCell ref="AG66:AJ66"/>
    <mergeCell ref="AB66:AF66"/>
    <mergeCell ref="X66:AA66"/>
    <mergeCell ref="T66:W66"/>
    <mergeCell ref="BB50:BE50"/>
    <mergeCell ref="BB51:BE51"/>
    <mergeCell ref="BF50:BI50"/>
    <mergeCell ref="BF51:BI51"/>
    <mergeCell ref="AW66:AZ66"/>
    <mergeCell ref="BA65:BD65"/>
    <mergeCell ref="BE65:BG65"/>
    <mergeCell ref="AX51:BA51"/>
    <mergeCell ref="T65:W65"/>
    <mergeCell ref="X65:AA65"/>
    <mergeCell ref="AB65:AF65"/>
    <mergeCell ref="AS69:AV69"/>
    <mergeCell ref="AW69:AZ69"/>
    <mergeCell ref="T73:W73"/>
    <mergeCell ref="X73:AA73"/>
    <mergeCell ref="AG73:AJ73"/>
    <mergeCell ref="AK73:AN73"/>
    <mergeCell ref="AO73:AR73"/>
    <mergeCell ref="AS73:AV73"/>
    <mergeCell ref="AW73:AZ73"/>
    <mergeCell ref="T69:W69"/>
    <mergeCell ref="X69:AA69"/>
    <mergeCell ref="AG69:AJ69"/>
    <mergeCell ref="AK69:AN69"/>
    <mergeCell ref="AO69:AR69"/>
  </mergeCells>
  <phoneticPr fontId="56"/>
  <conditionalFormatting sqref="AO69:AR70">
    <cfRule type="cellIs" dxfId="24" priority="3" operator="lessThan">
      <formula>0</formula>
    </cfRule>
    <cfRule type="expression" dxfId="23" priority="4">
      <formula>#REF!&lt;30</formula>
    </cfRule>
  </conditionalFormatting>
  <conditionalFormatting sqref="AO73:AR74">
    <cfRule type="cellIs" dxfId="22" priority="1" operator="lessThan">
      <formula>0</formula>
    </cfRule>
    <cfRule type="expression" dxfId="21" priority="2">
      <formula>#REF!&lt;30</formula>
    </cfRule>
  </conditionalFormatting>
  <conditionalFormatting sqref="AS65:AV66">
    <cfRule type="cellIs" dxfId="20" priority="8" operator="lessThan">
      <formula>0</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2C837-CC74-4F4E-AF36-58ED36486169}">
  <dimension ref="A1:CM150"/>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外貨(PPM)</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291</v>
      </c>
      <c r="C7" s="36"/>
      <c r="D7" s="36"/>
      <c r="E7" s="36"/>
      <c r="F7" s="36"/>
      <c r="G7" s="36"/>
      <c r="H7" s="48"/>
      <c r="I7" s="36"/>
      <c r="J7" s="48"/>
      <c r="K7" s="36"/>
      <c r="L7" s="36"/>
      <c r="M7" s="36"/>
      <c r="N7" s="48"/>
      <c r="O7" s="48" t="s">
        <v>287</v>
      </c>
      <c r="P7" s="36"/>
      <c r="Q7" s="36"/>
      <c r="R7" s="36"/>
      <c r="S7" s="49" t="s">
        <v>286</v>
      </c>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2</v>
      </c>
      <c r="C38" s="204" t="s">
        <v>172</v>
      </c>
      <c r="D38" s="28"/>
      <c r="E38" s="28"/>
      <c r="F38" s="28"/>
      <c r="G38" s="28"/>
      <c r="H38" s="316"/>
      <c r="I38" s="275"/>
      <c r="J38" s="273"/>
      <c r="K38" s="275"/>
      <c r="L38" s="273"/>
      <c r="M38" s="317"/>
      <c r="N38" s="317"/>
      <c r="O38" s="270"/>
      <c r="P38" s="317"/>
      <c r="Q38" s="270"/>
      <c r="R38" s="317"/>
      <c r="S38" s="271"/>
      <c r="T38" s="73"/>
      <c r="U38" s="73"/>
      <c r="V38" s="73"/>
      <c r="W38" s="73"/>
      <c r="X38" s="73"/>
      <c r="Y38" s="316"/>
      <c r="Z38" s="275"/>
      <c r="AA38" s="273"/>
      <c r="AB38" s="275"/>
      <c r="AC38" s="273"/>
      <c r="AD38" s="317"/>
      <c r="AE38" s="317"/>
      <c r="AF38" s="270"/>
      <c r="AG38" s="317"/>
      <c r="AH38" s="317"/>
      <c r="AI38" s="276"/>
      <c r="AJ38" s="317"/>
      <c r="AK38" s="270"/>
      <c r="AL38" s="73"/>
      <c r="AM38" s="73"/>
      <c r="AN38" s="73"/>
      <c r="AO38" s="73"/>
      <c r="AP38" s="73"/>
      <c r="AQ38" s="73"/>
      <c r="AR38" s="73"/>
      <c r="AS38" s="273"/>
      <c r="AT38" s="276"/>
      <c r="AU38" s="273"/>
      <c r="AV38" s="270"/>
      <c r="AW38" s="270"/>
      <c r="AX38" s="270"/>
      <c r="AY38" s="31"/>
      <c r="AZ38" s="33"/>
      <c r="BA38" s="46"/>
      <c r="BB38" s="78"/>
      <c r="BC38" s="34"/>
      <c r="BD38" s="28"/>
    </row>
    <row r="39" spans="1:59" ht="5.15" customHeight="1">
      <c r="A39" s="22"/>
      <c r="B39" s="202"/>
      <c r="C39" s="369"/>
      <c r="D39" s="370"/>
      <c r="E39" s="370"/>
      <c r="F39" s="370"/>
      <c r="G39" s="370"/>
      <c r="H39" s="371"/>
      <c r="I39" s="372"/>
      <c r="J39" s="373"/>
      <c r="K39" s="372"/>
      <c r="L39" s="373"/>
      <c r="M39" s="374"/>
      <c r="N39" s="374"/>
      <c r="O39" s="370"/>
      <c r="P39" s="374"/>
      <c r="Q39" s="370"/>
      <c r="R39" s="374"/>
      <c r="S39" s="375"/>
      <c r="T39" s="370"/>
      <c r="U39" s="370"/>
      <c r="V39" s="370"/>
      <c r="W39" s="370"/>
      <c r="X39" s="370"/>
      <c r="Y39" s="371"/>
      <c r="Z39" s="372"/>
      <c r="AA39" s="373"/>
      <c r="AB39" s="372"/>
      <c r="AC39" s="373"/>
      <c r="AD39" s="374"/>
      <c r="AE39" s="374"/>
      <c r="AF39" s="370"/>
      <c r="AG39" s="374"/>
      <c r="AH39" s="374"/>
      <c r="AI39" s="376"/>
      <c r="AJ39" s="374"/>
      <c r="AK39" s="370"/>
      <c r="AL39" s="370"/>
      <c r="AM39" s="370"/>
      <c r="AN39" s="370"/>
      <c r="AO39" s="370"/>
      <c r="AP39" s="370"/>
      <c r="AQ39" s="370"/>
      <c r="AR39" s="370"/>
      <c r="AS39" s="373"/>
      <c r="AT39" s="376"/>
      <c r="AU39" s="373"/>
      <c r="AV39" s="370"/>
      <c r="AW39" s="370"/>
      <c r="AX39" s="370"/>
      <c r="AY39" s="487"/>
      <c r="AZ39" s="33"/>
      <c r="BA39" s="46"/>
      <c r="BB39" s="78"/>
      <c r="BC39" s="34"/>
      <c r="BD39" s="28"/>
    </row>
    <row r="40" spans="1:59" ht="13.5" customHeight="1">
      <c r="A40" s="22"/>
      <c r="B40" s="45"/>
      <c r="C40" s="377" t="s">
        <v>173</v>
      </c>
      <c r="D40" s="378"/>
      <c r="E40" s="378"/>
      <c r="F40" s="378"/>
      <c r="G40" s="378"/>
      <c r="H40" s="392"/>
      <c r="I40" s="95"/>
      <c r="J40" s="95"/>
      <c r="K40" s="95"/>
      <c r="L40" s="96"/>
      <c r="M40" s="95"/>
      <c r="N40" s="97"/>
      <c r="O40" s="379" t="s">
        <v>112</v>
      </c>
      <c r="P40" s="380"/>
      <c r="Q40" s="381"/>
      <c r="R40" s="382"/>
      <c r="S40" s="380"/>
      <c r="T40" s="378"/>
      <c r="U40" s="378"/>
      <c r="V40" s="378"/>
      <c r="W40" s="378"/>
      <c r="X40" s="380"/>
      <c r="Y40" s="383"/>
      <c r="Z40" s="382"/>
      <c r="AA40" s="382"/>
      <c r="AB40" s="382"/>
      <c r="AC40" s="381"/>
      <c r="AD40" s="382"/>
      <c r="AE40" s="378"/>
      <c r="AF40" s="378"/>
      <c r="AG40" s="378"/>
      <c r="AH40" s="378"/>
      <c r="AI40" s="378"/>
      <c r="AJ40" s="380"/>
      <c r="AK40" s="378"/>
      <c r="AL40" s="378"/>
      <c r="AM40" s="378"/>
      <c r="AN40" s="378"/>
      <c r="AO40" s="380"/>
      <c r="AP40" s="383"/>
      <c r="AQ40" s="382"/>
      <c r="AR40" s="382"/>
      <c r="AS40" s="382"/>
      <c r="AT40" s="381"/>
      <c r="AU40" s="382"/>
      <c r="AV40" s="378"/>
      <c r="AW40" s="378"/>
      <c r="AX40" s="378"/>
      <c r="AY40" s="487"/>
      <c r="AZ40" s="33"/>
      <c r="BA40" s="46"/>
      <c r="BB40" s="78"/>
      <c r="BC40" s="34"/>
      <c r="BD40" s="28"/>
      <c r="BE40" s="35"/>
      <c r="BF40" s="35"/>
      <c r="BG40" s="35"/>
    </row>
    <row r="41" spans="1:59" ht="5.15" customHeight="1">
      <c r="A41" s="22"/>
      <c r="B41" s="32"/>
      <c r="C41" s="384"/>
      <c r="D41" s="385"/>
      <c r="E41" s="385"/>
      <c r="F41" s="385"/>
      <c r="G41" s="385"/>
      <c r="H41" s="386"/>
      <c r="I41" s="386"/>
      <c r="J41" s="387"/>
      <c r="K41" s="386"/>
      <c r="L41" s="387"/>
      <c r="M41" s="386"/>
      <c r="N41" s="388"/>
      <c r="O41" s="386"/>
      <c r="P41" s="387"/>
      <c r="Q41" s="387"/>
      <c r="R41" s="387"/>
      <c r="S41" s="389"/>
      <c r="T41" s="389"/>
      <c r="U41" s="389"/>
      <c r="V41" s="389"/>
      <c r="W41" s="389"/>
      <c r="X41" s="388"/>
      <c r="Y41" s="389"/>
      <c r="Z41" s="387"/>
      <c r="AA41" s="388"/>
      <c r="AB41" s="389"/>
      <c r="AC41" s="387"/>
      <c r="AD41" s="388"/>
      <c r="AE41" s="387"/>
      <c r="AF41" s="387"/>
      <c r="AG41" s="388"/>
      <c r="AH41" s="387"/>
      <c r="AI41" s="387"/>
      <c r="AJ41" s="390"/>
      <c r="AK41" s="387"/>
      <c r="AL41" s="387"/>
      <c r="AM41" s="387"/>
      <c r="AN41" s="387"/>
      <c r="AO41" s="387"/>
      <c r="AP41" s="387"/>
      <c r="AQ41" s="387"/>
      <c r="AR41" s="387"/>
      <c r="AS41" s="387"/>
      <c r="AT41" s="387"/>
      <c r="AU41" s="387"/>
      <c r="AV41" s="387"/>
      <c r="AW41" s="387"/>
      <c r="AX41" s="391"/>
      <c r="AY41" s="487"/>
      <c r="AZ41" s="33"/>
      <c r="BA41" s="46"/>
      <c r="BB41" s="78"/>
      <c r="BC41" s="34"/>
      <c r="BD41" s="28"/>
      <c r="BE41" s="35"/>
      <c r="BF41" s="35"/>
      <c r="BG41" s="35"/>
    </row>
    <row r="42" spans="1:59" ht="13.5" customHeight="1">
      <c r="A42" s="22"/>
      <c r="B42" s="202">
        <v>4</v>
      </c>
      <c r="C42" s="43"/>
      <c r="D42" s="31"/>
      <c r="E42" s="31"/>
      <c r="F42" s="31"/>
      <c r="G42" s="31"/>
      <c r="H42" s="62"/>
      <c r="I42" s="63"/>
      <c r="J42" s="63"/>
      <c r="K42" s="63"/>
      <c r="L42" s="64"/>
      <c r="M42" s="63"/>
      <c r="N42" s="65"/>
      <c r="O42" s="65"/>
      <c r="P42" s="65"/>
      <c r="Q42" s="65"/>
      <c r="R42" s="65"/>
      <c r="S42" s="75"/>
      <c r="T42" s="63"/>
      <c r="U42" s="63"/>
      <c r="V42" s="63"/>
      <c r="W42" s="63"/>
      <c r="X42" s="62"/>
      <c r="Y42" s="63"/>
      <c r="Z42" s="63"/>
      <c r="AA42" s="63"/>
      <c r="AB42" s="64"/>
      <c r="AC42" s="63"/>
      <c r="AD42" s="65"/>
      <c r="AE42" s="65"/>
      <c r="AF42" s="65"/>
      <c r="AG42" s="65"/>
      <c r="AH42" s="65"/>
      <c r="AI42" s="75"/>
      <c r="AJ42" s="63"/>
      <c r="AK42" s="63"/>
      <c r="AL42" s="63"/>
      <c r="AM42" s="63"/>
      <c r="AN42" s="125"/>
      <c r="AO42" s="62"/>
      <c r="AP42" s="62"/>
      <c r="AQ42" s="63"/>
      <c r="AR42" s="63"/>
      <c r="AS42" s="63"/>
      <c r="AT42" s="64"/>
      <c r="AU42" s="63"/>
      <c r="AV42" s="65"/>
      <c r="AW42" s="65"/>
      <c r="AX42" s="65"/>
      <c r="AY42" s="31"/>
      <c r="AZ42" s="33"/>
      <c r="BA42" s="46"/>
      <c r="BB42" s="78"/>
      <c r="BC42" s="34"/>
      <c r="BD42" s="35"/>
      <c r="BE42" s="35"/>
      <c r="BF42" s="35"/>
      <c r="BG42" s="35"/>
    </row>
    <row r="43" spans="1:59" ht="13.5" customHeight="1">
      <c r="A43" s="22"/>
      <c r="B43" s="202">
        <v>5</v>
      </c>
      <c r="C43" s="204" t="s">
        <v>264</v>
      </c>
      <c r="D43" s="28"/>
      <c r="E43" s="28"/>
      <c r="F43" s="28"/>
      <c r="G43" s="28"/>
      <c r="H43" s="121"/>
      <c r="I43" s="62"/>
      <c r="J43" s="62"/>
      <c r="K43" s="63"/>
      <c r="L43" s="69"/>
      <c r="M43" s="69"/>
      <c r="N43" s="65"/>
      <c r="O43" s="69"/>
      <c r="P43" s="65"/>
      <c r="Q43" s="65"/>
      <c r="R43" s="69"/>
      <c r="S43" s="28"/>
      <c r="T43" s="28"/>
      <c r="U43" s="28"/>
      <c r="V43" s="28"/>
      <c r="W43" s="28"/>
      <c r="X43" s="121"/>
      <c r="Y43" s="62"/>
      <c r="Z43" s="63"/>
      <c r="AA43" s="62"/>
      <c r="AB43" s="63"/>
      <c r="AC43" s="69"/>
      <c r="AD43" s="69"/>
      <c r="AE43" s="65"/>
      <c r="AF43" s="69"/>
      <c r="AG43" s="65"/>
      <c r="AH43" s="69"/>
      <c r="AI43" s="64"/>
      <c r="AJ43" s="69"/>
      <c r="AK43" s="65"/>
      <c r="AL43" s="28"/>
      <c r="AM43" s="28"/>
      <c r="AN43" s="28"/>
      <c r="AO43" s="28"/>
      <c r="AP43" s="28"/>
      <c r="AQ43" s="28"/>
      <c r="AR43" s="28"/>
      <c r="AS43" s="28"/>
      <c r="AT43" s="28"/>
      <c r="AU43" s="28"/>
      <c r="AV43" s="233"/>
      <c r="AW43" s="28"/>
      <c r="AX43" s="28"/>
      <c r="AY43" s="31"/>
      <c r="AZ43" s="33"/>
      <c r="BA43" s="46"/>
      <c r="BB43" s="159"/>
      <c r="BC43" s="115"/>
      <c r="BD43" s="28"/>
    </row>
    <row r="44" spans="1:59" ht="5.15" customHeight="1">
      <c r="A44" s="22"/>
      <c r="B44" s="202"/>
      <c r="C44" s="296"/>
      <c r="D44" s="72"/>
      <c r="E44" s="72"/>
      <c r="F44" s="72"/>
      <c r="G44" s="72"/>
      <c r="H44" s="297"/>
      <c r="I44" s="278"/>
      <c r="J44" s="278"/>
      <c r="K44" s="279"/>
      <c r="L44" s="298"/>
      <c r="M44" s="298"/>
      <c r="N44" s="263"/>
      <c r="O44" s="298"/>
      <c r="P44" s="263"/>
      <c r="Q44" s="263"/>
      <c r="R44" s="298"/>
      <c r="S44" s="72"/>
      <c r="T44" s="72"/>
      <c r="U44" s="72"/>
      <c r="V44" s="72"/>
      <c r="W44" s="72"/>
      <c r="X44" s="297"/>
      <c r="Y44" s="278"/>
      <c r="Z44" s="279"/>
      <c r="AA44" s="278"/>
      <c r="AB44" s="279"/>
      <c r="AC44" s="298"/>
      <c r="AD44" s="298"/>
      <c r="AE44" s="263"/>
      <c r="AF44" s="298"/>
      <c r="AG44" s="263"/>
      <c r="AH44" s="298"/>
      <c r="AI44" s="280"/>
      <c r="AJ44" s="298"/>
      <c r="AK44" s="263"/>
      <c r="AL44" s="72"/>
      <c r="AM44" s="72"/>
      <c r="AN44" s="72"/>
      <c r="AO44" s="72"/>
      <c r="AP44" s="72"/>
      <c r="AQ44" s="72"/>
      <c r="AR44" s="72"/>
      <c r="AS44" s="72"/>
      <c r="AT44" s="72"/>
      <c r="AU44" s="72"/>
      <c r="AV44" s="300"/>
      <c r="AW44" s="72"/>
      <c r="AX44" s="72"/>
      <c r="AY44" s="265"/>
      <c r="AZ44" s="33"/>
      <c r="BA44" s="46"/>
      <c r="BB44" s="159"/>
      <c r="BC44" s="115"/>
      <c r="BD44" s="28"/>
    </row>
    <row r="45" spans="1:59" ht="13.9" customHeight="1">
      <c r="A45" s="22"/>
      <c r="B45" s="202"/>
      <c r="C45" s="501" t="s">
        <v>282</v>
      </c>
      <c r="D45" s="28"/>
      <c r="E45" s="28"/>
      <c r="F45" s="28"/>
      <c r="G45" s="86" t="s">
        <v>277</v>
      </c>
      <c r="H45" s="86"/>
      <c r="I45" s="86"/>
      <c r="J45" s="86"/>
      <c r="K45" s="86"/>
      <c r="L45" s="322"/>
      <c r="M45" s="75"/>
      <c r="N45" s="65"/>
      <c r="O45" s="69"/>
      <c r="P45" s="65"/>
      <c r="Q45" s="65"/>
      <c r="R45" s="69"/>
      <c r="S45" s="28"/>
      <c r="T45" s="28"/>
      <c r="U45" s="28"/>
      <c r="V45" s="28"/>
      <c r="W45" s="28"/>
      <c r="X45" s="121"/>
      <c r="Y45" s="62"/>
      <c r="Z45" s="63"/>
      <c r="AA45" s="62"/>
      <c r="AB45" s="63"/>
      <c r="AC45" s="69"/>
      <c r="AD45" s="69"/>
      <c r="AE45" s="65"/>
      <c r="AF45" s="69"/>
      <c r="AG45" s="65"/>
      <c r="AH45" s="69"/>
      <c r="AI45" s="64"/>
      <c r="AJ45" s="69"/>
      <c r="AK45" s="65"/>
      <c r="AL45" s="28"/>
      <c r="AM45" s="28"/>
      <c r="AN45" s="28"/>
      <c r="AO45" s="28"/>
      <c r="AP45" s="28"/>
      <c r="AQ45" s="28"/>
      <c r="AR45" s="28"/>
      <c r="AS45" s="28"/>
      <c r="AT45" s="28"/>
      <c r="AU45" s="28"/>
      <c r="AV45" s="233"/>
      <c r="AW45" s="28"/>
      <c r="AX45" s="28"/>
      <c r="AY45" s="267"/>
      <c r="AZ45" s="33"/>
      <c r="BA45" s="46"/>
      <c r="BB45" s="159"/>
      <c r="BC45" s="115"/>
      <c r="BD45" s="28"/>
    </row>
    <row r="46" spans="1:59" ht="13.5" customHeight="1">
      <c r="A46" s="22"/>
      <c r="B46" s="202">
        <v>6</v>
      </c>
      <c r="C46" s="304" t="s">
        <v>32</v>
      </c>
      <c r="D46" s="205" t="s">
        <v>262</v>
      </c>
      <c r="E46" s="206"/>
      <c r="F46" s="206"/>
      <c r="G46" s="207"/>
      <c r="H46" s="208" t="s">
        <v>276</v>
      </c>
      <c r="I46" s="209"/>
      <c r="J46" s="209"/>
      <c r="K46" s="206"/>
      <c r="L46" s="207"/>
      <c r="M46" s="515"/>
      <c r="N46" s="28"/>
      <c r="O46" s="28"/>
      <c r="P46" s="28"/>
      <c r="Q46" s="28"/>
      <c r="R46" s="28"/>
      <c r="S46" s="35"/>
      <c r="T46" s="35"/>
      <c r="U46" s="35"/>
      <c r="V46" s="35"/>
      <c r="Y46" s="35"/>
      <c r="Z46" s="35"/>
      <c r="AD46" s="35"/>
      <c r="AE46" s="35"/>
      <c r="AF46" s="35"/>
      <c r="AG46" s="35"/>
      <c r="AH46" s="35"/>
      <c r="AI46" s="35"/>
      <c r="AJ46" s="35"/>
      <c r="AK46" s="35"/>
      <c r="AL46" s="35"/>
      <c r="AM46" s="35"/>
      <c r="AN46" s="35"/>
      <c r="AO46" s="35"/>
      <c r="AP46" s="35"/>
      <c r="AQ46" s="35"/>
      <c r="AR46" s="35"/>
      <c r="AS46" s="35"/>
      <c r="AT46" s="35"/>
      <c r="AU46" s="35"/>
      <c r="AV46" s="35"/>
      <c r="AW46" s="35"/>
      <c r="AX46" s="35"/>
      <c r="AY46" s="311"/>
      <c r="AZ46" s="33"/>
      <c r="BA46" s="46"/>
      <c r="BB46" s="159"/>
      <c r="BC46" s="115"/>
      <c r="BD46" s="35"/>
      <c r="BE46" s="35"/>
      <c r="BF46" s="35"/>
      <c r="BG46" s="35"/>
    </row>
    <row r="47" spans="1:59" ht="13.5" customHeight="1">
      <c r="A47" s="22"/>
      <c r="B47" s="202">
        <v>8</v>
      </c>
      <c r="C47" s="308">
        <v>1</v>
      </c>
      <c r="D47" s="148" t="s">
        <v>148</v>
      </c>
      <c r="E47" s="149"/>
      <c r="F47" s="149"/>
      <c r="G47" s="151"/>
      <c r="H47" s="1054">
        <v>110</v>
      </c>
      <c r="I47" s="991"/>
      <c r="J47" s="991"/>
      <c r="K47" s="991"/>
      <c r="L47" s="992"/>
      <c r="M47" s="28"/>
      <c r="N47" s="28"/>
      <c r="O47" s="28"/>
      <c r="P47" s="28"/>
      <c r="Q47" s="28"/>
      <c r="R47" s="28"/>
      <c r="S47" s="35"/>
      <c r="T47" s="35"/>
      <c r="U47" s="35"/>
      <c r="V47" s="35"/>
      <c r="Y47" s="35"/>
      <c r="Z47" s="35"/>
      <c r="AD47" s="35"/>
      <c r="AE47" s="35"/>
      <c r="AF47" s="35"/>
      <c r="AG47" s="35"/>
      <c r="AH47" s="35"/>
      <c r="AI47" s="35"/>
      <c r="AJ47" s="35"/>
      <c r="AK47" s="35"/>
      <c r="AL47" s="35"/>
      <c r="AM47" s="35"/>
      <c r="AN47" s="35"/>
      <c r="AO47" s="35"/>
      <c r="AP47" s="35"/>
      <c r="AQ47" s="35"/>
      <c r="AR47" s="35"/>
      <c r="AS47" s="35"/>
      <c r="AT47" s="35"/>
      <c r="AU47" s="35"/>
      <c r="AV47" s="35"/>
      <c r="AW47" s="35"/>
      <c r="AX47" s="35"/>
      <c r="AY47" s="311"/>
      <c r="AZ47" s="33"/>
      <c r="BA47" s="46"/>
      <c r="BB47" s="159"/>
      <c r="BC47" s="115"/>
      <c r="BD47" s="35"/>
      <c r="BE47" s="35"/>
      <c r="BF47" s="35"/>
      <c r="BG47" s="35"/>
    </row>
    <row r="48" spans="1:59" ht="13.5" customHeight="1">
      <c r="A48" s="22"/>
      <c r="B48" s="202">
        <v>9</v>
      </c>
      <c r="C48" s="308">
        <v>2</v>
      </c>
      <c r="D48" s="148" t="s">
        <v>263</v>
      </c>
      <c r="E48" s="149"/>
      <c r="F48" s="149"/>
      <c r="G48" s="151"/>
      <c r="H48" s="1054">
        <v>125</v>
      </c>
      <c r="I48" s="991"/>
      <c r="J48" s="991"/>
      <c r="K48" s="991"/>
      <c r="L48" s="992"/>
      <c r="M48" s="28"/>
      <c r="N48" s="28"/>
      <c r="O48" s="28"/>
      <c r="P48" s="28"/>
      <c r="Q48" s="28"/>
      <c r="R48" s="28"/>
      <c r="S48" s="35"/>
      <c r="T48" s="35"/>
      <c r="U48" s="35"/>
      <c r="V48" s="35"/>
      <c r="Y48" s="35"/>
      <c r="Z48" s="35"/>
      <c r="AD48" s="35"/>
      <c r="AE48" s="35"/>
      <c r="AF48" s="35"/>
      <c r="AG48" s="35"/>
      <c r="AH48" s="35"/>
      <c r="AI48" s="35"/>
      <c r="AJ48" s="35"/>
      <c r="AK48" s="35"/>
      <c r="AL48" s="35"/>
      <c r="AM48" s="35"/>
      <c r="AN48" s="35"/>
      <c r="AO48" s="35"/>
      <c r="AP48" s="35"/>
      <c r="AQ48" s="35"/>
      <c r="AR48" s="35"/>
      <c r="AS48" s="35"/>
      <c r="AT48" s="35"/>
      <c r="AU48" s="35"/>
      <c r="AV48" s="35"/>
      <c r="AW48" s="35"/>
      <c r="AX48" s="35"/>
      <c r="AY48" s="311"/>
      <c r="AZ48" s="33"/>
      <c r="BA48" s="46"/>
      <c r="BB48" s="159"/>
      <c r="BC48" s="115"/>
      <c r="BD48" s="35"/>
      <c r="BE48" s="35"/>
      <c r="BF48" s="35"/>
      <c r="BG48" s="35"/>
    </row>
    <row r="49" spans="1:74" ht="5.15" customHeight="1">
      <c r="A49" s="22"/>
      <c r="B49" s="202"/>
      <c r="C49" s="315"/>
      <c r="D49" s="73"/>
      <c r="E49" s="73"/>
      <c r="F49" s="73"/>
      <c r="G49" s="73"/>
      <c r="H49" s="316"/>
      <c r="I49" s="275"/>
      <c r="J49" s="275"/>
      <c r="K49" s="273"/>
      <c r="L49" s="317"/>
      <c r="M49" s="317"/>
      <c r="N49" s="270"/>
      <c r="O49" s="317"/>
      <c r="P49" s="270"/>
      <c r="Q49" s="270"/>
      <c r="R49" s="317"/>
      <c r="S49" s="73"/>
      <c r="T49" s="73"/>
      <c r="U49" s="73"/>
      <c r="V49" s="73"/>
      <c r="W49" s="73"/>
      <c r="X49" s="316"/>
      <c r="Y49" s="275"/>
      <c r="Z49" s="273"/>
      <c r="AA49" s="275"/>
      <c r="AB49" s="273"/>
      <c r="AC49" s="317"/>
      <c r="AD49" s="317"/>
      <c r="AE49" s="270"/>
      <c r="AF49" s="317"/>
      <c r="AG49" s="270"/>
      <c r="AH49" s="317"/>
      <c r="AI49" s="276"/>
      <c r="AJ49" s="317"/>
      <c r="AK49" s="270"/>
      <c r="AL49" s="73"/>
      <c r="AM49" s="73"/>
      <c r="AN49" s="73"/>
      <c r="AO49" s="73"/>
      <c r="AP49" s="73"/>
      <c r="AQ49" s="73"/>
      <c r="AR49" s="73"/>
      <c r="AS49" s="73"/>
      <c r="AT49" s="73"/>
      <c r="AU49" s="73"/>
      <c r="AV49" s="318"/>
      <c r="AW49" s="73"/>
      <c r="AX49" s="73"/>
      <c r="AY49" s="277"/>
      <c r="AZ49" s="33"/>
      <c r="BA49" s="46"/>
      <c r="BB49" s="159"/>
      <c r="BC49" s="115"/>
      <c r="BD49" s="28"/>
    </row>
    <row r="50" spans="1:74" ht="13.5" customHeight="1">
      <c r="A50" s="22"/>
      <c r="B50" s="202">
        <v>10</v>
      </c>
      <c r="C50" s="492"/>
      <c r="D50" s="65"/>
      <c r="E50" s="65"/>
      <c r="F50" s="65"/>
      <c r="G50" s="65"/>
      <c r="H50" s="65"/>
      <c r="I50" s="65"/>
      <c r="J50" s="65"/>
      <c r="K50" s="65"/>
      <c r="L50" s="65"/>
      <c r="M50" s="62"/>
      <c r="N50" s="63"/>
      <c r="O50" s="65"/>
      <c r="P50" s="65"/>
      <c r="Q50" s="64"/>
      <c r="R50" s="63"/>
      <c r="S50" s="190"/>
      <c r="T50" s="190"/>
      <c r="U50" s="191"/>
      <c r="V50" s="192"/>
      <c r="W50" s="190"/>
      <c r="X50" s="65"/>
      <c r="Y50" s="65"/>
      <c r="Z50" s="65"/>
      <c r="AA50" s="65"/>
      <c r="AB50" s="65"/>
      <c r="AC50" s="65"/>
      <c r="AD50" s="65"/>
      <c r="AE50" s="65"/>
      <c r="AF50" s="65"/>
      <c r="AG50" s="65"/>
      <c r="AH50" s="65"/>
      <c r="AI50" s="65"/>
      <c r="AJ50" s="65"/>
      <c r="AK50" s="65"/>
      <c r="AL50" s="65"/>
      <c r="AM50" s="63"/>
      <c r="AN50" s="63"/>
      <c r="AO50" s="63"/>
      <c r="AP50" s="63"/>
      <c r="AQ50" s="63"/>
      <c r="AR50" s="63"/>
      <c r="AS50" s="63"/>
      <c r="AT50" s="63"/>
      <c r="AU50" s="63"/>
      <c r="AV50" s="63"/>
      <c r="AW50" s="63"/>
      <c r="AX50" s="63"/>
      <c r="AY50" s="63"/>
      <c r="AZ50" s="33"/>
      <c r="BA50" s="46"/>
      <c r="BB50" s="159"/>
      <c r="BC50" s="115"/>
      <c r="BD50" s="28"/>
    </row>
    <row r="51" spans="1:74" ht="13.5" customHeight="1">
      <c r="A51" s="22"/>
      <c r="B51" s="202">
        <v>5</v>
      </c>
      <c r="C51" s="204" t="s">
        <v>63</v>
      </c>
      <c r="D51" s="28"/>
      <c r="E51" s="28"/>
      <c r="F51" s="28"/>
      <c r="G51" s="28"/>
      <c r="H51" s="121"/>
      <c r="I51" s="62"/>
      <c r="J51" s="63"/>
      <c r="K51" s="62"/>
      <c r="L51" s="63"/>
      <c r="M51" s="69"/>
      <c r="N51" s="69"/>
      <c r="O51" s="65"/>
      <c r="P51" s="69"/>
      <c r="Q51" s="65"/>
      <c r="R51" s="69"/>
      <c r="S51" s="28"/>
      <c r="T51" s="28"/>
      <c r="U51" s="28"/>
      <c r="V51" s="28"/>
      <c r="W51" s="28"/>
      <c r="X51" s="121"/>
      <c r="Y51" s="62"/>
      <c r="Z51" s="63"/>
      <c r="AA51" s="62"/>
      <c r="AB51" s="63"/>
      <c r="AC51" s="69"/>
      <c r="AD51" s="69"/>
      <c r="AE51" s="65"/>
      <c r="AF51" s="69"/>
      <c r="AG51" s="65"/>
      <c r="AH51" s="69"/>
      <c r="AI51" s="64"/>
      <c r="AJ51" s="69"/>
      <c r="AK51" s="65"/>
      <c r="AL51" s="28"/>
      <c r="AM51" s="28"/>
      <c r="AN51" s="28"/>
      <c r="AO51" s="28"/>
      <c r="AP51" s="28"/>
      <c r="AQ51" s="28"/>
      <c r="AR51" s="28"/>
      <c r="AS51" s="28"/>
      <c r="AT51" s="28"/>
      <c r="AU51" s="28"/>
      <c r="AV51" s="233"/>
      <c r="AW51" s="28"/>
      <c r="AX51" s="28"/>
      <c r="AY51" s="31"/>
      <c r="AZ51" s="33"/>
      <c r="BA51" s="46"/>
      <c r="BB51" s="159"/>
      <c r="BC51" s="115"/>
      <c r="BD51" s="28"/>
    </row>
    <row r="52" spans="1:74" ht="5.15" customHeight="1">
      <c r="A52" s="22"/>
      <c r="B52" s="202"/>
      <c r="C52" s="296"/>
      <c r="D52" s="72"/>
      <c r="E52" s="72"/>
      <c r="F52" s="72"/>
      <c r="G52" s="72"/>
      <c r="H52" s="297"/>
      <c r="I52" s="278"/>
      <c r="J52" s="279"/>
      <c r="K52" s="278"/>
      <c r="L52" s="279"/>
      <c r="M52" s="298"/>
      <c r="N52" s="298"/>
      <c r="O52" s="263"/>
      <c r="P52" s="298"/>
      <c r="Q52" s="263"/>
      <c r="R52" s="298"/>
      <c r="S52" s="72"/>
      <c r="T52" s="72"/>
      <c r="U52" s="72"/>
      <c r="V52" s="72"/>
      <c r="W52" s="72"/>
      <c r="X52" s="297"/>
      <c r="Y52" s="278"/>
      <c r="Z52" s="279"/>
      <c r="AA52" s="278"/>
      <c r="AB52" s="279"/>
      <c r="AC52" s="298"/>
      <c r="AD52" s="298"/>
      <c r="AE52" s="263"/>
      <c r="AF52" s="298"/>
      <c r="AG52" s="263"/>
      <c r="AH52" s="298"/>
      <c r="AI52" s="280"/>
      <c r="AJ52" s="298"/>
      <c r="AK52" s="263"/>
      <c r="AL52" s="72"/>
      <c r="AM52" s="72"/>
      <c r="AN52" s="72"/>
      <c r="AO52" s="72"/>
      <c r="AP52" s="72"/>
      <c r="AQ52" s="72"/>
      <c r="AR52" s="72"/>
      <c r="AS52" s="72"/>
      <c r="AT52" s="72"/>
      <c r="AU52" s="72"/>
      <c r="AV52" s="300"/>
      <c r="AW52" s="72"/>
      <c r="AX52" s="72"/>
      <c r="AY52" s="264"/>
      <c r="AZ52" s="264"/>
      <c r="BA52" s="301"/>
      <c r="BB52" s="302"/>
      <c r="BC52" s="303"/>
      <c r="BD52" s="28"/>
    </row>
    <row r="53" spans="1:74" ht="13.5" customHeight="1">
      <c r="A53" s="22"/>
      <c r="B53" s="45"/>
      <c r="C53" s="266"/>
      <c r="D53" s="28" t="s">
        <v>288</v>
      </c>
      <c r="E53" s="28"/>
      <c r="F53" s="28"/>
      <c r="G53" s="28"/>
      <c r="H53" s="86" t="s">
        <v>139</v>
      </c>
      <c r="I53" s="86"/>
      <c r="J53" s="86"/>
      <c r="K53" s="86"/>
      <c r="L53" s="86"/>
      <c r="M53" s="322"/>
      <c r="N53" s="87"/>
      <c r="O53" s="88"/>
      <c r="P53" s="88"/>
      <c r="Q53" s="89"/>
      <c r="R53" s="87"/>
      <c r="S53" s="87"/>
      <c r="T53" s="87"/>
      <c r="U53" s="88"/>
      <c r="V53" s="89"/>
      <c r="W53" s="87"/>
      <c r="X53" s="65"/>
      <c r="Y53" s="28"/>
      <c r="Z53" s="28"/>
      <c r="AA53" s="28"/>
      <c r="AB53" s="28"/>
      <c r="AC53" s="28"/>
      <c r="AD53" s="28"/>
      <c r="AE53" s="28"/>
      <c r="AF53" s="28"/>
      <c r="AG53" s="28"/>
      <c r="AH53" s="28"/>
      <c r="AI53" s="28"/>
      <c r="AJ53" s="28"/>
      <c r="AK53" s="28"/>
      <c r="AL53" s="28"/>
      <c r="AM53" s="31"/>
      <c r="AN53" s="31"/>
      <c r="AO53" s="31"/>
      <c r="AP53" s="31"/>
      <c r="AQ53" s="31"/>
      <c r="AR53" s="31"/>
      <c r="AS53" s="31"/>
      <c r="AT53" s="31"/>
      <c r="AU53" s="31"/>
      <c r="AV53" s="31"/>
      <c r="AW53" s="31"/>
      <c r="AX53" s="65"/>
      <c r="AY53" s="31"/>
      <c r="AZ53" s="52"/>
      <c r="BA53" s="93"/>
      <c r="BB53" s="327"/>
      <c r="BC53" s="328"/>
      <c r="BD53" s="28"/>
      <c r="BE53" s="35"/>
      <c r="BF53" s="35"/>
      <c r="BG53" s="35"/>
    </row>
    <row r="54" spans="1:74" ht="13.5" customHeight="1">
      <c r="A54" s="22"/>
      <c r="B54" s="202">
        <v>6</v>
      </c>
      <c r="C54" s="304" t="s">
        <v>32</v>
      </c>
      <c r="D54" s="205" t="s">
        <v>64</v>
      </c>
      <c r="E54" s="206"/>
      <c r="F54" s="206"/>
      <c r="G54" s="207"/>
      <c r="H54" s="208" t="s">
        <v>73</v>
      </c>
      <c r="I54" s="209"/>
      <c r="J54" s="209"/>
      <c r="K54" s="209"/>
      <c r="L54" s="206"/>
      <c r="M54" s="207"/>
      <c r="N54" s="205" t="s">
        <v>74</v>
      </c>
      <c r="O54" s="206"/>
      <c r="P54" s="206"/>
      <c r="Q54" s="207"/>
      <c r="R54" s="205" t="s">
        <v>75</v>
      </c>
      <c r="S54" s="206"/>
      <c r="T54" s="206"/>
      <c r="U54" s="206"/>
      <c r="V54" s="210" t="s">
        <v>292</v>
      </c>
      <c r="W54" s="211"/>
      <c r="X54" s="211"/>
      <c r="Y54" s="212"/>
      <c r="Z54" s="528" t="s">
        <v>77</v>
      </c>
      <c r="AA54" s="211"/>
      <c r="AB54" s="211"/>
      <c r="AC54" s="211"/>
      <c r="AD54" s="212"/>
      <c r="AE54" s="210" t="s">
        <v>293</v>
      </c>
      <c r="AF54" s="211"/>
      <c r="AG54" s="211"/>
      <c r="AH54" s="212"/>
      <c r="AI54" s="210" t="s">
        <v>162</v>
      </c>
      <c r="AJ54" s="211"/>
      <c r="AK54" s="211"/>
      <c r="AL54" s="212"/>
      <c r="AM54" s="211" t="s">
        <v>152</v>
      </c>
      <c r="AN54" s="211"/>
      <c r="AO54" s="211"/>
      <c r="AP54" s="212"/>
      <c r="AQ54" s="211" t="s">
        <v>197</v>
      </c>
      <c r="AR54" s="211"/>
      <c r="AS54" s="211"/>
      <c r="AT54" s="212"/>
      <c r="AU54" s="210" t="s">
        <v>199</v>
      </c>
      <c r="AV54" s="211"/>
      <c r="AW54" s="211"/>
      <c r="AX54" s="212"/>
      <c r="AY54" s="210" t="s">
        <v>83</v>
      </c>
      <c r="AZ54" s="211"/>
      <c r="BA54" s="211"/>
      <c r="BB54" s="212"/>
      <c r="BC54" s="210" t="s">
        <v>42</v>
      </c>
      <c r="BD54" s="211"/>
      <c r="BE54" s="211"/>
      <c r="BF54" s="212"/>
      <c r="BG54" s="211" t="s">
        <v>156</v>
      </c>
      <c r="BH54" s="211"/>
      <c r="BI54" s="212"/>
      <c r="BJ54" s="305" t="s">
        <v>86</v>
      </c>
      <c r="BK54" s="211"/>
      <c r="BL54" s="211"/>
      <c r="BM54" s="212"/>
      <c r="BN54" s="211" t="s">
        <v>69</v>
      </c>
      <c r="BO54" s="211"/>
      <c r="BP54" s="211"/>
      <c r="BQ54" s="212"/>
      <c r="BR54" s="28"/>
      <c r="BS54" s="28"/>
      <c r="BT54" s="28"/>
      <c r="BU54" s="28"/>
      <c r="BV54" s="28"/>
    </row>
    <row r="55" spans="1:74" ht="13.5" customHeight="1">
      <c r="A55" s="22"/>
      <c r="B55" s="202">
        <v>7</v>
      </c>
      <c r="C55" s="306"/>
      <c r="D55" s="213" t="s">
        <v>30</v>
      </c>
      <c r="E55" s="216"/>
      <c r="F55" s="214"/>
      <c r="G55" s="215"/>
      <c r="H55" s="213" t="s">
        <v>30</v>
      </c>
      <c r="I55" s="216"/>
      <c r="J55" s="216"/>
      <c r="K55" s="216"/>
      <c r="L55" s="214"/>
      <c r="M55" s="215"/>
      <c r="N55" s="213" t="s">
        <v>30</v>
      </c>
      <c r="O55" s="214"/>
      <c r="P55" s="214"/>
      <c r="Q55" s="215"/>
      <c r="R55" s="213"/>
      <c r="S55" s="216"/>
      <c r="T55" s="214"/>
      <c r="U55" s="214"/>
      <c r="V55" s="217" t="s">
        <v>43</v>
      </c>
      <c r="W55" s="218"/>
      <c r="X55" s="219"/>
      <c r="Y55" s="220"/>
      <c r="Z55" s="217" t="s">
        <v>30</v>
      </c>
      <c r="AA55" s="218"/>
      <c r="AB55" s="218"/>
      <c r="AC55" s="219"/>
      <c r="AD55" s="220"/>
      <c r="AE55" s="217" t="s">
        <v>43</v>
      </c>
      <c r="AF55" s="218"/>
      <c r="AG55" s="219"/>
      <c r="AH55" s="220"/>
      <c r="AI55" s="217" t="s">
        <v>30</v>
      </c>
      <c r="AJ55" s="218"/>
      <c r="AK55" s="219"/>
      <c r="AL55" s="220"/>
      <c r="AM55" s="218" t="s">
        <v>43</v>
      </c>
      <c r="AN55" s="218"/>
      <c r="AO55" s="219"/>
      <c r="AP55" s="220"/>
      <c r="AQ55" s="218" t="s">
        <v>198</v>
      </c>
      <c r="AR55" s="218"/>
      <c r="AS55" s="219"/>
      <c r="AT55" s="220"/>
      <c r="AU55" s="217" t="s">
        <v>155</v>
      </c>
      <c r="AV55" s="218"/>
      <c r="AW55" s="219"/>
      <c r="AX55" s="220"/>
      <c r="AY55" s="217" t="s">
        <v>155</v>
      </c>
      <c r="AZ55" s="218"/>
      <c r="BA55" s="219"/>
      <c r="BB55" s="220"/>
      <c r="BC55" s="217" t="s">
        <v>200</v>
      </c>
      <c r="BD55" s="218"/>
      <c r="BE55" s="219"/>
      <c r="BF55" s="220"/>
      <c r="BG55" s="218" t="s">
        <v>201</v>
      </c>
      <c r="BH55" s="218"/>
      <c r="BI55" s="220"/>
      <c r="BJ55" s="307" t="s">
        <v>43</v>
      </c>
      <c r="BK55" s="218"/>
      <c r="BL55" s="219"/>
      <c r="BM55" s="220"/>
      <c r="BN55" s="218" t="s">
        <v>43</v>
      </c>
      <c r="BO55" s="218"/>
      <c r="BP55" s="219"/>
      <c r="BQ55" s="220"/>
      <c r="BR55" s="28"/>
      <c r="BS55" s="28"/>
      <c r="BT55" s="28"/>
      <c r="BU55" s="28"/>
      <c r="BV55" s="28"/>
    </row>
    <row r="56" spans="1:74" ht="13.5" customHeight="1">
      <c r="A56" s="22"/>
      <c r="B56" s="202">
        <v>8</v>
      </c>
      <c r="C56" s="308">
        <v>1</v>
      </c>
      <c r="D56" s="148" t="s">
        <v>202</v>
      </c>
      <c r="E56" s="149"/>
      <c r="F56" s="149"/>
      <c r="G56" s="151"/>
      <c r="H56" s="242" t="s">
        <v>204</v>
      </c>
      <c r="I56" s="150"/>
      <c r="J56" s="150"/>
      <c r="K56" s="150"/>
      <c r="L56" s="161"/>
      <c r="M56" s="162"/>
      <c r="N56" s="242" t="s">
        <v>206</v>
      </c>
      <c r="O56" s="150"/>
      <c r="P56" s="150"/>
      <c r="Q56" s="99" t="s">
        <v>33</v>
      </c>
      <c r="R56" s="1002">
        <v>2000000</v>
      </c>
      <c r="S56" s="1003"/>
      <c r="T56" s="1003"/>
      <c r="U56" s="1004"/>
      <c r="V56" s="148" t="s">
        <v>207</v>
      </c>
      <c r="W56" s="150"/>
      <c r="X56" s="150"/>
      <c r="Y56" s="99" t="s">
        <v>33</v>
      </c>
      <c r="Z56" s="990">
        <v>5.29</v>
      </c>
      <c r="AA56" s="1012"/>
      <c r="AB56" s="1012"/>
      <c r="AC56" s="1012"/>
      <c r="AD56" s="1013"/>
      <c r="AE56" s="148" t="s">
        <v>148</v>
      </c>
      <c r="AF56" s="150"/>
      <c r="AG56" s="150"/>
      <c r="AH56" s="99" t="s">
        <v>33</v>
      </c>
      <c r="AI56" s="1042">
        <v>9.2200000000000004E-2</v>
      </c>
      <c r="AJ56" s="1043"/>
      <c r="AK56" s="1043"/>
      <c r="AL56" s="1044"/>
      <c r="AM56" s="1042">
        <v>9.4E-2</v>
      </c>
      <c r="AN56" s="1043"/>
      <c r="AO56" s="1043"/>
      <c r="AP56" s="1044"/>
      <c r="AQ56" s="1051">
        <v>0.01</v>
      </c>
      <c r="AR56" s="1052"/>
      <c r="AS56" s="1052"/>
      <c r="AT56" s="1053"/>
      <c r="AU56" s="1042">
        <v>0.1012</v>
      </c>
      <c r="AV56" s="1043"/>
      <c r="AW56" s="1043"/>
      <c r="AX56" s="1044"/>
      <c r="AY56" s="1042">
        <v>0.11</v>
      </c>
      <c r="AZ56" s="1043"/>
      <c r="BA56" s="1043"/>
      <c r="BB56" s="1044"/>
      <c r="BC56" s="1042">
        <v>0.11</v>
      </c>
      <c r="BD56" s="1043"/>
      <c r="BE56" s="1043"/>
      <c r="BF56" s="1044"/>
      <c r="BG56" s="1045">
        <f>AI56/21</f>
        <v>4.3904761904761903E-3</v>
      </c>
      <c r="BH56" s="1046"/>
      <c r="BI56" s="1047"/>
      <c r="BJ56" s="309" t="s">
        <v>208</v>
      </c>
      <c r="BK56" s="150"/>
      <c r="BL56" s="150"/>
      <c r="BM56" s="152"/>
      <c r="BN56" s="149" t="s">
        <v>30</v>
      </c>
      <c r="BO56" s="150"/>
      <c r="BP56" s="150"/>
      <c r="BQ56" s="152"/>
      <c r="BR56" s="28"/>
      <c r="BS56" s="28"/>
      <c r="BT56" s="28"/>
      <c r="BU56" s="28"/>
      <c r="BV56" s="28"/>
    </row>
    <row r="57" spans="1:74" ht="13.5" customHeight="1">
      <c r="A57" s="22"/>
      <c r="B57" s="202">
        <v>9</v>
      </c>
      <c r="C57" s="308">
        <v>2</v>
      </c>
      <c r="D57" s="148" t="s">
        <v>203</v>
      </c>
      <c r="E57" s="149"/>
      <c r="F57" s="149"/>
      <c r="G57" s="151"/>
      <c r="H57" s="242" t="s">
        <v>205</v>
      </c>
      <c r="I57" s="150"/>
      <c r="J57" s="150"/>
      <c r="K57" s="150"/>
      <c r="L57" s="161"/>
      <c r="M57" s="162"/>
      <c r="N57" s="242" t="s">
        <v>206</v>
      </c>
      <c r="O57" s="150"/>
      <c r="P57" s="150"/>
      <c r="Q57" s="99" t="s">
        <v>33</v>
      </c>
      <c r="R57" s="1002">
        <v>20000</v>
      </c>
      <c r="S57" s="1003"/>
      <c r="T57" s="1003"/>
      <c r="U57" s="1004"/>
      <c r="V57" s="148" t="s">
        <v>207</v>
      </c>
      <c r="W57" s="150"/>
      <c r="X57" s="150"/>
      <c r="Y57" s="99" t="s">
        <v>33</v>
      </c>
      <c r="Z57" s="990">
        <v>11</v>
      </c>
      <c r="AA57" s="1012"/>
      <c r="AB57" s="1012"/>
      <c r="AC57" s="1012"/>
      <c r="AD57" s="1013"/>
      <c r="AE57" s="148" t="s">
        <v>148</v>
      </c>
      <c r="AF57" s="150"/>
      <c r="AG57" s="150"/>
      <c r="AH57" s="99" t="s">
        <v>33</v>
      </c>
      <c r="AI57" s="1042">
        <v>0.12970000000000001</v>
      </c>
      <c r="AJ57" s="1043"/>
      <c r="AK57" s="1043"/>
      <c r="AL57" s="1044"/>
      <c r="AM57" s="1042">
        <v>0.13</v>
      </c>
      <c r="AN57" s="1043"/>
      <c r="AO57" s="1043"/>
      <c r="AP57" s="1044"/>
      <c r="AQ57" s="1051">
        <v>0.01</v>
      </c>
      <c r="AR57" s="1052"/>
      <c r="AS57" s="1052"/>
      <c r="AT57" s="1053"/>
      <c r="AU57" s="1042">
        <v>0.13600000000000001</v>
      </c>
      <c r="AV57" s="1043"/>
      <c r="AW57" s="1043"/>
      <c r="AX57" s="1044"/>
      <c r="AY57" s="1042">
        <v>0.156</v>
      </c>
      <c r="AZ57" s="1043"/>
      <c r="BA57" s="1043"/>
      <c r="BB57" s="1044"/>
      <c r="BC57" s="1042">
        <v>0.156</v>
      </c>
      <c r="BD57" s="1043"/>
      <c r="BE57" s="1043"/>
      <c r="BF57" s="1044"/>
      <c r="BG57" s="1045">
        <f>AI57/21</f>
        <v>6.1761904761904766E-3</v>
      </c>
      <c r="BH57" s="1046"/>
      <c r="BI57" s="1047"/>
      <c r="BJ57" s="309" t="s">
        <v>209</v>
      </c>
      <c r="BK57" s="150"/>
      <c r="BL57" s="150"/>
      <c r="BM57" s="152"/>
      <c r="BN57" s="149" t="s">
        <v>30</v>
      </c>
      <c r="BO57" s="150"/>
      <c r="BP57" s="150"/>
      <c r="BQ57" s="152"/>
      <c r="BR57" s="28"/>
      <c r="BS57" s="28"/>
      <c r="BT57" s="28"/>
      <c r="BU57" s="28"/>
      <c r="BV57" s="28"/>
    </row>
    <row r="58" spans="1:74" ht="13.5" customHeight="1">
      <c r="A58" s="22"/>
      <c r="B58" s="202">
        <v>10</v>
      </c>
      <c r="C58" s="310"/>
      <c r="D58" s="65"/>
      <c r="E58" s="65"/>
      <c r="F58" s="65"/>
      <c r="G58" s="65"/>
      <c r="H58" s="65"/>
      <c r="I58" s="65"/>
      <c r="J58" s="65"/>
      <c r="K58" s="65"/>
      <c r="L58" s="65"/>
      <c r="M58" s="62"/>
      <c r="N58" s="63"/>
      <c r="O58" s="65"/>
      <c r="P58" s="65"/>
      <c r="Q58" s="64"/>
      <c r="R58" s="63"/>
      <c r="S58" s="190"/>
      <c r="T58" s="190"/>
      <c r="U58" s="191"/>
      <c r="V58" s="192"/>
      <c r="W58" s="190"/>
      <c r="X58" s="65"/>
      <c r="Y58" s="65"/>
      <c r="Z58" s="65"/>
      <c r="AA58" s="65"/>
      <c r="AB58" s="65"/>
      <c r="AC58" s="65"/>
      <c r="AD58" s="65"/>
      <c r="AE58" s="65"/>
      <c r="AF58" s="65"/>
      <c r="AG58" s="65"/>
      <c r="AH58" s="65"/>
      <c r="AI58" s="65"/>
      <c r="AJ58" s="65"/>
      <c r="AK58" s="65"/>
      <c r="AL58" s="65"/>
      <c r="AM58" s="63"/>
      <c r="AN58" s="63"/>
      <c r="AO58" s="63"/>
      <c r="AP58" s="63"/>
      <c r="AQ58" s="63"/>
      <c r="AR58" s="63"/>
      <c r="AS58" s="63"/>
      <c r="AT58" s="63"/>
      <c r="AU58" s="63"/>
      <c r="AV58" s="63"/>
      <c r="AW58" s="63"/>
      <c r="AX58" s="63"/>
      <c r="AY58" s="63"/>
      <c r="AZ58" s="31"/>
      <c r="BA58" s="35"/>
      <c r="BB58" s="35"/>
      <c r="BC58" s="311"/>
      <c r="BD58" s="28"/>
    </row>
    <row r="59" spans="1:74" ht="13.5" customHeight="1">
      <c r="A59" s="22"/>
      <c r="B59" s="202">
        <v>14</v>
      </c>
      <c r="C59" s="312"/>
      <c r="D59" s="65"/>
      <c r="E59" s="65"/>
      <c r="F59" s="65"/>
      <c r="G59" s="65"/>
      <c r="H59" s="65"/>
      <c r="I59" s="65"/>
      <c r="J59" s="65"/>
      <c r="K59" s="198"/>
      <c r="L59" s="65"/>
      <c r="M59" s="65"/>
      <c r="N59" s="65"/>
      <c r="O59" s="65"/>
      <c r="P59" s="65"/>
      <c r="Q59" s="198"/>
      <c r="R59" s="65"/>
      <c r="S59" s="65"/>
      <c r="T59" s="65"/>
      <c r="U59" s="198"/>
      <c r="V59" s="65"/>
      <c r="W59" s="65"/>
      <c r="X59" s="65"/>
      <c r="Y59" s="65"/>
      <c r="Z59" s="65"/>
      <c r="AA59" s="65"/>
      <c r="AB59" s="65"/>
      <c r="AC59" s="65"/>
      <c r="AD59" s="65"/>
      <c r="AE59" s="65"/>
      <c r="AF59" s="65"/>
      <c r="AG59" s="65"/>
      <c r="AH59" s="65"/>
      <c r="AI59" s="65"/>
      <c r="AJ59" s="125"/>
      <c r="AK59" s="112"/>
      <c r="AL59" s="62"/>
      <c r="AM59" s="63"/>
      <c r="AN59" s="63"/>
      <c r="AO59" s="63"/>
      <c r="AP59" s="63"/>
      <c r="AQ59" s="64"/>
      <c r="AR59" s="63"/>
      <c r="AS59" s="65"/>
      <c r="AT59" s="65"/>
      <c r="AU59" s="65"/>
      <c r="AV59" s="65"/>
      <c r="AW59" s="65"/>
      <c r="AX59" s="65"/>
      <c r="AY59" s="63"/>
      <c r="AZ59" s="31"/>
      <c r="BA59" s="35"/>
      <c r="BB59" s="35"/>
      <c r="BC59" s="311"/>
      <c r="BD59" s="28"/>
    </row>
    <row r="60" spans="1:74" ht="13.5" customHeight="1">
      <c r="A60" s="22"/>
      <c r="B60" s="202">
        <v>15</v>
      </c>
      <c r="C60" s="313" t="s">
        <v>71</v>
      </c>
      <c r="D60" s="223"/>
      <c r="E60" s="224"/>
      <c r="F60" s="223"/>
      <c r="G60" s="224"/>
      <c r="H60" s="225"/>
      <c r="I60" s="226"/>
      <c r="J60" s="227"/>
      <c r="K60" s="227"/>
      <c r="L60" s="227"/>
      <c r="M60" s="228"/>
      <c r="N60" s="227"/>
      <c r="O60" s="227"/>
      <c r="P60" s="227"/>
      <c r="Q60" s="229"/>
      <c r="R60" s="227"/>
      <c r="S60" s="227"/>
      <c r="T60" s="227"/>
      <c r="U60" s="227"/>
      <c r="V60" s="227"/>
      <c r="W60" s="229"/>
      <c r="X60" s="227"/>
      <c r="Y60" s="227"/>
      <c r="Z60" s="227"/>
      <c r="AA60" s="229"/>
      <c r="AB60" s="227"/>
      <c r="AC60" s="227"/>
      <c r="AD60" s="227"/>
      <c r="AE60" s="227"/>
      <c r="AF60" s="227"/>
      <c r="AG60" s="232"/>
      <c r="AH60" s="227"/>
      <c r="AI60" s="227"/>
      <c r="AJ60" s="227"/>
      <c r="AK60" s="227"/>
      <c r="AL60" s="227"/>
      <c r="AM60" s="227"/>
      <c r="AN60" s="227"/>
      <c r="AO60" s="227"/>
      <c r="AP60" s="227"/>
      <c r="AQ60" s="230"/>
      <c r="AR60" s="227"/>
      <c r="AS60" s="230"/>
      <c r="AT60" s="227"/>
      <c r="AU60" s="227"/>
      <c r="AV60" s="227"/>
      <c r="AW60" s="227"/>
      <c r="AX60" s="227"/>
      <c r="AY60" s="224"/>
      <c r="AZ60" s="224"/>
      <c r="BA60" s="231"/>
      <c r="BB60" s="231"/>
      <c r="BC60" s="314"/>
      <c r="BD60" s="28"/>
    </row>
    <row r="61" spans="1:74" ht="13.5" customHeight="1">
      <c r="A61" s="22"/>
      <c r="B61" s="202"/>
      <c r="C61" s="394"/>
      <c r="D61" s="62"/>
      <c r="E61" s="63"/>
      <c r="F61" s="62"/>
      <c r="G61" s="63"/>
      <c r="H61" s="398"/>
      <c r="I61" s="399"/>
      <c r="J61" s="74"/>
      <c r="K61" s="74"/>
      <c r="L61" s="74"/>
      <c r="M61" s="400"/>
      <c r="N61" s="74"/>
      <c r="O61" s="74"/>
      <c r="P61" s="74"/>
      <c r="Q61" s="401"/>
      <c r="R61" s="74"/>
      <c r="S61" s="74"/>
      <c r="T61" s="74"/>
      <c r="U61" s="74"/>
      <c r="V61" s="74"/>
      <c r="W61" s="401"/>
      <c r="X61" s="65"/>
      <c r="Y61" s="65"/>
      <c r="Z61" s="65"/>
      <c r="AA61" s="198"/>
      <c r="AB61" s="65"/>
      <c r="AC61" s="65"/>
      <c r="AD61" s="65"/>
      <c r="AE61" s="65"/>
      <c r="AF61" s="65"/>
      <c r="AG61" s="158"/>
      <c r="AH61" s="65"/>
      <c r="AI61" s="65"/>
      <c r="AJ61" s="65"/>
      <c r="AK61" s="65"/>
      <c r="AL61" s="65"/>
      <c r="AM61" s="65"/>
      <c r="AN61" s="65"/>
      <c r="AO61" s="65"/>
      <c r="AP61" s="65"/>
      <c r="AQ61" s="125"/>
      <c r="AR61" s="65"/>
      <c r="AS61" s="125"/>
      <c r="AT61" s="65"/>
      <c r="AU61" s="65"/>
      <c r="AV61" s="65"/>
      <c r="AW61" s="65"/>
      <c r="AX61" s="65"/>
      <c r="AY61" s="63"/>
      <c r="AZ61" s="103"/>
      <c r="BA61" s="396"/>
      <c r="BB61"/>
      <c r="BC61" s="397"/>
      <c r="BD61" s="28"/>
    </row>
    <row r="62" spans="1:74" ht="13.5" customHeight="1">
      <c r="A62" s="22"/>
      <c r="B62" s="45"/>
      <c r="C62" s="393" t="s">
        <v>174</v>
      </c>
      <c r="D62" s="28"/>
      <c r="E62" s="28"/>
      <c r="F62" s="28"/>
      <c r="G62" s="28"/>
      <c r="H62" s="24"/>
      <c r="I62" s="24"/>
      <c r="J62" s="24"/>
      <c r="K62" s="24"/>
      <c r="L62" s="24"/>
      <c r="M62" s="127"/>
      <c r="N62" s="75"/>
      <c r="O62" s="84"/>
      <c r="P62" s="84"/>
      <c r="Q62" s="85"/>
      <c r="R62" s="75"/>
      <c r="S62" s="75"/>
      <c r="T62" s="75"/>
      <c r="U62" s="84"/>
      <c r="V62" s="85"/>
      <c r="W62" s="75"/>
      <c r="X62" s="65"/>
      <c r="Y62" s="28"/>
      <c r="Z62" s="233" t="s">
        <v>72</v>
      </c>
      <c r="AA62" s="28"/>
      <c r="AB62" s="28"/>
      <c r="AC62" s="28"/>
      <c r="AD62" s="28"/>
      <c r="AE62" s="28"/>
      <c r="AF62" s="28"/>
      <c r="AG62" s="28"/>
      <c r="AH62" s="28"/>
      <c r="AI62" s="28"/>
      <c r="AJ62" s="28"/>
      <c r="AK62" s="28"/>
      <c r="AL62" s="28"/>
      <c r="AM62" s="31"/>
      <c r="AN62" s="31"/>
      <c r="AO62" s="31"/>
      <c r="AP62" s="31"/>
      <c r="AQ62" s="31"/>
      <c r="AR62" s="31"/>
      <c r="AS62" s="31"/>
      <c r="AT62" s="31"/>
      <c r="AU62" s="31"/>
      <c r="AV62" s="31"/>
      <c r="AW62" s="31"/>
      <c r="AX62" s="65"/>
      <c r="AY62" s="31"/>
      <c r="AZ62" s="31"/>
      <c r="BA62" s="30"/>
      <c r="BB62" s="35"/>
      <c r="BC62" s="326"/>
      <c r="BD62" s="28"/>
      <c r="BF62" s="35"/>
      <c r="BG62" s="35"/>
    </row>
    <row r="63" spans="1:74" ht="13.5" customHeight="1">
      <c r="A63" s="22"/>
      <c r="B63" s="202">
        <v>6</v>
      </c>
      <c r="C63" s="431" t="s">
        <v>32</v>
      </c>
      <c r="D63" s="432" t="s">
        <v>182</v>
      </c>
      <c r="E63" s="433"/>
      <c r="F63" s="433"/>
      <c r="G63" s="434"/>
      <c r="H63" s="435" t="s">
        <v>183</v>
      </c>
      <c r="I63" s="436"/>
      <c r="J63" s="436"/>
      <c r="K63" s="436"/>
      <c r="L63" s="433"/>
      <c r="M63" s="434"/>
      <c r="N63" s="432" t="s">
        <v>184</v>
      </c>
      <c r="O63" s="433"/>
      <c r="P63" s="433"/>
      <c r="Q63" s="433"/>
      <c r="R63" s="433"/>
      <c r="S63" s="434"/>
      <c r="T63" s="432" t="s">
        <v>185</v>
      </c>
      <c r="U63" s="433"/>
      <c r="V63" s="433"/>
      <c r="W63" s="433"/>
      <c r="X63" s="433"/>
      <c r="Y63" s="433"/>
      <c r="Z63" s="437" t="s">
        <v>179</v>
      </c>
      <c r="AA63" s="438"/>
      <c r="AB63" s="438"/>
      <c r="AC63" s="439"/>
      <c r="AD63" s="39"/>
      <c r="AE63" s="39"/>
      <c r="AF63" s="39"/>
      <c r="AG63" s="39"/>
      <c r="AH63" s="39"/>
      <c r="AI63" s="118"/>
      <c r="AJ63" s="118"/>
      <c r="AK63" s="118"/>
      <c r="AL63" s="118"/>
      <c r="AM63" s="118"/>
      <c r="AN63" s="118"/>
      <c r="AO63" s="118"/>
      <c r="AP63" s="118"/>
      <c r="AQ63" s="118"/>
      <c r="AR63" s="118"/>
      <c r="AS63" s="118"/>
      <c r="AT63" s="118"/>
      <c r="AU63" s="118"/>
      <c r="AV63" s="118"/>
      <c r="AW63" s="118"/>
      <c r="AX63" s="118"/>
      <c r="AY63" s="118"/>
      <c r="AZ63" s="118"/>
      <c r="BA63" s="118"/>
      <c r="BB63" s="440"/>
      <c r="BC63" s="326"/>
      <c r="BD63" s="28"/>
      <c r="BF63" s="35"/>
      <c r="BG63" s="35"/>
      <c r="BH63" s="28"/>
    </row>
    <row r="64" spans="1:74" ht="13.5" customHeight="1">
      <c r="A64" s="22"/>
      <c r="B64" s="202">
        <v>8</v>
      </c>
      <c r="C64" s="441">
        <v>1</v>
      </c>
      <c r="D64" s="148" t="s">
        <v>180</v>
      </c>
      <c r="E64" s="149"/>
      <c r="F64" s="149"/>
      <c r="G64" s="99" t="s">
        <v>33</v>
      </c>
      <c r="H64" s="242" t="s">
        <v>192</v>
      </c>
      <c r="I64" s="150"/>
      <c r="J64" s="150"/>
      <c r="K64" s="150"/>
      <c r="L64" s="161"/>
      <c r="M64" s="162"/>
      <c r="N64" s="1058">
        <v>5000</v>
      </c>
      <c r="O64" s="1059"/>
      <c r="P64" s="1059"/>
      <c r="Q64" s="1059"/>
      <c r="R64" s="1059"/>
      <c r="S64" s="1060"/>
      <c r="T64" s="1058">
        <v>5000</v>
      </c>
      <c r="U64" s="1061"/>
      <c r="V64" s="1061"/>
      <c r="W64" s="1061"/>
      <c r="X64" s="1061"/>
      <c r="Y64" s="1062"/>
      <c r="Z64" s="1055">
        <v>10</v>
      </c>
      <c r="AA64" s="1056"/>
      <c r="AB64" s="1056"/>
      <c r="AC64" s="1057"/>
      <c r="AD64" s="28"/>
      <c r="AE64" s="28"/>
      <c r="AF64" s="28"/>
      <c r="AG64" s="28"/>
      <c r="AH64" s="28"/>
      <c r="AI64" s="35"/>
      <c r="AJ64" s="35"/>
      <c r="AK64" s="35"/>
      <c r="AL64" s="35"/>
      <c r="AM64" s="35"/>
      <c r="AN64" s="35"/>
      <c r="AO64" s="35"/>
      <c r="AP64" s="35"/>
      <c r="AQ64" s="35"/>
      <c r="AR64" s="35"/>
      <c r="AS64" s="35"/>
      <c r="AT64" s="35"/>
      <c r="AU64" s="35"/>
      <c r="AV64" s="35"/>
      <c r="AW64" s="35"/>
      <c r="AX64" s="35"/>
      <c r="AY64" s="35"/>
      <c r="AZ64" s="35"/>
      <c r="BA64" s="35"/>
      <c r="BB64" s="153"/>
      <c r="BC64" s="326"/>
      <c r="BD64" s="28"/>
      <c r="BF64" s="35"/>
      <c r="BG64" s="35"/>
      <c r="BH64" s="28"/>
    </row>
    <row r="65" spans="1:91" ht="13.5" customHeight="1">
      <c r="A65" s="22"/>
      <c r="B65" s="202">
        <v>14</v>
      </c>
      <c r="C65" s="94"/>
      <c r="D65" s="65"/>
      <c r="E65" s="65"/>
      <c r="F65" s="65"/>
      <c r="G65" s="65"/>
      <c r="H65" s="65"/>
      <c r="I65" s="65"/>
      <c r="J65" s="65"/>
      <c r="K65" s="198"/>
      <c r="L65" s="65"/>
      <c r="M65" s="65"/>
      <c r="N65" s="65"/>
      <c r="O65" s="65"/>
      <c r="P65" s="65"/>
      <c r="Q65" s="65"/>
      <c r="R65" s="65"/>
      <c r="S65" s="198"/>
      <c r="T65" s="65"/>
      <c r="U65" s="65"/>
      <c r="V65" s="65"/>
      <c r="W65" s="65"/>
      <c r="X65" s="65"/>
      <c r="Y65" s="198"/>
      <c r="Z65" s="65"/>
      <c r="AA65" s="65"/>
      <c r="AB65" s="65"/>
      <c r="AC65" s="65"/>
      <c r="AD65" s="65"/>
      <c r="AE65" s="65"/>
      <c r="AF65" s="65"/>
      <c r="AG65" s="65"/>
      <c r="AH65" s="65"/>
      <c r="AI65" s="65"/>
      <c r="AJ65" s="65"/>
      <c r="AK65" s="65"/>
      <c r="AL65" s="65"/>
      <c r="AM65" s="65"/>
      <c r="AN65" s="125"/>
      <c r="AO65" s="112"/>
      <c r="AP65" s="62"/>
      <c r="AQ65" s="63"/>
      <c r="AR65" s="63"/>
      <c r="AS65" s="63"/>
      <c r="AT65" s="63"/>
      <c r="AU65" s="64"/>
      <c r="AV65" s="63"/>
      <c r="AW65" s="65"/>
      <c r="AX65" s="65"/>
      <c r="AY65" s="65"/>
      <c r="AZ65" s="65"/>
      <c r="BA65" s="65"/>
      <c r="BB65" s="442"/>
      <c r="BC65" s="326"/>
      <c r="BD65" s="28"/>
      <c r="BF65" s="35"/>
      <c r="BG65" s="35"/>
      <c r="BH65" s="28"/>
      <c r="BI65" s="28"/>
      <c r="BJ65" s="28"/>
      <c r="BK65" s="28"/>
    </row>
    <row r="66" spans="1:91" ht="13.5" customHeight="1">
      <c r="A66" s="22"/>
      <c r="B66" s="202">
        <v>15</v>
      </c>
      <c r="C66" s="443" t="s">
        <v>71</v>
      </c>
      <c r="D66" s="223"/>
      <c r="E66" s="224"/>
      <c r="F66" s="223"/>
      <c r="G66" s="224"/>
      <c r="H66" s="225"/>
      <c r="I66" s="226"/>
      <c r="J66" s="227"/>
      <c r="K66" s="227"/>
      <c r="L66" s="227"/>
      <c r="M66" s="228"/>
      <c r="N66" s="227"/>
      <c r="O66" s="227"/>
      <c r="P66" s="227"/>
      <c r="Q66" s="229"/>
      <c r="R66" s="227"/>
      <c r="S66" s="227"/>
      <c r="T66" s="227"/>
      <c r="U66" s="227"/>
      <c r="V66" s="227"/>
      <c r="W66" s="229"/>
      <c r="X66" s="227"/>
      <c r="Y66" s="227"/>
      <c r="Z66" s="227"/>
      <c r="AA66" s="229"/>
      <c r="AB66" s="227"/>
      <c r="AC66" s="227"/>
      <c r="AD66" s="227"/>
      <c r="AE66" s="227"/>
      <c r="AF66" s="227"/>
      <c r="AG66" s="232"/>
      <c r="AH66" s="227"/>
      <c r="AI66" s="227"/>
      <c r="AJ66" s="227"/>
      <c r="AK66" s="227"/>
      <c r="AL66" s="227"/>
      <c r="AM66" s="227"/>
      <c r="AN66" s="227"/>
      <c r="AO66" s="227"/>
      <c r="AP66" s="227"/>
      <c r="AQ66" s="230"/>
      <c r="AR66" s="227"/>
      <c r="AS66" s="230"/>
      <c r="AT66" s="227"/>
      <c r="AU66" s="227"/>
      <c r="AV66" s="227"/>
      <c r="AW66" s="227"/>
      <c r="AX66" s="227"/>
      <c r="AY66" s="224"/>
      <c r="AZ66" s="224"/>
      <c r="BA66" s="231"/>
      <c r="BB66" s="444"/>
      <c r="BC66" s="326"/>
      <c r="BD66" s="28"/>
      <c r="BH66" s="28"/>
      <c r="BI66" s="28"/>
      <c r="BJ66" s="28"/>
      <c r="BK66" s="28"/>
    </row>
    <row r="67" spans="1:91" ht="13.5" customHeight="1">
      <c r="A67" s="22"/>
      <c r="B67" s="202"/>
      <c r="C67" s="394"/>
      <c r="D67" s="62"/>
      <c r="E67" s="63"/>
      <c r="F67" s="62"/>
      <c r="G67" s="63"/>
      <c r="H67" s="398"/>
      <c r="I67" s="399"/>
      <c r="J67" s="74"/>
      <c r="K67" s="74"/>
      <c r="L67" s="74"/>
      <c r="M67" s="400"/>
      <c r="N67" s="74"/>
      <c r="O67" s="74"/>
      <c r="P67" s="74"/>
      <c r="Q67" s="74"/>
      <c r="R67" s="74"/>
      <c r="S67" s="401"/>
      <c r="T67" s="74"/>
      <c r="U67" s="74"/>
      <c r="V67" s="74"/>
      <c r="W67" s="74"/>
      <c r="X67" s="74"/>
      <c r="Y67" s="74"/>
      <c r="Z67" s="74"/>
      <c r="AA67" s="401"/>
      <c r="AB67" s="65"/>
      <c r="AC67" s="65"/>
      <c r="AD67" s="65"/>
      <c r="AE67" s="198"/>
      <c r="AF67" s="65"/>
      <c r="AG67" s="65"/>
      <c r="AH67" s="65"/>
      <c r="AI67" s="65"/>
      <c r="AJ67" s="65"/>
      <c r="AK67" s="158"/>
      <c r="AL67" s="65"/>
      <c r="AM67" s="65"/>
      <c r="AN67" s="65"/>
      <c r="AO67" s="65"/>
      <c r="AP67" s="65"/>
      <c r="AQ67" s="65"/>
      <c r="AR67" s="65"/>
      <c r="AS67" s="65"/>
      <c r="AT67" s="65"/>
      <c r="AU67" s="125"/>
      <c r="AV67" s="65"/>
      <c r="AW67" s="125"/>
      <c r="AX67" s="65"/>
      <c r="AY67" s="65"/>
      <c r="AZ67" s="65"/>
      <c r="BA67" s="65"/>
      <c r="BB67" s="65"/>
      <c r="BC67" s="326"/>
      <c r="BD67" s="28"/>
      <c r="BF67"/>
      <c r="BG67"/>
      <c r="BH67" s="28"/>
      <c r="BI67" s="28"/>
      <c r="BJ67" s="28"/>
      <c r="BK67" s="28"/>
    </row>
    <row r="68" spans="1:91" ht="13.5" customHeight="1">
      <c r="A68" s="22"/>
      <c r="B68" s="45"/>
      <c r="C68" s="393" t="s">
        <v>181</v>
      </c>
      <c r="D68" s="28"/>
      <c r="E68" s="28"/>
      <c r="F68" s="28"/>
      <c r="G68" s="28"/>
      <c r="H68" s="24"/>
      <c r="I68" s="24"/>
      <c r="J68" s="24"/>
      <c r="K68" s="24"/>
      <c r="L68" s="24"/>
      <c r="M68" s="127"/>
      <c r="N68" s="75"/>
      <c r="O68" s="84"/>
      <c r="P68" s="84"/>
      <c r="Q68" s="84"/>
      <c r="R68" s="84"/>
      <c r="S68" s="85"/>
      <c r="T68" s="75"/>
      <c r="U68" s="75"/>
      <c r="V68" s="75"/>
      <c r="W68" s="75"/>
      <c r="X68" s="75"/>
      <c r="Y68" s="84"/>
      <c r="Z68" s="233" t="s">
        <v>72</v>
      </c>
      <c r="AA68" s="75"/>
      <c r="AB68" s="65"/>
      <c r="AC68" s="28"/>
      <c r="AD68" s="28"/>
      <c r="AE68" s="28"/>
      <c r="AF68" s="28"/>
      <c r="AG68" s="28"/>
      <c r="AH68" s="28"/>
      <c r="AI68" s="28"/>
      <c r="AJ68" s="28"/>
      <c r="AK68" s="28"/>
      <c r="AL68" s="28"/>
      <c r="AM68" s="28"/>
      <c r="AN68" s="28"/>
      <c r="AO68" s="28"/>
      <c r="AP68" s="28"/>
      <c r="AQ68" s="31"/>
      <c r="AR68" s="31"/>
      <c r="AS68" s="31"/>
      <c r="AT68" s="31"/>
      <c r="AU68" s="31"/>
      <c r="AV68" s="31"/>
      <c r="AW68" s="31"/>
      <c r="AX68" s="31"/>
      <c r="AY68" s="31"/>
      <c r="AZ68" s="31"/>
      <c r="BA68" s="31"/>
      <c r="BB68" s="65"/>
      <c r="BC68" s="326"/>
      <c r="BD68" s="28"/>
      <c r="BF68" s="35"/>
      <c r="BG68" s="35"/>
      <c r="BH68" s="28"/>
    </row>
    <row r="69" spans="1:91" ht="13.5" customHeight="1">
      <c r="A69" s="22"/>
      <c r="B69" s="202">
        <v>6</v>
      </c>
      <c r="C69" s="431" t="s">
        <v>32</v>
      </c>
      <c r="D69" s="432" t="s">
        <v>182</v>
      </c>
      <c r="E69" s="445"/>
      <c r="F69" s="445"/>
      <c r="G69" s="446"/>
      <c r="H69" s="447" t="s">
        <v>189</v>
      </c>
      <c r="I69" s="448"/>
      <c r="J69" s="448"/>
      <c r="K69" s="448"/>
      <c r="L69" s="445"/>
      <c r="M69" s="446"/>
      <c r="N69" s="449" t="s">
        <v>190</v>
      </c>
      <c r="O69" s="445"/>
      <c r="P69" s="445"/>
      <c r="Q69" s="445"/>
      <c r="R69" s="445"/>
      <c r="S69" s="446"/>
      <c r="T69" s="449" t="s">
        <v>191</v>
      </c>
      <c r="U69" s="445"/>
      <c r="V69" s="445"/>
      <c r="W69" s="445"/>
      <c r="X69" s="445"/>
      <c r="Y69" s="445"/>
      <c r="Z69" s="450" t="s">
        <v>179</v>
      </c>
      <c r="AA69" s="451"/>
      <c r="AB69" s="451"/>
      <c r="AC69" s="452"/>
      <c r="AD69" s="39"/>
      <c r="AE69" s="39"/>
      <c r="AF69" s="39"/>
      <c r="AG69" s="39"/>
      <c r="AH69" s="39"/>
      <c r="AI69" s="118"/>
      <c r="AJ69" s="118"/>
      <c r="AK69" s="118"/>
      <c r="AL69" s="118"/>
      <c r="AM69" s="118"/>
      <c r="AN69" s="118"/>
      <c r="AO69" s="118"/>
      <c r="AP69" s="118"/>
      <c r="AQ69" s="118"/>
      <c r="AR69" s="118"/>
      <c r="AS69" s="118"/>
      <c r="AT69" s="118"/>
      <c r="AU69" s="118"/>
      <c r="AV69" s="118"/>
      <c r="AW69" s="118"/>
      <c r="AX69" s="118"/>
      <c r="AY69" s="118"/>
      <c r="AZ69" s="118"/>
      <c r="BA69" s="118"/>
      <c r="BB69" s="440"/>
      <c r="BC69" s="326"/>
      <c r="BD69" s="28"/>
      <c r="BF69" s="35"/>
      <c r="BG69" s="35"/>
      <c r="BH69" s="28"/>
    </row>
    <row r="70" spans="1:91" ht="13.5" customHeight="1">
      <c r="A70" s="22"/>
      <c r="B70" s="202">
        <v>8</v>
      </c>
      <c r="C70" s="441">
        <v>1</v>
      </c>
      <c r="D70" s="148" t="s">
        <v>180</v>
      </c>
      <c r="E70" s="149"/>
      <c r="F70" s="149"/>
      <c r="G70" s="99" t="s">
        <v>33</v>
      </c>
      <c r="H70" s="242"/>
      <c r="I70" s="150"/>
      <c r="J70" s="150"/>
      <c r="K70" s="150"/>
      <c r="L70" s="161"/>
      <c r="M70" s="162"/>
      <c r="N70" s="1063">
        <v>5000</v>
      </c>
      <c r="O70" s="1061"/>
      <c r="P70" s="1061"/>
      <c r="Q70" s="1061"/>
      <c r="R70" s="1061"/>
      <c r="S70" s="1062"/>
      <c r="T70" s="1063">
        <v>5000</v>
      </c>
      <c r="U70" s="1061"/>
      <c r="V70" s="1061"/>
      <c r="W70" s="1061"/>
      <c r="X70" s="1061"/>
      <c r="Y70" s="1062"/>
      <c r="Z70" s="1064">
        <v>10</v>
      </c>
      <c r="AA70" s="1065"/>
      <c r="AB70" s="1065"/>
      <c r="AC70" s="1066"/>
      <c r="AD70" s="28"/>
      <c r="AE70" s="28"/>
      <c r="AF70" s="28"/>
      <c r="AG70" s="28"/>
      <c r="AH70" s="28"/>
      <c r="AI70" s="35"/>
      <c r="AJ70" s="35"/>
      <c r="AK70" s="35"/>
      <c r="AL70" s="35"/>
      <c r="AM70" s="35"/>
      <c r="AN70" s="35"/>
      <c r="AO70" s="35"/>
      <c r="AP70" s="35"/>
      <c r="AQ70" s="35"/>
      <c r="AR70" s="35"/>
      <c r="AS70" s="35"/>
      <c r="AT70" s="35"/>
      <c r="AU70" s="35"/>
      <c r="AV70" s="35"/>
      <c r="AW70" s="35"/>
      <c r="AX70" s="35"/>
      <c r="AY70" s="35"/>
      <c r="AZ70" s="35"/>
      <c r="BA70" s="35"/>
      <c r="BB70" s="153"/>
      <c r="BC70" s="326"/>
      <c r="BD70" s="28"/>
      <c r="BF70" s="35"/>
      <c r="BG70" s="35"/>
      <c r="BH70" s="28"/>
    </row>
    <row r="71" spans="1:91" ht="13.5" customHeight="1">
      <c r="A71" s="22"/>
      <c r="B71" s="202">
        <v>14</v>
      </c>
      <c r="C71" s="453"/>
      <c r="D71" s="67"/>
      <c r="E71" s="67"/>
      <c r="F71" s="67"/>
      <c r="G71" s="67"/>
      <c r="H71" s="67"/>
      <c r="I71" s="67"/>
      <c r="J71" s="67"/>
      <c r="K71" s="395"/>
      <c r="L71" s="67"/>
      <c r="M71" s="67"/>
      <c r="N71" s="67"/>
      <c r="O71" s="67"/>
      <c r="P71" s="67"/>
      <c r="Q71" s="395"/>
      <c r="R71" s="67"/>
      <c r="S71" s="67"/>
      <c r="T71" s="67"/>
      <c r="U71" s="395"/>
      <c r="V71" s="67"/>
      <c r="W71" s="67"/>
      <c r="X71" s="67"/>
      <c r="Y71" s="67"/>
      <c r="Z71" s="67"/>
      <c r="AA71" s="67"/>
      <c r="AB71" s="67"/>
      <c r="AC71" s="67"/>
      <c r="AD71" s="67"/>
      <c r="AE71" s="67"/>
      <c r="AF71" s="67"/>
      <c r="AG71" s="67"/>
      <c r="AH71" s="67"/>
      <c r="AI71" s="67"/>
      <c r="AJ71" s="454"/>
      <c r="AK71" s="455"/>
      <c r="AL71" s="105"/>
      <c r="AM71" s="100"/>
      <c r="AN71" s="100"/>
      <c r="AO71" s="100"/>
      <c r="AP71" s="100"/>
      <c r="AQ71" s="101"/>
      <c r="AR71" s="100"/>
      <c r="AS71" s="67"/>
      <c r="AT71" s="67"/>
      <c r="AU71" s="67"/>
      <c r="AV71" s="67"/>
      <c r="AW71" s="67"/>
      <c r="AX71" s="67"/>
      <c r="AY71" s="100"/>
      <c r="AZ71" s="52"/>
      <c r="BA71" s="38"/>
      <c r="BB71" s="154"/>
      <c r="BC71" s="326"/>
      <c r="BD71" s="28"/>
    </row>
    <row r="72" spans="1:91" ht="13.5" customHeight="1">
      <c r="A72" s="22"/>
      <c r="B72" s="202">
        <v>15</v>
      </c>
      <c r="C72" s="313" t="s">
        <v>71</v>
      </c>
      <c r="D72" s="223"/>
      <c r="E72" s="224"/>
      <c r="F72" s="223"/>
      <c r="G72" s="224"/>
      <c r="H72" s="225"/>
      <c r="I72" s="226"/>
      <c r="J72" s="227"/>
      <c r="K72" s="227"/>
      <c r="L72" s="227"/>
      <c r="M72" s="228"/>
      <c r="N72" s="227"/>
      <c r="O72" s="227"/>
      <c r="P72" s="227"/>
      <c r="Q72" s="229"/>
      <c r="R72" s="227"/>
      <c r="S72" s="227"/>
      <c r="T72" s="227"/>
      <c r="U72" s="227"/>
      <c r="V72" s="227"/>
      <c r="W72" s="229"/>
      <c r="X72" s="227"/>
      <c r="Y72" s="227"/>
      <c r="Z72" s="227"/>
      <c r="AA72" s="229"/>
      <c r="AB72" s="227"/>
      <c r="AC72" s="227"/>
      <c r="AD72" s="227"/>
      <c r="AE72" s="227"/>
      <c r="AF72" s="227"/>
      <c r="AG72" s="232"/>
      <c r="AH72" s="227"/>
      <c r="AI72" s="227"/>
      <c r="AJ72" s="227"/>
      <c r="AK72" s="227"/>
      <c r="AL72" s="227"/>
      <c r="AM72" s="227"/>
      <c r="AN72" s="227"/>
      <c r="AO72" s="227"/>
      <c r="AP72" s="227"/>
      <c r="AQ72" s="230"/>
      <c r="AR72" s="227"/>
      <c r="AS72" s="230"/>
      <c r="AT72" s="227"/>
      <c r="AU72" s="227"/>
      <c r="AV72" s="227"/>
      <c r="AW72" s="227"/>
      <c r="AX72" s="227"/>
      <c r="AY72" s="224"/>
      <c r="AZ72" s="224"/>
      <c r="BA72" s="231"/>
      <c r="BB72" s="231"/>
      <c r="BC72" s="326"/>
      <c r="BD72" s="28"/>
    </row>
    <row r="73" spans="1:91" ht="13.5" customHeight="1">
      <c r="A73" s="22"/>
      <c r="B73" s="202">
        <v>16</v>
      </c>
      <c r="C73" s="310"/>
      <c r="D73" s="65"/>
      <c r="E73" s="65"/>
      <c r="F73" s="65"/>
      <c r="G73" s="65"/>
      <c r="H73" s="65"/>
      <c r="I73" s="65"/>
      <c r="J73" s="65"/>
      <c r="K73" s="65"/>
      <c r="L73" s="65"/>
      <c r="M73" s="62"/>
      <c r="N73" s="65"/>
      <c r="O73" s="65"/>
      <c r="P73" s="63"/>
      <c r="Q73" s="64"/>
      <c r="R73" s="63"/>
      <c r="S73" s="111"/>
      <c r="T73" s="112"/>
      <c r="U73" s="111"/>
      <c r="V73" s="112"/>
      <c r="W73" s="111"/>
      <c r="X73" s="111"/>
      <c r="Y73" s="111"/>
      <c r="Z73" s="111"/>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3"/>
      <c r="AZ73" s="53"/>
      <c r="BA73" s="323"/>
      <c r="BB73" s="324"/>
      <c r="BC73" s="326"/>
      <c r="BD73" s="28"/>
    </row>
    <row r="74" spans="1:91" ht="13.5" customHeight="1">
      <c r="A74" s="22"/>
      <c r="B74" s="202">
        <v>17</v>
      </c>
      <c r="C74" s="310"/>
      <c r="D74" s="65"/>
      <c r="E74" s="65"/>
      <c r="F74" s="65"/>
      <c r="G74" s="65"/>
      <c r="H74" s="126"/>
      <c r="I74" s="65"/>
      <c r="J74" s="65"/>
      <c r="K74" s="65"/>
      <c r="L74" s="198"/>
      <c r="M74" s="65"/>
      <c r="N74" s="65"/>
      <c r="O74" s="65"/>
      <c r="P74" s="198"/>
      <c r="Q74" s="65"/>
      <c r="R74" s="65"/>
      <c r="S74" s="65"/>
      <c r="T74" s="198"/>
      <c r="U74" s="65"/>
      <c r="V74" s="65"/>
      <c r="W74" s="65"/>
      <c r="X74" s="65"/>
      <c r="Y74" s="65"/>
      <c r="Z74" s="65"/>
      <c r="AA74" s="65"/>
      <c r="AB74" s="65"/>
      <c r="AC74" s="65"/>
      <c r="AD74" s="65"/>
      <c r="AE74" s="65"/>
      <c r="AF74" s="65"/>
      <c r="AG74" s="65"/>
      <c r="AH74" s="65"/>
      <c r="AI74" s="65"/>
      <c r="AJ74" s="65"/>
      <c r="AK74" s="125"/>
      <c r="AL74" s="65"/>
      <c r="AM74" s="65"/>
      <c r="AN74" s="65"/>
      <c r="AO74" s="65"/>
      <c r="AP74" s="65"/>
      <c r="AQ74" s="65"/>
      <c r="AR74" s="65"/>
      <c r="AS74" s="65"/>
      <c r="AT74" s="65"/>
      <c r="AU74" s="65"/>
      <c r="AV74" s="65"/>
      <c r="AW74" s="65"/>
      <c r="AX74" s="65"/>
      <c r="AY74" s="63"/>
      <c r="AZ74" s="31"/>
      <c r="BA74" s="30"/>
      <c r="BB74" s="175"/>
      <c r="BC74" s="326"/>
      <c r="BD74" s="28"/>
    </row>
    <row r="75" spans="1:91" ht="5.15" customHeight="1">
      <c r="A75" s="22"/>
      <c r="B75" s="202"/>
      <c r="C75" s="315"/>
      <c r="D75" s="73"/>
      <c r="E75" s="73"/>
      <c r="F75" s="73"/>
      <c r="G75" s="73"/>
      <c r="H75" s="316"/>
      <c r="I75" s="275"/>
      <c r="J75" s="273"/>
      <c r="K75" s="275"/>
      <c r="L75" s="273"/>
      <c r="M75" s="317"/>
      <c r="N75" s="317"/>
      <c r="O75" s="270"/>
      <c r="P75" s="317"/>
      <c r="Q75" s="270"/>
      <c r="R75" s="317"/>
      <c r="S75" s="73"/>
      <c r="T75" s="73"/>
      <c r="U75" s="73"/>
      <c r="V75" s="73"/>
      <c r="W75" s="73"/>
      <c r="X75" s="316"/>
      <c r="Y75" s="275"/>
      <c r="Z75" s="273"/>
      <c r="AA75" s="275"/>
      <c r="AB75" s="273"/>
      <c r="AC75" s="317"/>
      <c r="AD75" s="317"/>
      <c r="AE75" s="270"/>
      <c r="AF75" s="317"/>
      <c r="AG75" s="270"/>
      <c r="AH75" s="317"/>
      <c r="AI75" s="276"/>
      <c r="AJ75" s="317"/>
      <c r="AK75" s="270"/>
      <c r="AL75" s="73"/>
      <c r="AM75" s="73"/>
      <c r="AN75" s="73"/>
      <c r="AO75" s="73"/>
      <c r="AP75" s="73"/>
      <c r="AQ75" s="73"/>
      <c r="AR75" s="73"/>
      <c r="AS75" s="73"/>
      <c r="AT75" s="73"/>
      <c r="AU75" s="73"/>
      <c r="AV75" s="318"/>
      <c r="AW75" s="73"/>
      <c r="AX75" s="73"/>
      <c r="AY75" s="269"/>
      <c r="AZ75" s="269"/>
      <c r="BA75" s="319"/>
      <c r="BB75" s="320"/>
      <c r="BC75" s="321"/>
      <c r="BD75" s="28"/>
    </row>
    <row r="76" spans="1:91" ht="13.5" customHeight="1">
      <c r="A76" s="22"/>
      <c r="B76" s="202">
        <v>18</v>
      </c>
      <c r="C76" s="75"/>
      <c r="D76" s="63"/>
      <c r="E76" s="63"/>
      <c r="F76" s="63"/>
      <c r="G76" s="63"/>
      <c r="H76" s="69"/>
      <c r="I76" s="69"/>
      <c r="J76" s="65"/>
      <c r="K76" s="69"/>
      <c r="L76" s="65"/>
      <c r="M76" s="69"/>
      <c r="N76" s="64"/>
      <c r="O76" s="69"/>
      <c r="P76" s="65"/>
      <c r="Q76" s="65"/>
      <c r="R76" s="65"/>
      <c r="S76" s="63"/>
      <c r="T76" s="63"/>
      <c r="U76" s="63"/>
      <c r="V76" s="63"/>
      <c r="W76" s="63"/>
      <c r="X76" s="64"/>
      <c r="Y76" s="63"/>
      <c r="Z76" s="65"/>
      <c r="AA76" s="64"/>
      <c r="AB76" s="63"/>
      <c r="AC76" s="65"/>
      <c r="AD76" s="64"/>
      <c r="AE76" s="65"/>
      <c r="AF76" s="65"/>
      <c r="AG76" s="64"/>
      <c r="AH76" s="65"/>
      <c r="AI76" s="65"/>
      <c r="AJ76" s="126"/>
      <c r="AK76" s="65"/>
      <c r="AL76" s="65"/>
      <c r="AM76" s="65"/>
      <c r="AN76" s="65"/>
      <c r="AO76" s="65"/>
      <c r="AP76" s="65"/>
      <c r="AQ76" s="65"/>
      <c r="AR76" s="65"/>
      <c r="AS76" s="65"/>
      <c r="AT76" s="65"/>
      <c r="AU76" s="65"/>
      <c r="AV76" s="65"/>
      <c r="AW76" s="65"/>
      <c r="AX76" s="65"/>
      <c r="AY76" s="63"/>
      <c r="AZ76" s="264"/>
      <c r="BA76" s="301"/>
      <c r="BB76" s="302"/>
      <c r="BC76" s="343"/>
      <c r="BD76" s="28"/>
    </row>
    <row r="77" spans="1:91" ht="13.5" customHeight="1">
      <c r="A77" s="22"/>
      <c r="B77" s="202">
        <v>20</v>
      </c>
      <c r="C77" s="204" t="s">
        <v>78</v>
      </c>
      <c r="D77" s="28"/>
      <c r="E77" s="28"/>
      <c r="F77" s="28"/>
      <c r="G77" s="28"/>
      <c r="H77" s="121"/>
      <c r="I77" s="62"/>
      <c r="J77" s="63"/>
      <c r="K77" s="62"/>
      <c r="L77" s="63"/>
      <c r="M77" s="69"/>
      <c r="N77" s="69"/>
      <c r="O77" s="65"/>
      <c r="P77" s="69"/>
      <c r="Q77" s="65"/>
      <c r="R77" s="69"/>
      <c r="S77" s="28"/>
      <c r="T77" s="28"/>
      <c r="U77" s="28"/>
      <c r="V77" s="28"/>
      <c r="W77" s="28"/>
      <c r="X77" s="121"/>
      <c r="Y77" s="62"/>
      <c r="Z77" s="63"/>
      <c r="AA77" s="62"/>
      <c r="AB77" s="63"/>
      <c r="AC77" s="69"/>
      <c r="AD77" s="69"/>
      <c r="AE77" s="65"/>
      <c r="AF77" s="69"/>
      <c r="AG77" s="65"/>
      <c r="AH77" s="69"/>
      <c r="AI77" s="64"/>
      <c r="AJ77" s="69"/>
      <c r="AK77" s="65"/>
      <c r="AL77" s="28"/>
      <c r="AM77" s="28"/>
      <c r="AN77" s="28"/>
      <c r="AO77" s="28"/>
      <c r="AP77" s="28"/>
      <c r="AQ77" s="28"/>
      <c r="AR77" s="28"/>
      <c r="AS77" s="28"/>
      <c r="AT77" s="28"/>
      <c r="AU77" s="28"/>
      <c r="AV77" s="233"/>
      <c r="AW77" s="28"/>
      <c r="AX77" s="28"/>
      <c r="AY77" s="31"/>
      <c r="AZ77" s="269"/>
      <c r="BA77" s="319"/>
      <c r="BB77" s="320"/>
      <c r="BC77" s="344"/>
      <c r="BD77" s="28"/>
    </row>
    <row r="78" spans="1:91" ht="5.15" customHeight="1">
      <c r="A78" s="22"/>
      <c r="B78" s="202"/>
      <c r="C78" s="296"/>
      <c r="D78" s="72"/>
      <c r="E78" s="72"/>
      <c r="F78" s="72"/>
      <c r="G78" s="72"/>
      <c r="H78" s="297"/>
      <c r="I78" s="278"/>
      <c r="J78" s="279"/>
      <c r="K78" s="278"/>
      <c r="L78" s="279"/>
      <c r="M78" s="298"/>
      <c r="N78" s="298"/>
      <c r="O78" s="263"/>
      <c r="P78" s="298"/>
      <c r="Q78" s="263"/>
      <c r="R78" s="298"/>
      <c r="S78" s="72"/>
      <c r="T78" s="72"/>
      <c r="U78" s="72"/>
      <c r="V78" s="72"/>
      <c r="W78" s="72"/>
      <c r="X78" s="297"/>
      <c r="Y78" s="278"/>
      <c r="Z78" s="279"/>
      <c r="AA78" s="278"/>
      <c r="AB78" s="279"/>
      <c r="AC78" s="298"/>
      <c r="AD78" s="298"/>
      <c r="AE78" s="263"/>
      <c r="AF78" s="298"/>
      <c r="AG78" s="263"/>
      <c r="AH78" s="298"/>
      <c r="AI78" s="280"/>
      <c r="AJ78" s="298"/>
      <c r="AK78" s="263"/>
      <c r="AL78" s="72"/>
      <c r="AM78" s="72"/>
      <c r="AN78" s="72"/>
      <c r="AO78" s="72"/>
      <c r="AP78" s="72"/>
      <c r="AQ78" s="72"/>
      <c r="AR78" s="72"/>
      <c r="AS78" s="72"/>
      <c r="AT78" s="72"/>
      <c r="AU78" s="72"/>
      <c r="AV78" s="300"/>
      <c r="AW78" s="72"/>
      <c r="AX78" s="72"/>
      <c r="AY78" s="264"/>
      <c r="AZ78" s="264"/>
      <c r="BA78" s="301"/>
      <c r="BB78" s="302"/>
      <c r="BC78" s="303"/>
      <c r="BD78" s="28"/>
    </row>
    <row r="79" spans="1:91" ht="13.5" customHeight="1">
      <c r="A79" s="22"/>
      <c r="B79" s="202">
        <v>21</v>
      </c>
      <c r="C79" s="304" t="s">
        <v>32</v>
      </c>
      <c r="D79" s="234" t="s">
        <v>260</v>
      </c>
      <c r="E79" s="235"/>
      <c r="F79" s="234" t="s">
        <v>64</v>
      </c>
      <c r="G79" s="235"/>
      <c r="H79" s="235"/>
      <c r="I79" s="236"/>
      <c r="J79" s="237" t="s">
        <v>34</v>
      </c>
      <c r="K79" s="238"/>
      <c r="L79" s="238"/>
      <c r="M79" s="238"/>
      <c r="N79" s="235"/>
      <c r="O79" s="236"/>
      <c r="P79" s="239" t="s">
        <v>67</v>
      </c>
      <c r="Q79" s="240"/>
      <c r="R79" s="240"/>
      <c r="S79" s="241"/>
      <c r="T79" s="239" t="s">
        <v>151</v>
      </c>
      <c r="U79" s="240"/>
      <c r="V79" s="240"/>
      <c r="W79" s="241"/>
      <c r="X79" s="234" t="s">
        <v>79</v>
      </c>
      <c r="Y79" s="235"/>
      <c r="Z79" s="235"/>
      <c r="AA79" s="236"/>
      <c r="AB79" s="234" t="s">
        <v>80</v>
      </c>
      <c r="AC79" s="235"/>
      <c r="AD79" s="235"/>
      <c r="AE79" s="235"/>
      <c r="AF79" s="239" t="s">
        <v>65</v>
      </c>
      <c r="AG79" s="240"/>
      <c r="AH79" s="240"/>
      <c r="AI79" s="240"/>
      <c r="AJ79" s="241"/>
      <c r="AK79" s="240" t="s">
        <v>210</v>
      </c>
      <c r="AL79" s="240"/>
      <c r="AM79" s="240"/>
      <c r="AN79" s="241"/>
      <c r="AO79" s="240" t="s">
        <v>162</v>
      </c>
      <c r="AP79" s="240"/>
      <c r="AQ79" s="240"/>
      <c r="AR79" s="241"/>
      <c r="AS79" s="240" t="s">
        <v>211</v>
      </c>
      <c r="AT79" s="240"/>
      <c r="AU79" s="240"/>
      <c r="AV79" s="241"/>
      <c r="AW79" s="240" t="s">
        <v>66</v>
      </c>
      <c r="AX79" s="240"/>
      <c r="AY79" s="240"/>
      <c r="AZ79" s="241"/>
      <c r="BA79" s="239" t="s">
        <v>212</v>
      </c>
      <c r="BB79" s="240"/>
      <c r="BC79" s="240"/>
      <c r="BD79" s="241"/>
      <c r="BE79" s="239" t="s">
        <v>213</v>
      </c>
      <c r="BF79" s="240"/>
      <c r="BG79" s="240"/>
      <c r="BH79" s="240"/>
      <c r="BI79" s="239" t="s">
        <v>199</v>
      </c>
      <c r="BJ79" s="240"/>
      <c r="BK79" s="240"/>
      <c r="BL79" s="241"/>
      <c r="BM79" s="239" t="s">
        <v>214</v>
      </c>
      <c r="BN79" s="240"/>
      <c r="BO79" s="240"/>
      <c r="BP79" s="241"/>
      <c r="BQ79" s="239" t="s">
        <v>215</v>
      </c>
      <c r="BR79" s="240"/>
      <c r="BS79" s="240"/>
      <c r="BT79" s="241"/>
      <c r="BU79" s="239" t="s">
        <v>83</v>
      </c>
      <c r="BV79" s="240"/>
      <c r="BW79" s="240"/>
      <c r="BX79" s="241"/>
      <c r="BY79" s="239" t="s">
        <v>84</v>
      </c>
      <c r="BZ79" s="240"/>
      <c r="CA79" s="240"/>
      <c r="CB79" s="241"/>
      <c r="CC79" s="240" t="s">
        <v>85</v>
      </c>
      <c r="CD79" s="240"/>
      <c r="CE79" s="241"/>
      <c r="CF79" s="240" t="s">
        <v>86</v>
      </c>
      <c r="CG79" s="240"/>
      <c r="CH79" s="240"/>
      <c r="CI79" s="241"/>
      <c r="CJ79" s="240" t="s">
        <v>69</v>
      </c>
      <c r="CK79" s="240"/>
      <c r="CL79" s="240"/>
      <c r="CM79" s="241"/>
    </row>
    <row r="80" spans="1:91" ht="13.5" customHeight="1">
      <c r="A80" s="22"/>
      <c r="B80" s="202">
        <v>22</v>
      </c>
      <c r="C80" s="308">
        <v>1</v>
      </c>
      <c r="D80" s="148" t="str">
        <f>N56</f>
        <v>FH</v>
      </c>
      <c r="E80" s="149"/>
      <c r="F80" s="148" t="str">
        <f>D56</f>
        <v>5802922450</v>
      </c>
      <c r="G80" s="149"/>
      <c r="H80" s="149"/>
      <c r="I80" s="151"/>
      <c r="J80" s="242" t="str">
        <f>H56</f>
        <v>FH35C-21S-0.3SHW(50)</v>
      </c>
      <c r="K80" s="150"/>
      <c r="L80" s="150"/>
      <c r="M80" s="150"/>
      <c r="N80" s="161"/>
      <c r="O80" s="162"/>
      <c r="P80" s="148" t="s">
        <v>93</v>
      </c>
      <c r="Q80" s="150"/>
      <c r="R80" s="150"/>
      <c r="S80" s="162"/>
      <c r="T80" s="148" t="str">
        <f>AE56</f>
        <v>USD</v>
      </c>
      <c r="U80" s="150"/>
      <c r="V80" s="150"/>
      <c r="W80" s="162"/>
      <c r="X80" s="1002">
        <f>R56</f>
        <v>2000000</v>
      </c>
      <c r="Y80" s="1003"/>
      <c r="Z80" s="1003"/>
      <c r="AA80" s="1004"/>
      <c r="AB80" s="1042">
        <f>Z56/111</f>
        <v>4.7657657657657657E-2</v>
      </c>
      <c r="AC80" s="1043"/>
      <c r="AD80" s="1043"/>
      <c r="AE80" s="1044"/>
      <c r="AF80" s="1042">
        <f>BC56</f>
        <v>0.11</v>
      </c>
      <c r="AG80" s="1043"/>
      <c r="AH80" s="1043"/>
      <c r="AI80" s="1043"/>
      <c r="AJ80" s="1044"/>
      <c r="AK80" s="1042">
        <f>AM56</f>
        <v>9.4E-2</v>
      </c>
      <c r="AL80" s="1043"/>
      <c r="AM80" s="1043"/>
      <c r="AN80" s="1044"/>
      <c r="AO80" s="1042">
        <f>AI56</f>
        <v>9.2200000000000004E-2</v>
      </c>
      <c r="AP80" s="1043"/>
      <c r="AQ80" s="1043"/>
      <c r="AR80" s="1044"/>
      <c r="AS80" s="1042">
        <f>AI56/(1-AQ56)</f>
        <v>9.3131313131313134E-2</v>
      </c>
      <c r="AT80" s="1043"/>
      <c r="AU80" s="1043"/>
      <c r="AV80" s="1044"/>
      <c r="AW80" s="1042">
        <f>AO80-(AS80*$K$20)</f>
        <v>8.7543434343434354E-2</v>
      </c>
      <c r="AX80" s="1043"/>
      <c r="AY80" s="1043"/>
      <c r="AZ80" s="1044"/>
      <c r="BA80" s="996">
        <f>1-Z56/111/AW80</f>
        <v>0.4556112858138982</v>
      </c>
      <c r="BB80" s="997"/>
      <c r="BC80" s="997"/>
      <c r="BD80" s="998"/>
      <c r="BE80" s="1023">
        <f>(AI56-AM56)/AM56</f>
        <v>-1.9148936170212724E-2</v>
      </c>
      <c r="BF80" s="1024"/>
      <c r="BG80" s="1024"/>
      <c r="BH80" s="1025"/>
      <c r="BI80" s="1074">
        <f>AU56</f>
        <v>0.1012</v>
      </c>
      <c r="BJ80" s="1075"/>
      <c r="BK80" s="1075"/>
      <c r="BL80" s="1076"/>
      <c r="BM80" s="1026">
        <f>1-AI56/(1-AQ56)/AU56</f>
        <v>7.9730107398091499E-2</v>
      </c>
      <c r="BN80" s="1027"/>
      <c r="BO80" s="1027"/>
      <c r="BP80" s="1028"/>
      <c r="BQ80" s="1026">
        <f>1-(Z56/111+AI56*AQ56+AS80*$K$20)/AU56</f>
        <v>0.47395036250767475</v>
      </c>
      <c r="BR80" s="1027"/>
      <c r="BS80" s="1027"/>
      <c r="BT80" s="1028"/>
      <c r="BU80" s="1045">
        <f>AY56</f>
        <v>0.11</v>
      </c>
      <c r="BV80" s="1046"/>
      <c r="BW80" s="1046"/>
      <c r="BX80" s="1047"/>
      <c r="BY80" s="1026">
        <f>1-AU56/AY56</f>
        <v>8.0000000000000071E-2</v>
      </c>
      <c r="BZ80" s="1027"/>
      <c r="CA80" s="1027"/>
      <c r="CB80" s="1028"/>
      <c r="CC80" s="1014">
        <f>BG56</f>
        <v>4.3904761904761903E-3</v>
      </c>
      <c r="CD80" s="1015"/>
      <c r="CE80" s="1016"/>
      <c r="CF80" s="149" t="str">
        <f>BJ56</f>
        <v>JAE</v>
      </c>
      <c r="CG80" s="150"/>
      <c r="CH80" s="150"/>
      <c r="CI80" s="152"/>
      <c r="CJ80" s="149" t="s">
        <v>30</v>
      </c>
      <c r="CK80" s="150"/>
      <c r="CL80" s="150"/>
      <c r="CM80" s="152"/>
    </row>
    <row r="81" spans="1:91" ht="13.5" customHeight="1">
      <c r="A81" s="22"/>
      <c r="B81" s="202">
        <v>23</v>
      </c>
      <c r="C81" s="308">
        <v>2</v>
      </c>
      <c r="D81" s="148" t="str">
        <f>N57</f>
        <v>FH</v>
      </c>
      <c r="E81" s="149"/>
      <c r="F81" s="148" t="str">
        <f>D57</f>
        <v>5801232050</v>
      </c>
      <c r="G81" s="149"/>
      <c r="H81" s="149"/>
      <c r="I81" s="151"/>
      <c r="J81" s="242" t="str">
        <f>H57</f>
        <v>FH34SRJ-30S-0.5SH(50)</v>
      </c>
      <c r="K81" s="150"/>
      <c r="L81" s="150"/>
      <c r="M81" s="150"/>
      <c r="N81" s="161"/>
      <c r="O81" s="162"/>
      <c r="P81" s="148" t="s">
        <v>93</v>
      </c>
      <c r="Q81" s="150"/>
      <c r="R81" s="150"/>
      <c r="S81" s="162"/>
      <c r="T81" s="148" t="str">
        <f>AE57</f>
        <v>USD</v>
      </c>
      <c r="U81" s="150"/>
      <c r="V81" s="150"/>
      <c r="W81" s="162"/>
      <c r="X81" s="1002">
        <f>R57</f>
        <v>20000</v>
      </c>
      <c r="Y81" s="1003"/>
      <c r="Z81" s="1003"/>
      <c r="AA81" s="1004"/>
      <c r="AB81" s="1042">
        <f>Z57/111</f>
        <v>9.90990990990991E-2</v>
      </c>
      <c r="AC81" s="1043"/>
      <c r="AD81" s="1043"/>
      <c r="AE81" s="1044"/>
      <c r="AF81" s="1042">
        <f>BC57</f>
        <v>0.156</v>
      </c>
      <c r="AG81" s="1043"/>
      <c r="AH81" s="1043"/>
      <c r="AI81" s="1043"/>
      <c r="AJ81" s="1044"/>
      <c r="AK81" s="1042">
        <f>AM57</f>
        <v>0.13</v>
      </c>
      <c r="AL81" s="1043"/>
      <c r="AM81" s="1043"/>
      <c r="AN81" s="1044"/>
      <c r="AO81" s="1042">
        <f>AI57</f>
        <v>0.12970000000000001</v>
      </c>
      <c r="AP81" s="1043"/>
      <c r="AQ81" s="1043"/>
      <c r="AR81" s="1044"/>
      <c r="AS81" s="1042">
        <f>AI57/(1-AQ57)</f>
        <v>0.13101010101010102</v>
      </c>
      <c r="AT81" s="1043"/>
      <c r="AU81" s="1043"/>
      <c r="AV81" s="1044"/>
      <c r="AW81" s="1042">
        <f>AO81-(AS81*$K$20)</f>
        <v>0.12314949494949495</v>
      </c>
      <c r="AX81" s="1043"/>
      <c r="AY81" s="1043"/>
      <c r="AZ81" s="1044"/>
      <c r="BA81" s="996">
        <f>1-Z57/111/AW81</f>
        <v>0.19529431168401623</v>
      </c>
      <c r="BB81" s="997"/>
      <c r="BC81" s="997"/>
      <c r="BD81" s="998"/>
      <c r="BE81" s="1023">
        <f>(AI57-AM57)/AM57</f>
        <v>-2.3076923076922671E-3</v>
      </c>
      <c r="BF81" s="1024"/>
      <c r="BG81" s="1024"/>
      <c r="BH81" s="1025"/>
      <c r="BI81" s="1074">
        <f>AU57</f>
        <v>0.13600000000000001</v>
      </c>
      <c r="BJ81" s="1075"/>
      <c r="BK81" s="1075"/>
      <c r="BL81" s="1076"/>
      <c r="BM81" s="1026">
        <f>1-AI57/(1-AQ57)/AU57</f>
        <v>3.669043374925729E-2</v>
      </c>
      <c r="BN81" s="1027"/>
      <c r="BO81" s="1027"/>
      <c r="BP81" s="1028"/>
      <c r="BQ81" s="1026">
        <f>1-(Z57/111+AI57*AQ57+AS81*$K$20)/AU57</f>
        <v>0.21362791066467535</v>
      </c>
      <c r="BR81" s="1027"/>
      <c r="BS81" s="1027"/>
      <c r="BT81" s="1028"/>
      <c r="BU81" s="1045">
        <f>AY57</f>
        <v>0.156</v>
      </c>
      <c r="BV81" s="1046"/>
      <c r="BW81" s="1046"/>
      <c r="BX81" s="1047"/>
      <c r="BY81" s="1026">
        <f>1-AU57/AY57</f>
        <v>0.12820512820512819</v>
      </c>
      <c r="BZ81" s="1027"/>
      <c r="CA81" s="1027"/>
      <c r="CB81" s="1028"/>
      <c r="CC81" s="1014">
        <f>BG57</f>
        <v>6.1761904761904766E-3</v>
      </c>
      <c r="CD81" s="1015"/>
      <c r="CE81" s="1016"/>
      <c r="CF81" s="149" t="str">
        <f>BJ57</f>
        <v>TE</v>
      </c>
      <c r="CG81" s="150"/>
      <c r="CH81" s="150"/>
      <c r="CI81" s="152"/>
      <c r="CJ81" s="149" t="s">
        <v>30</v>
      </c>
      <c r="CK81" s="150"/>
      <c r="CL81" s="150"/>
      <c r="CM81" s="152"/>
    </row>
    <row r="82" spans="1:91" ht="13.5" customHeight="1">
      <c r="A82" s="22"/>
      <c r="B82" s="202">
        <v>20</v>
      </c>
      <c r="C82" s="337" t="s">
        <v>281</v>
      </c>
      <c r="D82" s="28"/>
      <c r="E82" s="28"/>
      <c r="F82" s="28"/>
      <c r="G82" s="28"/>
      <c r="H82" s="121"/>
      <c r="I82" s="62"/>
      <c r="J82" s="63"/>
      <c r="K82" s="62"/>
      <c r="L82" s="63"/>
      <c r="M82" s="69"/>
      <c r="N82" s="69"/>
      <c r="O82" s="65"/>
      <c r="P82" s="69"/>
      <c r="Q82" s="65"/>
      <c r="R82" s="69"/>
      <c r="S82" s="28"/>
      <c r="T82" s="28"/>
      <c r="U82" s="28"/>
      <c r="V82" s="28"/>
      <c r="W82" s="28"/>
      <c r="X82" s="121"/>
      <c r="Y82" s="62"/>
      <c r="Z82" s="63"/>
      <c r="AA82" s="62"/>
      <c r="AB82" s="63"/>
      <c r="AC82" s="69"/>
      <c r="AD82" s="69"/>
      <c r="AE82" s="65"/>
      <c r="AF82" s="69"/>
      <c r="AG82" s="65"/>
      <c r="AH82" s="69"/>
      <c r="AI82" s="64"/>
      <c r="AJ82" s="69"/>
      <c r="AK82" s="65"/>
      <c r="AL82" s="28"/>
      <c r="AM82" s="28"/>
      <c r="AN82" s="28"/>
      <c r="AO82" s="28"/>
      <c r="AP82" s="28"/>
      <c r="AQ82" s="28"/>
      <c r="AR82" s="28"/>
      <c r="AS82" s="28"/>
      <c r="AT82" s="28"/>
      <c r="AU82" s="28"/>
      <c r="AV82" s="233"/>
      <c r="AW82" s="28"/>
      <c r="AX82" s="28"/>
      <c r="AY82" s="31"/>
      <c r="AZ82" s="95"/>
      <c r="BA82" s="92"/>
      <c r="BB82" s="329"/>
      <c r="BC82" s="338"/>
      <c r="BD82" s="37"/>
      <c r="BE82" s="37"/>
    </row>
    <row r="83" spans="1:91" ht="13.5" customHeight="1">
      <c r="A83" s="22"/>
      <c r="B83" s="202">
        <v>24</v>
      </c>
      <c r="C83" s="304"/>
      <c r="D83" s="502" t="s">
        <v>280</v>
      </c>
      <c r="E83" s="503"/>
      <c r="F83" s="504" t="s">
        <v>294</v>
      </c>
      <c r="G83" s="503"/>
      <c r="H83" s="503"/>
      <c r="I83" s="505"/>
      <c r="J83" s="504" t="s">
        <v>30</v>
      </c>
      <c r="K83" s="506"/>
      <c r="L83" s="506"/>
      <c r="M83" s="506"/>
      <c r="N83" s="503"/>
      <c r="O83" s="505"/>
      <c r="P83" s="511" t="s">
        <v>30</v>
      </c>
      <c r="Q83" s="508"/>
      <c r="R83" s="508"/>
      <c r="S83" s="509"/>
      <c r="T83" s="504" t="s">
        <v>30</v>
      </c>
      <c r="U83" s="503"/>
      <c r="V83" s="503"/>
      <c r="W83" s="505"/>
      <c r="X83" s="508" t="s">
        <v>216</v>
      </c>
      <c r="Y83" s="503"/>
      <c r="Z83" s="503"/>
      <c r="AA83" s="503"/>
      <c r="AB83" s="507" t="s">
        <v>217</v>
      </c>
      <c r="AC83" s="503"/>
      <c r="AD83" s="503"/>
      <c r="AE83" s="503"/>
      <c r="AF83" s="507" t="s">
        <v>218</v>
      </c>
      <c r="AG83" s="508"/>
      <c r="AH83" s="508"/>
      <c r="AI83" s="508"/>
      <c r="AJ83" s="509"/>
      <c r="AK83" s="507" t="s">
        <v>219</v>
      </c>
      <c r="AL83" s="508"/>
      <c r="AM83" s="508"/>
      <c r="AN83" s="509"/>
      <c r="AO83" s="507" t="s">
        <v>220</v>
      </c>
      <c r="AP83" s="508"/>
      <c r="AQ83" s="508"/>
      <c r="AR83" s="509"/>
      <c r="AS83" s="507" t="s">
        <v>221</v>
      </c>
      <c r="AT83" s="508"/>
      <c r="AU83" s="508"/>
      <c r="AV83" s="508"/>
      <c r="AW83" s="507" t="s">
        <v>101</v>
      </c>
      <c r="AX83" s="508"/>
      <c r="AY83" s="508"/>
      <c r="AZ83" s="509"/>
      <c r="BA83" s="511" t="s">
        <v>222</v>
      </c>
      <c r="BB83" s="508"/>
      <c r="BC83" s="508"/>
      <c r="BD83" s="509"/>
      <c r="BE83" s="513" t="s">
        <v>223</v>
      </c>
      <c r="BF83" s="508"/>
      <c r="BG83" s="508"/>
      <c r="BH83" s="509"/>
      <c r="BI83" s="513" t="s">
        <v>30</v>
      </c>
      <c r="BJ83" s="508"/>
      <c r="BK83" s="508"/>
      <c r="BL83" s="509"/>
      <c r="BM83" s="513" t="s">
        <v>30</v>
      </c>
      <c r="BN83" s="508"/>
      <c r="BO83" s="508"/>
      <c r="BP83" s="509"/>
      <c r="BQ83" s="513" t="s">
        <v>30</v>
      </c>
      <c r="BR83" s="508"/>
      <c r="BS83" s="508"/>
      <c r="BT83" s="509"/>
      <c r="BU83" s="513" t="s">
        <v>30</v>
      </c>
      <c r="BV83" s="508"/>
      <c r="BW83" s="508"/>
      <c r="BX83" s="509"/>
      <c r="BY83" s="508"/>
      <c r="BZ83" s="508"/>
      <c r="CA83" s="508"/>
      <c r="CB83" s="509"/>
      <c r="CC83" s="513" t="s">
        <v>30</v>
      </c>
      <c r="CD83" s="508"/>
      <c r="CE83" s="509"/>
      <c r="CF83" s="508"/>
      <c r="CG83" s="508"/>
      <c r="CH83" s="508"/>
      <c r="CI83" s="509"/>
      <c r="CJ83" s="508"/>
      <c r="CK83" s="508"/>
      <c r="CL83" s="508"/>
      <c r="CM83" s="509"/>
    </row>
    <row r="84" spans="1:91" ht="13.5" customHeight="1">
      <c r="A84" s="22"/>
      <c r="B84" s="202">
        <v>24</v>
      </c>
      <c r="C84" s="461"/>
      <c r="D84" s="517"/>
      <c r="E84" s="518"/>
      <c r="F84" s="517"/>
      <c r="G84" s="518"/>
      <c r="H84" s="518"/>
      <c r="I84" s="519"/>
      <c r="J84" s="520"/>
      <c r="K84" s="521"/>
      <c r="L84" s="521"/>
      <c r="M84" s="521"/>
      <c r="N84" s="518"/>
      <c r="O84" s="519"/>
      <c r="P84" s="522"/>
      <c r="Q84" s="523"/>
      <c r="R84" s="523"/>
      <c r="S84" s="524"/>
      <c r="T84" s="517"/>
      <c r="U84" s="518"/>
      <c r="V84" s="518"/>
      <c r="W84" s="519"/>
      <c r="X84" s="523"/>
      <c r="Y84" s="518"/>
      <c r="Z84" s="518"/>
      <c r="AA84" s="518"/>
      <c r="AB84" s="522"/>
      <c r="AC84" s="518"/>
      <c r="AD84" s="518"/>
      <c r="AE84" s="518"/>
      <c r="AF84" s="522"/>
      <c r="AG84" s="523"/>
      <c r="AH84" s="523"/>
      <c r="AI84" s="523"/>
      <c r="AJ84" s="524"/>
      <c r="AK84" s="522"/>
      <c r="AL84" s="523"/>
      <c r="AM84" s="523"/>
      <c r="AN84" s="524"/>
      <c r="AO84" s="522"/>
      <c r="AP84" s="523"/>
      <c r="AQ84" s="523"/>
      <c r="AR84" s="524"/>
      <c r="AS84" s="522"/>
      <c r="AT84" s="523"/>
      <c r="AU84" s="523"/>
      <c r="AV84" s="523"/>
      <c r="AW84" s="522" t="s">
        <v>233</v>
      </c>
      <c r="AX84" s="523"/>
      <c r="AY84" s="523"/>
      <c r="AZ84" s="524"/>
      <c r="BA84" s="525" t="s">
        <v>30</v>
      </c>
      <c r="BB84" s="523"/>
      <c r="BC84" s="523"/>
      <c r="BD84" s="524"/>
      <c r="BE84" s="526" t="s">
        <v>30</v>
      </c>
      <c r="BF84" s="523"/>
      <c r="BG84" s="523"/>
      <c r="BH84" s="524"/>
      <c r="BI84" s="526" t="s">
        <v>30</v>
      </c>
      <c r="BJ84" s="523"/>
      <c r="BK84" s="523"/>
      <c r="BL84" s="524"/>
      <c r="BM84" s="526" t="s">
        <v>30</v>
      </c>
      <c r="BN84" s="523"/>
      <c r="BO84" s="523"/>
      <c r="BP84" s="524"/>
      <c r="BQ84" s="526" t="s">
        <v>30</v>
      </c>
      <c r="BR84" s="523"/>
      <c r="BS84" s="523"/>
      <c r="BT84" s="524"/>
      <c r="BU84" s="526" t="s">
        <v>30</v>
      </c>
      <c r="BV84" s="523"/>
      <c r="BW84" s="523"/>
      <c r="BX84" s="524"/>
      <c r="BY84" s="523"/>
      <c r="BZ84" s="523"/>
      <c r="CA84" s="523"/>
      <c r="CB84" s="524"/>
      <c r="CC84" s="526" t="s">
        <v>30</v>
      </c>
      <c r="CD84" s="523"/>
      <c r="CE84" s="524"/>
      <c r="CF84" s="523"/>
      <c r="CG84" s="523"/>
      <c r="CH84" s="523"/>
      <c r="CI84" s="524"/>
      <c r="CJ84" s="523"/>
      <c r="CK84" s="523"/>
      <c r="CL84" s="523"/>
      <c r="CM84" s="524"/>
    </row>
    <row r="85" spans="1:91" ht="13.5" customHeight="1">
      <c r="A85" s="22"/>
      <c r="B85" s="202">
        <v>25</v>
      </c>
      <c r="C85" s="308">
        <v>1</v>
      </c>
      <c r="D85" s="148" t="s">
        <v>206</v>
      </c>
      <c r="E85" s="149"/>
      <c r="F85" s="148" t="s">
        <v>148</v>
      </c>
      <c r="G85" s="149"/>
      <c r="H85" s="149"/>
      <c r="I85" s="151"/>
      <c r="J85" s="221"/>
      <c r="K85" s="222"/>
      <c r="L85" s="222"/>
      <c r="M85" s="222"/>
      <c r="N85" s="161"/>
      <c r="O85" s="162"/>
      <c r="P85" s="148"/>
      <c r="Q85" s="150"/>
      <c r="R85" s="150"/>
      <c r="S85" s="162"/>
      <c r="T85" s="119"/>
      <c r="U85" s="120"/>
      <c r="V85" s="120"/>
      <c r="W85" s="162"/>
      <c r="X85" s="1017">
        <f>SUMPRODUCT(X$80:AA$81,AO$80:AR$81)</f>
        <v>186994</v>
      </c>
      <c r="Y85" s="1018"/>
      <c r="Z85" s="1018"/>
      <c r="AA85" s="1019"/>
      <c r="AB85" s="1017">
        <f>SUMPRODUCT(X$80:AA$81,AB$80:AE$81)</f>
        <v>97297.297297297293</v>
      </c>
      <c r="AC85" s="1018"/>
      <c r="AD85" s="1018"/>
      <c r="AE85" s="1019"/>
      <c r="AF85" s="993">
        <f>X$86-AB$86</f>
        <v>89696.702702702707</v>
      </c>
      <c r="AG85" s="994"/>
      <c r="AH85" s="994"/>
      <c r="AI85" s="994"/>
      <c r="AJ85" s="995"/>
      <c r="AK85" s="996">
        <f>AF85/X85</f>
        <v>0.4796769024819123</v>
      </c>
      <c r="AL85" s="997"/>
      <c r="AM85" s="997"/>
      <c r="AN85" s="998"/>
      <c r="AO85" s="996">
        <f>AS85/AW85</f>
        <v>-1.8919202518363022E-2</v>
      </c>
      <c r="AP85" s="997"/>
      <c r="AQ85" s="997"/>
      <c r="AR85" s="998"/>
      <c r="AS85" s="1070">
        <f>X$80*(AO$80-AK$80)+X$81*(AO$81-AK$81)</f>
        <v>-3605.9999999999923</v>
      </c>
      <c r="AT85" s="1071"/>
      <c r="AU85" s="1071"/>
      <c r="AV85" s="1072"/>
      <c r="AW85" s="1067">
        <f>SUMPRODUCT(X$80:AA$81,AK$80:AN$81)</f>
        <v>190600</v>
      </c>
      <c r="AX85" s="1068"/>
      <c r="AY85" s="1068"/>
      <c r="AZ85" s="1069"/>
      <c r="BA85" s="1017">
        <f>SUMPRODUCT(X$80:AA$81,BI$80:BL$81)</f>
        <v>205120</v>
      </c>
      <c r="BB85" s="1018"/>
      <c r="BC85" s="1018"/>
      <c r="BD85" s="1019"/>
      <c r="BE85" s="1026">
        <f>1-(AB$91+X$80*(AO$80*AQ$56+AS$80*$K$20)+X$81*(AO$81*AQ$57+AS$81*$K$20))/BA$91</f>
        <v>0.47049834871568497</v>
      </c>
      <c r="BF85" s="1027"/>
      <c r="BG85" s="1027"/>
      <c r="BH85" s="1028"/>
      <c r="BI85" s="149" t="s">
        <v>30</v>
      </c>
      <c r="BJ85" s="150"/>
      <c r="BK85" s="150"/>
      <c r="BL85" s="152"/>
      <c r="BM85" s="149" t="s">
        <v>30</v>
      </c>
      <c r="BN85" s="150"/>
      <c r="BO85" s="150"/>
      <c r="BP85" s="152"/>
      <c r="BQ85" s="149" t="s">
        <v>30</v>
      </c>
      <c r="BR85" s="150"/>
      <c r="BS85" s="150"/>
      <c r="BT85" s="152"/>
      <c r="BU85" s="149" t="s">
        <v>30</v>
      </c>
      <c r="BV85" s="150"/>
      <c r="BW85" s="150"/>
      <c r="BX85" s="152"/>
      <c r="BY85" s="149" t="s">
        <v>30</v>
      </c>
      <c r="BZ85" s="150"/>
      <c r="CA85" s="150"/>
      <c r="CB85" s="152"/>
      <c r="CC85" s="149" t="s">
        <v>30</v>
      </c>
      <c r="CD85" s="150"/>
      <c r="CE85" s="152"/>
      <c r="CF85" s="149" t="s">
        <v>30</v>
      </c>
      <c r="CG85" s="150"/>
      <c r="CH85" s="150"/>
      <c r="CI85" s="152"/>
      <c r="CJ85" s="149" t="s">
        <v>30</v>
      </c>
      <c r="CK85" s="150"/>
      <c r="CL85" s="150"/>
      <c r="CM85" s="152"/>
    </row>
    <row r="86" spans="1:91" ht="13.5" customHeight="1">
      <c r="A86" s="22"/>
      <c r="B86" s="202">
        <v>25</v>
      </c>
      <c r="C86" s="308">
        <v>2</v>
      </c>
      <c r="D86" s="148" t="s">
        <v>206</v>
      </c>
      <c r="E86" s="149"/>
      <c r="F86" s="148" t="s">
        <v>207</v>
      </c>
      <c r="G86" s="149"/>
      <c r="H86" s="149"/>
      <c r="I86" s="151"/>
      <c r="J86" s="221"/>
      <c r="K86" s="222"/>
      <c r="L86" s="222"/>
      <c r="M86" s="222"/>
      <c r="N86" s="161"/>
      <c r="O86" s="162"/>
      <c r="P86" s="148"/>
      <c r="Q86" s="150"/>
      <c r="R86" s="150"/>
      <c r="S86" s="162"/>
      <c r="T86" s="119"/>
      <c r="U86" s="120"/>
      <c r="V86" s="120"/>
      <c r="W86" s="162"/>
      <c r="X86" s="1017">
        <f>SUMPRODUCT(X$80:AA$81,AO$80:AR$81)</f>
        <v>186994</v>
      </c>
      <c r="Y86" s="1018"/>
      <c r="Z86" s="1018"/>
      <c r="AA86" s="1019"/>
      <c r="AB86" s="1017">
        <f>SUMPRODUCT(X$80:AA$81,AB$80:AE$81)</f>
        <v>97297.297297297293</v>
      </c>
      <c r="AC86" s="1018"/>
      <c r="AD86" s="1018"/>
      <c r="AE86" s="1019"/>
      <c r="AF86" s="993">
        <f>X$86-AB$86</f>
        <v>89696.702702702707</v>
      </c>
      <c r="AG86" s="994"/>
      <c r="AH86" s="994"/>
      <c r="AI86" s="994"/>
      <c r="AJ86" s="995"/>
      <c r="AK86" s="996">
        <f>AF86/X86</f>
        <v>0.4796769024819123</v>
      </c>
      <c r="AL86" s="997"/>
      <c r="AM86" s="997"/>
      <c r="AN86" s="998"/>
      <c r="AO86" s="996">
        <f>AS86/AW86</f>
        <v>-1.8919202518363022E-2</v>
      </c>
      <c r="AP86" s="997"/>
      <c r="AQ86" s="997"/>
      <c r="AR86" s="998"/>
      <c r="AS86" s="1070">
        <f>X$80*(AO$80-AK$80)+X$81*(AO$81-AK$81)</f>
        <v>-3605.9999999999923</v>
      </c>
      <c r="AT86" s="1071"/>
      <c r="AU86" s="1071"/>
      <c r="AV86" s="1072"/>
      <c r="AW86" s="1067">
        <f>SUMPRODUCT(X$80:AA$81,AK$80:AN$81)</f>
        <v>190600</v>
      </c>
      <c r="AX86" s="1068"/>
      <c r="AY86" s="1068"/>
      <c r="AZ86" s="1069"/>
      <c r="BA86" s="1017">
        <f>SUMPRODUCT(X$80:AA$81,BI$80:BL$81)</f>
        <v>205120</v>
      </c>
      <c r="BB86" s="1018"/>
      <c r="BC86" s="1018"/>
      <c r="BD86" s="1019"/>
      <c r="BE86" s="1026">
        <f>1-(AB$91+X$80*(AO$80*AQ$56+AS$80*$K$20)+X$81*(AO$81*AQ$57+AS$81*$K$20))/BA$91</f>
        <v>0.47049834871568497</v>
      </c>
      <c r="BF86" s="1027"/>
      <c r="BG86" s="1027"/>
      <c r="BH86" s="1028"/>
      <c r="BI86" s="149" t="s">
        <v>30</v>
      </c>
      <c r="BJ86" s="150"/>
      <c r="BK86" s="150"/>
      <c r="BL86" s="152"/>
      <c r="BM86" s="149" t="s">
        <v>30</v>
      </c>
      <c r="BN86" s="150"/>
      <c r="BO86" s="150"/>
      <c r="BP86" s="152"/>
      <c r="BQ86" s="149" t="s">
        <v>30</v>
      </c>
      <c r="BR86" s="150"/>
      <c r="BS86" s="150"/>
      <c r="BT86" s="152"/>
      <c r="BU86" s="149" t="s">
        <v>30</v>
      </c>
      <c r="BV86" s="150"/>
      <c r="BW86" s="150"/>
      <c r="BX86" s="152"/>
      <c r="BY86" s="149" t="s">
        <v>30</v>
      </c>
      <c r="BZ86" s="150"/>
      <c r="CA86" s="150"/>
      <c r="CB86" s="152"/>
      <c r="CC86" s="149" t="s">
        <v>30</v>
      </c>
      <c r="CD86" s="150"/>
      <c r="CE86" s="152"/>
      <c r="CF86" s="149" t="s">
        <v>30</v>
      </c>
      <c r="CG86" s="150"/>
      <c r="CH86" s="150"/>
      <c r="CI86" s="152"/>
      <c r="CJ86" s="149" t="s">
        <v>30</v>
      </c>
      <c r="CK86" s="150"/>
      <c r="CL86" s="150"/>
      <c r="CM86" s="152"/>
    </row>
    <row r="87" spans="1:91" ht="13.5" customHeight="1">
      <c r="A87" s="22"/>
      <c r="B87" s="202">
        <v>20</v>
      </c>
      <c r="C87" s="337" t="s">
        <v>279</v>
      </c>
      <c r="D87" s="28"/>
      <c r="E87" s="28"/>
      <c r="F87" s="28"/>
      <c r="G87" s="28"/>
      <c r="H87" s="121"/>
      <c r="I87" s="62"/>
      <c r="J87" s="63"/>
      <c r="K87" s="62"/>
      <c r="L87" s="63"/>
      <c r="M87" s="69"/>
      <c r="N87" s="69"/>
      <c r="O87" s="65"/>
      <c r="P87" s="69"/>
      <c r="Q87" s="65"/>
      <c r="R87" s="69"/>
      <c r="S87" s="28"/>
      <c r="T87" s="28"/>
      <c r="U87" s="28"/>
      <c r="V87" s="28"/>
      <c r="W87" s="28"/>
      <c r="X87" s="121"/>
      <c r="Y87" s="62"/>
      <c r="Z87" s="63"/>
      <c r="AA87" s="62"/>
      <c r="AB87" s="63"/>
      <c r="AC87" s="69"/>
      <c r="AD87" s="69"/>
      <c r="AE87" s="65"/>
      <c r="AF87" s="69"/>
      <c r="AG87" s="65"/>
      <c r="AH87" s="69"/>
      <c r="AI87" s="64"/>
      <c r="AJ87" s="69"/>
      <c r="AK87" s="65"/>
      <c r="AL87" s="28"/>
      <c r="AM87" s="28"/>
      <c r="AN87" s="28"/>
      <c r="AO87" s="28"/>
      <c r="AP87" s="28"/>
      <c r="AQ87" s="28"/>
      <c r="AR87" s="28"/>
      <c r="AS87" s="28"/>
      <c r="AT87" s="28"/>
      <c r="AU87" s="28"/>
      <c r="AV87" s="233"/>
      <c r="AW87" s="28"/>
      <c r="AX87" s="28"/>
      <c r="AY87" s="31"/>
      <c r="AZ87" s="95"/>
      <c r="BA87" s="92"/>
      <c r="BB87" s="329"/>
      <c r="BC87" s="338"/>
      <c r="BD87" s="37"/>
      <c r="BE87" s="37"/>
    </row>
    <row r="88" spans="1:91" ht="13.5" customHeight="1">
      <c r="A88" s="22"/>
      <c r="B88" s="202">
        <v>24</v>
      </c>
      <c r="C88" s="304"/>
      <c r="D88" s="243"/>
      <c r="E88" s="244"/>
      <c r="F88" s="243" t="s">
        <v>295</v>
      </c>
      <c r="G88" s="244"/>
      <c r="H88" s="244"/>
      <c r="I88" s="245"/>
      <c r="J88" s="246" t="s">
        <v>30</v>
      </c>
      <c r="K88" s="247"/>
      <c r="L88" s="247"/>
      <c r="M88" s="247"/>
      <c r="N88" s="244"/>
      <c r="O88" s="245"/>
      <c r="P88" s="253" t="s">
        <v>30</v>
      </c>
      <c r="Q88" s="249"/>
      <c r="R88" s="249"/>
      <c r="S88" s="250"/>
      <c r="T88" s="243"/>
      <c r="U88" s="244"/>
      <c r="V88" s="244"/>
      <c r="W88" s="245"/>
      <c r="X88" s="249" t="s">
        <v>216</v>
      </c>
      <c r="Y88" s="244"/>
      <c r="Z88" s="244"/>
      <c r="AA88" s="244"/>
      <c r="AB88" s="248" t="s">
        <v>217</v>
      </c>
      <c r="AC88" s="244"/>
      <c r="AD88" s="244"/>
      <c r="AE88" s="244"/>
      <c r="AF88" s="248" t="s">
        <v>218</v>
      </c>
      <c r="AG88" s="249"/>
      <c r="AH88" s="249"/>
      <c r="AI88" s="249"/>
      <c r="AJ88" s="250"/>
      <c r="AK88" s="248" t="s">
        <v>219</v>
      </c>
      <c r="AL88" s="249"/>
      <c r="AM88" s="249"/>
      <c r="AN88" s="250"/>
      <c r="AO88" s="248" t="s">
        <v>220</v>
      </c>
      <c r="AP88" s="249"/>
      <c r="AQ88" s="249"/>
      <c r="AR88" s="250"/>
      <c r="AS88" s="248" t="s">
        <v>221</v>
      </c>
      <c r="AT88" s="249"/>
      <c r="AU88" s="249"/>
      <c r="AV88" s="249"/>
      <c r="AW88" s="248" t="s">
        <v>101</v>
      </c>
      <c r="AX88" s="249"/>
      <c r="AY88" s="249"/>
      <c r="AZ88" s="250"/>
      <c r="BA88" s="253" t="s">
        <v>222</v>
      </c>
      <c r="BB88" s="249"/>
      <c r="BC88" s="249"/>
      <c r="BD88" s="250"/>
      <c r="BE88" s="251" t="s">
        <v>223</v>
      </c>
      <c r="BF88" s="249"/>
      <c r="BG88" s="249"/>
      <c r="BH88" s="250"/>
      <c r="BI88" s="251" t="s">
        <v>30</v>
      </c>
      <c r="BJ88" s="249"/>
      <c r="BK88" s="249"/>
      <c r="BL88" s="250"/>
      <c r="BM88" s="251" t="s">
        <v>30</v>
      </c>
      <c r="BN88" s="249"/>
      <c r="BO88" s="249"/>
      <c r="BP88" s="250"/>
      <c r="BQ88" s="251" t="s">
        <v>30</v>
      </c>
      <c r="BR88" s="249"/>
      <c r="BS88" s="249"/>
      <c r="BT88" s="250"/>
      <c r="BU88" s="251" t="s">
        <v>30</v>
      </c>
      <c r="BV88" s="249"/>
      <c r="BW88" s="249"/>
      <c r="BX88" s="250"/>
      <c r="BY88" s="249"/>
      <c r="BZ88" s="249"/>
      <c r="CA88" s="249"/>
      <c r="CB88" s="250"/>
      <c r="CC88" s="251" t="s">
        <v>30</v>
      </c>
      <c r="CD88" s="249"/>
      <c r="CE88" s="250"/>
      <c r="CF88" s="249"/>
      <c r="CG88" s="249"/>
      <c r="CH88" s="249"/>
      <c r="CI88" s="250"/>
      <c r="CJ88" s="249"/>
      <c r="CK88" s="249"/>
      <c r="CL88" s="249"/>
      <c r="CM88" s="250"/>
    </row>
    <row r="89" spans="1:91" ht="13.5" customHeight="1">
      <c r="A89" s="22"/>
      <c r="B89" s="202">
        <v>24</v>
      </c>
      <c r="C89" s="461"/>
      <c r="D89" s="462"/>
      <c r="E89" s="463"/>
      <c r="F89" s="462"/>
      <c r="G89" s="463"/>
      <c r="H89" s="463"/>
      <c r="I89" s="464"/>
      <c r="J89" s="465"/>
      <c r="K89" s="466"/>
      <c r="L89" s="466"/>
      <c r="M89" s="466"/>
      <c r="N89" s="463"/>
      <c r="O89" s="464"/>
      <c r="P89" s="467"/>
      <c r="Q89" s="458"/>
      <c r="R89" s="458"/>
      <c r="S89" s="459"/>
      <c r="T89" s="462"/>
      <c r="U89" s="463"/>
      <c r="V89" s="463"/>
      <c r="W89" s="464"/>
      <c r="X89" s="458"/>
      <c r="Y89" s="463"/>
      <c r="Z89" s="463"/>
      <c r="AA89" s="463"/>
      <c r="AB89" s="467"/>
      <c r="AC89" s="463"/>
      <c r="AD89" s="463"/>
      <c r="AE89" s="463"/>
      <c r="AF89" s="467"/>
      <c r="AG89" s="458"/>
      <c r="AH89" s="458"/>
      <c r="AI89" s="458"/>
      <c r="AJ89" s="459"/>
      <c r="AK89" s="467"/>
      <c r="AL89" s="458"/>
      <c r="AM89" s="458"/>
      <c r="AN89" s="459"/>
      <c r="AO89" s="467"/>
      <c r="AP89" s="458"/>
      <c r="AQ89" s="458"/>
      <c r="AR89" s="459"/>
      <c r="AS89" s="467"/>
      <c r="AT89" s="458"/>
      <c r="AU89" s="458"/>
      <c r="AV89" s="458"/>
      <c r="AW89" s="467" t="s">
        <v>233</v>
      </c>
      <c r="AX89" s="458"/>
      <c r="AY89" s="458"/>
      <c r="AZ89" s="459"/>
      <c r="BA89" s="457" t="s">
        <v>30</v>
      </c>
      <c r="BB89" s="458"/>
      <c r="BC89" s="458"/>
      <c r="BD89" s="459"/>
      <c r="BE89" s="460" t="s">
        <v>30</v>
      </c>
      <c r="BF89" s="458"/>
      <c r="BG89" s="458"/>
      <c r="BH89" s="459"/>
      <c r="BI89" s="460" t="s">
        <v>30</v>
      </c>
      <c r="BJ89" s="458"/>
      <c r="BK89" s="458"/>
      <c r="BL89" s="459"/>
      <c r="BM89" s="460" t="s">
        <v>30</v>
      </c>
      <c r="BN89" s="458"/>
      <c r="BO89" s="458"/>
      <c r="BP89" s="459"/>
      <c r="BQ89" s="460" t="s">
        <v>30</v>
      </c>
      <c r="BR89" s="458"/>
      <c r="BS89" s="458"/>
      <c r="BT89" s="459"/>
      <c r="BU89" s="460" t="s">
        <v>30</v>
      </c>
      <c r="BV89" s="458"/>
      <c r="BW89" s="458"/>
      <c r="BX89" s="459"/>
      <c r="BY89" s="458"/>
      <c r="BZ89" s="458"/>
      <c r="CA89" s="458"/>
      <c r="CB89" s="459"/>
      <c r="CC89" s="460" t="s">
        <v>30</v>
      </c>
      <c r="CD89" s="458"/>
      <c r="CE89" s="459"/>
      <c r="CF89" s="458"/>
      <c r="CG89" s="458"/>
      <c r="CH89" s="458"/>
      <c r="CI89" s="459"/>
      <c r="CJ89" s="458"/>
      <c r="CK89" s="458"/>
      <c r="CL89" s="458"/>
      <c r="CM89" s="459"/>
    </row>
    <row r="90" spans="1:91" ht="13.5" customHeight="1">
      <c r="A90" s="22"/>
      <c r="B90" s="202">
        <v>25</v>
      </c>
      <c r="C90" s="308"/>
      <c r="D90" s="148"/>
      <c r="E90" s="149"/>
      <c r="F90" s="148" t="s">
        <v>148</v>
      </c>
      <c r="G90" s="149"/>
      <c r="H90" s="149"/>
      <c r="I90" s="151"/>
      <c r="J90" s="221"/>
      <c r="K90" s="222"/>
      <c r="L90" s="222"/>
      <c r="M90" s="222"/>
      <c r="N90" s="161"/>
      <c r="O90" s="162"/>
      <c r="P90" s="148"/>
      <c r="Q90" s="150"/>
      <c r="R90" s="150"/>
      <c r="S90" s="162"/>
      <c r="T90" s="119"/>
      <c r="U90" s="120"/>
      <c r="V90" s="120"/>
      <c r="W90" s="162"/>
      <c r="X90" s="1017">
        <f>SUMPRODUCT(X$80:AA$81,AO$80:AR$81)</f>
        <v>186994</v>
      </c>
      <c r="Y90" s="1018"/>
      <c r="Z90" s="1018"/>
      <c r="AA90" s="1019"/>
      <c r="AB90" s="1017">
        <f>SUMPRODUCT(X$80:AA$81,AB$80:AE$81)</f>
        <v>97297.297297297293</v>
      </c>
      <c r="AC90" s="1018"/>
      <c r="AD90" s="1018"/>
      <c r="AE90" s="1019"/>
      <c r="AF90" s="993">
        <f>X$91-AB$91</f>
        <v>89696.702702702707</v>
      </c>
      <c r="AG90" s="994"/>
      <c r="AH90" s="994"/>
      <c r="AI90" s="994"/>
      <c r="AJ90" s="995"/>
      <c r="AK90" s="996">
        <f>AF90/X90</f>
        <v>0.4796769024819123</v>
      </c>
      <c r="AL90" s="997"/>
      <c r="AM90" s="997"/>
      <c r="AN90" s="998"/>
      <c r="AO90" s="996">
        <f>AS90/AW90</f>
        <v>-1.8919202518363022E-2</v>
      </c>
      <c r="AP90" s="997"/>
      <c r="AQ90" s="997"/>
      <c r="AR90" s="998"/>
      <c r="AS90" s="1070">
        <f>X$80*(AO$80-AK$80)+X$81*(AO$81-AK$81)</f>
        <v>-3605.9999999999923</v>
      </c>
      <c r="AT90" s="1071"/>
      <c r="AU90" s="1071"/>
      <c r="AV90" s="1072"/>
      <c r="AW90" s="1067">
        <f>SUMPRODUCT(X$80:AA$81,AK$80:AN$81)</f>
        <v>190600</v>
      </c>
      <c r="AX90" s="1068"/>
      <c r="AY90" s="1068"/>
      <c r="AZ90" s="1069"/>
      <c r="BA90" s="1017">
        <f>SUMPRODUCT(X$80:AA$81,BI$80:BL$81)</f>
        <v>205120</v>
      </c>
      <c r="BB90" s="1018"/>
      <c r="BC90" s="1018"/>
      <c r="BD90" s="1019"/>
      <c r="BE90" s="1026">
        <f>1-(AB$91+X$80*(AO$80*AQ$56+AS$80*$K$20)+X$81*(AO$81*AQ$57+AS$81*$K$20))/BA$91</f>
        <v>0.47049834871568497</v>
      </c>
      <c r="BF90" s="1027"/>
      <c r="BG90" s="1027"/>
      <c r="BH90" s="1028"/>
      <c r="BI90" s="149" t="s">
        <v>30</v>
      </c>
      <c r="BJ90" s="150"/>
      <c r="BK90" s="150"/>
      <c r="BL90" s="152"/>
      <c r="BM90" s="149" t="s">
        <v>30</v>
      </c>
      <c r="BN90" s="150"/>
      <c r="BO90" s="150"/>
      <c r="BP90" s="152"/>
      <c r="BQ90" s="149" t="s">
        <v>30</v>
      </c>
      <c r="BR90" s="150"/>
      <c r="BS90" s="150"/>
      <c r="BT90" s="152"/>
      <c r="BU90" s="149" t="s">
        <v>30</v>
      </c>
      <c r="BV90" s="150"/>
      <c r="BW90" s="150"/>
      <c r="BX90" s="152"/>
      <c r="BY90" s="149" t="s">
        <v>30</v>
      </c>
      <c r="BZ90" s="150"/>
      <c r="CA90" s="150"/>
      <c r="CB90" s="152"/>
      <c r="CC90" s="149" t="s">
        <v>30</v>
      </c>
      <c r="CD90" s="150"/>
      <c r="CE90" s="152"/>
      <c r="CF90" s="149" t="s">
        <v>30</v>
      </c>
      <c r="CG90" s="150"/>
      <c r="CH90" s="150"/>
      <c r="CI90" s="152"/>
      <c r="CJ90" s="149" t="s">
        <v>30</v>
      </c>
      <c r="CK90" s="150"/>
      <c r="CL90" s="150"/>
      <c r="CM90" s="152"/>
    </row>
    <row r="91" spans="1:91" ht="13.5" customHeight="1">
      <c r="A91" s="22"/>
      <c r="B91" s="202">
        <v>25</v>
      </c>
      <c r="C91" s="308"/>
      <c r="D91" s="148"/>
      <c r="E91" s="149"/>
      <c r="F91" s="148" t="s">
        <v>207</v>
      </c>
      <c r="G91" s="149"/>
      <c r="H91" s="149"/>
      <c r="I91" s="151"/>
      <c r="J91" s="221"/>
      <c r="K91" s="222"/>
      <c r="L91" s="222"/>
      <c r="M91" s="222"/>
      <c r="N91" s="161"/>
      <c r="O91" s="162"/>
      <c r="P91" s="148"/>
      <c r="Q91" s="150"/>
      <c r="R91" s="150"/>
      <c r="S91" s="162"/>
      <c r="T91" s="119"/>
      <c r="U91" s="120"/>
      <c r="V91" s="120"/>
      <c r="W91" s="162"/>
      <c r="X91" s="1017">
        <f>SUMPRODUCT(X$80:AA$81,AO$80:AR$81)</f>
        <v>186994</v>
      </c>
      <c r="Y91" s="1018"/>
      <c r="Z91" s="1018"/>
      <c r="AA91" s="1019"/>
      <c r="AB91" s="1017">
        <f>SUMPRODUCT(X$80:AA$81,AB$80:AE$81)</f>
        <v>97297.297297297293</v>
      </c>
      <c r="AC91" s="1018"/>
      <c r="AD91" s="1018"/>
      <c r="AE91" s="1019"/>
      <c r="AF91" s="993">
        <f>X$91-AB$91</f>
        <v>89696.702702702707</v>
      </c>
      <c r="AG91" s="994"/>
      <c r="AH91" s="994"/>
      <c r="AI91" s="994"/>
      <c r="AJ91" s="995"/>
      <c r="AK91" s="996">
        <f>AF91/X91</f>
        <v>0.4796769024819123</v>
      </c>
      <c r="AL91" s="997"/>
      <c r="AM91" s="997"/>
      <c r="AN91" s="998"/>
      <c r="AO91" s="996">
        <f>AS91/AW91</f>
        <v>-1.8919202518363022E-2</v>
      </c>
      <c r="AP91" s="997"/>
      <c r="AQ91" s="997"/>
      <c r="AR91" s="998"/>
      <c r="AS91" s="1070">
        <f>X$80*(AO$80-AK$80)+X$81*(AO$81-AK$81)</f>
        <v>-3605.9999999999923</v>
      </c>
      <c r="AT91" s="1071"/>
      <c r="AU91" s="1071"/>
      <c r="AV91" s="1072"/>
      <c r="AW91" s="1067">
        <f>SUMPRODUCT(X$80:AA$81,AK$80:AN$81)</f>
        <v>190600</v>
      </c>
      <c r="AX91" s="1068"/>
      <c r="AY91" s="1068"/>
      <c r="AZ91" s="1069"/>
      <c r="BA91" s="1017">
        <f>SUMPRODUCT(X$80:AA$81,BI$80:BL$81)</f>
        <v>205120</v>
      </c>
      <c r="BB91" s="1018"/>
      <c r="BC91" s="1018"/>
      <c r="BD91" s="1019"/>
      <c r="BE91" s="1026">
        <f>1-(AB$91+X$80*(AO$80*AQ$56+AS$80*$K$20)+X$81*(AO$81*AQ$57+AS$81*$K$20))/BA$91</f>
        <v>0.47049834871568497</v>
      </c>
      <c r="BF91" s="1027"/>
      <c r="BG91" s="1027"/>
      <c r="BH91" s="1028"/>
      <c r="BI91" s="149" t="s">
        <v>30</v>
      </c>
      <c r="BJ91" s="150"/>
      <c r="BK91" s="150"/>
      <c r="BL91" s="152"/>
      <c r="BM91" s="149" t="s">
        <v>30</v>
      </c>
      <c r="BN91" s="150"/>
      <c r="BO91" s="150"/>
      <c r="BP91" s="152"/>
      <c r="BQ91" s="149" t="s">
        <v>30</v>
      </c>
      <c r="BR91" s="150"/>
      <c r="BS91" s="150"/>
      <c r="BT91" s="152"/>
      <c r="BU91" s="149" t="s">
        <v>30</v>
      </c>
      <c r="BV91" s="150"/>
      <c r="BW91" s="150"/>
      <c r="BX91" s="152"/>
      <c r="BY91" s="149" t="s">
        <v>30</v>
      </c>
      <c r="BZ91" s="150"/>
      <c r="CA91" s="150"/>
      <c r="CB91" s="152"/>
      <c r="CC91" s="149" t="s">
        <v>30</v>
      </c>
      <c r="CD91" s="150"/>
      <c r="CE91" s="152"/>
      <c r="CF91" s="149" t="s">
        <v>30</v>
      </c>
      <c r="CG91" s="150"/>
      <c r="CH91" s="150"/>
      <c r="CI91" s="152"/>
      <c r="CJ91" s="149" t="s">
        <v>30</v>
      </c>
      <c r="CK91" s="150"/>
      <c r="CL91" s="150"/>
      <c r="CM91" s="152"/>
    </row>
    <row r="92" spans="1:91" ht="13.5" customHeight="1">
      <c r="A92" s="22"/>
      <c r="B92" s="202">
        <v>28</v>
      </c>
      <c r="C92" s="341"/>
      <c r="D92" s="71"/>
      <c r="E92" s="71"/>
      <c r="F92" s="71"/>
      <c r="G92" s="71"/>
      <c r="H92" s="71"/>
      <c r="I92" s="71"/>
      <c r="J92" s="71"/>
      <c r="K92" s="68"/>
      <c r="L92" s="68"/>
      <c r="M92" s="68"/>
      <c r="N92" s="91"/>
      <c r="O92" s="68"/>
      <c r="P92" s="68"/>
      <c r="Q92" s="68"/>
      <c r="R92" s="68"/>
      <c r="S92" s="68"/>
      <c r="T92" s="68"/>
      <c r="U92" s="68"/>
      <c r="V92" s="68"/>
      <c r="W92" s="91"/>
      <c r="X92" s="68"/>
      <c r="Y92" s="68"/>
      <c r="Z92" s="68"/>
      <c r="AA92" s="68"/>
      <c r="AB92" s="68"/>
      <c r="AC92" s="68"/>
      <c r="AD92" s="68"/>
      <c r="AE92" s="68"/>
      <c r="AF92" s="68"/>
      <c r="AG92" s="68"/>
      <c r="AH92" s="68"/>
      <c r="AI92" s="68"/>
      <c r="AJ92" s="68"/>
      <c r="AK92" s="68"/>
      <c r="AL92" s="68"/>
      <c r="AM92" s="65"/>
      <c r="AN92" s="65"/>
      <c r="AO92" s="65"/>
      <c r="AP92" s="65"/>
      <c r="AQ92" s="65"/>
      <c r="AR92" s="65"/>
      <c r="AS92" s="65"/>
      <c r="AT92" s="35"/>
      <c r="AU92" s="65"/>
      <c r="AV92" s="65"/>
      <c r="AW92" s="65"/>
      <c r="AX92" s="65"/>
      <c r="AY92" s="65"/>
      <c r="AZ92" s="31"/>
      <c r="BA92" s="30"/>
      <c r="BB92" s="175"/>
      <c r="BC92" s="345"/>
      <c r="BD92" s="28"/>
      <c r="BG92" s="24"/>
      <c r="BH92" s="28"/>
    </row>
    <row r="93" spans="1:91" ht="13.5" customHeight="1">
      <c r="A93" s="22"/>
      <c r="B93" s="202">
        <v>29</v>
      </c>
      <c r="C93" s="342"/>
      <c r="D93" s="332"/>
      <c r="E93" s="65"/>
      <c r="F93" s="65"/>
      <c r="G93" s="65"/>
      <c r="H93" s="65"/>
      <c r="I93" s="65"/>
      <c r="J93" s="1008"/>
      <c r="K93" s="1009"/>
      <c r="L93" s="1009"/>
      <c r="M93" s="1009"/>
      <c r="N93"/>
      <c r="O93"/>
      <c r="P93"/>
      <c r="Q93"/>
      <c r="R93"/>
      <c r="S93"/>
      <c r="T93"/>
      <c r="U93"/>
      <c r="V93"/>
      <c r="W93" s="65"/>
      <c r="X93" s="65"/>
      <c r="Y93" s="65"/>
      <c r="Z93" s="65"/>
      <c r="AA93" s="65"/>
      <c r="AB93" s="65"/>
      <c r="AC93" s="65"/>
      <c r="AD93" s="65"/>
      <c r="AE93" s="65"/>
      <c r="AF93" s="65"/>
      <c r="AG93" s="65"/>
      <c r="AH93" s="65"/>
      <c r="AI93" s="65"/>
      <c r="AJ93" s="65"/>
      <c r="AK93" s="65"/>
      <c r="AL93" s="65"/>
      <c r="AM93" s="198"/>
      <c r="AN93" s="198"/>
      <c r="AO93" s="198"/>
      <c r="AP93" s="198"/>
      <c r="AQ93" s="198"/>
      <c r="AR93" s="198"/>
      <c r="AS93" s="254"/>
      <c r="AT93" s="35"/>
      <c r="AU93" s="35"/>
      <c r="AV93" s="254"/>
      <c r="AW93" s="198"/>
      <c r="AX93" s="198"/>
      <c r="AY93" s="198"/>
      <c r="AZ93" s="31"/>
      <c r="BA93" s="30"/>
      <c r="BB93" s="175"/>
      <c r="BC93" s="345"/>
      <c r="BD93" s="28"/>
      <c r="BG93" s="24"/>
      <c r="BH93" s="28"/>
    </row>
    <row r="94" spans="1:91" ht="13.5" customHeight="1">
      <c r="A94" s="22"/>
      <c r="B94" s="202"/>
      <c r="C94" s="393" t="s">
        <v>174</v>
      </c>
      <c r="D94" s="28"/>
      <c r="E94" s="28"/>
      <c r="F94" s="28"/>
      <c r="G94" s="28"/>
      <c r="H94" s="24"/>
      <c r="I94" s="24"/>
      <c r="J94" s="24"/>
      <c r="K94" s="24"/>
      <c r="L94" s="24"/>
      <c r="M94" s="127"/>
      <c r="N94" s="75"/>
      <c r="O94" s="84"/>
      <c r="P94" s="84"/>
      <c r="Q94" s="85"/>
      <c r="R94" s="75"/>
      <c r="S94" s="75"/>
      <c r="T94" s="75"/>
      <c r="U94" s="84"/>
      <c r="V94" s="85"/>
      <c r="W94" s="75"/>
      <c r="X94" s="65"/>
      <c r="Y94" s="28"/>
      <c r="Z94" s="233" t="s">
        <v>72</v>
      </c>
      <c r="AA94" s="65"/>
      <c r="AB94" s="65"/>
      <c r="AC94" s="65"/>
      <c r="AD94" s="65"/>
      <c r="AE94" s="65"/>
      <c r="AF94" s="65"/>
      <c r="AG94" s="65"/>
      <c r="AH94" s="65"/>
      <c r="AI94" s="65"/>
      <c r="AJ94" s="65"/>
      <c r="AK94" s="65"/>
      <c r="AL94" s="65"/>
      <c r="AM94" s="198"/>
      <c r="AN94" s="198"/>
      <c r="AO94" s="198"/>
      <c r="AP94" s="198"/>
      <c r="AQ94" s="198"/>
      <c r="AR94" s="198"/>
      <c r="AS94" s="254"/>
      <c r="AT94" s="35"/>
      <c r="AU94" s="35"/>
      <c r="AV94" s="254"/>
      <c r="AW94" s="198"/>
      <c r="AX94" s="198"/>
      <c r="AY94" s="198"/>
      <c r="AZ94" s="31"/>
      <c r="BA94" s="30"/>
      <c r="BB94" s="175"/>
      <c r="BC94" s="345"/>
      <c r="BD94" s="28"/>
      <c r="BG94" s="24"/>
      <c r="BH94" s="28"/>
    </row>
    <row r="95" spans="1:91" ht="13.5" customHeight="1">
      <c r="A95" s="22"/>
      <c r="B95" s="202"/>
      <c r="C95" s="402" t="s">
        <v>32</v>
      </c>
      <c r="D95" s="403" t="s">
        <v>175</v>
      </c>
      <c r="E95" s="404"/>
      <c r="F95" s="404"/>
      <c r="G95" s="405"/>
      <c r="H95" s="406" t="s">
        <v>176</v>
      </c>
      <c r="I95" s="407"/>
      <c r="J95" s="407"/>
      <c r="K95" s="407"/>
      <c r="L95" s="404"/>
      <c r="M95" s="405"/>
      <c r="N95" s="403" t="s">
        <v>177</v>
      </c>
      <c r="O95" s="404"/>
      <c r="P95" s="404"/>
      <c r="Q95" s="404"/>
      <c r="R95" s="404"/>
      <c r="S95" s="405"/>
      <c r="T95" s="403" t="s">
        <v>178</v>
      </c>
      <c r="U95" s="404"/>
      <c r="V95" s="404"/>
      <c r="W95" s="404"/>
      <c r="X95" s="404"/>
      <c r="Y95" s="404"/>
      <c r="Z95" s="408" t="s">
        <v>179</v>
      </c>
      <c r="AA95" s="409"/>
      <c r="AB95" s="409"/>
      <c r="AC95" s="410"/>
      <c r="AD95" s="65"/>
      <c r="AE95" s="65"/>
      <c r="AF95" s="65"/>
      <c r="AG95" s="65"/>
      <c r="AH95" s="65"/>
      <c r="AI95" s="65"/>
      <c r="AJ95" s="65"/>
      <c r="AK95" s="65"/>
      <c r="AL95" s="65"/>
      <c r="AM95" s="198"/>
      <c r="AN95" s="198"/>
      <c r="AO95" s="198"/>
      <c r="AP95" s="198"/>
      <c r="AQ95" s="198"/>
      <c r="AR95" s="198"/>
      <c r="AS95" s="254"/>
      <c r="AT95" s="35"/>
      <c r="AU95" s="35"/>
      <c r="AV95" s="254"/>
      <c r="AW95" s="198"/>
      <c r="AX95" s="198"/>
      <c r="AY95" s="198"/>
      <c r="AZ95" s="31"/>
      <c r="BA95" s="30"/>
      <c r="BB95" s="175"/>
      <c r="BC95" s="345"/>
      <c r="BD95" s="28"/>
      <c r="BG95" s="24"/>
      <c r="BH95" s="28"/>
    </row>
    <row r="96" spans="1:91" ht="13.5" customHeight="1">
      <c r="A96" s="22"/>
      <c r="B96" s="202"/>
      <c r="C96" s="419">
        <v>1</v>
      </c>
      <c r="D96" s="427" t="s">
        <v>261</v>
      </c>
      <c r="E96" s="428"/>
      <c r="F96" s="428"/>
      <c r="G96" s="429"/>
      <c r="H96" s="420" t="s">
        <v>192</v>
      </c>
      <c r="I96" s="117"/>
      <c r="J96" s="117"/>
      <c r="K96" s="117"/>
      <c r="L96" s="421"/>
      <c r="M96" s="422"/>
      <c r="N96" s="1058">
        <v>5000</v>
      </c>
      <c r="O96" s="1059"/>
      <c r="P96" s="1059"/>
      <c r="Q96" s="1059"/>
      <c r="R96" s="1059"/>
      <c r="S96" s="1060"/>
      <c r="T96" s="1058">
        <v>5000</v>
      </c>
      <c r="U96" s="1061"/>
      <c r="V96" s="1061"/>
      <c r="W96" s="1061"/>
      <c r="X96" s="1061"/>
      <c r="Y96" s="1062"/>
      <c r="Z96" s="1055">
        <v>10</v>
      </c>
      <c r="AA96" s="1056"/>
      <c r="AB96" s="1056"/>
      <c r="AC96" s="1057"/>
      <c r="AD96" s="65"/>
      <c r="AE96" s="65"/>
      <c r="AF96" s="65"/>
      <c r="AG96" s="65"/>
      <c r="AH96" s="65"/>
      <c r="AI96" s="65"/>
      <c r="AJ96" s="65"/>
      <c r="AK96" s="65"/>
      <c r="AL96" s="65"/>
      <c r="AM96" s="198"/>
      <c r="AN96" s="198"/>
      <c r="AO96" s="198"/>
      <c r="AP96" s="198"/>
      <c r="AQ96" s="198"/>
      <c r="AR96" s="198"/>
      <c r="AS96" s="254"/>
      <c r="AT96" s="35"/>
      <c r="AU96" s="35"/>
      <c r="AV96" s="254"/>
      <c r="AW96" s="198"/>
      <c r="AX96" s="198"/>
      <c r="AY96" s="198"/>
      <c r="AZ96" s="31"/>
      <c r="BA96" s="30"/>
      <c r="BB96" s="175"/>
      <c r="BC96" s="345"/>
      <c r="BD96" s="28"/>
      <c r="BG96" s="24"/>
      <c r="BH96" s="28"/>
    </row>
    <row r="97" spans="1:60" ht="13.5" customHeight="1">
      <c r="A97" s="22"/>
      <c r="B97" s="202"/>
      <c r="C97" s="419"/>
      <c r="D97" s="427"/>
      <c r="E97" s="428"/>
      <c r="F97" s="428"/>
      <c r="G97" s="429"/>
      <c r="H97" s="420"/>
      <c r="I97" s="117"/>
      <c r="J97" s="117"/>
      <c r="K97" s="117"/>
      <c r="L97" s="421"/>
      <c r="M97" s="422"/>
      <c r="N97" s="1058">
        <v>5000</v>
      </c>
      <c r="O97" s="1059"/>
      <c r="P97" s="1059"/>
      <c r="Q97" s="1059"/>
      <c r="R97" s="1059"/>
      <c r="S97" s="1060"/>
      <c r="T97" s="1058">
        <v>5000</v>
      </c>
      <c r="U97" s="1061"/>
      <c r="V97" s="1061"/>
      <c r="W97" s="1061"/>
      <c r="X97" s="1061"/>
      <c r="Y97" s="1062"/>
      <c r="Z97" s="1055"/>
      <c r="AA97" s="1056"/>
      <c r="AB97" s="1056"/>
      <c r="AC97" s="1057"/>
      <c r="AD97" s="65"/>
      <c r="AE97" s="65"/>
      <c r="AF97" s="65"/>
      <c r="AG97" s="65"/>
      <c r="AH97" s="65"/>
      <c r="AI97" s="65"/>
      <c r="AJ97" s="65"/>
      <c r="AK97" s="65"/>
      <c r="AL97" s="65"/>
      <c r="AM97" s="198"/>
      <c r="AN97" s="198"/>
      <c r="AO97" s="198"/>
      <c r="AP97" s="198"/>
      <c r="AQ97" s="198"/>
      <c r="AR97" s="198"/>
      <c r="AS97" s="254"/>
      <c r="AT97" s="35"/>
      <c r="AU97" s="35"/>
      <c r="AV97" s="254"/>
      <c r="AW97" s="198"/>
      <c r="AX97" s="198"/>
      <c r="AY97" s="198"/>
      <c r="AZ97" s="31"/>
      <c r="BA97" s="30"/>
      <c r="BB97" s="175"/>
      <c r="BC97" s="345"/>
      <c r="BD97" s="28"/>
      <c r="BG97" s="24"/>
      <c r="BH97" s="28"/>
    </row>
    <row r="98" spans="1:60" ht="13.5" customHeight="1">
      <c r="A98" s="22"/>
      <c r="B98" s="202"/>
      <c r="C98" s="430"/>
      <c r="D98" s="423"/>
      <c r="E98" s="423"/>
      <c r="F98" s="423"/>
      <c r="G98" s="424"/>
      <c r="H98" s="424"/>
      <c r="I98" s="424"/>
      <c r="J98" s="424"/>
      <c r="K98" s="424"/>
      <c r="L98" s="425"/>
      <c r="M98" s="425"/>
      <c r="N98" s="424"/>
      <c r="O98" s="424"/>
      <c r="P98" s="424"/>
      <c r="Q98" s="426"/>
      <c r="R98" s="1073"/>
      <c r="S98" s="1073"/>
      <c r="T98" s="1073"/>
      <c r="U98" s="1073"/>
      <c r="V98" s="423"/>
      <c r="W98" s="424"/>
      <c r="X98" s="424"/>
      <c r="Y98" s="426"/>
      <c r="Z98" s="65"/>
      <c r="AA98" s="65"/>
      <c r="AB98" s="65"/>
      <c r="AC98" s="65"/>
      <c r="AD98" s="65"/>
      <c r="AE98" s="65"/>
      <c r="AF98" s="65"/>
      <c r="AG98" s="65"/>
      <c r="AH98" s="65"/>
      <c r="AI98" s="65"/>
      <c r="AJ98" s="65"/>
      <c r="AK98" s="65"/>
      <c r="AL98" s="65"/>
      <c r="AM98" s="198"/>
      <c r="AN98" s="198"/>
      <c r="AO98" s="198"/>
      <c r="AP98" s="198"/>
      <c r="AQ98" s="198"/>
      <c r="AR98" s="198"/>
      <c r="AS98" s="254"/>
      <c r="AT98" s="35"/>
      <c r="AU98" s="35"/>
      <c r="AV98" s="254"/>
      <c r="AW98" s="198"/>
      <c r="AX98" s="198"/>
      <c r="AY98" s="198"/>
      <c r="AZ98" s="31"/>
      <c r="BA98" s="30"/>
      <c r="BB98" s="175"/>
      <c r="BC98" s="345"/>
      <c r="BD98" s="28"/>
      <c r="BG98" s="24"/>
      <c r="BH98" s="28"/>
    </row>
    <row r="99" spans="1:60" ht="13.5" customHeight="1">
      <c r="A99" s="22"/>
      <c r="B99" s="202"/>
      <c r="C99" s="393" t="s">
        <v>181</v>
      </c>
      <c r="D99" s="28"/>
      <c r="E99" s="28"/>
      <c r="F99" s="28"/>
      <c r="G99" s="28"/>
      <c r="H99" s="24"/>
      <c r="I99" s="24"/>
      <c r="J99" s="24"/>
      <c r="K99" s="24"/>
      <c r="L99" s="24"/>
      <c r="M99" s="127"/>
      <c r="N99" s="75"/>
      <c r="O99" s="84"/>
      <c r="P99" s="84"/>
      <c r="Q99" s="84"/>
      <c r="R99" s="84"/>
      <c r="S99" s="85"/>
      <c r="T99" s="75"/>
      <c r="U99" s="75"/>
      <c r="V99" s="75"/>
      <c r="W99" s="75"/>
      <c r="X99" s="75"/>
      <c r="Y99" s="84"/>
      <c r="Z99" s="233" t="s">
        <v>72</v>
      </c>
      <c r="AA99" s="75"/>
      <c r="AB99" s="65"/>
      <c r="AC99" s="28"/>
      <c r="AD99" s="65"/>
      <c r="AE99" s="65"/>
      <c r="AF99" s="65"/>
      <c r="AG99" s="65"/>
      <c r="AH99" s="65"/>
      <c r="AI99" s="65"/>
      <c r="AJ99" s="65"/>
      <c r="AK99" s="65"/>
      <c r="AL99" s="65"/>
      <c r="AM99" s="198"/>
      <c r="AN99" s="198"/>
      <c r="AO99" s="198"/>
      <c r="AP99" s="198"/>
      <c r="AQ99" s="198"/>
      <c r="AR99" s="198"/>
      <c r="AS99" s="254"/>
      <c r="AT99" s="35"/>
      <c r="AU99" s="35"/>
      <c r="AV99" s="254"/>
      <c r="AW99" s="198"/>
      <c r="AX99" s="198"/>
      <c r="AY99" s="198"/>
      <c r="AZ99" s="31"/>
      <c r="BA99" s="30"/>
      <c r="BB99" s="175"/>
      <c r="BC99" s="345"/>
      <c r="BD99" s="28"/>
      <c r="BG99" s="24"/>
      <c r="BH99" s="28"/>
    </row>
    <row r="100" spans="1:60" ht="13.5" customHeight="1">
      <c r="A100" s="22"/>
      <c r="B100" s="202"/>
      <c r="C100" s="402" t="s">
        <v>32</v>
      </c>
      <c r="D100" s="403" t="s">
        <v>175</v>
      </c>
      <c r="E100" s="412"/>
      <c r="F100" s="412"/>
      <c r="G100" s="413"/>
      <c r="H100" s="414" t="s">
        <v>186</v>
      </c>
      <c r="I100" s="415"/>
      <c r="J100" s="415"/>
      <c r="K100" s="415"/>
      <c r="L100" s="412"/>
      <c r="M100" s="413"/>
      <c r="N100" s="411" t="s">
        <v>187</v>
      </c>
      <c r="O100" s="412"/>
      <c r="P100" s="412"/>
      <c r="Q100" s="412"/>
      <c r="R100" s="412"/>
      <c r="S100" s="413"/>
      <c r="T100" s="411" t="s">
        <v>188</v>
      </c>
      <c r="U100" s="412"/>
      <c r="V100" s="412"/>
      <c r="W100" s="412"/>
      <c r="X100" s="412"/>
      <c r="Y100" s="412"/>
      <c r="Z100" s="416" t="s">
        <v>179</v>
      </c>
      <c r="AA100" s="417"/>
      <c r="AB100" s="417"/>
      <c r="AC100" s="418"/>
      <c r="AD100" s="65"/>
      <c r="AE100" s="65"/>
      <c r="AF100" s="65"/>
      <c r="AG100" s="65"/>
      <c r="AH100" s="65"/>
      <c r="AI100" s="65"/>
      <c r="AJ100" s="65"/>
      <c r="AK100" s="65"/>
      <c r="AL100" s="65"/>
      <c r="AM100" s="198"/>
      <c r="AN100" s="198"/>
      <c r="AO100" s="198"/>
      <c r="AP100" s="198"/>
      <c r="AQ100" s="198"/>
      <c r="AR100" s="198"/>
      <c r="AS100" s="254"/>
      <c r="AT100" s="35"/>
      <c r="AU100" s="35"/>
      <c r="AV100" s="254"/>
      <c r="AW100" s="198"/>
      <c r="AX100" s="198"/>
      <c r="AY100" s="198"/>
      <c r="AZ100" s="31"/>
      <c r="BA100" s="30"/>
      <c r="BB100" s="175"/>
      <c r="BC100" s="345"/>
      <c r="BD100" s="28"/>
      <c r="BG100" s="24"/>
      <c r="BH100" s="28"/>
    </row>
    <row r="101" spans="1:60" ht="13.5" customHeight="1">
      <c r="A101" s="22"/>
      <c r="B101" s="202"/>
      <c r="C101" s="308">
        <v>1</v>
      </c>
      <c r="D101" s="427" t="s">
        <v>261</v>
      </c>
      <c r="E101" s="428"/>
      <c r="F101" s="428"/>
      <c r="G101" s="429"/>
      <c r="H101" s="242" t="s">
        <v>30</v>
      </c>
      <c r="I101" s="150"/>
      <c r="J101" s="150"/>
      <c r="K101" s="150"/>
      <c r="L101" s="161"/>
      <c r="M101" s="162"/>
      <c r="N101" s="1063">
        <v>5000</v>
      </c>
      <c r="O101" s="1061"/>
      <c r="P101" s="1061"/>
      <c r="Q101" s="1061"/>
      <c r="R101" s="1061"/>
      <c r="S101" s="1062"/>
      <c r="T101" s="1063">
        <v>5000</v>
      </c>
      <c r="U101" s="1061"/>
      <c r="V101" s="1061"/>
      <c r="W101" s="1061"/>
      <c r="X101" s="1061"/>
      <c r="Y101" s="1062"/>
      <c r="Z101" s="1064">
        <v>10</v>
      </c>
      <c r="AA101" s="1065"/>
      <c r="AB101" s="1065"/>
      <c r="AC101" s="1066"/>
      <c r="AD101" s="65"/>
      <c r="AE101" s="65"/>
      <c r="AF101" s="65"/>
      <c r="AG101" s="65"/>
      <c r="AH101" s="65"/>
      <c r="AI101" s="65"/>
      <c r="AJ101" s="65"/>
      <c r="AK101" s="65"/>
      <c r="AL101" s="65"/>
      <c r="AM101" s="198"/>
      <c r="AN101" s="198"/>
      <c r="AO101" s="198"/>
      <c r="AP101" s="198"/>
      <c r="AQ101" s="198"/>
      <c r="AR101" s="198"/>
      <c r="AS101" s="254"/>
      <c r="AT101" s="35"/>
      <c r="AU101" s="35"/>
      <c r="AV101" s="254"/>
      <c r="AW101" s="198"/>
      <c r="AX101" s="198"/>
      <c r="AY101" s="198"/>
      <c r="AZ101" s="31"/>
      <c r="BA101" s="30"/>
      <c r="BB101" s="175"/>
      <c r="BC101" s="345"/>
      <c r="BD101" s="28"/>
      <c r="BG101" s="24"/>
      <c r="BH101" s="28"/>
    </row>
    <row r="102" spans="1:60" ht="13.5" customHeight="1">
      <c r="A102" s="22"/>
      <c r="B102" s="202"/>
      <c r="C102" s="308"/>
      <c r="D102" s="427"/>
      <c r="E102" s="428"/>
      <c r="F102" s="428"/>
      <c r="G102" s="429"/>
      <c r="H102" s="242" t="s">
        <v>30</v>
      </c>
      <c r="I102" s="150"/>
      <c r="J102" s="150"/>
      <c r="K102" s="150"/>
      <c r="L102" s="161"/>
      <c r="M102" s="162"/>
      <c r="N102" s="1063">
        <v>5000</v>
      </c>
      <c r="O102" s="1061"/>
      <c r="P102" s="1061"/>
      <c r="Q102" s="1061"/>
      <c r="R102" s="1061"/>
      <c r="S102" s="1062"/>
      <c r="T102" s="1063">
        <v>5000</v>
      </c>
      <c r="U102" s="1061"/>
      <c r="V102" s="1061"/>
      <c r="W102" s="1061"/>
      <c r="X102" s="1061"/>
      <c r="Y102" s="1062"/>
      <c r="Z102" s="1064"/>
      <c r="AA102" s="1065"/>
      <c r="AB102" s="1065"/>
      <c r="AC102" s="1066"/>
      <c r="AD102" s="65"/>
      <c r="AE102" s="65"/>
      <c r="AF102" s="65"/>
      <c r="AG102" s="65"/>
      <c r="AH102" s="65"/>
      <c r="AI102" s="65"/>
      <c r="AJ102" s="65"/>
      <c r="AK102" s="65"/>
      <c r="AL102" s="65"/>
      <c r="AM102" s="198"/>
      <c r="AN102" s="198"/>
      <c r="AO102" s="198"/>
      <c r="AP102" s="198"/>
      <c r="AQ102" s="198"/>
      <c r="AR102" s="198"/>
      <c r="AS102" s="254"/>
      <c r="AT102" s="35"/>
      <c r="AU102" s="35"/>
      <c r="AV102" s="254"/>
      <c r="AW102" s="198"/>
      <c r="AX102" s="198"/>
      <c r="AY102" s="198"/>
      <c r="AZ102" s="31"/>
      <c r="BA102" s="30"/>
      <c r="BB102" s="175"/>
      <c r="BC102" s="345"/>
      <c r="BD102" s="28"/>
      <c r="BG102" s="24"/>
      <c r="BH102" s="28"/>
    </row>
    <row r="103" spans="1:60" ht="13.5" customHeight="1">
      <c r="A103" s="22"/>
      <c r="B103" s="202"/>
      <c r="C103" s="342"/>
      <c r="D103" s="332"/>
      <c r="E103" s="65"/>
      <c r="F103" s="65"/>
      <c r="G103" s="65"/>
      <c r="H103" s="65"/>
      <c r="I103" s="65"/>
      <c r="J103" s="333"/>
      <c r="K103" s="334"/>
      <c r="L103" s="334"/>
      <c r="M103" s="334"/>
      <c r="N103"/>
      <c r="O103"/>
      <c r="P103"/>
      <c r="Q103"/>
      <c r="R103"/>
      <c r="S103"/>
      <c r="T103"/>
      <c r="U103"/>
      <c r="V103"/>
      <c r="W103" s="65"/>
      <c r="X103" s="65"/>
      <c r="Y103" s="65"/>
      <c r="Z103" s="65"/>
      <c r="AA103" s="65"/>
      <c r="AB103" s="65"/>
      <c r="AC103" s="65"/>
      <c r="AD103" s="65"/>
      <c r="AE103" s="65"/>
      <c r="AF103" s="65"/>
      <c r="AG103" s="65"/>
      <c r="AH103" s="65"/>
      <c r="AI103" s="65"/>
      <c r="AJ103" s="65"/>
      <c r="AK103" s="65"/>
      <c r="AL103" s="65"/>
      <c r="AW103" s="198"/>
      <c r="AX103" s="198"/>
      <c r="AY103" s="198"/>
      <c r="AZ103" s="31"/>
      <c r="BA103" s="30"/>
      <c r="BB103" s="175"/>
      <c r="BC103" s="345"/>
      <c r="BD103" s="28"/>
      <c r="BG103" s="24"/>
      <c r="BH103" s="28"/>
    </row>
    <row r="104" spans="1:60" ht="13.5" customHeight="1">
      <c r="A104" s="22"/>
      <c r="B104" s="202"/>
      <c r="C104" s="282" t="s">
        <v>193</v>
      </c>
      <c r="D104" s="28"/>
      <c r="E104" s="28"/>
      <c r="F104" s="28"/>
      <c r="H104" s="58"/>
      <c r="I104" s="59"/>
      <c r="J104" s="59"/>
      <c r="K104" s="59"/>
      <c r="L104" s="60"/>
      <c r="M104" s="59"/>
      <c r="N104" s="61"/>
      <c r="O104" s="61"/>
      <c r="P104" s="70"/>
      <c r="Q104" s="64"/>
      <c r="R104"/>
      <c r="S104"/>
      <c r="T104"/>
      <c r="U104"/>
      <c r="V104"/>
      <c r="W104" s="65"/>
      <c r="X104" s="65"/>
      <c r="Y104" s="65"/>
      <c r="Z104" s="65"/>
      <c r="AA104" s="65"/>
      <c r="AB104" s="65"/>
      <c r="AC104" s="65"/>
      <c r="AD104" s="65"/>
      <c r="AE104" s="65"/>
      <c r="AF104" s="65"/>
      <c r="AG104" s="65"/>
      <c r="AH104" s="65"/>
      <c r="AI104" s="65"/>
      <c r="AJ104" s="65"/>
      <c r="AK104" s="65"/>
      <c r="AL104" s="65"/>
      <c r="AW104" s="198"/>
      <c r="AX104" s="198"/>
      <c r="AY104" s="198"/>
      <c r="AZ104" s="31"/>
      <c r="BA104" s="30"/>
      <c r="BB104" s="175"/>
      <c r="BC104" s="345"/>
      <c r="BD104" s="28"/>
      <c r="BG104" s="24"/>
      <c r="BH104" s="28"/>
    </row>
    <row r="105" spans="1:60" ht="13.5" customHeight="1">
      <c r="A105" s="22"/>
      <c r="B105" s="202"/>
      <c r="C105" s="282" t="s">
        <v>194</v>
      </c>
      <c r="D105" s="28"/>
      <c r="E105" s="28"/>
      <c r="F105" s="28"/>
      <c r="H105" s="58"/>
      <c r="I105" s="59"/>
      <c r="J105" s="59"/>
      <c r="K105" s="59"/>
      <c r="L105" s="60"/>
      <c r="M105" s="59"/>
      <c r="N105" s="61"/>
      <c r="O105" s="61"/>
      <c r="P105" s="70"/>
      <c r="Q105"/>
      <c r="R105" s="488" t="s">
        <v>196</v>
      </c>
      <c r="S105" s="488"/>
      <c r="T105"/>
      <c r="U105"/>
      <c r="V105"/>
      <c r="W105" s="65"/>
      <c r="X105" s="65"/>
      <c r="Y105" s="65"/>
      <c r="Z105" s="65"/>
      <c r="AA105" s="65"/>
      <c r="AB105" s="65"/>
      <c r="AC105" s="65"/>
      <c r="AD105" s="65"/>
      <c r="AE105" s="65"/>
      <c r="AF105" s="65"/>
      <c r="AG105" s="65"/>
      <c r="AH105" s="65"/>
      <c r="AI105" s="65"/>
      <c r="AJ105" s="65"/>
      <c r="AK105" s="65"/>
      <c r="AL105" s="65"/>
      <c r="AW105" s="198"/>
      <c r="AX105" s="198"/>
      <c r="AY105" s="198"/>
      <c r="AZ105" s="31"/>
      <c r="BA105" s="30"/>
      <c r="BB105" s="175"/>
      <c r="BC105" s="345"/>
      <c r="BD105" s="28"/>
      <c r="BG105" s="24"/>
      <c r="BH105" s="28"/>
    </row>
    <row r="106" spans="1:60" ht="13.5" customHeight="1">
      <c r="A106" s="22"/>
      <c r="B106" s="202"/>
      <c r="C106" s="282" t="s">
        <v>195</v>
      </c>
      <c r="D106" s="28"/>
      <c r="E106" s="28"/>
      <c r="F106" s="28"/>
      <c r="H106" s="516" t="s">
        <v>283</v>
      </c>
      <c r="I106" s="59"/>
      <c r="J106" s="59"/>
      <c r="K106" s="59"/>
      <c r="L106" s="60"/>
      <c r="M106" s="59"/>
      <c r="N106" s="61"/>
      <c r="O106" s="61"/>
      <c r="P106" s="99" t="s">
        <v>33</v>
      </c>
      <c r="Q106"/>
      <c r="R106"/>
      <c r="S106"/>
      <c r="T106"/>
      <c r="U106"/>
      <c r="V106"/>
      <c r="W106" s="65"/>
      <c r="X106" s="65"/>
      <c r="Y106" s="65"/>
      <c r="Z106" s="65"/>
      <c r="AA106" s="65"/>
      <c r="AB106" s="65"/>
      <c r="AC106" s="65"/>
      <c r="AD106" s="65"/>
      <c r="AE106" s="65"/>
      <c r="AF106" s="65"/>
      <c r="AG106" s="65"/>
      <c r="AH106" s="65"/>
      <c r="AI106" s="65"/>
      <c r="AJ106" s="65"/>
      <c r="AK106" s="65"/>
      <c r="AL106" s="65"/>
      <c r="AW106" s="198"/>
      <c r="AX106" s="198"/>
      <c r="AY106" s="198"/>
      <c r="AZ106" s="31"/>
      <c r="BA106" s="30"/>
      <c r="BB106" s="175"/>
      <c r="BC106" s="345"/>
      <c r="BD106" s="28"/>
      <c r="BG106" s="24"/>
      <c r="BH106" s="28"/>
    </row>
    <row r="107" spans="1:60" ht="13.5" customHeight="1">
      <c r="A107" s="22"/>
      <c r="B107" s="202"/>
      <c r="C107" s="282"/>
      <c r="D107" s="28"/>
      <c r="E107" s="28"/>
      <c r="F107" s="28"/>
      <c r="H107" s="62"/>
      <c r="I107" s="63"/>
      <c r="J107" s="63"/>
      <c r="K107" s="63"/>
      <c r="L107" s="64"/>
      <c r="M107" s="63"/>
      <c r="N107" s="65"/>
      <c r="O107" s="65"/>
      <c r="P107" s="82"/>
      <c r="Q107"/>
      <c r="R107"/>
      <c r="S107"/>
      <c r="T107"/>
      <c r="U107"/>
      <c r="V107"/>
      <c r="W107" s="65"/>
      <c r="X107" s="65"/>
      <c r="Y107" s="65"/>
      <c r="Z107" s="65"/>
      <c r="AA107" s="65"/>
      <c r="AB107" s="65"/>
      <c r="AC107" s="65"/>
      <c r="AD107" s="65"/>
      <c r="AE107" s="65"/>
      <c r="AF107" s="65"/>
      <c r="AG107" s="65"/>
      <c r="AH107" s="65"/>
      <c r="AI107" s="65"/>
      <c r="AJ107" s="65"/>
      <c r="AK107" s="65"/>
      <c r="AL107" s="65"/>
      <c r="AW107" s="198"/>
      <c r="AX107" s="198"/>
      <c r="AY107" s="198"/>
      <c r="AZ107" s="31"/>
      <c r="BA107" s="30"/>
      <c r="BB107" s="175"/>
      <c r="BC107" s="345"/>
      <c r="BD107" s="28"/>
      <c r="BG107" s="24"/>
      <c r="BH107" s="28"/>
    </row>
    <row r="108" spans="1:60" ht="13.5" customHeight="1">
      <c r="A108" s="22"/>
      <c r="B108" s="202"/>
      <c r="C108" s="282" t="s">
        <v>284</v>
      </c>
      <c r="D108" s="28"/>
      <c r="E108" s="28"/>
      <c r="F108" s="28"/>
      <c r="H108" s="163"/>
      <c r="I108" s="164"/>
      <c r="J108" s="165"/>
      <c r="K108" s="164"/>
      <c r="L108" s="165"/>
      <c r="M108" s="164"/>
      <c r="N108" s="166"/>
      <c r="O108" s="164"/>
      <c r="P108" s="165"/>
      <c r="Q108" s="165"/>
      <c r="R108" s="165"/>
      <c r="S108" s="167"/>
      <c r="T108" s="167"/>
      <c r="U108" s="167"/>
      <c r="V108" s="167"/>
      <c r="W108" s="167"/>
      <c r="X108" s="166"/>
      <c r="Y108" s="167"/>
      <c r="Z108" s="165"/>
      <c r="AA108" s="166"/>
      <c r="AB108" s="167"/>
      <c r="AC108" s="165"/>
      <c r="AD108" s="166"/>
      <c r="AE108" s="165"/>
      <c r="AF108" s="165"/>
      <c r="AG108" s="166"/>
      <c r="AH108" s="165"/>
      <c r="AI108" s="165"/>
      <c r="AJ108" s="168"/>
      <c r="AK108" s="165"/>
      <c r="AL108" s="165"/>
      <c r="AM108" s="165"/>
      <c r="AN108" s="165"/>
      <c r="AO108" s="165"/>
      <c r="AP108" s="165"/>
      <c r="AQ108" s="165"/>
      <c r="AR108" s="165"/>
      <c r="AS108" s="165"/>
      <c r="AT108" s="165"/>
      <c r="AU108" s="165"/>
      <c r="AV108" s="165"/>
      <c r="AW108" s="165"/>
      <c r="AX108" s="160" t="s">
        <v>37</v>
      </c>
      <c r="AY108" s="198"/>
      <c r="AZ108" s="31"/>
      <c r="BA108" s="30"/>
      <c r="BB108" s="175"/>
      <c r="BC108" s="345"/>
      <c r="BD108" s="28"/>
      <c r="BG108" s="24"/>
      <c r="BH108" s="28"/>
    </row>
    <row r="109" spans="1:60" ht="13.5" customHeight="1">
      <c r="A109" s="22"/>
      <c r="B109" s="202"/>
      <c r="C109" s="282"/>
      <c r="D109" s="28"/>
      <c r="E109" s="28"/>
      <c r="F109" s="28"/>
      <c r="H109" s="169"/>
      <c r="I109" s="170"/>
      <c r="J109" s="171"/>
      <c r="K109" s="170"/>
      <c r="L109" s="171"/>
      <c r="M109" s="170"/>
      <c r="N109" s="172"/>
      <c r="O109" s="170"/>
      <c r="P109" s="171"/>
      <c r="Q109" s="171"/>
      <c r="R109" s="171"/>
      <c r="S109" s="173"/>
      <c r="T109" s="173"/>
      <c r="U109" s="173"/>
      <c r="V109" s="173"/>
      <c r="W109" s="173"/>
      <c r="X109" s="172"/>
      <c r="Y109" s="173"/>
      <c r="Z109" s="171"/>
      <c r="AA109" s="172"/>
      <c r="AB109" s="173"/>
      <c r="AC109" s="171"/>
      <c r="AD109" s="172"/>
      <c r="AE109" s="171"/>
      <c r="AF109" s="171"/>
      <c r="AG109" s="172"/>
      <c r="AH109" s="171"/>
      <c r="AI109" s="171"/>
      <c r="AJ109" s="174"/>
      <c r="AK109" s="171"/>
      <c r="AL109" s="171"/>
      <c r="AM109" s="171"/>
      <c r="AN109" s="171"/>
      <c r="AO109" s="171"/>
      <c r="AP109" s="171"/>
      <c r="AQ109" s="171"/>
      <c r="AR109" s="171"/>
      <c r="AS109" s="171"/>
      <c r="AT109" s="171"/>
      <c r="AU109" s="171"/>
      <c r="AV109" s="171"/>
      <c r="AW109" s="171"/>
      <c r="AX109" s="122" t="s">
        <v>33</v>
      </c>
      <c r="AY109" s="198"/>
      <c r="AZ109" s="31"/>
      <c r="BA109" s="30"/>
      <c r="BB109" s="175"/>
      <c r="BC109" s="345"/>
      <c r="BD109" s="28"/>
      <c r="BG109" s="24"/>
      <c r="BH109" s="28"/>
    </row>
    <row r="110" spans="1:60" ht="13.5" customHeight="1">
      <c r="A110" s="22"/>
      <c r="B110" s="202"/>
      <c r="C110" s="282"/>
      <c r="D110" s="28"/>
      <c r="E110" s="28"/>
      <c r="F110" s="28"/>
      <c r="H110" s="62"/>
      <c r="I110" s="63"/>
      <c r="J110" s="63"/>
      <c r="K110" s="63"/>
      <c r="L110" s="64"/>
      <c r="M110" s="63"/>
      <c r="N110" s="65"/>
      <c r="O110" s="65"/>
      <c r="P110" s="82"/>
      <c r="Q110"/>
      <c r="R110"/>
      <c r="S110"/>
      <c r="T110"/>
      <c r="U110"/>
      <c r="V110"/>
      <c r="W110" s="65"/>
      <c r="X110" s="65"/>
      <c r="Y110" s="65"/>
      <c r="Z110" s="65"/>
      <c r="AA110" s="65"/>
      <c r="AB110" s="65"/>
      <c r="AC110" s="65"/>
      <c r="AD110" s="65"/>
      <c r="AE110" s="65"/>
      <c r="AF110" s="65"/>
      <c r="AG110" s="65"/>
      <c r="AH110" s="65"/>
      <c r="AI110" s="65"/>
      <c r="AJ110" s="65"/>
      <c r="AK110" s="65"/>
      <c r="AL110" s="65"/>
      <c r="AW110" s="198"/>
      <c r="AX110" s="198"/>
      <c r="AY110" s="198"/>
      <c r="AZ110" s="31"/>
      <c r="BA110" s="30"/>
      <c r="BB110" s="175"/>
      <c r="BC110" s="345"/>
      <c r="BD110" s="28"/>
      <c r="BG110" s="24"/>
      <c r="BH110" s="28"/>
    </row>
    <row r="111" spans="1:60" ht="13.5" customHeight="1">
      <c r="A111" s="22"/>
      <c r="B111" s="202"/>
      <c r="C111" s="342"/>
      <c r="D111" s="332"/>
      <c r="E111" s="65"/>
      <c r="F111" s="65"/>
      <c r="G111" s="65"/>
      <c r="H111" s="65"/>
      <c r="I111" s="65"/>
      <c r="J111" s="333"/>
      <c r="K111" s="334"/>
      <c r="L111" s="334"/>
      <c r="M111" s="334"/>
      <c r="N111"/>
      <c r="O111"/>
      <c r="P111"/>
      <c r="Q111"/>
      <c r="R111"/>
      <c r="S111"/>
      <c r="T111"/>
      <c r="U111"/>
      <c r="V111"/>
      <c r="W111" s="65"/>
      <c r="X111" s="65"/>
      <c r="Y111" s="65"/>
      <c r="Z111" s="65"/>
      <c r="AA111" s="65"/>
      <c r="AB111" s="65"/>
      <c r="AC111" s="65"/>
      <c r="AD111" s="65"/>
      <c r="AE111" s="65"/>
      <c r="AF111" s="65"/>
      <c r="AG111" s="65"/>
      <c r="AH111" s="65"/>
      <c r="AI111" s="65"/>
      <c r="AJ111" s="65"/>
      <c r="AK111" s="65"/>
      <c r="AL111" s="65"/>
      <c r="AM111" s="198"/>
      <c r="AN111" s="198"/>
      <c r="AO111" s="198"/>
      <c r="AP111" s="198"/>
      <c r="AQ111" s="198"/>
      <c r="AR111" s="198"/>
      <c r="AS111" s="254"/>
      <c r="AT111" s="35"/>
      <c r="AU111" s="35"/>
      <c r="AV111" s="254"/>
      <c r="AW111" s="198"/>
      <c r="AX111" s="198"/>
      <c r="AY111" s="198"/>
      <c r="AZ111" s="31"/>
      <c r="BA111" s="30"/>
      <c r="BB111" s="175"/>
      <c r="BC111" s="345"/>
      <c r="BD111" s="28"/>
      <c r="BG111" s="24"/>
      <c r="BH111" s="28"/>
    </row>
    <row r="112" spans="1:60" ht="13.5" customHeight="1">
      <c r="A112" s="22"/>
      <c r="B112" s="202"/>
      <c r="C112" s="342"/>
      <c r="D112" s="332"/>
      <c r="E112" s="65"/>
      <c r="F112" s="65"/>
      <c r="G112" s="65"/>
      <c r="H112" s="65"/>
      <c r="I112" s="65"/>
      <c r="J112" s="333"/>
      <c r="K112" s="334"/>
      <c r="L112" s="334"/>
      <c r="M112" s="334"/>
      <c r="N112"/>
      <c r="O112"/>
      <c r="P112"/>
      <c r="Q112"/>
      <c r="R112"/>
      <c r="S112"/>
      <c r="T112"/>
      <c r="U112"/>
      <c r="V112"/>
      <c r="W112" s="65"/>
      <c r="X112" s="65"/>
      <c r="Y112" s="65"/>
      <c r="Z112" s="65"/>
      <c r="AA112" s="65"/>
      <c r="AB112" s="65"/>
      <c r="AC112" s="65"/>
      <c r="AD112" s="65"/>
      <c r="AE112" s="65"/>
      <c r="AF112" s="65"/>
      <c r="AG112" s="65"/>
      <c r="AH112" s="65"/>
      <c r="AI112" s="65"/>
      <c r="AJ112" s="65"/>
      <c r="AK112" s="65"/>
      <c r="AL112" s="65"/>
      <c r="AM112" s="198"/>
      <c r="AN112" s="198"/>
      <c r="AO112" s="198"/>
      <c r="AP112" s="198"/>
      <c r="AQ112" s="198"/>
      <c r="AR112" s="198"/>
      <c r="AS112" s="254"/>
      <c r="AT112" s="35"/>
      <c r="AU112" s="35"/>
      <c r="AV112" s="254"/>
      <c r="AW112" s="198"/>
      <c r="AX112" s="198"/>
      <c r="AY112" s="198"/>
      <c r="AZ112" s="31"/>
      <c r="BA112" s="30"/>
      <c r="BB112" s="175"/>
      <c r="BC112" s="345"/>
      <c r="BD112" s="28"/>
      <c r="BG112" s="24"/>
      <c r="BH112" s="28"/>
    </row>
    <row r="113" spans="1:60" ht="5.15" customHeight="1">
      <c r="A113" s="22"/>
      <c r="B113" s="202"/>
      <c r="C113" s="315"/>
      <c r="D113" s="73"/>
      <c r="E113" s="73"/>
      <c r="F113" s="73"/>
      <c r="G113" s="73"/>
      <c r="H113" s="316"/>
      <c r="I113" s="275"/>
      <c r="J113" s="273"/>
      <c r="K113" s="275"/>
      <c r="L113" s="273"/>
      <c r="M113" s="317"/>
      <c r="N113" s="317"/>
      <c r="O113" s="270"/>
      <c r="P113" s="317"/>
      <c r="Q113" s="270"/>
      <c r="R113" s="317"/>
      <c r="S113" s="73"/>
      <c r="T113" s="73"/>
      <c r="U113" s="73"/>
      <c r="V113" s="73"/>
      <c r="W113" s="73"/>
      <c r="X113" s="316"/>
      <c r="Y113" s="275"/>
      <c r="Z113" s="273"/>
      <c r="AA113" s="275"/>
      <c r="AB113" s="273"/>
      <c r="AC113" s="317"/>
      <c r="AD113" s="317"/>
      <c r="AE113" s="270"/>
      <c r="AF113" s="317"/>
      <c r="AG113" s="270"/>
      <c r="AH113" s="317"/>
      <c r="AI113" s="276"/>
      <c r="AJ113" s="317"/>
      <c r="AK113" s="270"/>
      <c r="AL113" s="73"/>
      <c r="AM113" s="73"/>
      <c r="AN113" s="73"/>
      <c r="AO113" s="73"/>
      <c r="AP113" s="73"/>
      <c r="AQ113" s="73"/>
      <c r="AR113" s="73"/>
      <c r="AS113" s="73"/>
      <c r="AT113" s="73"/>
      <c r="AU113" s="73"/>
      <c r="AV113" s="318"/>
      <c r="AW113" s="73"/>
      <c r="AX113" s="73"/>
      <c r="AY113" s="269"/>
      <c r="AZ113" s="269"/>
      <c r="BA113" s="319"/>
      <c r="BB113" s="320"/>
      <c r="BC113" s="344"/>
      <c r="BD113" s="28"/>
    </row>
    <row r="114" spans="1:60" ht="13.5" customHeight="1">
      <c r="A114" s="22"/>
      <c r="B114" s="202">
        <v>31</v>
      </c>
      <c r="C114" s="331"/>
      <c r="D114" s="332"/>
      <c r="E114" s="65"/>
      <c r="F114" s="65"/>
      <c r="G114" s="65"/>
      <c r="H114" s="65"/>
      <c r="I114" s="65"/>
      <c r="J114" s="1010"/>
      <c r="K114" s="1010"/>
      <c r="L114" s="1010"/>
      <c r="M114" s="1010"/>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198"/>
      <c r="AN114" s="198"/>
      <c r="AO114" s="198"/>
      <c r="AP114" s="198"/>
      <c r="AQ114" s="198"/>
      <c r="AR114" s="198"/>
      <c r="AS114" s="198"/>
      <c r="AT114" s="198"/>
      <c r="AU114" s="198"/>
      <c r="AV114" s="198"/>
      <c r="AW114" s="198"/>
      <c r="AX114" s="198"/>
      <c r="AY114" s="198"/>
      <c r="AZ114" s="33"/>
      <c r="BA114" s="46"/>
      <c r="BB114" s="78"/>
      <c r="BC114" s="34"/>
      <c r="BD114" s="28"/>
      <c r="BG114" s="24"/>
      <c r="BH114" s="28"/>
    </row>
    <row r="115" spans="1:60" ht="14.15" customHeight="1">
      <c r="A115" s="22"/>
      <c r="B115" s="129"/>
      <c r="C115" s="346" t="s">
        <v>131</v>
      </c>
      <c r="D115" s="28"/>
      <c r="E115" s="28"/>
      <c r="F115" s="28"/>
      <c r="G115" s="28"/>
      <c r="S115" s="35"/>
      <c r="T115" s="35"/>
      <c r="U115" s="35"/>
      <c r="V115" s="35"/>
      <c r="Y115" s="35"/>
      <c r="Z115" s="35"/>
      <c r="AD115" s="35"/>
      <c r="AE115" s="35"/>
      <c r="AF115" s="35"/>
      <c r="AG115" s="35"/>
      <c r="AH115" s="35"/>
      <c r="AI115" s="35"/>
      <c r="AJ115" s="28"/>
      <c r="AK115" s="28"/>
      <c r="AL115" s="28"/>
      <c r="AM115" s="130"/>
      <c r="AN115" s="130"/>
      <c r="AO115" s="35"/>
      <c r="AP115" s="35"/>
      <c r="AQ115" s="35"/>
      <c r="AR115" s="35"/>
      <c r="AS115" s="35"/>
      <c r="AT115" s="35"/>
      <c r="AU115" s="35"/>
      <c r="AV115" s="35"/>
      <c r="AW115" s="35"/>
      <c r="AX115" s="65"/>
      <c r="AY115" s="65"/>
      <c r="AZ115" s="33"/>
      <c r="BA115" s="46"/>
      <c r="BB115" s="78"/>
      <c r="BC115" s="34"/>
      <c r="BD115" s="28"/>
      <c r="BG115" s="35"/>
    </row>
    <row r="116" spans="1:60" ht="5.15" customHeight="1">
      <c r="A116" s="22"/>
      <c r="B116" s="202"/>
      <c r="C116" s="296"/>
      <c r="D116" s="72"/>
      <c r="E116" s="72"/>
      <c r="F116" s="72"/>
      <c r="G116" s="72"/>
      <c r="H116" s="297"/>
      <c r="I116" s="278"/>
      <c r="J116" s="279"/>
      <c r="K116" s="278"/>
      <c r="L116" s="279"/>
      <c r="M116" s="298"/>
      <c r="N116" s="298"/>
      <c r="O116" s="263"/>
      <c r="P116" s="298"/>
      <c r="Q116" s="263"/>
      <c r="R116" s="298"/>
      <c r="S116" s="72"/>
      <c r="T116" s="72"/>
      <c r="U116" s="72"/>
      <c r="V116" s="72"/>
      <c r="W116" s="72"/>
      <c r="X116" s="297"/>
      <c r="Y116" s="278"/>
      <c r="Z116" s="279"/>
      <c r="AA116" s="278"/>
      <c r="AB116" s="279"/>
      <c r="AC116" s="298"/>
      <c r="AD116" s="298"/>
      <c r="AE116" s="263"/>
      <c r="AF116" s="298"/>
      <c r="AG116" s="263"/>
      <c r="AH116" s="298"/>
      <c r="AI116" s="280"/>
      <c r="AJ116" s="298"/>
      <c r="AK116" s="263"/>
      <c r="AL116" s="72"/>
      <c r="AM116" s="72"/>
      <c r="AN116" s="72"/>
      <c r="AO116" s="72"/>
      <c r="AP116" s="72"/>
      <c r="AQ116" s="72"/>
      <c r="AR116" s="72"/>
      <c r="AS116" s="72"/>
      <c r="AT116" s="72"/>
      <c r="AU116" s="72"/>
      <c r="AV116" s="300"/>
      <c r="AW116" s="72"/>
      <c r="AX116" s="72"/>
      <c r="AY116" s="265"/>
      <c r="AZ116" s="33"/>
      <c r="BA116" s="46"/>
      <c r="BB116" s="78"/>
      <c r="BC116" s="34"/>
      <c r="BD116" s="28"/>
    </row>
    <row r="117" spans="1:60" ht="14.15" customHeight="1">
      <c r="A117" s="23"/>
      <c r="B117" s="351"/>
      <c r="C117" s="282"/>
      <c r="D117" s="28"/>
      <c r="E117" s="28"/>
      <c r="F117" s="28"/>
      <c r="G117" s="28"/>
      <c r="H117" s="28"/>
      <c r="I117" s="28"/>
      <c r="J117" s="28"/>
      <c r="K117" s="28"/>
      <c r="L117" s="28"/>
      <c r="M117" s="28"/>
      <c r="N117" s="28"/>
      <c r="O117" s="28"/>
      <c r="P117" s="28"/>
      <c r="Q117" s="25"/>
      <c r="S117" s="35"/>
      <c r="T117" s="28"/>
      <c r="U117" s="28"/>
      <c r="V117" s="28"/>
      <c r="W117" s="28"/>
      <c r="X117" s="28"/>
      <c r="Y117" s="28"/>
      <c r="Z117" s="28"/>
      <c r="AC117" s="28"/>
      <c r="AD117" s="28"/>
      <c r="AE117" s="35"/>
      <c r="AF117" s="35"/>
      <c r="AG117" s="35"/>
      <c r="AH117" s="35"/>
      <c r="AI117" s="35"/>
      <c r="AJ117" s="28"/>
      <c r="AK117" s="28"/>
      <c r="AL117" s="28"/>
      <c r="AM117" s="35"/>
      <c r="AN117" s="35"/>
      <c r="AO117" s="135"/>
      <c r="AP117" s="136"/>
      <c r="AQ117" s="130"/>
      <c r="AR117" s="130"/>
      <c r="AS117" s="130"/>
      <c r="AT117" s="130"/>
      <c r="AU117" s="81"/>
      <c r="AV117" s="35"/>
      <c r="AW117" s="35"/>
      <c r="AX117" s="65"/>
      <c r="AY117" s="347"/>
      <c r="AZ117" s="33"/>
      <c r="BA117" s="46"/>
      <c r="BB117" s="78"/>
      <c r="BC117" s="34"/>
      <c r="BD117" s="28"/>
      <c r="BG117" s="35"/>
    </row>
    <row r="118" spans="1:60" ht="14.15" customHeight="1">
      <c r="A118" s="23"/>
      <c r="B118" s="351"/>
      <c r="C118" s="352"/>
      <c r="D118" s="348" t="s">
        <v>38</v>
      </c>
      <c r="E118" s="131"/>
      <c r="F118" s="131"/>
      <c r="G118" s="131"/>
      <c r="H118" s="132"/>
      <c r="I118" s="132"/>
      <c r="J118" s="106"/>
      <c r="K118" s="133"/>
      <c r="L118" s="134"/>
      <c r="M118" s="144"/>
      <c r="N118" s="144"/>
      <c r="O118" s="131"/>
      <c r="P118" s="134"/>
      <c r="Q118" s="107"/>
      <c r="R118" s="133" t="s">
        <v>40</v>
      </c>
      <c r="S118" s="134"/>
      <c r="T118" s="107"/>
      <c r="U118" s="107"/>
      <c r="V118" s="133" t="s">
        <v>44</v>
      </c>
      <c r="W118" s="134"/>
      <c r="X118" s="107"/>
      <c r="Y118" s="35"/>
      <c r="Z118" s="35"/>
      <c r="AC118" s="28"/>
      <c r="AD118" s="28"/>
      <c r="AE118" s="28"/>
      <c r="AF118" s="35"/>
      <c r="AG118" s="35"/>
      <c r="AH118" s="28"/>
      <c r="AI118" s="28"/>
      <c r="AJ118" s="28"/>
      <c r="AK118" s="81"/>
      <c r="AL118" s="28"/>
      <c r="AM118" s="28"/>
      <c r="AN118" s="28"/>
      <c r="AO118" s="28"/>
      <c r="AP118" s="28"/>
      <c r="AQ118" s="65"/>
      <c r="AR118" s="65"/>
      <c r="AS118" s="65"/>
      <c r="AT118" s="125"/>
      <c r="AU118" s="65"/>
      <c r="AV118" s="65"/>
      <c r="AW118" s="65"/>
      <c r="AX118" s="65"/>
      <c r="AY118" s="347"/>
      <c r="AZ118" s="33"/>
      <c r="BA118" s="46"/>
      <c r="BB118" s="78"/>
      <c r="BC118" s="34"/>
      <c r="BD118" s="28"/>
      <c r="BE118" s="35"/>
      <c r="BF118" s="35"/>
      <c r="BG118" s="35"/>
    </row>
    <row r="119" spans="1:60" ht="13.5" customHeight="1">
      <c r="A119" s="22"/>
      <c r="B119" s="353"/>
      <c r="C119" s="352"/>
      <c r="D119" s="349" t="s">
        <v>45</v>
      </c>
      <c r="E119" s="137"/>
      <c r="F119" s="137"/>
      <c r="G119" s="137"/>
      <c r="H119" s="137"/>
      <c r="I119" s="137"/>
      <c r="J119" s="137"/>
      <c r="K119" s="350"/>
      <c r="L119" s="139"/>
      <c r="M119" s="108"/>
      <c r="N119" s="108"/>
      <c r="O119" s="145"/>
      <c r="P119" s="139"/>
      <c r="Q119" s="109"/>
      <c r="R119" s="138" t="s">
        <v>41</v>
      </c>
      <c r="S119" s="139"/>
      <c r="T119" s="108"/>
      <c r="U119" s="109"/>
      <c r="V119" s="140"/>
      <c r="W119" s="141"/>
      <c r="X119" s="142"/>
      <c r="Y119" s="116"/>
      <c r="Z119" s="41"/>
      <c r="AA119" s="116"/>
      <c r="AB119" s="116"/>
      <c r="AC119" s="116"/>
      <c r="AD119" s="116"/>
      <c r="AE119" s="116"/>
      <c r="AF119" s="116"/>
      <c r="AG119" s="116"/>
      <c r="AH119" s="116"/>
      <c r="AI119" s="116"/>
      <c r="AJ119" s="116"/>
      <c r="AK119" s="116"/>
      <c r="AL119" s="116"/>
      <c r="AM119" s="116"/>
      <c r="AN119" s="116"/>
      <c r="AO119" s="116"/>
      <c r="AP119" s="116"/>
      <c r="AQ119" s="65"/>
      <c r="AR119" s="65"/>
      <c r="AS119" s="65"/>
      <c r="AT119" s="125"/>
      <c r="AU119" s="65"/>
      <c r="AV119" s="65"/>
      <c r="AW119" s="65"/>
      <c r="AX119" s="65"/>
      <c r="AY119" s="347"/>
      <c r="AZ119" s="33"/>
      <c r="BA119" s="46"/>
      <c r="BB119" s="78"/>
      <c r="BC119" s="34"/>
      <c r="BD119" s="28"/>
      <c r="BE119" s="35"/>
      <c r="BF119" s="35"/>
      <c r="BG119" s="35"/>
    </row>
    <row r="120" spans="1:60" ht="5.15" customHeight="1">
      <c r="A120" s="22"/>
      <c r="B120" s="202"/>
      <c r="C120" s="315"/>
      <c r="D120" s="73"/>
      <c r="E120" s="73"/>
      <c r="F120" s="73"/>
      <c r="G120" s="73"/>
      <c r="H120" s="316"/>
      <c r="I120" s="275"/>
      <c r="J120" s="273"/>
      <c r="K120" s="275"/>
      <c r="L120" s="273"/>
      <c r="M120" s="317"/>
      <c r="N120" s="317"/>
      <c r="O120" s="270"/>
      <c r="P120" s="317"/>
      <c r="Q120" s="270"/>
      <c r="R120" s="317"/>
      <c r="S120" s="73"/>
      <c r="T120" s="73"/>
      <c r="U120" s="73"/>
      <c r="V120" s="73"/>
      <c r="W120" s="73"/>
      <c r="X120" s="316"/>
      <c r="Y120" s="275"/>
      <c r="Z120" s="273"/>
      <c r="AA120" s="275"/>
      <c r="AB120" s="273"/>
      <c r="AC120" s="317"/>
      <c r="AD120" s="317"/>
      <c r="AE120" s="270"/>
      <c r="AF120" s="317"/>
      <c r="AG120" s="270"/>
      <c r="AH120" s="317"/>
      <c r="AI120" s="276"/>
      <c r="AJ120" s="317"/>
      <c r="AK120" s="270"/>
      <c r="AL120" s="73"/>
      <c r="AM120" s="73"/>
      <c r="AN120" s="73"/>
      <c r="AO120" s="73"/>
      <c r="AP120" s="73"/>
      <c r="AQ120" s="73"/>
      <c r="AR120" s="73"/>
      <c r="AS120" s="73"/>
      <c r="AT120" s="73"/>
      <c r="AU120" s="73"/>
      <c r="AV120" s="318"/>
      <c r="AW120" s="73"/>
      <c r="AX120" s="73"/>
      <c r="AY120" s="277"/>
      <c r="AZ120" s="33"/>
      <c r="BA120" s="46"/>
      <c r="BB120" s="78"/>
      <c r="BC120" s="34"/>
      <c r="BD120" s="28"/>
    </row>
    <row r="121" spans="1:60" ht="14.15" customHeight="1">
      <c r="A121" s="22"/>
      <c r="B121" s="202">
        <v>35</v>
      </c>
      <c r="C121" s="331"/>
      <c r="D121" s="332"/>
      <c r="E121" s="65"/>
      <c r="F121" s="65"/>
      <c r="G121" s="65"/>
      <c r="H121" s="65"/>
      <c r="I121" s="65"/>
      <c r="J121" s="989"/>
      <c r="K121" s="989"/>
      <c r="L121" s="989"/>
      <c r="M121" s="989"/>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125"/>
      <c r="AU121" s="65"/>
      <c r="AV121" s="65"/>
      <c r="AW121" s="65"/>
      <c r="AX121" s="65"/>
      <c r="AY121" s="65"/>
      <c r="AZ121" s="33"/>
      <c r="BA121" s="46"/>
      <c r="BB121" s="335"/>
      <c r="BC121" s="336"/>
      <c r="BD121" s="28"/>
      <c r="BG121" s="24"/>
      <c r="BH121" s="28"/>
    </row>
    <row r="122" spans="1:60" ht="14.15" customHeight="1">
      <c r="A122" s="22"/>
      <c r="B122" s="202">
        <v>35</v>
      </c>
      <c r="C122" s="346" t="s">
        <v>247</v>
      </c>
      <c r="D122" s="332"/>
      <c r="E122" s="65"/>
      <c r="F122" s="65"/>
      <c r="G122" s="65"/>
      <c r="H122" s="65"/>
      <c r="I122" s="65"/>
      <c r="J122" s="989"/>
      <c r="K122" s="989"/>
      <c r="L122" s="989"/>
      <c r="M122" s="989"/>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125"/>
      <c r="AU122" s="65"/>
      <c r="AV122" s="65"/>
      <c r="AW122" s="65"/>
      <c r="AX122" s="65"/>
      <c r="AY122" s="65"/>
      <c r="AZ122" s="33"/>
      <c r="BA122" s="46"/>
      <c r="BB122" s="335"/>
      <c r="BC122" s="336"/>
      <c r="BD122" s="28"/>
      <c r="BG122" s="24"/>
      <c r="BH122" s="28"/>
    </row>
    <row r="123" spans="1:60" ht="14.15" customHeight="1">
      <c r="A123" s="22"/>
      <c r="B123" s="202">
        <v>35</v>
      </c>
      <c r="C123" s="331"/>
      <c r="D123" s="478" t="s">
        <v>248</v>
      </c>
      <c r="E123" s="65"/>
      <c r="F123" s="65"/>
      <c r="G123" s="65"/>
      <c r="H123" s="65"/>
      <c r="I123" s="65"/>
      <c r="J123" s="477"/>
      <c r="K123" s="477"/>
      <c r="L123" s="477"/>
      <c r="M123" s="477"/>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125"/>
      <c r="AU123" s="65"/>
      <c r="AV123" s="65"/>
      <c r="AW123" s="65"/>
      <c r="AX123" s="65"/>
      <c r="AY123" s="65"/>
      <c r="AZ123" s="33"/>
      <c r="BA123" s="46"/>
      <c r="BB123" s="335"/>
      <c r="BC123" s="336"/>
      <c r="BD123" s="28"/>
      <c r="BG123" s="24"/>
      <c r="BH123" s="28"/>
    </row>
    <row r="124" spans="1:60" ht="14.15" customHeight="1">
      <c r="A124" s="22"/>
      <c r="B124" s="202">
        <v>35</v>
      </c>
      <c r="C124" s="331"/>
      <c r="D124" s="332"/>
      <c r="E124" s="65"/>
      <c r="F124" s="65"/>
      <c r="G124" s="65"/>
      <c r="H124" s="65"/>
      <c r="I124" s="65"/>
      <c r="J124" s="1011"/>
      <c r="K124" s="1011"/>
      <c r="L124" s="1011"/>
      <c r="M124" s="1011"/>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125"/>
      <c r="AU124" s="65"/>
      <c r="AV124" s="65"/>
      <c r="AW124" s="65"/>
      <c r="AX124" s="65"/>
      <c r="AY124" s="65"/>
      <c r="AZ124" s="33"/>
      <c r="BA124" s="46"/>
      <c r="BB124" s="335"/>
      <c r="BC124" s="336"/>
      <c r="BD124" s="28"/>
      <c r="BG124" s="24"/>
      <c r="BH124" s="28"/>
    </row>
    <row r="125" spans="1:60" ht="5.15" customHeight="1">
      <c r="A125" s="22"/>
      <c r="B125" s="202"/>
      <c r="C125" s="296"/>
      <c r="D125" s="72"/>
      <c r="E125" s="72"/>
      <c r="F125" s="72"/>
      <c r="G125" s="72"/>
      <c r="H125" s="297"/>
      <c r="I125" s="278"/>
      <c r="J125" s="279"/>
      <c r="K125" s="278"/>
      <c r="L125" s="279"/>
      <c r="M125" s="298"/>
      <c r="N125" s="298"/>
      <c r="O125" s="263"/>
      <c r="P125" s="298"/>
      <c r="Q125" s="263"/>
      <c r="R125" s="298"/>
      <c r="S125" s="72"/>
      <c r="T125" s="72"/>
      <c r="U125" s="72"/>
      <c r="V125" s="72"/>
      <c r="W125" s="72"/>
      <c r="X125" s="297"/>
      <c r="Y125" s="278"/>
      <c r="Z125" s="279"/>
      <c r="AA125" s="278"/>
      <c r="AB125" s="279"/>
      <c r="AC125" s="298"/>
      <c r="AD125" s="298"/>
      <c r="AE125" s="263"/>
      <c r="AF125" s="298"/>
      <c r="AG125" s="263"/>
      <c r="AH125" s="298"/>
      <c r="AI125" s="280"/>
      <c r="AJ125" s="298"/>
      <c r="AK125" s="263"/>
      <c r="AL125" s="72"/>
      <c r="AM125" s="72"/>
      <c r="AN125" s="72"/>
      <c r="AO125" s="72"/>
      <c r="AP125" s="72"/>
      <c r="AQ125" s="72"/>
      <c r="AR125" s="72"/>
      <c r="AS125" s="72"/>
      <c r="AT125" s="72"/>
      <c r="AU125" s="72"/>
      <c r="AV125" s="300"/>
      <c r="AW125" s="72"/>
      <c r="AX125" s="72"/>
      <c r="AY125" s="265"/>
      <c r="AZ125" s="33"/>
      <c r="BA125" s="46"/>
      <c r="BB125" s="78"/>
      <c r="BC125" s="34"/>
      <c r="BD125" s="28"/>
    </row>
    <row r="126" spans="1:60" ht="14.15" customHeight="1">
      <c r="A126" s="23"/>
      <c r="B126" s="351"/>
      <c r="C126" s="282"/>
      <c r="D126" s="28" t="s">
        <v>240</v>
      </c>
      <c r="E126" s="28"/>
      <c r="F126" s="28"/>
      <c r="G126" s="28"/>
      <c r="H126" s="468" t="s">
        <v>245</v>
      </c>
      <c r="I126" s="257"/>
      <c r="J126" s="258"/>
      <c r="K126" s="258"/>
      <c r="L126" s="258"/>
      <c r="M126" s="259"/>
      <c r="N126" s="258"/>
      <c r="O126" s="110"/>
      <c r="P126" s="261" t="s">
        <v>33</v>
      </c>
      <c r="Q126" s="25"/>
      <c r="R126" s="469" t="s">
        <v>246</v>
      </c>
      <c r="S126" s="470"/>
      <c r="T126" s="471"/>
      <c r="U126" s="471"/>
      <c r="V126" s="483"/>
      <c r="W126" s="472"/>
      <c r="X126" s="471"/>
      <c r="Y126" s="473"/>
      <c r="Z126" s="474"/>
      <c r="AB126" s="469" t="s">
        <v>289</v>
      </c>
      <c r="AC126" s="470"/>
      <c r="AD126" s="471"/>
      <c r="AE126" s="471"/>
      <c r="AF126" s="471"/>
      <c r="AG126" s="472"/>
      <c r="AH126" s="471"/>
      <c r="AI126" s="473"/>
      <c r="AJ126" s="472"/>
      <c r="AK126" s="479"/>
      <c r="AL126" s="479"/>
      <c r="AM126" s="473"/>
      <c r="AN126" s="473"/>
      <c r="AO126" s="471"/>
      <c r="AP126" s="480"/>
      <c r="AQ126" s="471"/>
      <c r="AR126" s="471"/>
      <c r="AS126" s="471"/>
      <c r="AT126" s="471"/>
      <c r="AU126" s="481"/>
      <c r="AV126" s="473"/>
      <c r="AW126" s="473"/>
      <c r="AX126" s="482"/>
      <c r="AY126" s="347"/>
      <c r="AZ126" s="33"/>
      <c r="BA126" s="46"/>
      <c r="BB126" s="78"/>
      <c r="BC126" s="34"/>
      <c r="BD126" s="28"/>
      <c r="BG126" s="35"/>
    </row>
    <row r="127" spans="1:60" ht="14.15" customHeight="1">
      <c r="A127" s="23"/>
      <c r="B127" s="351"/>
      <c r="C127" s="282"/>
      <c r="D127" s="28"/>
      <c r="E127" s="28"/>
      <c r="F127" s="28"/>
      <c r="G127" s="28"/>
      <c r="H127" s="469" t="s">
        <v>54</v>
      </c>
      <c r="I127" s="470"/>
      <c r="J127" s="471"/>
      <c r="K127" s="471"/>
      <c r="L127" s="471"/>
      <c r="M127" s="472"/>
      <c r="N127" s="471"/>
      <c r="O127" s="473"/>
      <c r="P127" s="472"/>
      <c r="Q127" s="479"/>
      <c r="R127" s="479"/>
      <c r="S127" s="473"/>
      <c r="T127" s="473"/>
      <c r="U127" s="471"/>
      <c r="V127" s="480"/>
      <c r="W127" s="471"/>
      <c r="X127" s="471"/>
      <c r="Y127" s="471"/>
      <c r="Z127" s="471"/>
      <c r="AA127" s="481"/>
      <c r="AB127" s="473"/>
      <c r="AC127" s="473"/>
      <c r="AD127" s="479"/>
      <c r="AE127" s="471"/>
      <c r="AF127" s="471"/>
      <c r="AG127" s="472"/>
      <c r="AH127" s="471"/>
      <c r="AI127" s="473"/>
      <c r="AJ127" s="472"/>
      <c r="AK127" s="479"/>
      <c r="AL127" s="479"/>
      <c r="AM127" s="473"/>
      <c r="AN127" s="473"/>
      <c r="AO127" s="471"/>
      <c r="AP127" s="480"/>
      <c r="AQ127" s="471"/>
      <c r="AR127" s="471"/>
      <c r="AS127" s="471"/>
      <c r="AT127" s="471"/>
      <c r="AU127" s="481"/>
      <c r="AV127" s="473"/>
      <c r="AW127" s="473"/>
      <c r="AX127" s="482"/>
      <c r="AY127" s="347"/>
      <c r="AZ127" s="33"/>
      <c r="BA127" s="46"/>
      <c r="BB127" s="78"/>
      <c r="BC127" s="34"/>
      <c r="BD127" s="28"/>
      <c r="BG127" s="35"/>
    </row>
    <row r="128" spans="1:60" ht="5.15" customHeight="1">
      <c r="A128" s="22"/>
      <c r="B128" s="202"/>
      <c r="C128" s="315"/>
      <c r="D128" s="73"/>
      <c r="E128" s="73"/>
      <c r="F128" s="73"/>
      <c r="G128" s="73"/>
      <c r="H128" s="316"/>
      <c r="I128" s="275"/>
      <c r="J128" s="273"/>
      <c r="K128" s="275"/>
      <c r="L128" s="273"/>
      <c r="M128" s="317"/>
      <c r="N128" s="317"/>
      <c r="O128" s="270"/>
      <c r="P128" s="317"/>
      <c r="Q128" s="270"/>
      <c r="R128" s="317"/>
      <c r="S128" s="73"/>
      <c r="T128" s="73"/>
      <c r="U128" s="73"/>
      <c r="V128" s="73"/>
      <c r="W128" s="73"/>
      <c r="X128" s="316"/>
      <c r="Y128" s="275"/>
      <c r="Z128" s="273"/>
      <c r="AA128" s="275"/>
      <c r="AB128" s="273"/>
      <c r="AC128" s="317"/>
      <c r="AD128" s="317"/>
      <c r="AE128" s="270"/>
      <c r="AF128" s="317"/>
      <c r="AG128" s="270"/>
      <c r="AH128" s="317"/>
      <c r="AI128" s="276"/>
      <c r="AJ128" s="317"/>
      <c r="AK128" s="270"/>
      <c r="AL128" s="73"/>
      <c r="AM128" s="73"/>
      <c r="AN128" s="73"/>
      <c r="AO128" s="73"/>
      <c r="AP128" s="73"/>
      <c r="AQ128" s="73"/>
      <c r="AR128" s="73"/>
      <c r="AS128" s="73"/>
      <c r="AT128" s="73"/>
      <c r="AU128" s="73"/>
      <c r="AV128" s="318"/>
      <c r="AW128" s="73"/>
      <c r="AX128" s="73"/>
      <c r="AY128" s="277"/>
      <c r="AZ128" s="33"/>
      <c r="BA128" s="46"/>
      <c r="BB128" s="78"/>
      <c r="BC128" s="34"/>
      <c r="BD128" s="28"/>
    </row>
    <row r="129" spans="1:60" ht="5.15" customHeight="1">
      <c r="A129" s="22"/>
      <c r="B129" s="202"/>
      <c r="C129" s="476"/>
      <c r="D129" s="72"/>
      <c r="E129" s="72"/>
      <c r="F129" s="72"/>
      <c r="G129" s="72"/>
      <c r="H129" s="297"/>
      <c r="I129" s="278"/>
      <c r="J129" s="279"/>
      <c r="K129" s="278"/>
      <c r="L129" s="279"/>
      <c r="M129" s="298"/>
      <c r="N129" s="298"/>
      <c r="O129" s="263"/>
      <c r="P129" s="298"/>
      <c r="Q129" s="263"/>
      <c r="R129" s="298"/>
      <c r="S129" s="72"/>
      <c r="T129" s="72"/>
      <c r="U129" s="72"/>
      <c r="V129" s="72"/>
      <c r="W129" s="72"/>
      <c r="X129" s="297"/>
      <c r="Y129" s="278"/>
      <c r="Z129" s="279"/>
      <c r="AA129" s="278"/>
      <c r="AB129" s="279"/>
      <c r="AC129" s="298"/>
      <c r="AD129" s="298"/>
      <c r="AE129" s="263"/>
      <c r="AF129" s="298"/>
      <c r="AG129" s="263"/>
      <c r="AH129" s="298"/>
      <c r="AI129" s="280"/>
      <c r="AJ129" s="298"/>
      <c r="AK129" s="263"/>
      <c r="AL129" s="72"/>
      <c r="AM129" s="72"/>
      <c r="AN129" s="72"/>
      <c r="AO129" s="72"/>
      <c r="AP129" s="72"/>
      <c r="AQ129" s="72"/>
      <c r="AR129" s="72"/>
      <c r="AS129" s="72"/>
      <c r="AT129" s="72"/>
      <c r="AU129" s="72"/>
      <c r="AV129" s="300"/>
      <c r="AW129" s="72"/>
      <c r="AX129" s="72"/>
      <c r="AY129" s="264"/>
      <c r="AZ129" s="33"/>
      <c r="BA129" s="46"/>
      <c r="BB129" s="78"/>
      <c r="BC129" s="34"/>
      <c r="BD129" s="28"/>
    </row>
    <row r="130" spans="1:60" ht="14.15" customHeight="1">
      <c r="A130" s="22"/>
      <c r="B130" s="202">
        <v>35</v>
      </c>
      <c r="C130" s="62" t="s">
        <v>243</v>
      </c>
      <c r="D130" s="332"/>
      <c r="E130" s="65"/>
      <c r="F130" s="65"/>
      <c r="G130" s="65"/>
      <c r="H130" s="65"/>
      <c r="I130" s="65"/>
      <c r="J130" s="989"/>
      <c r="K130" s="989"/>
      <c r="L130" s="989"/>
      <c r="M130" s="989"/>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125"/>
      <c r="AU130" s="65"/>
      <c r="AV130" s="65"/>
      <c r="AW130" s="65"/>
      <c r="AX130" s="65"/>
      <c r="AY130" s="65"/>
      <c r="AZ130" s="33"/>
      <c r="BA130" s="46"/>
      <c r="BB130" s="335"/>
      <c r="BC130" s="336"/>
      <c r="BD130" s="28"/>
      <c r="BG130" s="24"/>
      <c r="BH130" s="28"/>
    </row>
    <row r="131" spans="1:60" ht="5.15" customHeight="1">
      <c r="A131" s="22"/>
      <c r="B131" s="202"/>
      <c r="C131" s="296"/>
      <c r="D131" s="72"/>
      <c r="E131" s="72"/>
      <c r="F131" s="72"/>
      <c r="G131" s="72"/>
      <c r="H131" s="297"/>
      <c r="I131" s="278"/>
      <c r="J131" s="279"/>
      <c r="K131" s="278"/>
      <c r="L131" s="279"/>
      <c r="M131" s="298"/>
      <c r="N131" s="298"/>
      <c r="O131" s="263"/>
      <c r="P131" s="298"/>
      <c r="Q131" s="263"/>
      <c r="R131" s="298"/>
      <c r="S131" s="72"/>
      <c r="T131" s="72"/>
      <c r="U131" s="72"/>
      <c r="V131" s="72"/>
      <c r="W131" s="72"/>
      <c r="X131" s="297"/>
      <c r="Y131" s="278"/>
      <c r="Z131" s="279"/>
      <c r="AA131" s="278"/>
      <c r="AB131" s="279"/>
      <c r="AC131" s="298"/>
      <c r="AD131" s="298"/>
      <c r="AE131" s="263"/>
      <c r="AF131" s="298"/>
      <c r="AG131" s="263"/>
      <c r="AH131" s="298"/>
      <c r="AI131" s="280"/>
      <c r="AJ131" s="298"/>
      <c r="AK131" s="263"/>
      <c r="AL131" s="72"/>
      <c r="AM131" s="72"/>
      <c r="AN131" s="72"/>
      <c r="AO131" s="72"/>
      <c r="AP131" s="72"/>
      <c r="AQ131" s="72"/>
      <c r="AR131" s="72"/>
      <c r="AS131" s="72"/>
      <c r="AT131" s="72"/>
      <c r="AU131" s="72"/>
      <c r="AV131" s="300"/>
      <c r="AW131" s="72"/>
      <c r="AX131" s="72"/>
      <c r="AY131" s="265"/>
      <c r="AZ131" s="33"/>
      <c r="BA131" s="46"/>
      <c r="BB131" s="78"/>
      <c r="BC131" s="34"/>
      <c r="BD131" s="28"/>
    </row>
    <row r="132" spans="1:60" ht="14.15" customHeight="1">
      <c r="A132" s="23"/>
      <c r="B132" s="351"/>
      <c r="C132" s="282"/>
      <c r="D132" s="28" t="s">
        <v>240</v>
      </c>
      <c r="E132" s="28"/>
      <c r="F132" s="28"/>
      <c r="G132" s="28"/>
      <c r="H132" s="468" t="s">
        <v>241</v>
      </c>
      <c r="I132" s="257"/>
      <c r="J132" s="258"/>
      <c r="K132" s="258"/>
      <c r="L132" s="258"/>
      <c r="M132" s="259"/>
      <c r="N132" s="258"/>
      <c r="O132" s="110"/>
      <c r="P132" s="261" t="s">
        <v>33</v>
      </c>
      <c r="Q132" s="25"/>
      <c r="R132" s="469" t="s">
        <v>242</v>
      </c>
      <c r="S132" s="470"/>
      <c r="T132" s="471"/>
      <c r="U132" s="471"/>
      <c r="V132" s="483"/>
      <c r="W132" s="484" t="s">
        <v>254</v>
      </c>
      <c r="X132" s="471"/>
      <c r="Y132" s="473"/>
      <c r="Z132" s="474"/>
      <c r="AB132" s="529" t="s">
        <v>290</v>
      </c>
      <c r="AC132" s="530"/>
      <c r="AD132" s="531"/>
      <c r="AE132" s="531"/>
      <c r="AF132" s="531"/>
      <c r="AG132" s="532"/>
      <c r="AH132" s="531"/>
      <c r="AI132" s="533"/>
      <c r="AJ132" s="532"/>
      <c r="AK132" s="61"/>
      <c r="AL132" s="61"/>
      <c r="AM132" s="533"/>
      <c r="AN132" s="533"/>
      <c r="AO132" s="531"/>
      <c r="AP132" s="534"/>
      <c r="AQ132" s="531"/>
      <c r="AR132" s="531"/>
      <c r="AS132" s="531"/>
      <c r="AT132" s="531"/>
      <c r="AU132" s="535"/>
      <c r="AV132" s="533"/>
      <c r="AW132" s="533"/>
      <c r="AX132" s="70"/>
      <c r="AY132" s="347"/>
      <c r="AZ132" s="33"/>
      <c r="BA132" s="46"/>
      <c r="BB132" s="78"/>
      <c r="BC132" s="34"/>
      <c r="BD132" s="28"/>
      <c r="BG132" s="35"/>
    </row>
    <row r="133" spans="1:60" ht="14.15" customHeight="1">
      <c r="A133" s="23"/>
      <c r="B133" s="351"/>
      <c r="C133" s="282"/>
      <c r="D133" s="28"/>
      <c r="E133" s="28"/>
      <c r="F133" s="28"/>
      <c r="G133" s="28"/>
      <c r="H133" s="469" t="s">
        <v>253</v>
      </c>
      <c r="I133" s="470"/>
      <c r="J133" s="471"/>
      <c r="K133" s="471"/>
      <c r="L133" s="471"/>
      <c r="M133" s="472"/>
      <c r="N133" s="471"/>
      <c r="O133" s="473"/>
      <c r="P133" s="472"/>
      <c r="Q133" s="479"/>
      <c r="R133" s="479"/>
      <c r="S133" s="473"/>
      <c r="T133" s="473"/>
      <c r="U133" s="471"/>
      <c r="V133" s="480"/>
      <c r="W133" s="471"/>
      <c r="X133" s="471"/>
      <c r="Y133" s="471"/>
      <c r="Z133" s="471"/>
      <c r="AA133" s="481"/>
      <c r="AB133" s="473"/>
      <c r="AC133" s="473"/>
      <c r="AD133" s="479"/>
      <c r="AE133" s="471"/>
      <c r="AF133" s="471"/>
      <c r="AG133" s="472"/>
      <c r="AH133" s="471"/>
      <c r="AI133" s="473"/>
      <c r="AJ133" s="472"/>
      <c r="AK133" s="479"/>
      <c r="AL133" s="479"/>
      <c r="AM133" s="473"/>
      <c r="AN133" s="473"/>
      <c r="AO133" s="471"/>
      <c r="AP133" s="480"/>
      <c r="AQ133" s="471"/>
      <c r="AR133" s="471"/>
      <c r="AS133" s="471"/>
      <c r="AT133" s="471"/>
      <c r="AU133" s="481"/>
      <c r="AV133" s="473"/>
      <c r="AW133" s="473"/>
      <c r="AX133" s="482"/>
      <c r="AY133" s="347"/>
      <c r="AZ133" s="33"/>
      <c r="BA133" s="46"/>
      <c r="BB133" s="78"/>
      <c r="BC133" s="34"/>
      <c r="BD133" s="28"/>
      <c r="BG133" s="35"/>
    </row>
    <row r="134" spans="1:60" ht="5.15" customHeight="1">
      <c r="A134" s="22"/>
      <c r="B134" s="202"/>
      <c r="C134" s="315"/>
      <c r="D134" s="73"/>
      <c r="E134" s="73"/>
      <c r="F134" s="73"/>
      <c r="G134" s="73"/>
      <c r="H134" s="316"/>
      <c r="I134" s="275"/>
      <c r="J134" s="273"/>
      <c r="K134" s="275"/>
      <c r="L134" s="273"/>
      <c r="M134" s="317"/>
      <c r="N134" s="317"/>
      <c r="O134" s="270"/>
      <c r="P134" s="317"/>
      <c r="Q134" s="270"/>
      <c r="R134" s="317"/>
      <c r="S134" s="73"/>
      <c r="T134" s="73"/>
      <c r="U134" s="73"/>
      <c r="V134" s="73"/>
      <c r="W134" s="73"/>
      <c r="X134" s="316"/>
      <c r="Y134" s="275"/>
      <c r="Z134" s="273"/>
      <c r="AA134" s="275"/>
      <c r="AB134" s="273"/>
      <c r="AC134" s="317"/>
      <c r="AD134" s="317"/>
      <c r="AE134" s="270"/>
      <c r="AF134" s="317"/>
      <c r="AG134" s="270"/>
      <c r="AH134" s="317"/>
      <c r="AI134" s="276"/>
      <c r="AJ134" s="317"/>
      <c r="AK134" s="270"/>
      <c r="AL134" s="73"/>
      <c r="AM134" s="73"/>
      <c r="AN134" s="73"/>
      <c r="AO134" s="73"/>
      <c r="AP134" s="73"/>
      <c r="AQ134" s="73"/>
      <c r="AR134" s="73"/>
      <c r="AS134" s="73"/>
      <c r="AT134" s="73"/>
      <c r="AU134" s="73"/>
      <c r="AV134" s="318"/>
      <c r="AW134" s="73"/>
      <c r="AX134" s="73"/>
      <c r="AY134" s="277"/>
      <c r="AZ134" s="33"/>
      <c r="BA134" s="46"/>
      <c r="BB134" s="78"/>
      <c r="BC134" s="34"/>
      <c r="BD134" s="28"/>
    </row>
    <row r="135" spans="1:60" ht="5.15" customHeight="1">
      <c r="A135" s="22"/>
      <c r="B135" s="202"/>
      <c r="C135" s="476"/>
      <c r="D135" s="72"/>
      <c r="E135" s="72"/>
      <c r="F135" s="72"/>
      <c r="G135" s="72"/>
      <c r="H135" s="297"/>
      <c r="I135" s="278"/>
      <c r="J135" s="279"/>
      <c r="K135" s="278"/>
      <c r="L135" s="279"/>
      <c r="M135" s="298"/>
      <c r="N135" s="298"/>
      <c r="O135" s="263"/>
      <c r="P135" s="298"/>
      <c r="Q135" s="263"/>
      <c r="R135" s="298"/>
      <c r="S135" s="72"/>
      <c r="T135" s="72"/>
      <c r="U135" s="72"/>
      <c r="V135" s="72"/>
      <c r="W135" s="72"/>
      <c r="X135" s="297"/>
      <c r="Y135" s="278"/>
      <c r="Z135" s="279"/>
      <c r="AA135" s="278"/>
      <c r="AB135" s="279"/>
      <c r="AC135" s="298"/>
      <c r="AD135" s="298"/>
      <c r="AE135" s="263"/>
      <c r="AF135" s="298"/>
      <c r="AG135" s="263"/>
      <c r="AH135" s="298"/>
      <c r="AI135" s="280"/>
      <c r="AJ135" s="298"/>
      <c r="AK135" s="263"/>
      <c r="AL135" s="72"/>
      <c r="AM135" s="72"/>
      <c r="AN135" s="72"/>
      <c r="AO135" s="72"/>
      <c r="AP135" s="72"/>
      <c r="AQ135" s="72"/>
      <c r="AR135" s="72"/>
      <c r="AS135" s="72"/>
      <c r="AT135" s="72"/>
      <c r="AU135" s="72"/>
      <c r="AV135" s="300"/>
      <c r="AW135" s="72"/>
      <c r="AX135" s="72"/>
      <c r="AY135" s="264"/>
      <c r="AZ135" s="33"/>
      <c r="BA135" s="46"/>
      <c r="BB135" s="78"/>
      <c r="BC135" s="34"/>
      <c r="BD135" s="28"/>
    </row>
    <row r="136" spans="1:60" ht="14.15" customHeight="1">
      <c r="A136" s="22"/>
      <c r="B136" s="202">
        <v>35</v>
      </c>
      <c r="C136" s="62" t="s">
        <v>243</v>
      </c>
      <c r="D136" s="332"/>
      <c r="E136" s="65"/>
      <c r="F136" s="65"/>
      <c r="G136" s="65"/>
      <c r="H136" s="65"/>
      <c r="I136" s="65"/>
      <c r="J136" s="477"/>
      <c r="K136" s="477"/>
      <c r="L136" s="477"/>
      <c r="M136" s="477"/>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125"/>
      <c r="AU136" s="65"/>
      <c r="AV136" s="65"/>
      <c r="AW136" s="65"/>
      <c r="AX136" s="65"/>
      <c r="AY136" s="65"/>
      <c r="AZ136" s="33"/>
      <c r="BA136" s="46"/>
      <c r="BB136" s="335"/>
      <c r="BC136" s="336"/>
      <c r="BD136" s="28"/>
      <c r="BG136" s="24"/>
      <c r="BH136" s="28"/>
    </row>
    <row r="137" spans="1:60" ht="14.15" customHeight="1">
      <c r="A137" s="22"/>
      <c r="B137" s="202">
        <v>35</v>
      </c>
      <c r="C137" s="331"/>
      <c r="D137" s="332"/>
      <c r="E137" s="65"/>
      <c r="F137" s="65"/>
      <c r="G137" s="65"/>
      <c r="H137" s="65"/>
      <c r="I137" s="65"/>
      <c r="J137" s="477"/>
      <c r="K137" s="477"/>
      <c r="L137" s="477"/>
      <c r="M137" s="477"/>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125"/>
      <c r="AU137" s="65"/>
      <c r="AV137" s="65"/>
      <c r="AW137" s="65"/>
      <c r="AX137" s="65"/>
      <c r="AY137" s="65"/>
      <c r="AZ137" s="33"/>
      <c r="BA137" s="46"/>
      <c r="BB137" s="335"/>
      <c r="BC137" s="336"/>
      <c r="BD137" s="28"/>
      <c r="BG137" s="24"/>
      <c r="BH137" s="28"/>
    </row>
    <row r="138" spans="1:60" ht="14.15" customHeight="1">
      <c r="A138" s="22"/>
      <c r="B138" s="202">
        <v>35</v>
      </c>
      <c r="C138" s="346" t="s">
        <v>249</v>
      </c>
      <c r="D138" s="332"/>
      <c r="E138" s="65"/>
      <c r="F138" s="65"/>
      <c r="G138" s="65"/>
      <c r="H138" s="65"/>
      <c r="I138" s="65"/>
      <c r="J138" s="989"/>
      <c r="K138" s="989"/>
      <c r="L138" s="989"/>
      <c r="M138" s="989"/>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125"/>
      <c r="AU138" s="65"/>
      <c r="AV138" s="65"/>
      <c r="AW138" s="65"/>
      <c r="AX138" s="65"/>
      <c r="AY138" s="65"/>
      <c r="AZ138" s="33"/>
      <c r="BA138" s="46"/>
      <c r="BB138" s="335"/>
      <c r="BC138" s="336"/>
      <c r="BD138" s="28"/>
      <c r="BG138" s="24"/>
      <c r="BH138" s="28"/>
    </row>
    <row r="139" spans="1:60" ht="5.15" customHeight="1">
      <c r="A139" s="22"/>
      <c r="B139" s="202"/>
      <c r="C139" s="296"/>
      <c r="D139" s="72"/>
      <c r="E139" s="72"/>
      <c r="F139" s="72"/>
      <c r="G139" s="72"/>
      <c r="H139" s="297"/>
      <c r="I139" s="278"/>
      <c r="J139" s="279"/>
      <c r="K139" s="278"/>
      <c r="L139" s="279"/>
      <c r="M139" s="298"/>
      <c r="N139" s="298"/>
      <c r="O139" s="263"/>
      <c r="P139" s="298"/>
      <c r="Q139" s="263"/>
      <c r="R139" s="298"/>
      <c r="S139" s="72"/>
      <c r="T139" s="72"/>
      <c r="U139" s="72"/>
      <c r="V139" s="72"/>
      <c r="W139" s="72"/>
      <c r="X139" s="297"/>
      <c r="Y139" s="278"/>
      <c r="Z139" s="279"/>
      <c r="AA139" s="278"/>
      <c r="AB139" s="279"/>
      <c r="AC139" s="298"/>
      <c r="AD139" s="298"/>
      <c r="AE139" s="263"/>
      <c r="AF139" s="298"/>
      <c r="AG139" s="263"/>
      <c r="AH139" s="298"/>
      <c r="AI139" s="280"/>
      <c r="AJ139" s="298"/>
      <c r="AK139" s="263"/>
      <c r="AL139" s="72"/>
      <c r="AM139" s="72"/>
      <c r="AN139" s="72"/>
      <c r="AO139" s="72"/>
      <c r="AP139" s="72"/>
      <c r="AQ139" s="72"/>
      <c r="AR139" s="72"/>
      <c r="AS139" s="72"/>
      <c r="AT139" s="72"/>
      <c r="AU139" s="72"/>
      <c r="AV139" s="300"/>
      <c r="AW139" s="72"/>
      <c r="AX139" s="72"/>
      <c r="AY139" s="265"/>
      <c r="AZ139" s="33"/>
      <c r="BA139" s="46"/>
      <c r="BB139" s="335"/>
      <c r="BC139" s="336"/>
      <c r="BD139" s="28"/>
    </row>
    <row r="140" spans="1:60" ht="13.5" customHeight="1">
      <c r="A140" s="22"/>
      <c r="B140" s="45"/>
      <c r="C140" s="266"/>
      <c r="D140" s="28" t="s">
        <v>250</v>
      </c>
      <c r="E140" s="28"/>
      <c r="F140" s="28"/>
      <c r="G140" s="28"/>
      <c r="H140" s="24"/>
      <c r="I140" s="24"/>
      <c r="J140" s="24"/>
      <c r="K140" s="24"/>
      <c r="L140" s="24"/>
      <c r="M140" s="127"/>
      <c r="N140" s="75"/>
      <c r="O140" s="84"/>
      <c r="P140" s="84"/>
      <c r="Q140" s="85"/>
      <c r="R140" s="75"/>
      <c r="S140" s="75"/>
      <c r="T140" s="75"/>
      <c r="U140" s="84"/>
      <c r="V140" s="85"/>
      <c r="W140" s="75"/>
      <c r="X140" s="65"/>
      <c r="Y140" s="28"/>
      <c r="Z140" s="28"/>
      <c r="AA140" s="28"/>
      <c r="AB140" s="28"/>
      <c r="AC140" s="28"/>
      <c r="AD140" s="28"/>
      <c r="AE140" s="28"/>
      <c r="AF140" s="28"/>
      <c r="AG140" s="28"/>
      <c r="AH140" s="28"/>
      <c r="AI140" s="28"/>
      <c r="AJ140" s="28"/>
      <c r="AK140" s="28"/>
      <c r="AL140" s="28"/>
      <c r="AM140" s="31"/>
      <c r="AN140" s="31"/>
      <c r="AO140" s="31"/>
      <c r="AP140" s="31"/>
      <c r="AQ140" s="31"/>
      <c r="AR140" s="31"/>
      <c r="AS140" s="31"/>
      <c r="AT140" s="31"/>
      <c r="AU140" s="31"/>
      <c r="AV140" s="31"/>
      <c r="AW140" s="31"/>
      <c r="AX140" s="65"/>
      <c r="AY140" s="267"/>
      <c r="AZ140" s="33"/>
      <c r="BA140" s="46"/>
      <c r="BB140" s="335"/>
      <c r="BC140" s="336"/>
      <c r="BD140" s="28"/>
      <c r="BE140" s="35"/>
      <c r="BF140" s="35"/>
      <c r="BG140" s="35"/>
    </row>
    <row r="141" spans="1:60" ht="13.5" customHeight="1">
      <c r="A141" s="22"/>
      <c r="B141" s="45"/>
      <c r="C141" s="266"/>
      <c r="D141" s="28"/>
      <c r="E141" s="28"/>
      <c r="F141" s="28"/>
      <c r="G141" s="28"/>
      <c r="H141" s="348" t="s">
        <v>252</v>
      </c>
      <c r="I141" s="131"/>
      <c r="J141" s="131"/>
      <c r="K141" s="131"/>
      <c r="L141" s="132"/>
      <c r="M141" s="132"/>
      <c r="N141" s="106"/>
      <c r="O141" s="133"/>
      <c r="P141" s="134"/>
      <c r="Q141" s="133" t="s">
        <v>251</v>
      </c>
      <c r="R141" s="134"/>
      <c r="S141" s="107"/>
      <c r="T141" s="107"/>
      <c r="U141" s="107"/>
      <c r="V141" s="107"/>
      <c r="W141" s="107"/>
      <c r="X141" s="107"/>
      <c r="Y141" s="107"/>
      <c r="Z141" s="107"/>
      <c r="AA141" s="107"/>
      <c r="AB141" s="107"/>
      <c r="AC141" s="107"/>
      <c r="AD141" s="107"/>
      <c r="AE141" s="107"/>
      <c r="AF141" s="107"/>
      <c r="AG141" s="107"/>
      <c r="AH141" s="107"/>
      <c r="AI141" s="107"/>
      <c r="AJ141" s="107"/>
      <c r="AK141" s="107"/>
      <c r="AL141" s="133" t="s">
        <v>44</v>
      </c>
      <c r="AM141" s="134"/>
      <c r="AN141" s="107"/>
      <c r="AO141" s="31"/>
      <c r="AP141" s="31"/>
      <c r="AQ141" s="31"/>
      <c r="AR141" s="31"/>
      <c r="AS141" s="31"/>
      <c r="AT141" s="31"/>
      <c r="AU141" s="31"/>
      <c r="AV141" s="31"/>
      <c r="AW141" s="31"/>
      <c r="AX141" s="65"/>
      <c r="AY141" s="267"/>
      <c r="AZ141" s="33"/>
      <c r="BA141" s="46"/>
      <c r="BB141" s="335"/>
      <c r="BC141" s="336"/>
      <c r="BD141" s="28"/>
      <c r="BE141" s="35"/>
      <c r="BF141" s="35"/>
      <c r="BG141" s="35"/>
    </row>
    <row r="142" spans="1:60" ht="13.5" customHeight="1">
      <c r="A142" s="22"/>
      <c r="B142" s="45"/>
      <c r="C142" s="266"/>
      <c r="D142" s="28"/>
      <c r="E142" s="28"/>
      <c r="F142" s="28"/>
      <c r="G142" s="28"/>
      <c r="H142" s="485" t="s">
        <v>255</v>
      </c>
      <c r="I142" s="137"/>
      <c r="J142" s="137"/>
      <c r="K142" s="137"/>
      <c r="L142" s="137"/>
      <c r="M142" s="137"/>
      <c r="N142" s="137"/>
      <c r="O142" s="350"/>
      <c r="P142" s="139"/>
      <c r="Q142" s="486" t="s">
        <v>54</v>
      </c>
      <c r="R142" s="139"/>
      <c r="S142" s="108"/>
      <c r="T142" s="108"/>
      <c r="U142" s="108"/>
      <c r="V142" s="156"/>
      <c r="W142" s="110"/>
      <c r="X142" s="110"/>
      <c r="Y142" s="156"/>
      <c r="Z142" s="156"/>
      <c r="AA142" s="110"/>
      <c r="AB142" s="110"/>
      <c r="AC142" s="37"/>
      <c r="AD142" s="37"/>
      <c r="AE142" s="37"/>
      <c r="AF142" s="37"/>
      <c r="AG142" s="37"/>
      <c r="AH142" s="37"/>
      <c r="AI142" s="37"/>
      <c r="AJ142" s="37"/>
      <c r="AK142" s="97"/>
      <c r="AL142" s="140"/>
      <c r="AM142" s="141"/>
      <c r="AN142" s="142"/>
      <c r="AO142" s="31"/>
      <c r="AP142" s="31"/>
      <c r="AQ142" s="31"/>
      <c r="AR142" s="31"/>
      <c r="AS142" s="31"/>
      <c r="AT142" s="31"/>
      <c r="AU142" s="31"/>
      <c r="AV142" s="31"/>
      <c r="AW142" s="31"/>
      <c r="AX142" s="65"/>
      <c r="AY142" s="267"/>
      <c r="AZ142" s="33"/>
      <c r="BA142" s="46"/>
      <c r="BB142" s="335"/>
      <c r="BC142" s="336"/>
      <c r="BD142" s="28"/>
      <c r="BE142" s="35"/>
      <c r="BF142" s="35"/>
      <c r="BG142" s="35"/>
    </row>
    <row r="143" spans="1:60" ht="13.5" customHeight="1">
      <c r="A143" s="22"/>
      <c r="B143" s="45"/>
      <c r="C143" s="266"/>
      <c r="D143" s="28"/>
      <c r="E143" s="28"/>
      <c r="F143" s="28"/>
      <c r="G143" s="28"/>
      <c r="H143" s="485" t="s">
        <v>256</v>
      </c>
      <c r="I143" s="137"/>
      <c r="J143" s="137"/>
      <c r="K143" s="137"/>
      <c r="L143" s="137"/>
      <c r="M143" s="137"/>
      <c r="N143" s="137"/>
      <c r="O143" s="350"/>
      <c r="P143" s="139"/>
      <c r="Q143" s="486" t="s">
        <v>54</v>
      </c>
      <c r="R143" s="139"/>
      <c r="S143" s="108"/>
      <c r="T143" s="108"/>
      <c r="U143" s="108"/>
      <c r="V143" s="156"/>
      <c r="W143" s="110"/>
      <c r="X143" s="110"/>
      <c r="Y143" s="156"/>
      <c r="Z143" s="156"/>
      <c r="AA143" s="110"/>
      <c r="AB143" s="110"/>
      <c r="AC143" s="37"/>
      <c r="AD143" s="37"/>
      <c r="AE143" s="37"/>
      <c r="AF143" s="37"/>
      <c r="AG143" s="37"/>
      <c r="AH143" s="37"/>
      <c r="AI143" s="37"/>
      <c r="AJ143" s="37"/>
      <c r="AK143" s="97"/>
      <c r="AL143" s="140"/>
      <c r="AM143" s="141"/>
      <c r="AN143" s="142"/>
      <c r="AO143" s="31"/>
      <c r="AP143" s="31"/>
      <c r="AQ143" s="31"/>
      <c r="AR143" s="31"/>
      <c r="AS143" s="31"/>
      <c r="AT143" s="31"/>
      <c r="AU143" s="31"/>
      <c r="AV143" s="31"/>
      <c r="AW143" s="31"/>
      <c r="AX143" s="65"/>
      <c r="AY143" s="267"/>
      <c r="AZ143" s="33"/>
      <c r="BA143" s="46"/>
      <c r="BB143" s="335"/>
      <c r="BC143" s="336"/>
      <c r="BD143" s="28"/>
      <c r="BE143" s="35"/>
      <c r="BF143" s="35"/>
      <c r="BG143" s="35"/>
    </row>
    <row r="144" spans="1:60" ht="13.5" customHeight="1">
      <c r="A144" s="22"/>
      <c r="B144" s="45"/>
      <c r="C144" s="266"/>
      <c r="D144" s="28"/>
      <c r="E144" s="28"/>
      <c r="F144" s="28"/>
      <c r="G144" s="28"/>
      <c r="H144" s="485" t="s">
        <v>257</v>
      </c>
      <c r="I144" s="137"/>
      <c r="J144" s="137"/>
      <c r="K144" s="137"/>
      <c r="L144" s="137"/>
      <c r="M144" s="137"/>
      <c r="N144" s="137"/>
      <c r="O144" s="350"/>
      <c r="P144" s="139"/>
      <c r="Q144" s="486" t="s">
        <v>54</v>
      </c>
      <c r="R144" s="139"/>
      <c r="S144" s="108"/>
      <c r="T144" s="108"/>
      <c r="U144" s="108"/>
      <c r="V144" s="156"/>
      <c r="W144" s="110"/>
      <c r="X144" s="110"/>
      <c r="Y144" s="156"/>
      <c r="Z144" s="156"/>
      <c r="AA144" s="110"/>
      <c r="AB144" s="110"/>
      <c r="AC144" s="37"/>
      <c r="AD144" s="37"/>
      <c r="AE144" s="37"/>
      <c r="AF144" s="37"/>
      <c r="AG144" s="37"/>
      <c r="AH144" s="37"/>
      <c r="AI144" s="37"/>
      <c r="AJ144" s="37"/>
      <c r="AK144" s="97"/>
      <c r="AL144" s="140"/>
      <c r="AM144" s="141"/>
      <c r="AN144" s="142"/>
      <c r="AO144" s="31"/>
      <c r="AP144" s="31"/>
      <c r="AQ144" s="31"/>
      <c r="AR144" s="31"/>
      <c r="AS144" s="31"/>
      <c r="AT144" s="31"/>
      <c r="AU144" s="31"/>
      <c r="AV144" s="31"/>
      <c r="AW144" s="31"/>
      <c r="AX144" s="65"/>
      <c r="AY144" s="267"/>
      <c r="AZ144" s="33"/>
      <c r="BA144" s="46"/>
      <c r="BB144" s="335"/>
      <c r="BC144" s="336"/>
      <c r="BD144" s="28"/>
      <c r="BE144" s="35"/>
      <c r="BF144" s="35"/>
      <c r="BG144" s="35"/>
    </row>
    <row r="145" spans="1:60" ht="5.15" customHeight="1">
      <c r="A145" s="22"/>
      <c r="B145" s="202"/>
      <c r="C145" s="315"/>
      <c r="D145" s="73"/>
      <c r="E145" s="73"/>
      <c r="F145" s="73"/>
      <c r="G145" s="73"/>
      <c r="H145" s="316"/>
      <c r="I145" s="275"/>
      <c r="J145" s="273"/>
      <c r="K145" s="275"/>
      <c r="L145" s="273"/>
      <c r="M145" s="317"/>
      <c r="N145" s="317"/>
      <c r="O145" s="270"/>
      <c r="P145" s="317"/>
      <c r="Q145" s="270"/>
      <c r="R145" s="317"/>
      <c r="S145" s="73"/>
      <c r="T145" s="73"/>
      <c r="U145" s="73"/>
      <c r="V145" s="73"/>
      <c r="W145" s="73"/>
      <c r="X145" s="316"/>
      <c r="Y145" s="275"/>
      <c r="Z145" s="273"/>
      <c r="AA145" s="275"/>
      <c r="AB145" s="273"/>
      <c r="AC145" s="317"/>
      <c r="AD145" s="317"/>
      <c r="AE145" s="270"/>
      <c r="AF145" s="317"/>
      <c r="AG145" s="270"/>
      <c r="AH145" s="317"/>
      <c r="AI145" s="276"/>
      <c r="AJ145" s="317"/>
      <c r="AK145" s="270"/>
      <c r="AL145" s="73"/>
      <c r="AM145" s="73"/>
      <c r="AN145" s="73"/>
      <c r="AO145" s="73"/>
      <c r="AP145" s="73"/>
      <c r="AQ145" s="73"/>
      <c r="AR145" s="73"/>
      <c r="AS145" s="73"/>
      <c r="AT145" s="73"/>
      <c r="AU145" s="73"/>
      <c r="AV145" s="318"/>
      <c r="AW145" s="73"/>
      <c r="AX145" s="73"/>
      <c r="AY145" s="277"/>
      <c r="AZ145" s="33"/>
      <c r="BA145" s="46"/>
      <c r="BB145" s="335"/>
      <c r="BC145" s="336"/>
      <c r="BD145" s="28"/>
    </row>
    <row r="146" spans="1:60" ht="14.15" customHeight="1">
      <c r="A146" s="22"/>
      <c r="B146" s="202">
        <v>35</v>
      </c>
      <c r="C146" s="331"/>
      <c r="D146" s="332"/>
      <c r="E146" s="65"/>
      <c r="F146" s="65"/>
      <c r="G146" s="65"/>
      <c r="H146" s="65"/>
      <c r="I146" s="65"/>
      <c r="J146" s="989"/>
      <c r="K146" s="989"/>
      <c r="L146" s="989"/>
      <c r="M146" s="989"/>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125"/>
      <c r="AU146" s="65"/>
      <c r="AV146" s="65"/>
      <c r="AW146" s="65"/>
      <c r="AX146" s="65"/>
      <c r="AY146" s="65"/>
      <c r="AZ146" s="33"/>
      <c r="BA146" s="46"/>
      <c r="BB146" s="78"/>
      <c r="BC146" s="34"/>
      <c r="BD146" s="28"/>
      <c r="BG146" s="24"/>
      <c r="BH146" s="28"/>
    </row>
    <row r="147" spans="1:60" ht="13.5" customHeight="1">
      <c r="A147" s="22"/>
      <c r="B147" s="202">
        <v>36</v>
      </c>
      <c r="C147" s="331"/>
      <c r="D147" s="332"/>
      <c r="E147" s="65"/>
      <c r="F147" s="65"/>
      <c r="G147" s="65"/>
      <c r="H147" s="65"/>
      <c r="I147" s="65"/>
      <c r="J147" s="989"/>
      <c r="K147" s="989"/>
      <c r="L147" s="989"/>
      <c r="M147" s="989"/>
      <c r="N147" s="63"/>
      <c r="O147" s="65"/>
      <c r="P147" s="65"/>
      <c r="Q147" s="65"/>
      <c r="R147" s="28"/>
      <c r="S147" s="28"/>
      <c r="T147" s="31"/>
      <c r="U147" s="31"/>
      <c r="V147" s="31"/>
      <c r="W147" s="31"/>
      <c r="X147" s="31"/>
      <c r="Y147" s="44"/>
      <c r="Z147" s="31"/>
      <c r="AA147" s="28"/>
      <c r="AB147" s="44"/>
      <c r="AC147" s="31"/>
      <c r="AD147" s="28"/>
      <c r="AE147" s="44"/>
      <c r="AF147" s="28"/>
      <c r="AG147" s="116"/>
      <c r="AH147" s="41"/>
      <c r="AI147" s="116"/>
      <c r="AJ147" s="116"/>
      <c r="AK147" s="116"/>
      <c r="AL147" s="116"/>
      <c r="AM147" s="116"/>
      <c r="AN147" s="116"/>
      <c r="AO147" s="116"/>
      <c r="AP147" s="116"/>
      <c r="AQ147" s="116"/>
      <c r="AR147" s="116"/>
      <c r="AS147" s="116"/>
      <c r="AT147" s="116"/>
      <c r="AU147" s="116"/>
      <c r="AV147" s="116"/>
      <c r="AW147" s="116"/>
      <c r="AX147" s="116"/>
      <c r="AY147" s="116"/>
      <c r="AZ147" s="33"/>
      <c r="BA147" s="46"/>
      <c r="BB147" s="335"/>
      <c r="BC147" s="336"/>
      <c r="BD147" s="28"/>
      <c r="BG147" s="24"/>
      <c r="BH147" s="28"/>
    </row>
    <row r="148" spans="1:60" ht="13.5" customHeight="1">
      <c r="A148" s="22"/>
      <c r="B148" s="202">
        <v>37</v>
      </c>
      <c r="C148" s="331"/>
      <c r="D148" s="332"/>
      <c r="E148" s="65"/>
      <c r="F148" s="65"/>
      <c r="G148" s="65"/>
      <c r="H148" s="65"/>
      <c r="I148" s="65"/>
      <c r="J148" s="989"/>
      <c r="K148" s="989"/>
      <c r="L148" s="989"/>
      <c r="M148" s="989"/>
      <c r="N148" s="193"/>
      <c r="O148" s="195"/>
      <c r="P148" s="193"/>
      <c r="Q148" s="194"/>
      <c r="R148" s="194"/>
      <c r="S148" s="194"/>
      <c r="T148" s="196"/>
      <c r="U148" s="196"/>
      <c r="V148" s="196"/>
      <c r="W148" s="196"/>
      <c r="X148" s="196"/>
      <c r="Y148" s="195"/>
      <c r="Z148" s="196"/>
      <c r="AA148" s="194"/>
      <c r="AB148" s="195"/>
      <c r="AC148" s="196"/>
      <c r="AD148" s="194"/>
      <c r="AE148" s="195"/>
      <c r="AF148" s="194"/>
      <c r="AG148" s="194"/>
      <c r="AH148" s="195"/>
      <c r="AI148" s="194"/>
      <c r="AJ148" s="194"/>
      <c r="AK148" s="197"/>
      <c r="AL148" s="194"/>
      <c r="AM148" s="194"/>
      <c r="AN148" s="194"/>
      <c r="AO148" s="194"/>
      <c r="AP148" s="194"/>
      <c r="AQ148" s="194"/>
      <c r="AR148" s="194"/>
      <c r="AS148" s="194"/>
      <c r="AT148" s="194"/>
      <c r="AU148" s="194"/>
      <c r="AV148" s="194"/>
      <c r="AW148" s="194"/>
      <c r="AX148" s="194"/>
      <c r="AY148" s="194"/>
      <c r="AZ148" s="33"/>
      <c r="BA148" s="46"/>
      <c r="BB148" s="335"/>
      <c r="BC148" s="336"/>
      <c r="BD148" s="28"/>
      <c r="BG148" s="24"/>
      <c r="BH148" s="28"/>
    </row>
    <row r="149" spans="1:60">
      <c r="A149" s="22"/>
      <c r="B149" s="32"/>
      <c r="C149" s="28"/>
      <c r="D149" s="28"/>
      <c r="E149" s="28"/>
      <c r="F149" s="28"/>
      <c r="G149" s="28"/>
      <c r="H149" s="28"/>
      <c r="I149" s="28"/>
      <c r="J149" s="28"/>
      <c r="K149" s="28"/>
      <c r="L149" s="28"/>
      <c r="M149" s="28"/>
      <c r="N149" s="28"/>
      <c r="O149" s="28"/>
      <c r="P149" s="28"/>
      <c r="Q149" s="28"/>
      <c r="R149" s="28"/>
      <c r="S149" s="81"/>
      <c r="T149" s="81"/>
      <c r="U149" s="81"/>
      <c r="V149" s="81"/>
      <c r="W149" s="28"/>
      <c r="X149" s="28"/>
      <c r="Y149" s="81"/>
      <c r="Z149" s="81"/>
      <c r="AA149" s="28"/>
      <c r="AB149" s="28"/>
      <c r="AC149" s="28"/>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31"/>
      <c r="AZ149" s="33"/>
      <c r="BA149" s="46"/>
      <c r="BB149" s="335"/>
      <c r="BC149" s="336"/>
    </row>
    <row r="150" spans="1:60">
      <c r="A150" s="155"/>
      <c r="B150" s="95"/>
      <c r="C150" s="110"/>
      <c r="D150" s="110"/>
      <c r="E150" s="110"/>
      <c r="F150" s="110"/>
      <c r="G150" s="110"/>
      <c r="H150" s="110"/>
      <c r="I150" s="110"/>
      <c r="J150" s="110"/>
      <c r="K150" s="110"/>
      <c r="L150" s="110"/>
      <c r="M150" s="110"/>
      <c r="N150" s="110"/>
      <c r="O150" s="110"/>
      <c r="P150" s="110"/>
      <c r="Q150" s="110"/>
      <c r="R150" s="110"/>
      <c r="S150" s="156"/>
      <c r="T150" s="156"/>
      <c r="U150" s="156"/>
      <c r="V150" s="156"/>
      <c r="W150" s="110"/>
      <c r="X150" s="110"/>
      <c r="Y150" s="156"/>
      <c r="Z150" s="156"/>
      <c r="AA150" s="110"/>
      <c r="AB150" s="110"/>
      <c r="AC150" s="110"/>
      <c r="AD150" s="156"/>
      <c r="AE150" s="156"/>
      <c r="AF150" s="156"/>
      <c r="AG150" s="156"/>
      <c r="AH150" s="156"/>
      <c r="AI150" s="156"/>
      <c r="AJ150" s="156"/>
      <c r="AK150" s="156"/>
      <c r="AL150" s="156"/>
      <c r="AM150" s="156"/>
      <c r="AN150" s="156"/>
      <c r="AO150" s="156"/>
      <c r="AP150" s="156"/>
      <c r="AQ150" s="156"/>
      <c r="AR150" s="156"/>
      <c r="AS150" s="156"/>
      <c r="AT150" s="156"/>
      <c r="AU150" s="156"/>
      <c r="AV150" s="156"/>
      <c r="AW150" s="156"/>
      <c r="AX150" s="156"/>
      <c r="AY150" s="95"/>
      <c r="AZ150" s="95"/>
      <c r="BA150" s="157"/>
      <c r="BB150" s="355"/>
      <c r="BC150" s="356"/>
    </row>
  </sheetData>
  <mergeCells count="142">
    <mergeCell ref="BE85:BH85"/>
    <mergeCell ref="X90:AA90"/>
    <mergeCell ref="AB90:AE90"/>
    <mergeCell ref="AF90:AJ90"/>
    <mergeCell ref="AK90:AN90"/>
    <mergeCell ref="AO90:AR90"/>
    <mergeCell ref="AS90:AV90"/>
    <mergeCell ref="AW90:AZ90"/>
    <mergeCell ref="BA90:BD90"/>
    <mergeCell ref="BE90:BH90"/>
    <mergeCell ref="BA85:BD85"/>
    <mergeCell ref="CC80:CE80"/>
    <mergeCell ref="X81:AA81"/>
    <mergeCell ref="AB81:AE81"/>
    <mergeCell ref="AF81:AJ81"/>
    <mergeCell ref="AK81:AN81"/>
    <mergeCell ref="AO81:AR81"/>
    <mergeCell ref="BA81:BD81"/>
    <mergeCell ref="BE81:BH81"/>
    <mergeCell ref="BQ80:BT80"/>
    <mergeCell ref="J121:M121"/>
    <mergeCell ref="BY80:CB80"/>
    <mergeCell ref="BY81:CB81"/>
    <mergeCell ref="BU80:BX80"/>
    <mergeCell ref="BU81:BX81"/>
    <mergeCell ref="BA91:BD91"/>
    <mergeCell ref="BE91:BH91"/>
    <mergeCell ref="BI80:BL80"/>
    <mergeCell ref="J93:M93"/>
    <mergeCell ref="BM80:BP80"/>
    <mergeCell ref="AS80:AV80"/>
    <mergeCell ref="AW80:AZ80"/>
    <mergeCell ref="X86:AA86"/>
    <mergeCell ref="AB86:AE86"/>
    <mergeCell ref="AF86:AJ86"/>
    <mergeCell ref="AK86:AN86"/>
    <mergeCell ref="AO86:AR86"/>
    <mergeCell ref="AS86:AV86"/>
    <mergeCell ref="AW86:AZ86"/>
    <mergeCell ref="BA86:BD86"/>
    <mergeCell ref="BE86:BH86"/>
    <mergeCell ref="X85:AA85"/>
    <mergeCell ref="AB85:AE85"/>
    <mergeCell ref="AF85:AJ85"/>
    <mergeCell ref="J147:M147"/>
    <mergeCell ref="R98:U98"/>
    <mergeCell ref="J148:M148"/>
    <mergeCell ref="BM81:BP81"/>
    <mergeCell ref="CC81:CE81"/>
    <mergeCell ref="X91:AA91"/>
    <mergeCell ref="AF91:AJ91"/>
    <mergeCell ref="AB91:AE91"/>
    <mergeCell ref="AK91:AN91"/>
    <mergeCell ref="AO91:AR91"/>
    <mergeCell ref="AS91:AV91"/>
    <mergeCell ref="BQ81:BT81"/>
    <mergeCell ref="J124:M124"/>
    <mergeCell ref="J130:M130"/>
    <mergeCell ref="J138:M138"/>
    <mergeCell ref="J146:M146"/>
    <mergeCell ref="J122:M122"/>
    <mergeCell ref="AS81:AV81"/>
    <mergeCell ref="AW81:AZ81"/>
    <mergeCell ref="BI81:BL81"/>
    <mergeCell ref="N102:S102"/>
    <mergeCell ref="T102:Y102"/>
    <mergeCell ref="Z102:AC102"/>
    <mergeCell ref="N97:S97"/>
    <mergeCell ref="AW91:AZ91"/>
    <mergeCell ref="AK85:AN85"/>
    <mergeCell ref="AO85:AR85"/>
    <mergeCell ref="AS85:AV85"/>
    <mergeCell ref="AW85:AZ85"/>
    <mergeCell ref="N96:S96"/>
    <mergeCell ref="T96:Y96"/>
    <mergeCell ref="Z96:AC96"/>
    <mergeCell ref="N101:S101"/>
    <mergeCell ref="T101:Y101"/>
    <mergeCell ref="Z101:AC101"/>
    <mergeCell ref="R57:U57"/>
    <mergeCell ref="J114:M114"/>
    <mergeCell ref="N64:S64"/>
    <mergeCell ref="T64:Y64"/>
    <mergeCell ref="N70:S70"/>
    <mergeCell ref="T70:Y70"/>
    <mergeCell ref="Z70:AC70"/>
    <mergeCell ref="T97:Y97"/>
    <mergeCell ref="Z97:AC97"/>
    <mergeCell ref="BG56:BI56"/>
    <mergeCell ref="AY56:BB56"/>
    <mergeCell ref="BG57:BI57"/>
    <mergeCell ref="X80:AA80"/>
    <mergeCell ref="AB80:AE80"/>
    <mergeCell ref="AF80:AJ80"/>
    <mergeCell ref="AK80:AN80"/>
    <mergeCell ref="AO80:AR80"/>
    <mergeCell ref="BA80:BD80"/>
    <mergeCell ref="BE80:BH80"/>
    <mergeCell ref="AY57:BB57"/>
    <mergeCell ref="BC56:BF56"/>
    <mergeCell ref="BC57:BF57"/>
    <mergeCell ref="AI57:AL57"/>
    <mergeCell ref="AM57:AP57"/>
    <mergeCell ref="AQ57:AT57"/>
    <mergeCell ref="Z57:AD57"/>
    <mergeCell ref="AU57:AX57"/>
    <mergeCell ref="Z64:AC64"/>
    <mergeCell ref="BB5:BC5"/>
    <mergeCell ref="R56:U56"/>
    <mergeCell ref="AI56:AL56"/>
    <mergeCell ref="AM56:AP56"/>
    <mergeCell ref="AQ56:AT56"/>
    <mergeCell ref="Z56:AD56"/>
    <mergeCell ref="AU56:AX56"/>
    <mergeCell ref="AV1:AY1"/>
    <mergeCell ref="A5:BA5"/>
    <mergeCell ref="AZ1:BC1"/>
    <mergeCell ref="A2:H2"/>
    <mergeCell ref="I2:L2"/>
    <mergeCell ref="M2:W2"/>
    <mergeCell ref="AK2:AM2"/>
    <mergeCell ref="AN2:AR2"/>
    <mergeCell ref="AS2:AU2"/>
    <mergeCell ref="A1:H1"/>
    <mergeCell ref="I1:L1"/>
    <mergeCell ref="M1:W1"/>
    <mergeCell ref="X1:Z2"/>
    <mergeCell ref="H47:L47"/>
    <mergeCell ref="H48:L48"/>
    <mergeCell ref="AA1:AJ2"/>
    <mergeCell ref="AK1:AM1"/>
    <mergeCell ref="AN1:AR1"/>
    <mergeCell ref="AS1:AU1"/>
    <mergeCell ref="AV2:AY2"/>
    <mergeCell ref="AZ2:BC3"/>
    <mergeCell ref="A3:H3"/>
    <mergeCell ref="I3:L3"/>
    <mergeCell ref="M3:W3"/>
    <mergeCell ref="X3:Z3"/>
    <mergeCell ref="AA3:AR3"/>
    <mergeCell ref="AS3:AU3"/>
    <mergeCell ref="AV3:AY3"/>
  </mergeCells>
  <phoneticPr fontId="56"/>
  <conditionalFormatting sqref="AK85:AV86">
    <cfRule type="cellIs" dxfId="19" priority="4" operator="lessThan">
      <formula>0</formula>
    </cfRule>
  </conditionalFormatting>
  <conditionalFormatting sqref="AK90:AV91">
    <cfRule type="cellIs" dxfId="18" priority="2" operator="lessThan">
      <formula>0</formula>
    </cfRule>
  </conditionalFormatting>
  <conditionalFormatting sqref="BA80:BD81">
    <cfRule type="cellIs" dxfId="17" priority="14" operator="lessThan">
      <formula>0.3</formula>
    </cfRule>
  </conditionalFormatting>
  <conditionalFormatting sqref="BE80:BH81">
    <cfRule type="cellIs" dxfId="16" priority="13" operator="lessThan">
      <formula>0</formula>
    </cfRule>
  </conditionalFormatting>
  <conditionalFormatting sqref="BE85:BH86">
    <cfRule type="cellIs" dxfId="15" priority="3" operator="lessThan">
      <formula>0.3</formula>
    </cfRule>
  </conditionalFormatting>
  <conditionalFormatting sqref="BE90:BH91">
    <cfRule type="cellIs" dxfId="14" priority="1" operator="lessThan">
      <formula>0.3</formula>
    </cfRule>
  </conditionalFormatting>
  <conditionalFormatting sqref="BQ80:BT81">
    <cfRule type="cellIs" dxfId="13" priority="11"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74EBD-1876-4CED-B80F-E839595C5CAB}">
  <dimension ref="A1:CM117"/>
  <sheetViews>
    <sheetView showGridLines="0" zoomScaleNormal="100" zoomScaleSheetLayoutView="100" workbookViewId="0">
      <selection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外貨(技術原計)</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63"/>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54">
        <v>110</v>
      </c>
      <c r="I42" s="991"/>
      <c r="J42" s="991"/>
      <c r="K42" s="991"/>
      <c r="L42" s="992"/>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54">
        <v>125</v>
      </c>
      <c r="I43" s="991"/>
      <c r="J43" s="991"/>
      <c r="K43" s="991"/>
      <c r="L43" s="992"/>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128</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91"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278</v>
      </c>
      <c r="AA49" s="211"/>
      <c r="AB49" s="211"/>
      <c r="AC49" s="211"/>
      <c r="AD49" s="212"/>
      <c r="AE49" s="210" t="s">
        <v>224</v>
      </c>
      <c r="AF49" s="211"/>
      <c r="AG49" s="211"/>
      <c r="AH49" s="211"/>
      <c r="AI49" s="212"/>
      <c r="AJ49" s="210" t="s">
        <v>293</v>
      </c>
      <c r="AK49" s="211"/>
      <c r="AL49" s="211"/>
      <c r="AM49" s="212"/>
      <c r="AN49" s="210" t="s">
        <v>162</v>
      </c>
      <c r="AO49" s="211"/>
      <c r="AP49" s="211"/>
      <c r="AQ49" s="212"/>
      <c r="AR49" s="211" t="s">
        <v>152</v>
      </c>
      <c r="AS49" s="211"/>
      <c r="AT49" s="211"/>
      <c r="AU49" s="212"/>
      <c r="AV49" s="211" t="s">
        <v>197</v>
      </c>
      <c r="AW49" s="211"/>
      <c r="AX49" s="211"/>
      <c r="AY49" s="212"/>
      <c r="AZ49" s="210" t="s">
        <v>199</v>
      </c>
      <c r="BA49" s="211"/>
      <c r="BB49" s="211"/>
      <c r="BC49" s="212"/>
      <c r="BD49" s="210" t="s">
        <v>83</v>
      </c>
      <c r="BE49" s="211"/>
      <c r="BF49" s="211"/>
      <c r="BG49" s="212"/>
      <c r="BH49" s="210" t="s">
        <v>42</v>
      </c>
      <c r="BI49" s="211"/>
      <c r="BJ49" s="211"/>
      <c r="BK49" s="212"/>
      <c r="BL49" s="211" t="s">
        <v>156</v>
      </c>
      <c r="BM49" s="211"/>
      <c r="BN49" s="212"/>
      <c r="BO49" s="305" t="s">
        <v>86</v>
      </c>
      <c r="BP49" s="211"/>
      <c r="BQ49" s="211"/>
      <c r="BR49" s="212"/>
      <c r="BS49" s="211" t="s">
        <v>69</v>
      </c>
      <c r="BT49" s="211"/>
      <c r="BU49" s="211"/>
      <c r="BV49" s="212"/>
      <c r="BW49" s="28"/>
      <c r="BX49" s="28"/>
      <c r="BY49" s="28"/>
      <c r="BZ49" s="28"/>
      <c r="CA49" s="28"/>
    </row>
    <row r="50" spans="1:91"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30</v>
      </c>
      <c r="AF50" s="218"/>
      <c r="AG50" s="218"/>
      <c r="AH50" s="219"/>
      <c r="AI50" s="220"/>
      <c r="AJ50" s="217" t="s">
        <v>43</v>
      </c>
      <c r="AK50" s="218"/>
      <c r="AL50" s="219"/>
      <c r="AM50" s="220"/>
      <c r="AN50" s="217" t="s">
        <v>30</v>
      </c>
      <c r="AO50" s="218"/>
      <c r="AP50" s="219"/>
      <c r="AQ50" s="220"/>
      <c r="AR50" s="218" t="s">
        <v>43</v>
      </c>
      <c r="AS50" s="218"/>
      <c r="AT50" s="219"/>
      <c r="AU50" s="220"/>
      <c r="AV50" s="218" t="s">
        <v>198</v>
      </c>
      <c r="AW50" s="218"/>
      <c r="AX50" s="219"/>
      <c r="AY50" s="220"/>
      <c r="AZ50" s="217" t="s">
        <v>155</v>
      </c>
      <c r="BA50" s="218"/>
      <c r="BB50" s="219"/>
      <c r="BC50" s="220"/>
      <c r="BD50" s="217" t="s">
        <v>155</v>
      </c>
      <c r="BE50" s="218"/>
      <c r="BF50" s="219"/>
      <c r="BG50" s="220"/>
      <c r="BH50" s="217" t="s">
        <v>200</v>
      </c>
      <c r="BI50" s="218"/>
      <c r="BJ50" s="219"/>
      <c r="BK50" s="220"/>
      <c r="BL50" s="218" t="s">
        <v>201</v>
      </c>
      <c r="BM50" s="218"/>
      <c r="BN50" s="220"/>
      <c r="BO50" s="307" t="s">
        <v>43</v>
      </c>
      <c r="BP50" s="218"/>
      <c r="BQ50" s="219"/>
      <c r="BR50" s="220"/>
      <c r="BS50" s="218" t="s">
        <v>43</v>
      </c>
      <c r="BT50" s="218"/>
      <c r="BU50" s="219"/>
      <c r="BV50" s="220"/>
      <c r="BW50" s="28"/>
      <c r="BX50" s="28"/>
      <c r="BY50" s="28"/>
      <c r="BZ50" s="28"/>
      <c r="CA50" s="28"/>
    </row>
    <row r="51" spans="1:91" ht="13.5" customHeight="1">
      <c r="A51" s="22"/>
      <c r="B51" s="202">
        <v>8</v>
      </c>
      <c r="C51" s="308">
        <v>1</v>
      </c>
      <c r="D51" s="148" t="s">
        <v>225</v>
      </c>
      <c r="E51" s="149"/>
      <c r="F51" s="149"/>
      <c r="G51" s="151"/>
      <c r="H51" s="242" t="s">
        <v>227</v>
      </c>
      <c r="I51" s="150"/>
      <c r="J51" s="150"/>
      <c r="K51" s="150"/>
      <c r="L51" s="161"/>
      <c r="M51" s="162"/>
      <c r="N51" s="242" t="s">
        <v>229</v>
      </c>
      <c r="O51" s="150"/>
      <c r="P51" s="150"/>
      <c r="Q51" s="99" t="s">
        <v>33</v>
      </c>
      <c r="R51" s="1002">
        <v>200</v>
      </c>
      <c r="S51" s="1003"/>
      <c r="T51" s="1003"/>
      <c r="U51" s="1004"/>
      <c r="V51" s="148" t="s">
        <v>207</v>
      </c>
      <c r="W51" s="150"/>
      <c r="X51" s="150"/>
      <c r="Y51" s="99" t="s">
        <v>33</v>
      </c>
      <c r="Z51" s="990">
        <v>34690.32</v>
      </c>
      <c r="AA51" s="1012"/>
      <c r="AB51" s="1012"/>
      <c r="AC51" s="1012"/>
      <c r="AD51" s="1013"/>
      <c r="AE51" s="990">
        <v>46831.94</v>
      </c>
      <c r="AF51" s="1012"/>
      <c r="AG51" s="1012"/>
      <c r="AH51" s="1012"/>
      <c r="AI51" s="1013"/>
      <c r="AJ51" s="148" t="s">
        <v>148</v>
      </c>
      <c r="AK51" s="150"/>
      <c r="AL51" s="150"/>
      <c r="AM51" s="99" t="s">
        <v>33</v>
      </c>
      <c r="AN51" s="1042">
        <v>547.11950000000002</v>
      </c>
      <c r="AO51" s="1043"/>
      <c r="AP51" s="1043"/>
      <c r="AQ51" s="1044"/>
      <c r="AR51" s="1042">
        <v>560</v>
      </c>
      <c r="AS51" s="1043"/>
      <c r="AT51" s="1043"/>
      <c r="AU51" s="1044"/>
      <c r="AV51" s="1051">
        <v>4.4999999999999998E-2</v>
      </c>
      <c r="AW51" s="1052"/>
      <c r="AX51" s="1052"/>
      <c r="AY51" s="1053"/>
      <c r="AZ51" s="1042">
        <v>674</v>
      </c>
      <c r="BA51" s="1043"/>
      <c r="BB51" s="1043"/>
      <c r="BC51" s="1044"/>
      <c r="BD51" s="1042"/>
      <c r="BE51" s="1043"/>
      <c r="BF51" s="1043"/>
      <c r="BG51" s="1044"/>
      <c r="BH51" s="1042"/>
      <c r="BI51" s="1043"/>
      <c r="BJ51" s="1043"/>
      <c r="BK51" s="1044"/>
      <c r="BL51" s="1045"/>
      <c r="BM51" s="1046"/>
      <c r="BN51" s="1047"/>
      <c r="BO51" s="242"/>
      <c r="BP51" s="150"/>
      <c r="BQ51" s="150"/>
      <c r="BR51" s="152"/>
      <c r="BS51" s="149" t="s">
        <v>30</v>
      </c>
      <c r="BT51" s="150"/>
      <c r="BU51" s="150"/>
      <c r="BV51" s="152"/>
      <c r="BW51" s="28"/>
      <c r="BX51" s="28"/>
      <c r="BY51" s="28"/>
      <c r="BZ51" s="28"/>
      <c r="CA51" s="28"/>
    </row>
    <row r="52" spans="1:91" ht="13.5" customHeight="1">
      <c r="A52" s="22"/>
      <c r="B52" s="202">
        <v>9</v>
      </c>
      <c r="C52" s="308">
        <v>2</v>
      </c>
      <c r="D52" s="148" t="s">
        <v>226</v>
      </c>
      <c r="E52" s="149"/>
      <c r="F52" s="149"/>
      <c r="G52" s="151"/>
      <c r="H52" s="242" t="s">
        <v>228</v>
      </c>
      <c r="I52" s="150"/>
      <c r="J52" s="150"/>
      <c r="K52" s="150"/>
      <c r="L52" s="161"/>
      <c r="M52" s="162"/>
      <c r="N52" s="242" t="s">
        <v>229</v>
      </c>
      <c r="O52" s="150"/>
      <c r="P52" s="150"/>
      <c r="Q52" s="99" t="s">
        <v>33</v>
      </c>
      <c r="R52" s="1002">
        <v>200</v>
      </c>
      <c r="S52" s="1003"/>
      <c r="T52" s="1003"/>
      <c r="U52" s="1004"/>
      <c r="V52" s="148" t="s">
        <v>207</v>
      </c>
      <c r="W52" s="150"/>
      <c r="X52" s="150"/>
      <c r="Y52" s="99" t="s">
        <v>33</v>
      </c>
      <c r="Z52" s="990">
        <v>11230.49</v>
      </c>
      <c r="AA52" s="1012"/>
      <c r="AB52" s="1012"/>
      <c r="AC52" s="1012"/>
      <c r="AD52" s="1013"/>
      <c r="AE52" s="990">
        <v>15161.17</v>
      </c>
      <c r="AF52" s="1012"/>
      <c r="AG52" s="1012"/>
      <c r="AH52" s="1012"/>
      <c r="AI52" s="1013"/>
      <c r="AJ52" s="148" t="s">
        <v>148</v>
      </c>
      <c r="AK52" s="150"/>
      <c r="AL52" s="150"/>
      <c r="AM52" s="99" t="s">
        <v>33</v>
      </c>
      <c r="AN52" s="1042">
        <v>177.12389999999999</v>
      </c>
      <c r="AO52" s="1043"/>
      <c r="AP52" s="1043"/>
      <c r="AQ52" s="1044"/>
      <c r="AR52" s="1042">
        <v>180</v>
      </c>
      <c r="AS52" s="1043"/>
      <c r="AT52" s="1043"/>
      <c r="AU52" s="1044"/>
      <c r="AV52" s="1051">
        <v>4.4999999999999998E-2</v>
      </c>
      <c r="AW52" s="1052"/>
      <c r="AX52" s="1052"/>
      <c r="AY52" s="1053"/>
      <c r="AZ52" s="1042">
        <v>218.2</v>
      </c>
      <c r="BA52" s="1043"/>
      <c r="BB52" s="1043"/>
      <c r="BC52" s="1044"/>
      <c r="BD52" s="1042"/>
      <c r="BE52" s="1043"/>
      <c r="BF52" s="1043"/>
      <c r="BG52" s="1044"/>
      <c r="BH52" s="1042"/>
      <c r="BI52" s="1043"/>
      <c r="BJ52" s="1043"/>
      <c r="BK52" s="1044"/>
      <c r="BL52" s="1045"/>
      <c r="BM52" s="1046"/>
      <c r="BN52" s="1047"/>
      <c r="BO52" s="242"/>
      <c r="BP52" s="150"/>
      <c r="BQ52" s="150"/>
      <c r="BR52" s="152"/>
      <c r="BS52" s="149" t="s">
        <v>30</v>
      </c>
      <c r="BT52" s="150"/>
      <c r="BU52" s="150"/>
      <c r="BV52" s="152"/>
      <c r="BW52" s="28"/>
      <c r="BX52" s="28"/>
      <c r="BY52" s="28"/>
      <c r="BZ52" s="28"/>
      <c r="CA52" s="28"/>
    </row>
    <row r="53" spans="1:91"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91"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91"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91"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s="396"/>
      <c r="BC56" s="397"/>
      <c r="BD56" s="28"/>
    </row>
    <row r="57" spans="1:91"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31"/>
      <c r="BA57" s="30"/>
      <c r="BB57" s="175"/>
      <c r="BC57" s="326"/>
    </row>
    <row r="58" spans="1:91"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row>
    <row r="59" spans="1:91"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91"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91"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91"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91"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80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212</v>
      </c>
      <c r="BB63" s="240"/>
      <c r="BC63" s="240"/>
      <c r="BD63" s="241"/>
      <c r="BE63" s="239" t="s">
        <v>213</v>
      </c>
      <c r="BF63" s="240"/>
      <c r="BG63" s="240"/>
      <c r="BH63" s="240"/>
      <c r="BI63" s="239" t="s">
        <v>199</v>
      </c>
      <c r="BJ63" s="240"/>
      <c r="BK63" s="240"/>
      <c r="BL63" s="241"/>
      <c r="BM63" s="239" t="s">
        <v>214</v>
      </c>
      <c r="BN63" s="240"/>
      <c r="BO63" s="240"/>
      <c r="BP63" s="241"/>
      <c r="BQ63" s="239" t="s">
        <v>215</v>
      </c>
      <c r="BR63" s="240"/>
      <c r="BS63" s="240"/>
      <c r="BT63" s="241"/>
      <c r="BU63" s="239" t="s">
        <v>83</v>
      </c>
      <c r="BV63" s="240"/>
      <c r="BW63" s="240"/>
      <c r="BX63" s="241"/>
      <c r="BY63" s="239" t="s">
        <v>84</v>
      </c>
      <c r="BZ63" s="240"/>
      <c r="CA63" s="240"/>
      <c r="CB63" s="241"/>
      <c r="CC63" s="240" t="s">
        <v>85</v>
      </c>
      <c r="CD63" s="240"/>
      <c r="CE63" s="241"/>
      <c r="CF63" s="240" t="s">
        <v>86</v>
      </c>
      <c r="CG63" s="240"/>
      <c r="CH63" s="240"/>
      <c r="CI63" s="241"/>
      <c r="CJ63" s="240" t="s">
        <v>69</v>
      </c>
      <c r="CK63" s="240"/>
      <c r="CL63" s="240"/>
      <c r="CM63" s="241"/>
    </row>
    <row r="64" spans="1:91" ht="13.5" customHeight="1">
      <c r="A64" s="22"/>
      <c r="B64" s="202">
        <v>22</v>
      </c>
      <c r="C64" s="308">
        <v>1</v>
      </c>
      <c r="D64" s="148" t="str">
        <f>N51</f>
        <v>OPT</v>
      </c>
      <c r="E64" s="149"/>
      <c r="F64" s="148" t="str">
        <f>D51</f>
        <v>8311308000</v>
      </c>
      <c r="G64" s="149"/>
      <c r="H64" s="149"/>
      <c r="I64" s="151"/>
      <c r="J64" s="242" t="str">
        <f>H51</f>
        <v>BF4MC-(375161-01)</v>
      </c>
      <c r="K64" s="150"/>
      <c r="L64" s="150"/>
      <c r="M64" s="150"/>
      <c r="N64" s="161"/>
      <c r="O64" s="162"/>
      <c r="P64" s="148" t="s">
        <v>275</v>
      </c>
      <c r="Q64" s="150"/>
      <c r="R64" s="150"/>
      <c r="S64" s="162"/>
      <c r="T64" s="148" t="str">
        <f>AJ51</f>
        <v>USD</v>
      </c>
      <c r="U64" s="150"/>
      <c r="V64" s="150"/>
      <c r="W64" s="162"/>
      <c r="X64" s="1002">
        <f>R51</f>
        <v>200</v>
      </c>
      <c r="Y64" s="1003"/>
      <c r="Z64" s="1003"/>
      <c r="AA64" s="1004"/>
      <c r="AB64" s="1042">
        <f>Z51/H42</f>
        <v>315.36654545454547</v>
      </c>
      <c r="AC64" s="1043"/>
      <c r="AD64" s="1043"/>
      <c r="AE64" s="1044"/>
      <c r="AF64" s="1042">
        <f>BH51</f>
        <v>0</v>
      </c>
      <c r="AG64" s="1043"/>
      <c r="AH64" s="1043"/>
      <c r="AI64" s="1043"/>
      <c r="AJ64" s="1044"/>
      <c r="AK64" s="1042">
        <f>AR51</f>
        <v>560</v>
      </c>
      <c r="AL64" s="1043"/>
      <c r="AM64" s="1043"/>
      <c r="AN64" s="1044"/>
      <c r="AO64" s="1042">
        <f>AN51</f>
        <v>547.11950000000002</v>
      </c>
      <c r="AP64" s="1043"/>
      <c r="AQ64" s="1043"/>
      <c r="AR64" s="1044"/>
      <c r="AS64" s="1042">
        <f>AN51/(1-AV51)</f>
        <v>572.90000000000009</v>
      </c>
      <c r="AT64" s="1043"/>
      <c r="AU64" s="1043"/>
      <c r="AV64" s="1044"/>
      <c r="AW64" s="1042">
        <f>AN51-(AS64*$K$20)</f>
        <v>518.47450000000003</v>
      </c>
      <c r="AX64" s="1043"/>
      <c r="AY64" s="1043"/>
      <c r="AZ64" s="1044"/>
      <c r="BA64" s="996">
        <f>(AO64-AS64*$K$20-AE51/H42)/(AE51/H42)</f>
        <v>0.21780551905387649</v>
      </c>
      <c r="BB64" s="997"/>
      <c r="BC64" s="997"/>
      <c r="BD64" s="998"/>
      <c r="BE64" s="1023">
        <f>(AN51-AR51)/AR51</f>
        <v>-2.3000892857142827E-2</v>
      </c>
      <c r="BF64" s="1024"/>
      <c r="BG64" s="1024"/>
      <c r="BH64" s="1025"/>
      <c r="BI64" s="1074">
        <f>AZ51</f>
        <v>674</v>
      </c>
      <c r="BJ64" s="1075"/>
      <c r="BK64" s="1075"/>
      <c r="BL64" s="1076"/>
      <c r="BM64" s="1026">
        <f>1-AN51/(1-AV51)/AZ51</f>
        <v>0.14999999999999991</v>
      </c>
      <c r="BN64" s="1027"/>
      <c r="BO64" s="1027"/>
      <c r="BP64" s="1028"/>
      <c r="BQ64" s="1026">
        <f>1-(Z51/H42+AN51*AV51+AS64*$K$20)/AZ51</f>
        <v>0.45306836356892366</v>
      </c>
      <c r="BR64" s="1027"/>
      <c r="BS64" s="1027"/>
      <c r="BT64" s="1028"/>
      <c r="BU64" s="1045">
        <f>BD51</f>
        <v>0</v>
      </c>
      <c r="BV64" s="1046"/>
      <c r="BW64" s="1046"/>
      <c r="BX64" s="1047"/>
      <c r="BY64" s="1026" t="str">
        <f>IFERROR(1-AZ51/BD51,"")</f>
        <v/>
      </c>
      <c r="BZ64" s="1027"/>
      <c r="CA64" s="1027"/>
      <c r="CB64" s="1028"/>
      <c r="CC64" s="1014">
        <f>BL51</f>
        <v>0</v>
      </c>
      <c r="CD64" s="1015"/>
      <c r="CE64" s="1016"/>
      <c r="CF64" s="150"/>
      <c r="CG64" s="150"/>
      <c r="CH64" s="150"/>
      <c r="CI64" s="152"/>
      <c r="CJ64" s="149" t="s">
        <v>30</v>
      </c>
      <c r="CK64" s="150"/>
      <c r="CL64" s="150"/>
      <c r="CM64" s="152"/>
    </row>
    <row r="65" spans="1:91" ht="13.5" customHeight="1">
      <c r="A65" s="22"/>
      <c r="B65" s="202">
        <v>23</v>
      </c>
      <c r="C65" s="308">
        <v>2</v>
      </c>
      <c r="D65" s="148" t="str">
        <f>N52</f>
        <v>OPT</v>
      </c>
      <c r="E65" s="149"/>
      <c r="F65" s="148" t="str">
        <f>D52</f>
        <v>8311309000</v>
      </c>
      <c r="G65" s="149"/>
      <c r="H65" s="149"/>
      <c r="I65" s="151"/>
      <c r="J65" s="242" t="str">
        <f>H52</f>
        <v>BF4MC-(375168-01)</v>
      </c>
      <c r="K65" s="150"/>
      <c r="L65" s="150"/>
      <c r="M65" s="150"/>
      <c r="N65" s="161"/>
      <c r="O65" s="162"/>
      <c r="P65" s="148" t="s">
        <v>275</v>
      </c>
      <c r="Q65" s="150"/>
      <c r="R65" s="150"/>
      <c r="S65" s="162"/>
      <c r="T65" s="148" t="str">
        <f>AJ52</f>
        <v>USD</v>
      </c>
      <c r="U65" s="150"/>
      <c r="V65" s="150"/>
      <c r="W65" s="162"/>
      <c r="X65" s="1002">
        <f>R52</f>
        <v>200</v>
      </c>
      <c r="Y65" s="1003"/>
      <c r="Z65" s="1003"/>
      <c r="AA65" s="1004"/>
      <c r="AB65" s="1042">
        <f>Z52/H42</f>
        <v>102.09536363636363</v>
      </c>
      <c r="AC65" s="1043"/>
      <c r="AD65" s="1043"/>
      <c r="AE65" s="1044"/>
      <c r="AF65" s="1042">
        <f>BH52</f>
        <v>0</v>
      </c>
      <c r="AG65" s="1043"/>
      <c r="AH65" s="1043"/>
      <c r="AI65" s="1043"/>
      <c r="AJ65" s="1044"/>
      <c r="AK65" s="1042">
        <f>AR52</f>
        <v>180</v>
      </c>
      <c r="AL65" s="1043"/>
      <c r="AM65" s="1043"/>
      <c r="AN65" s="1044"/>
      <c r="AO65" s="1042">
        <f>AN52</f>
        <v>177.12389999999999</v>
      </c>
      <c r="AP65" s="1043"/>
      <c r="AQ65" s="1043"/>
      <c r="AR65" s="1044"/>
      <c r="AS65" s="1042">
        <f>AN52/(1-AV52)</f>
        <v>185.47005235602094</v>
      </c>
      <c r="AT65" s="1043"/>
      <c r="AU65" s="1043"/>
      <c r="AV65" s="1044"/>
      <c r="AW65" s="1042">
        <f>AN52-(AS65*$K$20)</f>
        <v>167.85039738219893</v>
      </c>
      <c r="AX65" s="1043"/>
      <c r="AY65" s="1043"/>
      <c r="AZ65" s="1044"/>
      <c r="BA65" s="996">
        <f>(AO65-AS65*$K$20-AE52/H42)/(AE52/H42)</f>
        <v>0.21781786709349499</v>
      </c>
      <c r="BB65" s="997"/>
      <c r="BC65" s="997"/>
      <c r="BD65" s="998"/>
      <c r="BE65" s="1023">
        <f>(AN52-AR52)/AR52</f>
        <v>-1.5978333333333379E-2</v>
      </c>
      <c r="BF65" s="1024"/>
      <c r="BG65" s="1024"/>
      <c r="BH65" s="1025"/>
      <c r="BI65" s="1074">
        <f>AZ52</f>
        <v>218.2</v>
      </c>
      <c r="BJ65" s="1075"/>
      <c r="BK65" s="1075"/>
      <c r="BL65" s="1076"/>
      <c r="BM65" s="1026">
        <f>1-AN52/(1-AV52)/AZ52</f>
        <v>0.14999976005489934</v>
      </c>
      <c r="BN65" s="1027"/>
      <c r="BO65" s="1027"/>
      <c r="BP65" s="1028"/>
      <c r="BQ65" s="1026">
        <f>1-(Z52/H42+AN52*AV52+AS65*$K$20)/AZ52</f>
        <v>0.45307313586542308</v>
      </c>
      <c r="BR65" s="1027"/>
      <c r="BS65" s="1027"/>
      <c r="BT65" s="1028"/>
      <c r="BU65" s="1045">
        <f>BD52</f>
        <v>0</v>
      </c>
      <c r="BV65" s="1046"/>
      <c r="BW65" s="1046"/>
      <c r="BX65" s="1047"/>
      <c r="BY65" s="1026" t="str">
        <f>IFERROR(1-AZ52/BD52,"")</f>
        <v/>
      </c>
      <c r="BZ65" s="1027"/>
      <c r="CA65" s="1027"/>
      <c r="CB65" s="1028"/>
      <c r="CC65" s="1014">
        <f>BL52</f>
        <v>0</v>
      </c>
      <c r="CD65" s="1015"/>
      <c r="CE65" s="1016"/>
      <c r="CF65" s="150"/>
      <c r="CG65" s="150"/>
      <c r="CH65" s="150"/>
      <c r="CI65" s="152"/>
      <c r="CJ65" s="149" t="s">
        <v>30</v>
      </c>
      <c r="CK65" s="150"/>
      <c r="CL65" s="150"/>
      <c r="CM65" s="152"/>
    </row>
    <row r="66" spans="1:91" ht="13.5" customHeight="1">
      <c r="A66" s="22"/>
      <c r="B66" s="202">
        <v>20</v>
      </c>
      <c r="C66" s="337" t="s">
        <v>281</v>
      </c>
      <c r="D66" s="28"/>
      <c r="E66" s="28"/>
      <c r="F66" s="28"/>
      <c r="G66" s="28"/>
      <c r="H66" s="121"/>
      <c r="I66" s="62"/>
      <c r="J66" s="63"/>
      <c r="K66" s="62"/>
      <c r="L66" s="63"/>
      <c r="M66" s="69"/>
      <c r="N66" s="69"/>
      <c r="O66" s="65"/>
      <c r="P66" s="69"/>
      <c r="Q66" s="65"/>
      <c r="R66" s="69"/>
      <c r="S66" s="28"/>
      <c r="T66" s="28"/>
      <c r="U66" s="28"/>
      <c r="V66" s="28"/>
      <c r="W66" s="28"/>
      <c r="X66" s="121"/>
      <c r="Y66" s="62"/>
      <c r="Z66" s="63"/>
      <c r="AA66" s="62"/>
      <c r="AB66" s="63"/>
      <c r="AC66" s="69"/>
      <c r="AD66" s="69"/>
      <c r="AE66" s="65"/>
      <c r="AF66" s="69"/>
      <c r="AG66" s="65"/>
      <c r="AH66" s="69"/>
      <c r="AI66" s="64"/>
      <c r="AJ66" s="69"/>
      <c r="AK66" s="65"/>
      <c r="AL66" s="28"/>
      <c r="AM66" s="28"/>
      <c r="AN66" s="28"/>
      <c r="AO66" s="28"/>
      <c r="AP66" s="28"/>
      <c r="AQ66" s="28"/>
      <c r="AR66" s="28"/>
      <c r="AS66" s="28"/>
      <c r="AT66" s="28"/>
      <c r="AU66" s="28"/>
      <c r="AV66" s="233"/>
      <c r="AW66" s="28"/>
      <c r="AX66" s="28"/>
      <c r="AY66" s="31"/>
      <c r="AZ66" s="95"/>
      <c r="BA66" s="92"/>
      <c r="BB66" s="329"/>
      <c r="BC66" s="338"/>
      <c r="BD66" s="37"/>
      <c r="BE66" s="37"/>
    </row>
    <row r="67" spans="1:91" ht="13.5" customHeight="1">
      <c r="A67" s="22"/>
      <c r="B67" s="202">
        <v>24</v>
      </c>
      <c r="C67" s="304"/>
      <c r="D67" s="502" t="s">
        <v>280</v>
      </c>
      <c r="E67" s="503"/>
      <c r="F67" s="504" t="s">
        <v>294</v>
      </c>
      <c r="G67" s="503"/>
      <c r="H67" s="503"/>
      <c r="I67" s="505"/>
      <c r="J67" s="504" t="s">
        <v>30</v>
      </c>
      <c r="K67" s="506"/>
      <c r="L67" s="506"/>
      <c r="M67" s="506"/>
      <c r="N67" s="503"/>
      <c r="O67" s="505"/>
      <c r="P67" s="511" t="s">
        <v>30</v>
      </c>
      <c r="Q67" s="508"/>
      <c r="R67" s="508"/>
      <c r="S67" s="509"/>
      <c r="T67" s="504" t="s">
        <v>30</v>
      </c>
      <c r="U67" s="503"/>
      <c r="V67" s="503"/>
      <c r="W67" s="505"/>
      <c r="X67" s="508" t="s">
        <v>216</v>
      </c>
      <c r="Y67" s="503"/>
      <c r="Z67" s="503"/>
      <c r="AA67" s="503"/>
      <c r="AB67" s="507" t="s">
        <v>145</v>
      </c>
      <c r="AC67" s="503"/>
      <c r="AD67" s="503"/>
      <c r="AE67" s="503"/>
      <c r="AF67" s="507" t="s">
        <v>230</v>
      </c>
      <c r="AG67" s="508"/>
      <c r="AH67" s="508"/>
      <c r="AI67" s="508"/>
      <c r="AJ67" s="509"/>
      <c r="AK67" s="507" t="s">
        <v>219</v>
      </c>
      <c r="AL67" s="508"/>
      <c r="AM67" s="508"/>
      <c r="AN67" s="509"/>
      <c r="AO67" s="507" t="s">
        <v>220</v>
      </c>
      <c r="AP67" s="508"/>
      <c r="AQ67" s="508"/>
      <c r="AR67" s="509"/>
      <c r="AS67" s="507" t="s">
        <v>221</v>
      </c>
      <c r="AT67" s="508"/>
      <c r="AU67" s="508"/>
      <c r="AV67" s="508"/>
      <c r="AW67" s="507" t="s">
        <v>101</v>
      </c>
      <c r="AX67" s="508"/>
      <c r="AY67" s="508"/>
      <c r="AZ67" s="509"/>
      <c r="BA67" s="511" t="s">
        <v>222</v>
      </c>
      <c r="BB67" s="508"/>
      <c r="BC67" s="508"/>
      <c r="BD67" s="509"/>
      <c r="BE67" s="513" t="s">
        <v>223</v>
      </c>
      <c r="BF67" s="508"/>
      <c r="BG67" s="508"/>
      <c r="BH67" s="509"/>
      <c r="BI67" s="511" t="s">
        <v>30</v>
      </c>
      <c r="BJ67" s="508"/>
      <c r="BK67" s="508"/>
      <c r="BL67" s="509"/>
      <c r="BM67" s="513" t="s">
        <v>30</v>
      </c>
      <c r="BN67" s="508"/>
      <c r="BO67" s="508"/>
      <c r="BP67" s="509"/>
      <c r="BQ67" s="508"/>
      <c r="BR67" s="508"/>
      <c r="BS67" s="508"/>
      <c r="BT67" s="509"/>
      <c r="BU67" s="508"/>
      <c r="BV67" s="508"/>
      <c r="BW67" s="508"/>
      <c r="BX67" s="509"/>
      <c r="BY67" s="508"/>
      <c r="BZ67" s="508"/>
      <c r="CA67" s="508"/>
      <c r="CB67" s="509"/>
      <c r="CC67" s="513" t="s">
        <v>30</v>
      </c>
      <c r="CD67" s="508"/>
      <c r="CE67" s="509"/>
      <c r="CF67" s="508"/>
      <c r="CG67" s="508"/>
      <c r="CH67" s="508"/>
      <c r="CI67" s="509"/>
      <c r="CJ67" s="508"/>
      <c r="CK67" s="508"/>
      <c r="CL67" s="508"/>
      <c r="CM67" s="509"/>
    </row>
    <row r="68" spans="1:91" ht="13.5" customHeight="1">
      <c r="A68" s="22"/>
      <c r="B68" s="202">
        <v>24</v>
      </c>
      <c r="C68" s="461"/>
      <c r="D68" s="517"/>
      <c r="E68" s="518"/>
      <c r="F68" s="517"/>
      <c r="G68" s="518"/>
      <c r="H68" s="518"/>
      <c r="I68" s="519"/>
      <c r="J68" s="520"/>
      <c r="K68" s="521"/>
      <c r="L68" s="521"/>
      <c r="M68" s="521"/>
      <c r="N68" s="518"/>
      <c r="O68" s="519"/>
      <c r="P68" s="522"/>
      <c r="Q68" s="523"/>
      <c r="R68" s="523"/>
      <c r="S68" s="524"/>
      <c r="T68" s="517"/>
      <c r="U68" s="518"/>
      <c r="V68" s="518"/>
      <c r="W68" s="519"/>
      <c r="X68" s="523"/>
      <c r="Y68" s="518"/>
      <c r="Z68" s="518"/>
      <c r="AA68" s="518"/>
      <c r="AB68" s="522"/>
      <c r="AC68" s="518"/>
      <c r="AD68" s="518"/>
      <c r="AE68" s="518"/>
      <c r="AF68" s="522"/>
      <c r="AG68" s="523"/>
      <c r="AH68" s="523"/>
      <c r="AI68" s="523"/>
      <c r="AJ68" s="524"/>
      <c r="AK68" s="522"/>
      <c r="AL68" s="523"/>
      <c r="AM68" s="523"/>
      <c r="AN68" s="524"/>
      <c r="AO68" s="522"/>
      <c r="AP68" s="523"/>
      <c r="AQ68" s="523"/>
      <c r="AR68" s="524"/>
      <c r="AS68" s="522"/>
      <c r="AT68" s="523"/>
      <c r="AU68" s="523"/>
      <c r="AV68" s="523"/>
      <c r="AW68" s="522" t="s">
        <v>231</v>
      </c>
      <c r="AX68" s="523"/>
      <c r="AY68" s="523"/>
      <c r="AZ68" s="524"/>
      <c r="BA68" s="525" t="s">
        <v>30</v>
      </c>
      <c r="BB68" s="523"/>
      <c r="BC68" s="523"/>
      <c r="BD68" s="524"/>
      <c r="BE68" s="526" t="s">
        <v>232</v>
      </c>
      <c r="BF68" s="523"/>
      <c r="BG68" s="523"/>
      <c r="BH68" s="524"/>
      <c r="BI68" s="525" t="s">
        <v>30</v>
      </c>
      <c r="BJ68" s="523"/>
      <c r="BK68" s="523"/>
      <c r="BL68" s="524"/>
      <c r="BM68" s="526" t="s">
        <v>30</v>
      </c>
      <c r="BN68" s="523"/>
      <c r="BO68" s="523"/>
      <c r="BP68" s="524"/>
      <c r="BQ68" s="523"/>
      <c r="BR68" s="523"/>
      <c r="BS68" s="523"/>
      <c r="BT68" s="524"/>
      <c r="BU68" s="523"/>
      <c r="BV68" s="523"/>
      <c r="BW68" s="523"/>
      <c r="BX68" s="524"/>
      <c r="BY68" s="523"/>
      <c r="BZ68" s="523"/>
      <c r="CA68" s="523"/>
      <c r="CB68" s="524"/>
      <c r="CC68" s="526" t="s">
        <v>30</v>
      </c>
      <c r="CD68" s="523"/>
      <c r="CE68" s="524"/>
      <c r="CF68" s="523"/>
      <c r="CG68" s="523"/>
      <c r="CH68" s="523"/>
      <c r="CI68" s="524"/>
      <c r="CJ68" s="523"/>
      <c r="CK68" s="523"/>
      <c r="CL68" s="523"/>
      <c r="CM68" s="524"/>
    </row>
    <row r="69" spans="1:91" ht="13.5" customHeight="1">
      <c r="A69" s="22"/>
      <c r="B69" s="202">
        <v>25</v>
      </c>
      <c r="C69" s="308">
        <v>1</v>
      </c>
      <c r="D69" s="148" t="s">
        <v>229</v>
      </c>
      <c r="E69" s="149"/>
      <c r="F69" s="148" t="s">
        <v>148</v>
      </c>
      <c r="G69" s="149"/>
      <c r="H69" s="149"/>
      <c r="I69" s="151"/>
      <c r="J69" s="221"/>
      <c r="K69" s="222"/>
      <c r="L69" s="222"/>
      <c r="M69" s="222"/>
      <c r="N69" s="161"/>
      <c r="O69" s="162"/>
      <c r="P69" s="148"/>
      <c r="Q69" s="150"/>
      <c r="R69" s="150"/>
      <c r="S69" s="162"/>
      <c r="T69" s="119"/>
      <c r="U69" s="120"/>
      <c r="V69" s="120"/>
      <c r="W69" s="162"/>
      <c r="X69" s="990">
        <f>SUMPRODUCT(X$64:AA$65,AO$64:AR$65)</f>
        <v>144848.68</v>
      </c>
      <c r="Y69" s="1012"/>
      <c r="Z69" s="1012"/>
      <c r="AA69" s="1013"/>
      <c r="AB69" s="990">
        <f>SUMPRODUCT(R$51:R$52,AE$51:AE$52)/H42</f>
        <v>112714.74545454545</v>
      </c>
      <c r="AC69" s="1012"/>
      <c r="AD69" s="1012"/>
      <c r="AE69" s="1013"/>
      <c r="AF69" s="993">
        <f>X69-AB69</f>
        <v>32133.93454545454</v>
      </c>
      <c r="AG69" s="994"/>
      <c r="AH69" s="994"/>
      <c r="AI69" s="994"/>
      <c r="AJ69" s="995"/>
      <c r="AK69" s="1080">
        <f>AF69/AB69</f>
        <v>0.2850907786365291</v>
      </c>
      <c r="AL69" s="1081"/>
      <c r="AM69" s="1081"/>
      <c r="AN69" s="1082"/>
      <c r="AO69" s="996">
        <f>AS69/(X69-AS69)</f>
        <v>-2.1292702702702691E-2</v>
      </c>
      <c r="AP69" s="997"/>
      <c r="AQ69" s="997"/>
      <c r="AR69" s="998"/>
      <c r="AS69" s="1083">
        <f>X$64*(AO$64-AK$64)+X$65*(AO$65-AK$65)</f>
        <v>-3151.3199999999983</v>
      </c>
      <c r="AT69" s="1084"/>
      <c r="AU69" s="1084"/>
      <c r="AV69" s="1085"/>
      <c r="AW69" s="1086">
        <f>SUMPRODUCT(X$64:AA$65,AK$64:AN$65)</f>
        <v>148000</v>
      </c>
      <c r="AX69" s="1087"/>
      <c r="AY69" s="1087"/>
      <c r="AZ69" s="1088"/>
      <c r="BA69" s="990">
        <f>SUMPRODUCT(X$64:AA$65,BI$64:BL$65)</f>
        <v>178440</v>
      </c>
      <c r="BB69" s="1012"/>
      <c r="BC69" s="1012"/>
      <c r="BD69" s="1013"/>
      <c r="BE69" s="1026">
        <f>1-(SUMPRODUCT(R$51:R$52,Z$51:Z$52)/107+(AN$51*AV$51+AN$51/(1-AV$51)*$K$20)*R$51+(AN$52*AV$52+AN$52/(1-AV$52)*$K$20)*R$52)/BA$75</f>
        <v>0.43995079106037671</v>
      </c>
      <c r="BF69" s="1027"/>
      <c r="BG69" s="1027"/>
      <c r="BH69" s="1028"/>
      <c r="BI69" s="149" t="s">
        <v>30</v>
      </c>
      <c r="BJ69" s="150"/>
      <c r="BK69" s="150"/>
      <c r="BL69" s="152"/>
      <c r="BM69" s="149" t="s">
        <v>30</v>
      </c>
      <c r="BN69" s="150"/>
      <c r="BO69" s="150"/>
      <c r="BP69" s="152"/>
      <c r="BQ69" s="149" t="s">
        <v>30</v>
      </c>
      <c r="BR69" s="150"/>
      <c r="BS69" s="150"/>
      <c r="BT69" s="152"/>
      <c r="BU69" s="149" t="s">
        <v>30</v>
      </c>
      <c r="BV69" s="150"/>
      <c r="BW69" s="150"/>
      <c r="BX69" s="152"/>
      <c r="BY69" s="149" t="s">
        <v>30</v>
      </c>
      <c r="BZ69" s="150"/>
      <c r="CA69" s="150"/>
      <c r="CB69" s="152"/>
      <c r="CC69" s="149" t="s">
        <v>30</v>
      </c>
      <c r="CD69" s="150"/>
      <c r="CE69" s="152"/>
      <c r="CF69" s="149" t="s">
        <v>30</v>
      </c>
      <c r="CG69" s="150"/>
      <c r="CH69" s="150"/>
      <c r="CI69" s="152"/>
      <c r="CJ69" s="149" t="s">
        <v>30</v>
      </c>
      <c r="CK69" s="150"/>
      <c r="CL69" s="150"/>
      <c r="CM69" s="152"/>
    </row>
    <row r="70" spans="1:91" ht="13.5" customHeight="1">
      <c r="A70" s="22"/>
      <c r="B70" s="202">
        <v>25</v>
      </c>
      <c r="C70" s="308">
        <v>2</v>
      </c>
      <c r="D70" s="148" t="s">
        <v>229</v>
      </c>
      <c r="E70" s="149"/>
      <c r="F70" s="148" t="s">
        <v>207</v>
      </c>
      <c r="G70" s="149"/>
      <c r="H70" s="149"/>
      <c r="I70" s="151"/>
      <c r="J70" s="221"/>
      <c r="K70" s="222"/>
      <c r="L70" s="222"/>
      <c r="M70" s="222"/>
      <c r="N70" s="161"/>
      <c r="O70" s="162"/>
      <c r="P70" s="148"/>
      <c r="Q70" s="150"/>
      <c r="R70" s="150"/>
      <c r="S70" s="162"/>
      <c r="T70" s="119"/>
      <c r="U70" s="120"/>
      <c r="V70" s="120"/>
      <c r="W70" s="162"/>
      <c r="X70" s="1017">
        <f>SUMPRODUCT(X$64:AA$65,AO$64:AR$65)*H42</f>
        <v>15933354.799999999</v>
      </c>
      <c r="Y70" s="1018"/>
      <c r="Z70" s="1018"/>
      <c r="AA70" s="1019"/>
      <c r="AB70" s="1017">
        <f>SUMPRODUCT(R$51:R$52,AE$51:AE$52)</f>
        <v>12398622</v>
      </c>
      <c r="AC70" s="1018"/>
      <c r="AD70" s="1018"/>
      <c r="AE70" s="1019"/>
      <c r="AF70" s="993">
        <f>X70-AB70</f>
        <v>3534732.7999999989</v>
      </c>
      <c r="AG70" s="994"/>
      <c r="AH70" s="994"/>
      <c r="AI70" s="994"/>
      <c r="AJ70" s="995"/>
      <c r="AK70" s="1080">
        <f>AF70/AB70</f>
        <v>0.28509077863652904</v>
      </c>
      <c r="AL70" s="1081"/>
      <c r="AM70" s="1081"/>
      <c r="AN70" s="1082"/>
      <c r="AO70" s="996">
        <f>AS70/(X70-AS70)</f>
        <v>-1.9774221377452075E-4</v>
      </c>
      <c r="AP70" s="997"/>
      <c r="AQ70" s="997"/>
      <c r="AR70" s="998"/>
      <c r="AS70" s="1070">
        <f>X$64*(AO$64-AK$64)+X$65*(AO$65-AK$65)</f>
        <v>-3151.3199999999983</v>
      </c>
      <c r="AT70" s="1071"/>
      <c r="AU70" s="1071"/>
      <c r="AV70" s="1072"/>
      <c r="AW70" s="1067">
        <f>SUMPRODUCT(X$64:AA$65,AK$64:AN$65)</f>
        <v>148000</v>
      </c>
      <c r="AX70" s="1068"/>
      <c r="AY70" s="1068"/>
      <c r="AZ70" s="1069"/>
      <c r="BA70" s="1017">
        <f>SUMPRODUCT(X$64:AA$65,BI$64:BL$65)</f>
        <v>178440</v>
      </c>
      <c r="BB70" s="1018"/>
      <c r="BC70" s="1018"/>
      <c r="BD70" s="1019"/>
      <c r="BE70" s="1026">
        <f>1-(SUMPRODUCT(R$51:R$52,Z$51:Z$52)/107+(AN$51*AV$51+AN$51/(1-AV$51)*$K$20)*R$51+(AN$52*AV$52+AN$52/(1-AV$52)*$K$20)*R$52)/BA$75</f>
        <v>0.43995079106037671</v>
      </c>
      <c r="BF70" s="1027"/>
      <c r="BG70" s="1027"/>
      <c r="BH70" s="1028"/>
      <c r="BI70" s="149" t="s">
        <v>30</v>
      </c>
      <c r="BJ70" s="150"/>
      <c r="BK70" s="150"/>
      <c r="BL70" s="152"/>
      <c r="BM70" s="149" t="s">
        <v>30</v>
      </c>
      <c r="BN70" s="150"/>
      <c r="BO70" s="150"/>
      <c r="BP70" s="152"/>
      <c r="BQ70" s="149" t="s">
        <v>30</v>
      </c>
      <c r="BR70" s="150"/>
      <c r="BS70" s="150"/>
      <c r="BT70" s="152"/>
      <c r="BU70" s="149" t="s">
        <v>30</v>
      </c>
      <c r="BV70" s="150"/>
      <c r="BW70" s="150"/>
      <c r="BX70" s="152"/>
      <c r="BY70" s="149" t="s">
        <v>30</v>
      </c>
      <c r="BZ70" s="150"/>
      <c r="CA70" s="150"/>
      <c r="CB70" s="152"/>
      <c r="CC70" s="149" t="s">
        <v>30</v>
      </c>
      <c r="CD70" s="150"/>
      <c r="CE70" s="152"/>
      <c r="CF70" s="149" t="s">
        <v>30</v>
      </c>
      <c r="CG70" s="150"/>
      <c r="CH70" s="150"/>
      <c r="CI70" s="152"/>
      <c r="CJ70" s="149" t="s">
        <v>30</v>
      </c>
      <c r="CK70" s="150"/>
      <c r="CL70" s="150"/>
      <c r="CM70" s="152"/>
    </row>
    <row r="71" spans="1:91" ht="13.5" customHeight="1">
      <c r="A71" s="22"/>
      <c r="B71" s="202">
        <v>20</v>
      </c>
      <c r="C71" s="337" t="s">
        <v>279</v>
      </c>
      <c r="D71" s="28"/>
      <c r="E71" s="28"/>
      <c r="F71" s="28"/>
      <c r="G71" s="28"/>
      <c r="H71" s="121"/>
      <c r="I71" s="62"/>
      <c r="J71" s="63"/>
      <c r="K71" s="62"/>
      <c r="L71" s="63"/>
      <c r="M71" s="69"/>
      <c r="N71" s="69"/>
      <c r="O71" s="65"/>
      <c r="P71" s="69"/>
      <c r="Q71" s="65"/>
      <c r="R71" s="69"/>
      <c r="S71" s="28"/>
      <c r="T71" s="28"/>
      <c r="U71" s="28"/>
      <c r="V71" s="28"/>
      <c r="W71" s="28"/>
      <c r="X71" s="121"/>
      <c r="Y71" s="62"/>
      <c r="Z71" s="63"/>
      <c r="AA71" s="62"/>
      <c r="AB71" s="63"/>
      <c r="AC71" s="69"/>
      <c r="AD71" s="69"/>
      <c r="AE71" s="65"/>
      <c r="AF71" s="69"/>
      <c r="AG71" s="65"/>
      <c r="AH71" s="69"/>
      <c r="AI71" s="64"/>
      <c r="AJ71" s="69"/>
      <c r="AK71" s="65"/>
      <c r="AL71" s="28"/>
      <c r="AM71" s="28"/>
      <c r="AN71" s="28"/>
      <c r="AO71" s="28"/>
      <c r="AP71" s="28"/>
      <c r="AQ71" s="28"/>
      <c r="AR71" s="28"/>
      <c r="AS71" s="28"/>
      <c r="AT71" s="28"/>
      <c r="AU71" s="28"/>
      <c r="AV71" s="233"/>
      <c r="AW71" s="28"/>
      <c r="AX71" s="28"/>
      <c r="AY71" s="31"/>
      <c r="AZ71" s="95"/>
      <c r="BA71" s="92"/>
      <c r="BB71" s="329"/>
      <c r="BC71" s="338"/>
      <c r="BD71" s="37"/>
      <c r="BE71" s="37"/>
    </row>
    <row r="72" spans="1:91" ht="13.5" customHeight="1">
      <c r="A72" s="22"/>
      <c r="B72" s="202">
        <v>24</v>
      </c>
      <c r="C72" s="304"/>
      <c r="D72" s="243"/>
      <c r="E72" s="244"/>
      <c r="F72" s="243" t="s">
        <v>295</v>
      </c>
      <c r="G72" s="244"/>
      <c r="H72" s="244"/>
      <c r="I72" s="245"/>
      <c r="J72" s="246" t="s">
        <v>30</v>
      </c>
      <c r="K72" s="247"/>
      <c r="L72" s="247"/>
      <c r="M72" s="247"/>
      <c r="N72" s="244"/>
      <c r="O72" s="245"/>
      <c r="P72" s="253" t="s">
        <v>30</v>
      </c>
      <c r="Q72" s="249"/>
      <c r="R72" s="249"/>
      <c r="S72" s="250"/>
      <c r="T72" s="246" t="s">
        <v>30</v>
      </c>
      <c r="U72" s="244"/>
      <c r="V72" s="244"/>
      <c r="W72" s="245"/>
      <c r="X72" s="249" t="s">
        <v>216</v>
      </c>
      <c r="Y72" s="244"/>
      <c r="Z72" s="244"/>
      <c r="AA72" s="244"/>
      <c r="AB72" s="248" t="s">
        <v>145</v>
      </c>
      <c r="AC72" s="244"/>
      <c r="AD72" s="244"/>
      <c r="AE72" s="244"/>
      <c r="AF72" s="248" t="s">
        <v>230</v>
      </c>
      <c r="AG72" s="249"/>
      <c r="AH72" s="249"/>
      <c r="AI72" s="249"/>
      <c r="AJ72" s="250"/>
      <c r="AK72" s="248" t="s">
        <v>219</v>
      </c>
      <c r="AL72" s="249"/>
      <c r="AM72" s="249"/>
      <c r="AN72" s="250"/>
      <c r="AO72" s="248" t="s">
        <v>220</v>
      </c>
      <c r="AP72" s="249"/>
      <c r="AQ72" s="249"/>
      <c r="AR72" s="250"/>
      <c r="AS72" s="248" t="s">
        <v>221</v>
      </c>
      <c r="AT72" s="249"/>
      <c r="AU72" s="249"/>
      <c r="AV72" s="249"/>
      <c r="AW72" s="248" t="s">
        <v>101</v>
      </c>
      <c r="AX72" s="249"/>
      <c r="AY72" s="249"/>
      <c r="AZ72" s="250"/>
      <c r="BA72" s="253" t="s">
        <v>222</v>
      </c>
      <c r="BB72" s="249"/>
      <c r="BC72" s="249"/>
      <c r="BD72" s="250"/>
      <c r="BE72" s="251" t="s">
        <v>223</v>
      </c>
      <c r="BF72" s="249"/>
      <c r="BG72" s="249"/>
      <c r="BH72" s="250"/>
      <c r="BI72" s="253" t="s">
        <v>30</v>
      </c>
      <c r="BJ72" s="249"/>
      <c r="BK72" s="249"/>
      <c r="BL72" s="250"/>
      <c r="BM72" s="251" t="s">
        <v>30</v>
      </c>
      <c r="BN72" s="249"/>
      <c r="BO72" s="249"/>
      <c r="BP72" s="250"/>
      <c r="BQ72" s="249"/>
      <c r="BR72" s="249"/>
      <c r="BS72" s="249"/>
      <c r="BT72" s="250"/>
      <c r="BU72" s="249"/>
      <c r="BV72" s="249"/>
      <c r="BW72" s="249"/>
      <c r="BX72" s="250"/>
      <c r="BY72" s="249"/>
      <c r="BZ72" s="249"/>
      <c r="CA72" s="249"/>
      <c r="CB72" s="250"/>
      <c r="CC72" s="251" t="s">
        <v>30</v>
      </c>
      <c r="CD72" s="249"/>
      <c r="CE72" s="250"/>
      <c r="CF72" s="249"/>
      <c r="CG72" s="249"/>
      <c r="CH72" s="249"/>
      <c r="CI72" s="250"/>
      <c r="CJ72" s="249"/>
      <c r="CK72" s="249"/>
      <c r="CL72" s="249"/>
      <c r="CM72" s="250"/>
    </row>
    <row r="73" spans="1:91" ht="13.5" customHeight="1">
      <c r="A73" s="22"/>
      <c r="B73" s="202">
        <v>24</v>
      </c>
      <c r="C73" s="461"/>
      <c r="D73" s="462"/>
      <c r="E73" s="463"/>
      <c r="F73" s="462"/>
      <c r="G73" s="463"/>
      <c r="H73" s="463"/>
      <c r="I73" s="464"/>
      <c r="J73" s="465"/>
      <c r="K73" s="466"/>
      <c r="L73" s="466"/>
      <c r="M73" s="466"/>
      <c r="N73" s="463"/>
      <c r="O73" s="464"/>
      <c r="P73" s="467"/>
      <c r="Q73" s="458"/>
      <c r="R73" s="458"/>
      <c r="S73" s="459"/>
      <c r="T73" s="462"/>
      <c r="U73" s="463"/>
      <c r="V73" s="463"/>
      <c r="W73" s="464"/>
      <c r="X73" s="458"/>
      <c r="Y73" s="463"/>
      <c r="Z73" s="463"/>
      <c r="AA73" s="463"/>
      <c r="AB73" s="467"/>
      <c r="AC73" s="463"/>
      <c r="AD73" s="463"/>
      <c r="AE73" s="463"/>
      <c r="AF73" s="467"/>
      <c r="AG73" s="458"/>
      <c r="AH73" s="458"/>
      <c r="AI73" s="458"/>
      <c r="AJ73" s="459"/>
      <c r="AK73" s="467"/>
      <c r="AL73" s="458"/>
      <c r="AM73" s="458"/>
      <c r="AN73" s="459"/>
      <c r="AO73" s="467"/>
      <c r="AP73" s="458"/>
      <c r="AQ73" s="458"/>
      <c r="AR73" s="459"/>
      <c r="AS73" s="467"/>
      <c r="AT73" s="458"/>
      <c r="AU73" s="458"/>
      <c r="AV73" s="458"/>
      <c r="AW73" s="467" t="s">
        <v>231</v>
      </c>
      <c r="AX73" s="458"/>
      <c r="AY73" s="458"/>
      <c r="AZ73" s="459"/>
      <c r="BA73" s="457" t="s">
        <v>30</v>
      </c>
      <c r="BB73" s="458"/>
      <c r="BC73" s="458"/>
      <c r="BD73" s="459"/>
      <c r="BE73" s="460" t="s">
        <v>232</v>
      </c>
      <c r="BF73" s="458"/>
      <c r="BG73" s="458"/>
      <c r="BH73" s="459"/>
      <c r="BI73" s="457" t="s">
        <v>30</v>
      </c>
      <c r="BJ73" s="458"/>
      <c r="BK73" s="458"/>
      <c r="BL73" s="459"/>
      <c r="BM73" s="460" t="s">
        <v>30</v>
      </c>
      <c r="BN73" s="458"/>
      <c r="BO73" s="458"/>
      <c r="BP73" s="459"/>
      <c r="BQ73" s="458"/>
      <c r="BR73" s="458"/>
      <c r="BS73" s="458"/>
      <c r="BT73" s="459"/>
      <c r="BU73" s="458"/>
      <c r="BV73" s="458"/>
      <c r="BW73" s="458"/>
      <c r="BX73" s="459"/>
      <c r="BY73" s="458"/>
      <c r="BZ73" s="458"/>
      <c r="CA73" s="458"/>
      <c r="CB73" s="459"/>
      <c r="CC73" s="460" t="s">
        <v>30</v>
      </c>
      <c r="CD73" s="458"/>
      <c r="CE73" s="459"/>
      <c r="CF73" s="458"/>
      <c r="CG73" s="458"/>
      <c r="CH73" s="458"/>
      <c r="CI73" s="459"/>
      <c r="CJ73" s="458"/>
      <c r="CK73" s="458"/>
      <c r="CL73" s="458"/>
      <c r="CM73" s="459"/>
    </row>
    <row r="74" spans="1:91" ht="13.5" customHeight="1">
      <c r="A74" s="22"/>
      <c r="B74" s="202">
        <v>25</v>
      </c>
      <c r="C74" s="308"/>
      <c r="D74" s="148"/>
      <c r="E74" s="149"/>
      <c r="F74" s="148" t="s">
        <v>148</v>
      </c>
      <c r="G74" s="149"/>
      <c r="H74" s="149"/>
      <c r="I74" s="151"/>
      <c r="J74" s="221"/>
      <c r="K74" s="222"/>
      <c r="L74" s="222"/>
      <c r="M74" s="222"/>
      <c r="N74" s="161"/>
      <c r="O74" s="162"/>
      <c r="P74" s="148"/>
      <c r="Q74" s="150"/>
      <c r="R74" s="150"/>
      <c r="S74" s="162"/>
      <c r="T74" s="119"/>
      <c r="U74" s="120"/>
      <c r="V74" s="120"/>
      <c r="W74" s="162"/>
      <c r="X74" s="990">
        <f>SUMPRODUCT(X$64:AA$65,AO$64:AR$65)</f>
        <v>144848.68</v>
      </c>
      <c r="Y74" s="1012"/>
      <c r="Z74" s="1012"/>
      <c r="AA74" s="1013"/>
      <c r="AB74" s="990">
        <f>SUMPRODUCT(R$51:R$52,AE$51:AE$52)/107</f>
        <v>115874.97196261682</v>
      </c>
      <c r="AC74" s="1012"/>
      <c r="AD74" s="1012"/>
      <c r="AE74" s="1013"/>
      <c r="AF74" s="993">
        <f>X74-AB74</f>
        <v>28973.70803738317</v>
      </c>
      <c r="AG74" s="994"/>
      <c r="AH74" s="994"/>
      <c r="AI74" s="994"/>
      <c r="AJ74" s="995"/>
      <c r="AK74" s="1080">
        <f>AF74/AB74</f>
        <v>0.25004284831007828</v>
      </c>
      <c r="AL74" s="1081"/>
      <c r="AM74" s="1081"/>
      <c r="AN74" s="1082"/>
      <c r="AO74" s="996">
        <f>AS74/(X74-AS74)</f>
        <v>-2.1292702702702691E-2</v>
      </c>
      <c r="AP74" s="997"/>
      <c r="AQ74" s="997"/>
      <c r="AR74" s="998"/>
      <c r="AS74" s="1083">
        <f>X$64*(AO$64-AK$64)+X$65*(AO$65-AK$65)</f>
        <v>-3151.3199999999983</v>
      </c>
      <c r="AT74" s="1084"/>
      <c r="AU74" s="1084"/>
      <c r="AV74" s="1085"/>
      <c r="AW74" s="1086">
        <f>SUMPRODUCT(X$64:AA$65,AK$64:AN$65)</f>
        <v>148000</v>
      </c>
      <c r="AX74" s="1087"/>
      <c r="AY74" s="1087"/>
      <c r="AZ74" s="1088"/>
      <c r="BA74" s="990">
        <f>SUMPRODUCT(X$64:AA$65,BI$64:BL$65)</f>
        <v>178440</v>
      </c>
      <c r="BB74" s="1012"/>
      <c r="BC74" s="1012"/>
      <c r="BD74" s="1013"/>
      <c r="BE74" s="1026">
        <f>1-(SUMPRODUCT(R$51:R$52,Z$51:Z$52)/107+(AN$51*AV$51+AN$51/(1-AV$51)*$K$20)*R$51+(AN$52*AV$52+AN$52/(1-AV$52)*$K$20)*R$52)/BA$75</f>
        <v>0.43995079106037671</v>
      </c>
      <c r="BF74" s="1027"/>
      <c r="BG74" s="1027"/>
      <c r="BH74" s="1028"/>
      <c r="BI74" s="149" t="s">
        <v>30</v>
      </c>
      <c r="BJ74" s="150"/>
      <c r="BK74" s="150"/>
      <c r="BL74" s="152"/>
      <c r="BM74" s="149" t="s">
        <v>30</v>
      </c>
      <c r="BN74" s="150"/>
      <c r="BO74" s="150"/>
      <c r="BP74" s="152"/>
      <c r="BQ74" s="149" t="s">
        <v>30</v>
      </c>
      <c r="BR74" s="150"/>
      <c r="BS74" s="150"/>
      <c r="BT74" s="152"/>
      <c r="BU74" s="149" t="s">
        <v>30</v>
      </c>
      <c r="BV74" s="150"/>
      <c r="BW74" s="150"/>
      <c r="BX74" s="152"/>
      <c r="BY74" s="149" t="s">
        <v>30</v>
      </c>
      <c r="BZ74" s="150"/>
      <c r="CA74" s="150"/>
      <c r="CB74" s="152"/>
      <c r="CC74" s="149" t="s">
        <v>30</v>
      </c>
      <c r="CD74" s="150"/>
      <c r="CE74" s="152"/>
      <c r="CF74" s="149" t="s">
        <v>30</v>
      </c>
      <c r="CG74" s="150"/>
      <c r="CH74" s="150"/>
      <c r="CI74" s="152"/>
      <c r="CJ74" s="149" t="s">
        <v>30</v>
      </c>
      <c r="CK74" s="150"/>
      <c r="CL74" s="150"/>
      <c r="CM74" s="152"/>
    </row>
    <row r="75" spans="1:91" ht="13.5" customHeight="1">
      <c r="A75" s="22"/>
      <c r="B75" s="202">
        <v>25</v>
      </c>
      <c r="C75" s="308"/>
      <c r="D75" s="148"/>
      <c r="E75" s="149"/>
      <c r="F75" s="148" t="s">
        <v>207</v>
      </c>
      <c r="G75" s="149"/>
      <c r="H75" s="149"/>
      <c r="I75" s="151"/>
      <c r="J75" s="221"/>
      <c r="K75" s="222"/>
      <c r="L75" s="222"/>
      <c r="M75" s="222"/>
      <c r="N75" s="161"/>
      <c r="O75" s="162"/>
      <c r="P75" s="148"/>
      <c r="Q75" s="150"/>
      <c r="R75" s="150"/>
      <c r="S75" s="162"/>
      <c r="T75" s="119"/>
      <c r="U75" s="120"/>
      <c r="V75" s="120"/>
      <c r="W75" s="162"/>
      <c r="X75" s="1017">
        <f>SUMPRODUCT(X$64:AA$65,AO$64:AR$65)</f>
        <v>144848.68</v>
      </c>
      <c r="Y75" s="1018"/>
      <c r="Z75" s="1018"/>
      <c r="AA75" s="1019"/>
      <c r="AB75" s="1017">
        <f>SUMPRODUCT(R$51:R$52,AE$51:AE$52)/107</f>
        <v>115874.97196261682</v>
      </c>
      <c r="AC75" s="1018"/>
      <c r="AD75" s="1018"/>
      <c r="AE75" s="1019"/>
      <c r="AF75" s="993">
        <f>X75-AB75</f>
        <v>28973.70803738317</v>
      </c>
      <c r="AG75" s="994"/>
      <c r="AH75" s="994"/>
      <c r="AI75" s="994"/>
      <c r="AJ75" s="995"/>
      <c r="AK75" s="1080">
        <f>AF75/AB75</f>
        <v>0.25004284831007828</v>
      </c>
      <c r="AL75" s="1081"/>
      <c r="AM75" s="1081"/>
      <c r="AN75" s="1082"/>
      <c r="AO75" s="996">
        <f>AS75/(X75-AS75)</f>
        <v>-2.1292702702702691E-2</v>
      </c>
      <c r="AP75" s="997"/>
      <c r="AQ75" s="997"/>
      <c r="AR75" s="998"/>
      <c r="AS75" s="1070">
        <f>X$64*(AO$64-AK$64)+X$65*(AO$65-AK$65)</f>
        <v>-3151.3199999999983</v>
      </c>
      <c r="AT75" s="1071"/>
      <c r="AU75" s="1071"/>
      <c r="AV75" s="1072"/>
      <c r="AW75" s="1067">
        <f>SUMPRODUCT(X$64:AA$65,AK$64:AN$65)</f>
        <v>148000</v>
      </c>
      <c r="AX75" s="1068"/>
      <c r="AY75" s="1068"/>
      <c r="AZ75" s="1069"/>
      <c r="BA75" s="1017">
        <f>SUMPRODUCT(X$64:AA$65,BI$64:BL$65)</f>
        <v>178440</v>
      </c>
      <c r="BB75" s="1018"/>
      <c r="BC75" s="1018"/>
      <c r="BD75" s="1019"/>
      <c r="BE75" s="1026">
        <f>1-(SUMPRODUCT(R$51:R$52,Z$51:Z$52)/107+(AN$51*AV$51+AN$51/(1-AV$51)*$K$20)*R$51+(AN$52*AV$52+AN$52/(1-AV$52)*$K$20)*R$52)/BA$75</f>
        <v>0.43995079106037671</v>
      </c>
      <c r="BF75" s="1027"/>
      <c r="BG75" s="1027"/>
      <c r="BH75" s="1028"/>
      <c r="BI75" s="149" t="s">
        <v>30</v>
      </c>
      <c r="BJ75" s="150"/>
      <c r="BK75" s="150"/>
      <c r="BL75" s="152"/>
      <c r="BM75" s="149" t="s">
        <v>30</v>
      </c>
      <c r="BN75" s="150"/>
      <c r="BO75" s="150"/>
      <c r="BP75" s="152"/>
      <c r="BQ75" s="149" t="s">
        <v>30</v>
      </c>
      <c r="BR75" s="150"/>
      <c r="BS75" s="150"/>
      <c r="BT75" s="152"/>
      <c r="BU75" s="149" t="s">
        <v>30</v>
      </c>
      <c r="BV75" s="150"/>
      <c r="BW75" s="150"/>
      <c r="BX75" s="152"/>
      <c r="BY75" s="149" t="s">
        <v>30</v>
      </c>
      <c r="BZ75" s="150"/>
      <c r="CA75" s="150"/>
      <c r="CB75" s="152"/>
      <c r="CC75" s="149" t="s">
        <v>30</v>
      </c>
      <c r="CD75" s="150"/>
      <c r="CE75" s="152"/>
      <c r="CF75" s="149" t="s">
        <v>30</v>
      </c>
      <c r="CG75" s="150"/>
      <c r="CH75" s="150"/>
      <c r="CI75" s="152"/>
      <c r="CJ75" s="149" t="s">
        <v>30</v>
      </c>
      <c r="CK75" s="150"/>
      <c r="CL75" s="150"/>
      <c r="CM75" s="152"/>
    </row>
    <row r="76" spans="1:91" ht="13.5" customHeight="1">
      <c r="A76" s="22"/>
      <c r="B76" s="202">
        <v>26</v>
      </c>
      <c r="C76" s="339"/>
      <c r="D76" s="75"/>
      <c r="E76" s="75"/>
      <c r="F76" s="75"/>
      <c r="G76" s="75"/>
      <c r="H76" s="199"/>
      <c r="I76" s="199"/>
      <c r="J76" s="200"/>
      <c r="K76" s="199"/>
      <c r="L76" s="200"/>
      <c r="M76" s="199"/>
      <c r="N76" s="199"/>
      <c r="O76" s="83"/>
      <c r="P76" s="84"/>
      <c r="Q76" s="84"/>
      <c r="R76" s="84"/>
      <c r="S76" s="75"/>
      <c r="T76" s="75"/>
      <c r="U76" s="75"/>
      <c r="V76" s="75"/>
      <c r="W76" s="75"/>
      <c r="X76" s="85"/>
      <c r="Y76" s="75"/>
      <c r="Z76" s="84"/>
      <c r="AA76" s="85"/>
      <c r="AB76" s="75"/>
      <c r="AC76" s="84"/>
      <c r="AD76" s="85"/>
      <c r="AE76" s="84"/>
      <c r="AF76" s="84"/>
      <c r="AG76" s="85"/>
      <c r="AH76" s="84"/>
      <c r="AI76" s="84"/>
      <c r="AJ76" s="90"/>
      <c r="AK76" s="84"/>
      <c r="AL76" s="84"/>
      <c r="AM76" s="84"/>
      <c r="AN76" s="84"/>
      <c r="AO76" s="84"/>
      <c r="AP76" s="84"/>
      <c r="AQ76" s="84"/>
      <c r="AR76" s="84"/>
      <c r="AS76" s="65"/>
      <c r="AT76" s="65"/>
      <c r="AU76" s="65"/>
      <c r="AV76" s="65"/>
      <c r="AW76" s="65"/>
      <c r="AX76" s="65"/>
      <c r="AY76" s="63"/>
      <c r="AZ76" s="31"/>
      <c r="BA76" s="30"/>
      <c r="BB76" s="175"/>
      <c r="BC76" s="343"/>
      <c r="BD76" s="1078"/>
      <c r="BE76" s="1079"/>
      <c r="BF76" s="1079"/>
    </row>
    <row r="77" spans="1:91" ht="13.5" customHeight="1">
      <c r="A77" s="22"/>
      <c r="B77" s="202">
        <v>29</v>
      </c>
      <c r="C77" s="342"/>
      <c r="D77" s="332"/>
      <c r="E77" s="65"/>
      <c r="F77" s="65"/>
      <c r="G77" s="65"/>
      <c r="H77" s="65"/>
      <c r="I77" s="65"/>
      <c r="J77" s="1008"/>
      <c r="K77" s="1009"/>
      <c r="L77" s="1009"/>
      <c r="M77" s="1009"/>
      <c r="N77"/>
      <c r="O77"/>
      <c r="P77"/>
      <c r="Q77"/>
      <c r="R77"/>
      <c r="S77"/>
      <c r="T77"/>
      <c r="U77"/>
      <c r="V77"/>
      <c r="W77" s="65"/>
      <c r="X77" s="65"/>
      <c r="Y77" s="65"/>
      <c r="Z77" s="65"/>
      <c r="AA77" s="65"/>
      <c r="AB77" s="65"/>
      <c r="AC77" s="65"/>
      <c r="AD77" s="65"/>
      <c r="AE77" s="65"/>
      <c r="AF77" s="65"/>
      <c r="AG77" s="65"/>
      <c r="AH77" s="65"/>
      <c r="AI77" s="65"/>
      <c r="AJ77" s="65"/>
      <c r="AK77" s="65"/>
      <c r="AL77" s="65"/>
      <c r="AM77" s="198"/>
      <c r="AN77" s="198"/>
      <c r="AO77" s="198"/>
      <c r="AP77" s="198"/>
      <c r="AQ77" s="198"/>
      <c r="AR77" s="198"/>
      <c r="AS77" s="254"/>
      <c r="AT77" s="35"/>
      <c r="AU77" s="35"/>
      <c r="AV77" s="254"/>
      <c r="AW77" s="198"/>
      <c r="AX77" s="198"/>
      <c r="AY77" s="198"/>
      <c r="AZ77" s="31"/>
      <c r="BA77" s="30"/>
      <c r="BB77" s="175"/>
      <c r="BC77" s="345"/>
      <c r="BD77" s="28"/>
      <c r="BG77" s="24"/>
      <c r="BH77" s="28"/>
    </row>
    <row r="78" spans="1:91" ht="13.5" customHeight="1">
      <c r="A78" s="22"/>
      <c r="B78" s="202"/>
      <c r="C78" s="342"/>
      <c r="D78" s="332"/>
      <c r="E78" s="65"/>
      <c r="F78" s="65"/>
      <c r="G78" s="65"/>
      <c r="H78" s="65"/>
      <c r="I78" s="65"/>
      <c r="J78" s="333"/>
      <c r="K78" s="334"/>
      <c r="L78" s="334"/>
      <c r="M78" s="334"/>
      <c r="N78"/>
      <c r="O78"/>
      <c r="P78"/>
      <c r="Q78"/>
      <c r="R78"/>
      <c r="S78"/>
      <c r="T78"/>
      <c r="U78"/>
      <c r="V78"/>
      <c r="W78" s="65"/>
      <c r="X78" s="65"/>
      <c r="Y78" s="65"/>
      <c r="Z78" s="65"/>
      <c r="AA78" s="65"/>
      <c r="AB78" s="65"/>
      <c r="AC78" s="65"/>
      <c r="AD78" s="65"/>
      <c r="AE78" s="65"/>
      <c r="AF78" s="65"/>
      <c r="AG78" s="65"/>
      <c r="AH78" s="65"/>
      <c r="AI78" s="65"/>
      <c r="AJ78" s="65"/>
      <c r="AK78" s="65"/>
      <c r="AL78" s="65"/>
      <c r="AM78" s="198"/>
      <c r="AN78" s="198"/>
      <c r="AO78" s="198"/>
      <c r="AP78" s="198"/>
      <c r="AQ78" s="198"/>
      <c r="AR78" s="198"/>
      <c r="AS78" s="254"/>
      <c r="AT78" s="35"/>
      <c r="AU78" s="35"/>
      <c r="AV78" s="254"/>
      <c r="AW78" s="198"/>
      <c r="AX78" s="198"/>
      <c r="AY78" s="198"/>
      <c r="AZ78" s="31"/>
      <c r="BA78" s="30"/>
      <c r="BB78" s="175"/>
      <c r="BC78" s="345"/>
      <c r="BD78" s="28"/>
      <c r="BG78" s="24"/>
      <c r="BH78" s="28"/>
    </row>
    <row r="79" spans="1:91" ht="13.5" customHeight="1">
      <c r="A79" s="22"/>
      <c r="B79" s="202"/>
      <c r="C79" s="342"/>
      <c r="D79" s="332"/>
      <c r="E79" s="65"/>
      <c r="F79" s="65"/>
      <c r="G79" s="65"/>
      <c r="H79" s="65"/>
      <c r="I79" s="65"/>
      <c r="J79" s="333"/>
      <c r="K79" s="334"/>
      <c r="L79" s="334"/>
      <c r="M79" s="334"/>
      <c r="N79"/>
      <c r="O79"/>
      <c r="P79"/>
      <c r="Q79"/>
      <c r="R79"/>
      <c r="S79"/>
      <c r="T79"/>
      <c r="U79"/>
      <c r="V79"/>
      <c r="W79" s="65"/>
      <c r="X79" s="65"/>
      <c r="Y79" s="65"/>
      <c r="Z79" s="65"/>
      <c r="AA79" s="65"/>
      <c r="AB79" s="65"/>
      <c r="AC79" s="65"/>
      <c r="AD79" s="65"/>
      <c r="AE79" s="65"/>
      <c r="AF79" s="65"/>
      <c r="AG79" s="65"/>
      <c r="AH79" s="65"/>
      <c r="AI79" s="65"/>
      <c r="AJ79" s="65"/>
      <c r="AK79" s="65"/>
      <c r="AL79" s="65"/>
      <c r="AM79" s="198"/>
      <c r="AN79" s="198"/>
      <c r="AO79" s="198"/>
      <c r="AP79" s="198"/>
      <c r="AQ79" s="198"/>
      <c r="AR79" s="198"/>
      <c r="AS79" s="254"/>
      <c r="AT79" s="35"/>
      <c r="AU79" s="35"/>
      <c r="AV79" s="254"/>
      <c r="AW79" s="198"/>
      <c r="AX79" s="198"/>
      <c r="AY79" s="198"/>
      <c r="AZ79" s="31"/>
      <c r="BA79" s="30"/>
      <c r="BB79" s="175"/>
      <c r="BC79" s="345"/>
      <c r="BD79" s="28"/>
      <c r="BG79" s="24"/>
      <c r="BH79" s="28"/>
    </row>
    <row r="80" spans="1:91" ht="5.15" customHeight="1">
      <c r="A80" s="22"/>
      <c r="B80" s="202"/>
      <c r="C80" s="315"/>
      <c r="D80" s="73"/>
      <c r="E80" s="73"/>
      <c r="F80" s="73"/>
      <c r="G80" s="73"/>
      <c r="H80" s="316"/>
      <c r="I80" s="275"/>
      <c r="J80" s="273"/>
      <c r="K80" s="275"/>
      <c r="L80" s="273"/>
      <c r="M80" s="317"/>
      <c r="N80" s="317"/>
      <c r="O80" s="270"/>
      <c r="P80" s="317"/>
      <c r="Q80" s="270"/>
      <c r="R80" s="317"/>
      <c r="S80" s="73"/>
      <c r="T80" s="73"/>
      <c r="U80" s="73"/>
      <c r="V80" s="73"/>
      <c r="W80" s="73"/>
      <c r="X80" s="316"/>
      <c r="Y80" s="275"/>
      <c r="Z80" s="273"/>
      <c r="AA80" s="275"/>
      <c r="AB80" s="273"/>
      <c r="AC80" s="317"/>
      <c r="AD80" s="317"/>
      <c r="AE80" s="270"/>
      <c r="AF80" s="317"/>
      <c r="AG80" s="270"/>
      <c r="AH80" s="317"/>
      <c r="AI80" s="276"/>
      <c r="AJ80" s="317"/>
      <c r="AK80" s="270"/>
      <c r="AL80" s="73"/>
      <c r="AM80" s="73"/>
      <c r="AN80" s="73"/>
      <c r="AO80" s="73"/>
      <c r="AP80" s="73"/>
      <c r="AQ80" s="73"/>
      <c r="AR80" s="73"/>
      <c r="AS80" s="73"/>
      <c r="AT80" s="73"/>
      <c r="AU80" s="73"/>
      <c r="AV80" s="318"/>
      <c r="AW80" s="73"/>
      <c r="AX80" s="73"/>
      <c r="AY80" s="269"/>
      <c r="AZ80" s="269"/>
      <c r="BA80" s="319"/>
      <c r="BB80" s="320"/>
      <c r="BC80" s="344"/>
      <c r="BD80" s="28"/>
    </row>
    <row r="81" spans="1:67" ht="13.5" customHeight="1">
      <c r="A81" s="22"/>
      <c r="B81" s="202">
        <v>31</v>
      </c>
      <c r="C81" s="331"/>
      <c r="D81" s="332"/>
      <c r="E81" s="65"/>
      <c r="F81" s="65"/>
      <c r="G81" s="65"/>
      <c r="H81" s="65"/>
      <c r="I81" s="65"/>
      <c r="J81" s="1010"/>
      <c r="K81" s="1010"/>
      <c r="L81" s="1010"/>
      <c r="M81" s="1010"/>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198"/>
      <c r="AN81" s="198"/>
      <c r="AO81" s="198"/>
      <c r="AP81" s="198"/>
      <c r="AQ81" s="198"/>
      <c r="AR81" s="198"/>
      <c r="AS81" s="198"/>
      <c r="AT81" s="198"/>
      <c r="AU81" s="198"/>
      <c r="AV81" s="198"/>
      <c r="AW81" s="198"/>
      <c r="AX81" s="198"/>
      <c r="AY81" s="198"/>
      <c r="AZ81" s="33"/>
      <c r="BA81" s="46"/>
      <c r="BB81" s="78"/>
      <c r="BC81" s="34"/>
      <c r="BD81" s="28"/>
      <c r="BK81" s="1077"/>
      <c r="BL81" s="1077"/>
      <c r="BM81" s="1077"/>
      <c r="BN81" s="1077"/>
      <c r="BO81" s="1077"/>
    </row>
    <row r="82" spans="1:67" ht="14.15" customHeight="1">
      <c r="A82" s="22"/>
      <c r="B82" s="129"/>
      <c r="C82" s="346" t="s">
        <v>131</v>
      </c>
      <c r="D82" s="28"/>
      <c r="E82" s="28"/>
      <c r="F82" s="28"/>
      <c r="G82" s="28"/>
      <c r="S82" s="35"/>
      <c r="T82" s="35"/>
      <c r="U82" s="35"/>
      <c r="V82" s="35"/>
      <c r="Y82" s="35"/>
      <c r="Z82" s="35"/>
      <c r="AD82" s="35"/>
      <c r="AE82" s="35"/>
      <c r="AF82" s="35"/>
      <c r="AG82" s="35"/>
      <c r="AH82" s="35"/>
      <c r="AI82" s="35"/>
      <c r="AJ82" s="28"/>
      <c r="AK82" s="28"/>
      <c r="AL82" s="28"/>
      <c r="AM82" s="130"/>
      <c r="AN82" s="130"/>
      <c r="AO82" s="35"/>
      <c r="AP82" s="35"/>
      <c r="AQ82" s="35"/>
      <c r="AR82" s="35"/>
      <c r="AS82" s="35"/>
      <c r="AT82" s="35"/>
      <c r="AU82" s="35"/>
      <c r="AV82" s="35"/>
      <c r="AW82" s="35"/>
      <c r="AX82" s="65"/>
      <c r="AY82" s="65"/>
      <c r="AZ82" s="33"/>
      <c r="BA82" s="46"/>
      <c r="BB82" s="78"/>
      <c r="BC82" s="34"/>
      <c r="BD82" s="28"/>
      <c r="BE82" s="1089"/>
      <c r="BF82" s="1089"/>
      <c r="BG82" s="1089"/>
      <c r="BH82" s="1089"/>
    </row>
    <row r="83" spans="1:67" ht="5.15" customHeight="1">
      <c r="A83" s="22"/>
      <c r="B83" s="202"/>
      <c r="C83" s="296"/>
      <c r="D83" s="72"/>
      <c r="E83" s="72"/>
      <c r="F83" s="72"/>
      <c r="G83" s="72"/>
      <c r="H83" s="297"/>
      <c r="I83" s="278"/>
      <c r="J83" s="279"/>
      <c r="K83" s="278"/>
      <c r="L83" s="279"/>
      <c r="M83" s="298"/>
      <c r="N83" s="298"/>
      <c r="O83" s="263"/>
      <c r="P83" s="298"/>
      <c r="Q83" s="263"/>
      <c r="R83" s="298"/>
      <c r="S83" s="72"/>
      <c r="T83" s="72"/>
      <c r="U83" s="72"/>
      <c r="V83" s="72"/>
      <c r="W83" s="72"/>
      <c r="X83" s="297"/>
      <c r="Y83" s="278"/>
      <c r="Z83" s="279"/>
      <c r="AA83" s="278"/>
      <c r="AB83" s="279"/>
      <c r="AC83" s="298"/>
      <c r="AD83" s="298"/>
      <c r="AE83" s="263"/>
      <c r="AF83" s="298"/>
      <c r="AG83" s="263"/>
      <c r="AH83" s="298"/>
      <c r="AI83" s="280"/>
      <c r="AJ83" s="298"/>
      <c r="AK83" s="263"/>
      <c r="AL83" s="72"/>
      <c r="AM83" s="72"/>
      <c r="AN83" s="72"/>
      <c r="AO83" s="72"/>
      <c r="AP83" s="72"/>
      <c r="AQ83" s="72"/>
      <c r="AR83" s="72"/>
      <c r="AS83" s="72"/>
      <c r="AT83" s="72"/>
      <c r="AU83" s="72"/>
      <c r="AV83" s="300"/>
      <c r="AW83" s="72"/>
      <c r="AX83" s="72"/>
      <c r="AY83" s="265"/>
      <c r="AZ83" s="33"/>
      <c r="BA83" s="46"/>
      <c r="BB83" s="78"/>
      <c r="BC83" s="34"/>
      <c r="BD83" s="28"/>
    </row>
    <row r="84" spans="1:67" ht="14.15" customHeight="1">
      <c r="A84" s="23"/>
      <c r="B84" s="351"/>
      <c r="C84" s="282"/>
      <c r="D84" s="28"/>
      <c r="E84" s="28"/>
      <c r="F84" s="28"/>
      <c r="G84" s="28"/>
      <c r="H84" s="28"/>
      <c r="I84" s="28"/>
      <c r="J84" s="28"/>
      <c r="K84" s="28"/>
      <c r="L84" s="28"/>
      <c r="M84" s="28"/>
      <c r="N84" s="28"/>
      <c r="O84" s="28"/>
      <c r="P84" s="28"/>
      <c r="Q84" s="25"/>
      <c r="S84" s="35"/>
      <c r="T84" s="28"/>
      <c r="U84" s="28"/>
      <c r="V84" s="28"/>
      <c r="W84" s="28"/>
      <c r="X84" s="28"/>
      <c r="Y84" s="28"/>
      <c r="Z84" s="28"/>
      <c r="AC84" s="28"/>
      <c r="AD84" s="28"/>
      <c r="AE84" s="35"/>
      <c r="AF84" s="35"/>
      <c r="AG84" s="35"/>
      <c r="AH84" s="35"/>
      <c r="AI84" s="35"/>
      <c r="AJ84" s="28"/>
      <c r="AK84" s="28"/>
      <c r="AL84" s="28"/>
      <c r="AM84" s="35"/>
      <c r="AN84" s="35"/>
      <c r="AO84" s="135"/>
      <c r="AP84" s="136"/>
      <c r="AQ84" s="130"/>
      <c r="AR84" s="130"/>
      <c r="AS84" s="130"/>
      <c r="AT84" s="130"/>
      <c r="AU84" s="81"/>
      <c r="AV84" s="35"/>
      <c r="AW84" s="35"/>
      <c r="AX84" s="65"/>
      <c r="AY84" s="347"/>
      <c r="AZ84" s="33"/>
      <c r="BA84" s="46"/>
      <c r="BB84" s="78"/>
      <c r="BC84" s="34"/>
      <c r="BD84" s="28"/>
      <c r="BG84" s="35"/>
    </row>
    <row r="85" spans="1:67" ht="14.15" customHeight="1">
      <c r="A85" s="23"/>
      <c r="B85" s="351"/>
      <c r="C85" s="352"/>
      <c r="D85" s="348" t="s">
        <v>38</v>
      </c>
      <c r="E85" s="131"/>
      <c r="F85" s="131"/>
      <c r="G85" s="131"/>
      <c r="H85" s="132"/>
      <c r="I85" s="132"/>
      <c r="J85" s="106"/>
      <c r="K85" s="133"/>
      <c r="L85" s="134"/>
      <c r="M85" s="144"/>
      <c r="N85" s="144"/>
      <c r="O85" s="131"/>
      <c r="P85" s="134"/>
      <c r="Q85" s="107"/>
      <c r="R85" s="133" t="s">
        <v>40</v>
      </c>
      <c r="S85" s="134"/>
      <c r="T85" s="107"/>
      <c r="U85" s="107"/>
      <c r="V85" s="133" t="s">
        <v>44</v>
      </c>
      <c r="W85" s="134"/>
      <c r="X85" s="107"/>
      <c r="Y85" s="35"/>
      <c r="Z85" s="35"/>
      <c r="AC85" s="28"/>
      <c r="AD85" s="28"/>
      <c r="AE85" s="28"/>
      <c r="AF85" s="35"/>
      <c r="AG85" s="35"/>
      <c r="AH85" s="28"/>
      <c r="AI85" s="28"/>
      <c r="AJ85" s="28"/>
      <c r="AK85" s="81"/>
      <c r="AL85" s="28"/>
      <c r="AM85" s="28"/>
      <c r="AN85" s="28"/>
      <c r="AO85" s="28"/>
      <c r="AP85" s="28"/>
      <c r="AQ85" s="65"/>
      <c r="AR85" s="65"/>
      <c r="AS85" s="65"/>
      <c r="AT85" s="125"/>
      <c r="AU85" s="65"/>
      <c r="AV85" s="65"/>
      <c r="AW85" s="65"/>
      <c r="AX85" s="65"/>
      <c r="AY85" s="347"/>
      <c r="AZ85" s="33"/>
      <c r="BA85" s="46"/>
      <c r="BB85" s="78"/>
      <c r="BC85" s="34"/>
      <c r="BD85" s="28"/>
      <c r="BE85" s="35"/>
      <c r="BF85" s="35"/>
      <c r="BG85" s="35"/>
    </row>
    <row r="86" spans="1:67" ht="13.5" customHeight="1">
      <c r="A86" s="22"/>
      <c r="B86" s="353"/>
      <c r="C86" s="352"/>
      <c r="D86" s="349" t="s">
        <v>45</v>
      </c>
      <c r="E86" s="137"/>
      <c r="F86" s="137"/>
      <c r="G86" s="137"/>
      <c r="H86" s="137"/>
      <c r="I86" s="137"/>
      <c r="J86" s="137"/>
      <c r="K86" s="350"/>
      <c r="L86" s="139"/>
      <c r="M86" s="108"/>
      <c r="N86" s="108"/>
      <c r="O86" s="145"/>
      <c r="P86" s="139"/>
      <c r="Q86" s="109"/>
      <c r="R86" s="138" t="s">
        <v>41</v>
      </c>
      <c r="S86" s="139"/>
      <c r="T86" s="108"/>
      <c r="U86" s="109"/>
      <c r="V86" s="140"/>
      <c r="W86" s="141"/>
      <c r="X86" s="142"/>
      <c r="Y86" s="116"/>
      <c r="Z86" s="41"/>
      <c r="AA86" s="116"/>
      <c r="AB86" s="116"/>
      <c r="AC86" s="116"/>
      <c r="AD86" s="116"/>
      <c r="AE86" s="116"/>
      <c r="AF86" s="116"/>
      <c r="AG86" s="116"/>
      <c r="AH86" s="116"/>
      <c r="AI86" s="116"/>
      <c r="AJ86" s="116"/>
      <c r="AK86" s="116"/>
      <c r="AL86" s="116"/>
      <c r="AM86" s="116"/>
      <c r="AN86" s="116"/>
      <c r="AO86" s="116"/>
      <c r="AP86" s="116"/>
      <c r="AQ86" s="65"/>
      <c r="AR86" s="65"/>
      <c r="AS86" s="65"/>
      <c r="AT86" s="125"/>
      <c r="AU86" s="65"/>
      <c r="AV86" s="65"/>
      <c r="AW86" s="65"/>
      <c r="AX86" s="65"/>
      <c r="AY86" s="347"/>
      <c r="AZ86" s="33"/>
      <c r="BA86" s="46"/>
      <c r="BB86" s="78"/>
      <c r="BC86" s="34"/>
      <c r="BD86" s="28"/>
      <c r="BE86" s="35"/>
      <c r="BF86" s="35"/>
      <c r="BG86" s="35"/>
    </row>
    <row r="87" spans="1:67" ht="5.15" customHeight="1">
      <c r="A87" s="22"/>
      <c r="B87" s="202"/>
      <c r="C87" s="315"/>
      <c r="D87" s="73"/>
      <c r="E87" s="73"/>
      <c r="F87" s="73"/>
      <c r="G87" s="73"/>
      <c r="H87" s="316"/>
      <c r="I87" s="275"/>
      <c r="J87" s="273"/>
      <c r="K87" s="275"/>
      <c r="L87" s="273"/>
      <c r="M87" s="317"/>
      <c r="N87" s="317"/>
      <c r="O87" s="270"/>
      <c r="P87" s="317"/>
      <c r="Q87" s="270"/>
      <c r="R87" s="317"/>
      <c r="S87" s="73"/>
      <c r="T87" s="73"/>
      <c r="U87" s="73"/>
      <c r="V87" s="73"/>
      <c r="W87" s="73"/>
      <c r="X87" s="316"/>
      <c r="Y87" s="275"/>
      <c r="Z87" s="273"/>
      <c r="AA87" s="275"/>
      <c r="AB87" s="273"/>
      <c r="AC87" s="317"/>
      <c r="AD87" s="317"/>
      <c r="AE87" s="270"/>
      <c r="AF87" s="317"/>
      <c r="AG87" s="270"/>
      <c r="AH87" s="317"/>
      <c r="AI87" s="276"/>
      <c r="AJ87" s="317"/>
      <c r="AK87" s="270"/>
      <c r="AL87" s="73"/>
      <c r="AM87" s="73"/>
      <c r="AN87" s="73"/>
      <c r="AO87" s="73"/>
      <c r="AP87" s="73"/>
      <c r="AQ87" s="73"/>
      <c r="AR87" s="73"/>
      <c r="AS87" s="73"/>
      <c r="AT87" s="73"/>
      <c r="AU87" s="73"/>
      <c r="AV87" s="318"/>
      <c r="AW87" s="73"/>
      <c r="AX87" s="73"/>
      <c r="AY87" s="277"/>
      <c r="AZ87" s="33"/>
      <c r="BA87" s="46"/>
      <c r="BB87" s="78"/>
      <c r="BC87" s="34"/>
      <c r="BD87" s="28"/>
    </row>
    <row r="88" spans="1:67" ht="14.15" customHeight="1">
      <c r="A88" s="22"/>
      <c r="B88" s="202">
        <v>35</v>
      </c>
      <c r="C88" s="331"/>
      <c r="D88" s="332"/>
      <c r="E88" s="65"/>
      <c r="F88" s="65"/>
      <c r="G88" s="65"/>
      <c r="H88" s="65"/>
      <c r="I88" s="65"/>
      <c r="J88" s="989"/>
      <c r="K88" s="989"/>
      <c r="L88" s="989"/>
      <c r="M88" s="989"/>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125"/>
      <c r="AU88" s="65"/>
      <c r="AV88" s="65"/>
      <c r="AW88" s="65"/>
      <c r="AX88" s="65"/>
      <c r="AY88" s="65"/>
      <c r="AZ88" s="33"/>
      <c r="BA88" s="46"/>
      <c r="BB88" s="335"/>
      <c r="BC88" s="336"/>
      <c r="BD88" s="28"/>
      <c r="BG88" s="24"/>
      <c r="BH88" s="28"/>
    </row>
    <row r="89" spans="1:67" ht="14.15" customHeight="1">
      <c r="A89" s="22"/>
      <c r="B89" s="202">
        <v>35</v>
      </c>
      <c r="C89" s="346" t="s">
        <v>247</v>
      </c>
      <c r="D89" s="332"/>
      <c r="E89" s="65"/>
      <c r="F89" s="65"/>
      <c r="G89" s="65"/>
      <c r="H89" s="65"/>
      <c r="I89" s="65"/>
      <c r="J89" s="989"/>
      <c r="K89" s="989"/>
      <c r="L89" s="989"/>
      <c r="M89" s="989"/>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125"/>
      <c r="AU89" s="65"/>
      <c r="AV89" s="65"/>
      <c r="AW89" s="65"/>
      <c r="AX89" s="65"/>
      <c r="AY89" s="65"/>
      <c r="AZ89" s="33"/>
      <c r="BA89" s="46"/>
      <c r="BB89" s="335"/>
      <c r="BC89" s="336"/>
      <c r="BD89" s="28"/>
      <c r="BG89" s="24"/>
      <c r="BH89" s="28"/>
    </row>
    <row r="90" spans="1:67" ht="14.15" customHeight="1">
      <c r="A90" s="22"/>
      <c r="B90" s="202">
        <v>35</v>
      </c>
      <c r="C90" s="331"/>
      <c r="D90" s="478" t="s">
        <v>248</v>
      </c>
      <c r="E90" s="65"/>
      <c r="F90" s="65"/>
      <c r="G90" s="65"/>
      <c r="H90" s="65"/>
      <c r="I90" s="65"/>
      <c r="J90" s="477"/>
      <c r="K90" s="477"/>
      <c r="L90" s="477"/>
      <c r="M90" s="477"/>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125"/>
      <c r="AU90" s="65"/>
      <c r="AV90" s="65"/>
      <c r="AW90" s="65"/>
      <c r="AX90" s="65"/>
      <c r="AY90" s="65"/>
      <c r="AZ90" s="33"/>
      <c r="BA90" s="46"/>
      <c r="BB90" s="335"/>
      <c r="BC90" s="336"/>
      <c r="BD90" s="28"/>
      <c r="BG90" s="24"/>
      <c r="BH90" s="28"/>
    </row>
    <row r="91" spans="1:67" ht="14.15" customHeight="1">
      <c r="A91" s="22"/>
      <c r="B91" s="202">
        <v>35</v>
      </c>
      <c r="C91" s="331"/>
      <c r="D91" s="332"/>
      <c r="E91" s="65"/>
      <c r="F91" s="65"/>
      <c r="G91" s="65"/>
      <c r="H91" s="65"/>
      <c r="I91" s="65"/>
      <c r="J91" s="1011"/>
      <c r="K91" s="1011"/>
      <c r="L91" s="1011"/>
      <c r="M91" s="1011"/>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125"/>
      <c r="AU91" s="65"/>
      <c r="AV91" s="65"/>
      <c r="AW91" s="65"/>
      <c r="AX91" s="65"/>
      <c r="AY91" s="65"/>
      <c r="AZ91" s="33"/>
      <c r="BA91" s="46"/>
      <c r="BB91" s="335"/>
      <c r="BC91" s="336"/>
      <c r="BD91" s="28"/>
      <c r="BG91" s="24"/>
      <c r="BH91" s="28"/>
    </row>
    <row r="92" spans="1:67" ht="5.15" customHeight="1">
      <c r="A92" s="22"/>
      <c r="B92" s="202"/>
      <c r="C92" s="29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5"/>
      <c r="AZ92" s="33"/>
      <c r="BA92" s="46"/>
      <c r="BB92" s="78"/>
      <c r="BC92" s="34"/>
      <c r="BD92" s="28"/>
    </row>
    <row r="93" spans="1:67" ht="14.15" customHeight="1">
      <c r="A93" s="23"/>
      <c r="B93" s="351"/>
      <c r="C93" s="282"/>
      <c r="D93" s="28" t="s">
        <v>240</v>
      </c>
      <c r="E93" s="28"/>
      <c r="F93" s="28"/>
      <c r="G93" s="28"/>
      <c r="H93" s="468" t="s">
        <v>245</v>
      </c>
      <c r="I93" s="257"/>
      <c r="J93" s="258"/>
      <c r="K93" s="258"/>
      <c r="L93" s="258"/>
      <c r="M93" s="259"/>
      <c r="N93" s="258"/>
      <c r="O93" s="110"/>
      <c r="P93" s="261" t="s">
        <v>33</v>
      </c>
      <c r="Q93" s="25"/>
      <c r="R93" s="469" t="s">
        <v>246</v>
      </c>
      <c r="S93" s="470"/>
      <c r="T93" s="471"/>
      <c r="U93" s="471"/>
      <c r="V93" s="483"/>
      <c r="W93" s="472"/>
      <c r="X93" s="471"/>
      <c r="Y93" s="473"/>
      <c r="Z93" s="474"/>
      <c r="AB93" s="469" t="s">
        <v>289</v>
      </c>
      <c r="AC93" s="470"/>
      <c r="AD93" s="471"/>
      <c r="AE93" s="471"/>
      <c r="AF93" s="471"/>
      <c r="AG93" s="472"/>
      <c r="AH93" s="471"/>
      <c r="AI93" s="473"/>
      <c r="AJ93" s="472"/>
      <c r="AK93" s="479"/>
      <c r="AL93" s="479"/>
      <c r="AM93" s="473"/>
      <c r="AN93" s="473"/>
      <c r="AO93" s="471"/>
      <c r="AP93" s="480"/>
      <c r="AQ93" s="471"/>
      <c r="AR93" s="471"/>
      <c r="AS93" s="471"/>
      <c r="AT93" s="471"/>
      <c r="AU93" s="481"/>
      <c r="AV93" s="473"/>
      <c r="AW93" s="473"/>
      <c r="AX93" s="482"/>
      <c r="AY93" s="347"/>
      <c r="AZ93" s="33"/>
      <c r="BA93" s="46"/>
      <c r="BB93" s="78"/>
      <c r="BC93" s="34"/>
      <c r="BD93" s="28"/>
      <c r="BG93" s="35"/>
    </row>
    <row r="94" spans="1:67" ht="14.15" customHeight="1">
      <c r="A94" s="23"/>
      <c r="B94" s="351"/>
      <c r="C94" s="282"/>
      <c r="D94" s="28"/>
      <c r="E94" s="28"/>
      <c r="F94" s="28"/>
      <c r="G94" s="28"/>
      <c r="H94" s="469" t="s">
        <v>54</v>
      </c>
      <c r="I94" s="470"/>
      <c r="J94" s="471"/>
      <c r="K94" s="471"/>
      <c r="L94" s="471"/>
      <c r="M94" s="472"/>
      <c r="N94" s="471"/>
      <c r="O94" s="473"/>
      <c r="P94" s="472"/>
      <c r="Q94" s="479"/>
      <c r="R94" s="479"/>
      <c r="S94" s="473"/>
      <c r="T94" s="473"/>
      <c r="U94" s="471"/>
      <c r="V94" s="480"/>
      <c r="W94" s="471"/>
      <c r="X94" s="471"/>
      <c r="Y94" s="471"/>
      <c r="Z94" s="471"/>
      <c r="AA94" s="481"/>
      <c r="AB94" s="473"/>
      <c r="AC94" s="473"/>
      <c r="AD94" s="479"/>
      <c r="AE94" s="471"/>
      <c r="AF94" s="471"/>
      <c r="AG94" s="472"/>
      <c r="AH94" s="471"/>
      <c r="AI94" s="473"/>
      <c r="AJ94" s="472"/>
      <c r="AK94" s="479"/>
      <c r="AL94" s="479"/>
      <c r="AM94" s="473"/>
      <c r="AN94" s="473"/>
      <c r="AO94" s="471"/>
      <c r="AP94" s="480"/>
      <c r="AQ94" s="471"/>
      <c r="AR94" s="471"/>
      <c r="AS94" s="471"/>
      <c r="AT94" s="471"/>
      <c r="AU94" s="481"/>
      <c r="AV94" s="473"/>
      <c r="AW94" s="473"/>
      <c r="AX94" s="482"/>
      <c r="AY94" s="347"/>
      <c r="AZ94" s="33"/>
      <c r="BA94" s="46"/>
      <c r="BB94" s="78"/>
      <c r="BC94" s="34"/>
      <c r="BD94" s="28"/>
      <c r="BG94" s="35"/>
    </row>
    <row r="95" spans="1:67" ht="5.15" customHeight="1">
      <c r="A95" s="22"/>
      <c r="B95" s="202"/>
      <c r="C95" s="315"/>
      <c r="D95" s="73"/>
      <c r="E95" s="73"/>
      <c r="F95" s="73"/>
      <c r="G95" s="73"/>
      <c r="H95" s="316"/>
      <c r="I95" s="275"/>
      <c r="J95" s="273"/>
      <c r="K95" s="275"/>
      <c r="L95" s="273"/>
      <c r="M95" s="317"/>
      <c r="N95" s="317"/>
      <c r="O95" s="270"/>
      <c r="P95" s="317"/>
      <c r="Q95" s="270"/>
      <c r="R95" s="317"/>
      <c r="S95" s="73"/>
      <c r="T95" s="73"/>
      <c r="U95" s="73"/>
      <c r="V95" s="73"/>
      <c r="W95" s="73"/>
      <c r="X95" s="316"/>
      <c r="Y95" s="275"/>
      <c r="Z95" s="273"/>
      <c r="AA95" s="275"/>
      <c r="AB95" s="273"/>
      <c r="AC95" s="317"/>
      <c r="AD95" s="317"/>
      <c r="AE95" s="270"/>
      <c r="AF95" s="317"/>
      <c r="AG95" s="270"/>
      <c r="AH95" s="317"/>
      <c r="AI95" s="276"/>
      <c r="AJ95" s="317"/>
      <c r="AK95" s="270"/>
      <c r="AL95" s="73"/>
      <c r="AM95" s="73"/>
      <c r="AN95" s="73"/>
      <c r="AO95" s="73"/>
      <c r="AP95" s="73"/>
      <c r="AQ95" s="73"/>
      <c r="AR95" s="73"/>
      <c r="AS95" s="73"/>
      <c r="AT95" s="73"/>
      <c r="AU95" s="73"/>
      <c r="AV95" s="318"/>
      <c r="AW95" s="73"/>
      <c r="AX95" s="73"/>
      <c r="AY95" s="277"/>
      <c r="AZ95" s="33"/>
      <c r="BA95" s="46"/>
      <c r="BB95" s="78"/>
      <c r="BC95" s="34"/>
      <c r="BD95" s="28"/>
    </row>
    <row r="96" spans="1:67" ht="5.15" customHeight="1">
      <c r="A96" s="22"/>
      <c r="B96" s="202"/>
      <c r="C96" s="476"/>
      <c r="D96" s="72"/>
      <c r="E96" s="72"/>
      <c r="F96" s="72"/>
      <c r="G96" s="72"/>
      <c r="H96" s="297"/>
      <c r="I96" s="278"/>
      <c r="J96" s="279"/>
      <c r="K96" s="278"/>
      <c r="L96" s="279"/>
      <c r="M96" s="298"/>
      <c r="N96" s="298"/>
      <c r="O96" s="263"/>
      <c r="P96" s="298"/>
      <c r="Q96" s="263"/>
      <c r="R96" s="298"/>
      <c r="S96" s="72"/>
      <c r="T96" s="72"/>
      <c r="U96" s="72"/>
      <c r="V96" s="72"/>
      <c r="W96" s="72"/>
      <c r="X96" s="297"/>
      <c r="Y96" s="278"/>
      <c r="Z96" s="279"/>
      <c r="AA96" s="278"/>
      <c r="AB96" s="279"/>
      <c r="AC96" s="298"/>
      <c r="AD96" s="298"/>
      <c r="AE96" s="263"/>
      <c r="AF96" s="298"/>
      <c r="AG96" s="263"/>
      <c r="AH96" s="298"/>
      <c r="AI96" s="280"/>
      <c r="AJ96" s="298"/>
      <c r="AK96" s="263"/>
      <c r="AL96" s="72"/>
      <c r="AM96" s="72"/>
      <c r="AN96" s="72"/>
      <c r="AO96" s="72"/>
      <c r="AP96" s="72"/>
      <c r="AQ96" s="72"/>
      <c r="AR96" s="72"/>
      <c r="AS96" s="72"/>
      <c r="AT96" s="72"/>
      <c r="AU96" s="72"/>
      <c r="AV96" s="300"/>
      <c r="AW96" s="72"/>
      <c r="AX96" s="72"/>
      <c r="AY96" s="264"/>
      <c r="AZ96" s="33"/>
      <c r="BA96" s="46"/>
      <c r="BB96" s="78"/>
      <c r="BC96" s="34"/>
      <c r="BD96" s="28"/>
    </row>
    <row r="97" spans="1:60" ht="14.15" customHeight="1">
      <c r="A97" s="22"/>
      <c r="B97" s="202">
        <v>35</v>
      </c>
      <c r="C97" s="62" t="s">
        <v>243</v>
      </c>
      <c r="D97" s="332"/>
      <c r="E97" s="65"/>
      <c r="F97" s="65"/>
      <c r="G97" s="65"/>
      <c r="H97" s="65"/>
      <c r="I97" s="65"/>
      <c r="J97" s="989"/>
      <c r="K97" s="989"/>
      <c r="L97" s="989"/>
      <c r="M97" s="989"/>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125"/>
      <c r="AU97" s="65"/>
      <c r="AV97" s="65"/>
      <c r="AW97" s="65"/>
      <c r="AX97" s="65"/>
      <c r="AY97" s="65"/>
      <c r="AZ97" s="33"/>
      <c r="BA97" s="46"/>
      <c r="BB97" s="335"/>
      <c r="BC97" s="336"/>
      <c r="BD97" s="28"/>
      <c r="BG97" s="24"/>
      <c r="BH97" s="28"/>
    </row>
    <row r="98" spans="1:60" ht="5.15" customHeight="1">
      <c r="A98" s="22"/>
      <c r="B98" s="202"/>
      <c r="C98" s="29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5"/>
      <c r="AZ98" s="33"/>
      <c r="BA98" s="46"/>
      <c r="BB98" s="78"/>
      <c r="BC98" s="34"/>
      <c r="BD98" s="28"/>
    </row>
    <row r="99" spans="1:60" ht="14.15" customHeight="1">
      <c r="A99" s="23"/>
      <c r="B99" s="351"/>
      <c r="C99" s="282"/>
      <c r="D99" s="28" t="s">
        <v>240</v>
      </c>
      <c r="E99" s="28"/>
      <c r="F99" s="28"/>
      <c r="G99" s="28"/>
      <c r="H99" s="468" t="s">
        <v>241</v>
      </c>
      <c r="I99" s="257"/>
      <c r="J99" s="258"/>
      <c r="K99" s="258"/>
      <c r="L99" s="258"/>
      <c r="M99" s="259"/>
      <c r="N99" s="258"/>
      <c r="O99" s="110"/>
      <c r="P99" s="261" t="s">
        <v>33</v>
      </c>
      <c r="Q99" s="25"/>
      <c r="R99" s="469" t="s">
        <v>242</v>
      </c>
      <c r="S99" s="470"/>
      <c r="T99" s="471"/>
      <c r="U99" s="471"/>
      <c r="V99" s="483"/>
      <c r="W99" s="484" t="s">
        <v>254</v>
      </c>
      <c r="X99" s="471"/>
      <c r="Y99" s="473"/>
      <c r="Z99" s="474"/>
      <c r="AB99" s="529" t="s">
        <v>290</v>
      </c>
      <c r="AC99" s="530"/>
      <c r="AD99" s="531"/>
      <c r="AE99" s="531"/>
      <c r="AF99" s="531"/>
      <c r="AG99" s="532"/>
      <c r="AH99" s="531"/>
      <c r="AI99" s="533"/>
      <c r="AJ99" s="532"/>
      <c r="AK99" s="61"/>
      <c r="AL99" s="61"/>
      <c r="AM99" s="533"/>
      <c r="AN99" s="533"/>
      <c r="AO99" s="531"/>
      <c r="AP99" s="534"/>
      <c r="AQ99" s="531"/>
      <c r="AR99" s="531"/>
      <c r="AS99" s="531"/>
      <c r="AT99" s="531"/>
      <c r="AU99" s="535"/>
      <c r="AV99" s="533"/>
      <c r="AW99" s="533"/>
      <c r="AX99" s="70"/>
      <c r="AY99" s="347"/>
      <c r="AZ99" s="33"/>
      <c r="BA99" s="46"/>
      <c r="BB99" s="78"/>
      <c r="BC99" s="34"/>
      <c r="BD99" s="28"/>
      <c r="BG99" s="35"/>
    </row>
    <row r="100" spans="1:60" ht="14.15" customHeight="1">
      <c r="A100" s="23"/>
      <c r="B100" s="351"/>
      <c r="C100" s="282"/>
      <c r="D100" s="28"/>
      <c r="E100" s="28"/>
      <c r="F100" s="28"/>
      <c r="G100" s="28"/>
      <c r="H100" s="469" t="s">
        <v>253</v>
      </c>
      <c r="I100" s="470"/>
      <c r="J100" s="471"/>
      <c r="K100" s="471"/>
      <c r="L100" s="471"/>
      <c r="M100" s="472"/>
      <c r="N100" s="471"/>
      <c r="O100" s="473"/>
      <c r="P100" s="472"/>
      <c r="Q100" s="479"/>
      <c r="R100" s="479"/>
      <c r="S100" s="473"/>
      <c r="T100" s="473"/>
      <c r="U100" s="471"/>
      <c r="V100" s="480"/>
      <c r="W100" s="471"/>
      <c r="X100" s="471"/>
      <c r="Y100" s="471"/>
      <c r="Z100" s="471"/>
      <c r="AA100" s="481"/>
      <c r="AB100" s="473"/>
      <c r="AC100" s="473"/>
      <c r="AD100" s="479"/>
      <c r="AE100" s="471"/>
      <c r="AF100" s="471"/>
      <c r="AG100" s="472"/>
      <c r="AH100" s="471"/>
      <c r="AI100" s="473"/>
      <c r="AJ100" s="472"/>
      <c r="AK100" s="479"/>
      <c r="AL100" s="479"/>
      <c r="AM100" s="473"/>
      <c r="AN100" s="473"/>
      <c r="AO100" s="471"/>
      <c r="AP100" s="480"/>
      <c r="AQ100" s="471"/>
      <c r="AR100" s="471"/>
      <c r="AS100" s="471"/>
      <c r="AT100" s="471"/>
      <c r="AU100" s="481"/>
      <c r="AV100" s="473"/>
      <c r="AW100" s="473"/>
      <c r="AX100" s="482"/>
      <c r="AY100" s="347"/>
      <c r="AZ100" s="33"/>
      <c r="BA100" s="46"/>
      <c r="BB100" s="78"/>
      <c r="BC100" s="34"/>
      <c r="BD100" s="28"/>
      <c r="BG100" s="35"/>
    </row>
    <row r="101" spans="1:60" ht="5.15" customHeight="1">
      <c r="A101" s="22"/>
      <c r="B101" s="202"/>
      <c r="C101" s="315"/>
      <c r="D101" s="73"/>
      <c r="E101" s="73"/>
      <c r="F101" s="73"/>
      <c r="G101" s="73"/>
      <c r="H101" s="316"/>
      <c r="I101" s="275"/>
      <c r="J101" s="273"/>
      <c r="K101" s="275"/>
      <c r="L101" s="273"/>
      <c r="M101" s="317"/>
      <c r="N101" s="317"/>
      <c r="O101" s="270"/>
      <c r="P101" s="317"/>
      <c r="Q101" s="270"/>
      <c r="R101" s="317"/>
      <c r="S101" s="73"/>
      <c r="T101" s="73"/>
      <c r="U101" s="73"/>
      <c r="V101" s="73"/>
      <c r="W101" s="73"/>
      <c r="X101" s="316"/>
      <c r="Y101" s="275"/>
      <c r="Z101" s="273"/>
      <c r="AA101" s="275"/>
      <c r="AB101" s="273"/>
      <c r="AC101" s="317"/>
      <c r="AD101" s="317"/>
      <c r="AE101" s="270"/>
      <c r="AF101" s="317"/>
      <c r="AG101" s="270"/>
      <c r="AH101" s="317"/>
      <c r="AI101" s="276"/>
      <c r="AJ101" s="317"/>
      <c r="AK101" s="270"/>
      <c r="AL101" s="73"/>
      <c r="AM101" s="73"/>
      <c r="AN101" s="73"/>
      <c r="AO101" s="73"/>
      <c r="AP101" s="73"/>
      <c r="AQ101" s="73"/>
      <c r="AR101" s="73"/>
      <c r="AS101" s="73"/>
      <c r="AT101" s="73"/>
      <c r="AU101" s="73"/>
      <c r="AV101" s="318"/>
      <c r="AW101" s="73"/>
      <c r="AX101" s="73"/>
      <c r="AY101" s="277"/>
      <c r="AZ101" s="33"/>
      <c r="BA101" s="46"/>
      <c r="BB101" s="78"/>
      <c r="BC101" s="34"/>
      <c r="BD101" s="28"/>
    </row>
    <row r="102" spans="1:60" ht="5.15" customHeight="1">
      <c r="A102" s="22"/>
      <c r="B102" s="202"/>
      <c r="C102" s="47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4"/>
      <c r="AZ102" s="33"/>
      <c r="BA102" s="46"/>
      <c r="BB102" s="78"/>
      <c r="BC102" s="34"/>
      <c r="BD102" s="28"/>
    </row>
    <row r="103" spans="1:60" ht="14.15" customHeight="1">
      <c r="A103" s="22"/>
      <c r="B103" s="202">
        <v>35</v>
      </c>
      <c r="C103" s="62" t="s">
        <v>243</v>
      </c>
      <c r="D103" s="332"/>
      <c r="E103" s="65"/>
      <c r="F103" s="65"/>
      <c r="G103" s="65"/>
      <c r="H103" s="65"/>
      <c r="I103" s="65"/>
      <c r="J103" s="477"/>
      <c r="K103" s="477"/>
      <c r="L103" s="477"/>
      <c r="M103" s="477"/>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125"/>
      <c r="AU103" s="65"/>
      <c r="AV103" s="65"/>
      <c r="AW103" s="65"/>
      <c r="AX103" s="65"/>
      <c r="AY103" s="65"/>
      <c r="AZ103" s="33"/>
      <c r="BA103" s="46"/>
      <c r="BB103" s="335"/>
      <c r="BC103" s="336"/>
      <c r="BD103" s="28"/>
      <c r="BG103" s="24"/>
      <c r="BH103" s="28"/>
    </row>
    <row r="104" spans="1:60" ht="14.15" customHeight="1">
      <c r="A104" s="22"/>
      <c r="B104" s="202">
        <v>35</v>
      </c>
      <c r="C104" s="331"/>
      <c r="D104" s="332"/>
      <c r="E104" s="65"/>
      <c r="F104" s="65"/>
      <c r="G104" s="65"/>
      <c r="H104" s="65"/>
      <c r="I104" s="65"/>
      <c r="J104" s="477"/>
      <c r="K104" s="477"/>
      <c r="L104" s="477"/>
      <c r="M104" s="477"/>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125"/>
      <c r="AU104" s="65"/>
      <c r="AV104" s="65"/>
      <c r="AW104" s="65"/>
      <c r="AX104" s="65"/>
      <c r="AY104" s="65"/>
      <c r="AZ104" s="33"/>
      <c r="BA104" s="46"/>
      <c r="BB104" s="335"/>
      <c r="BC104" s="336"/>
      <c r="BD104" s="28"/>
      <c r="BG104" s="24"/>
      <c r="BH104" s="28"/>
    </row>
    <row r="105" spans="1:60" ht="14.15" customHeight="1">
      <c r="A105" s="22"/>
      <c r="B105" s="202">
        <v>35</v>
      </c>
      <c r="C105" s="346" t="s">
        <v>249</v>
      </c>
      <c r="D105" s="332"/>
      <c r="E105" s="65"/>
      <c r="F105" s="65"/>
      <c r="G105" s="65"/>
      <c r="H105" s="65"/>
      <c r="I105" s="65"/>
      <c r="J105" s="989"/>
      <c r="K105" s="989"/>
      <c r="L105" s="989"/>
      <c r="M105" s="989"/>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125"/>
      <c r="AU105" s="65"/>
      <c r="AV105" s="65"/>
      <c r="AW105" s="65"/>
      <c r="AX105" s="65"/>
      <c r="AY105" s="65"/>
      <c r="AZ105" s="33"/>
      <c r="BA105" s="46"/>
      <c r="BB105" s="335"/>
      <c r="BC105" s="336"/>
      <c r="BD105" s="28"/>
      <c r="BG105" s="24"/>
      <c r="BH105" s="28"/>
    </row>
    <row r="106" spans="1:60" ht="5.15" customHeight="1">
      <c r="A106" s="22"/>
      <c r="B106" s="202"/>
      <c r="C106" s="296"/>
      <c r="D106" s="72"/>
      <c r="E106" s="72"/>
      <c r="F106" s="72"/>
      <c r="G106" s="72"/>
      <c r="H106" s="297"/>
      <c r="I106" s="278"/>
      <c r="J106" s="279"/>
      <c r="K106" s="278"/>
      <c r="L106" s="279"/>
      <c r="M106" s="298"/>
      <c r="N106" s="298"/>
      <c r="O106" s="263"/>
      <c r="P106" s="298"/>
      <c r="Q106" s="263"/>
      <c r="R106" s="298"/>
      <c r="S106" s="72"/>
      <c r="T106" s="72"/>
      <c r="U106" s="72"/>
      <c r="V106" s="72"/>
      <c r="W106" s="72"/>
      <c r="X106" s="297"/>
      <c r="Y106" s="278"/>
      <c r="Z106" s="279"/>
      <c r="AA106" s="278"/>
      <c r="AB106" s="279"/>
      <c r="AC106" s="298"/>
      <c r="AD106" s="298"/>
      <c r="AE106" s="263"/>
      <c r="AF106" s="298"/>
      <c r="AG106" s="263"/>
      <c r="AH106" s="298"/>
      <c r="AI106" s="280"/>
      <c r="AJ106" s="298"/>
      <c r="AK106" s="263"/>
      <c r="AL106" s="72"/>
      <c r="AM106" s="72"/>
      <c r="AN106" s="72"/>
      <c r="AO106" s="72"/>
      <c r="AP106" s="72"/>
      <c r="AQ106" s="72"/>
      <c r="AR106" s="72"/>
      <c r="AS106" s="72"/>
      <c r="AT106" s="72"/>
      <c r="AU106" s="72"/>
      <c r="AV106" s="300"/>
      <c r="AW106" s="72"/>
      <c r="AX106" s="72"/>
      <c r="AY106" s="265"/>
      <c r="AZ106" s="33"/>
      <c r="BA106" s="46"/>
      <c r="BB106" s="335"/>
      <c r="BC106" s="336"/>
      <c r="BD106" s="28"/>
    </row>
    <row r="107" spans="1:60" ht="13.5" customHeight="1">
      <c r="A107" s="22"/>
      <c r="B107" s="45"/>
      <c r="C107" s="266"/>
      <c r="D107" s="28" t="s">
        <v>250</v>
      </c>
      <c r="E107" s="28"/>
      <c r="F107" s="28"/>
      <c r="G107" s="28"/>
      <c r="H107" s="24"/>
      <c r="I107" s="24"/>
      <c r="J107" s="24"/>
      <c r="K107" s="24"/>
      <c r="L107" s="24"/>
      <c r="M107" s="127"/>
      <c r="N107" s="75"/>
      <c r="O107" s="84"/>
      <c r="P107" s="84"/>
      <c r="Q107" s="85"/>
      <c r="R107" s="75"/>
      <c r="S107" s="75"/>
      <c r="T107" s="75"/>
      <c r="U107" s="84"/>
      <c r="V107" s="85"/>
      <c r="W107" s="75"/>
      <c r="X107" s="65"/>
      <c r="Y107" s="28"/>
      <c r="Z107" s="28"/>
      <c r="AA107" s="28"/>
      <c r="AB107" s="28"/>
      <c r="AC107" s="28"/>
      <c r="AD107" s="28"/>
      <c r="AE107" s="28"/>
      <c r="AF107" s="28"/>
      <c r="AG107" s="28"/>
      <c r="AH107" s="28"/>
      <c r="AI107" s="28"/>
      <c r="AJ107" s="28"/>
      <c r="AK107" s="28"/>
      <c r="AL107" s="28"/>
      <c r="AM107" s="31"/>
      <c r="AN107" s="31"/>
      <c r="AO107" s="31"/>
      <c r="AP107" s="31"/>
      <c r="AQ107" s="31"/>
      <c r="AR107" s="31"/>
      <c r="AS107" s="31"/>
      <c r="AT107" s="31"/>
      <c r="AU107" s="31"/>
      <c r="AV107" s="31"/>
      <c r="AW107" s="31"/>
      <c r="AX107" s="65"/>
      <c r="AY107" s="267"/>
      <c r="AZ107" s="33"/>
      <c r="BA107" s="46"/>
      <c r="BB107" s="335"/>
      <c r="BC107" s="336"/>
      <c r="BD107" s="28"/>
      <c r="BE107" s="35"/>
      <c r="BF107" s="35"/>
      <c r="BG107" s="35"/>
    </row>
    <row r="108" spans="1:60" ht="13.5" customHeight="1">
      <c r="A108" s="22"/>
      <c r="B108" s="45"/>
      <c r="C108" s="266"/>
      <c r="D108" s="28"/>
      <c r="E108" s="28"/>
      <c r="F108" s="28"/>
      <c r="G108" s="28"/>
      <c r="H108" s="348" t="s">
        <v>252</v>
      </c>
      <c r="I108" s="131"/>
      <c r="J108" s="131"/>
      <c r="K108" s="131"/>
      <c r="L108" s="132"/>
      <c r="M108" s="132"/>
      <c r="N108" s="106"/>
      <c r="O108" s="133"/>
      <c r="P108" s="134"/>
      <c r="Q108" s="133" t="s">
        <v>251</v>
      </c>
      <c r="R108" s="134"/>
      <c r="S108" s="107"/>
      <c r="T108" s="107"/>
      <c r="U108" s="107"/>
      <c r="V108" s="107"/>
      <c r="W108" s="107"/>
      <c r="X108" s="107"/>
      <c r="Y108" s="107"/>
      <c r="Z108" s="107"/>
      <c r="AA108" s="107"/>
      <c r="AB108" s="107"/>
      <c r="AC108" s="107"/>
      <c r="AD108" s="107"/>
      <c r="AE108" s="107"/>
      <c r="AF108" s="107"/>
      <c r="AG108" s="107"/>
      <c r="AH108" s="107"/>
      <c r="AI108" s="107"/>
      <c r="AJ108" s="107"/>
      <c r="AK108" s="107"/>
      <c r="AL108" s="133" t="s">
        <v>44</v>
      </c>
      <c r="AM108" s="134"/>
      <c r="AN108" s="107"/>
      <c r="AO108" s="31"/>
      <c r="AP108" s="31"/>
      <c r="AQ108" s="31"/>
      <c r="AR108" s="31"/>
      <c r="AS108" s="31"/>
      <c r="AT108" s="31"/>
      <c r="AU108" s="31"/>
      <c r="AV108" s="31"/>
      <c r="AW108" s="31"/>
      <c r="AX108" s="65"/>
      <c r="AY108" s="267"/>
      <c r="AZ108" s="33"/>
      <c r="BA108" s="46"/>
      <c r="BB108" s="335"/>
      <c r="BC108" s="336"/>
      <c r="BD108" s="28"/>
      <c r="BE108" s="35"/>
      <c r="BF108" s="35"/>
      <c r="BG108" s="35"/>
    </row>
    <row r="109" spans="1:60" ht="13.5" customHeight="1">
      <c r="A109" s="22"/>
      <c r="B109" s="45"/>
      <c r="C109" s="266"/>
      <c r="D109" s="28"/>
      <c r="E109" s="28"/>
      <c r="F109" s="28"/>
      <c r="G109" s="28"/>
      <c r="H109" s="485" t="s">
        <v>255</v>
      </c>
      <c r="I109" s="137"/>
      <c r="J109" s="137"/>
      <c r="K109" s="137"/>
      <c r="L109" s="137"/>
      <c r="M109" s="137"/>
      <c r="N109" s="137"/>
      <c r="O109" s="350"/>
      <c r="P109" s="139"/>
      <c r="Q109" s="486" t="s">
        <v>54</v>
      </c>
      <c r="R109" s="139"/>
      <c r="S109" s="108"/>
      <c r="T109" s="108"/>
      <c r="U109" s="108"/>
      <c r="V109" s="156"/>
      <c r="W109" s="110"/>
      <c r="X109" s="110"/>
      <c r="Y109" s="156"/>
      <c r="Z109" s="156"/>
      <c r="AA109" s="110"/>
      <c r="AB109" s="110"/>
      <c r="AC109" s="37"/>
      <c r="AD109" s="37"/>
      <c r="AE109" s="37"/>
      <c r="AF109" s="37"/>
      <c r="AG109" s="37"/>
      <c r="AH109" s="37"/>
      <c r="AI109" s="37"/>
      <c r="AJ109" s="37"/>
      <c r="AK109" s="97"/>
      <c r="AL109" s="140"/>
      <c r="AM109" s="141"/>
      <c r="AN109" s="142"/>
      <c r="AO109" s="31"/>
      <c r="AP109" s="31"/>
      <c r="AQ109" s="31"/>
      <c r="AR109" s="31"/>
      <c r="AS109" s="31"/>
      <c r="AT109" s="31"/>
      <c r="AU109" s="31"/>
      <c r="AV109" s="31"/>
      <c r="AW109" s="31"/>
      <c r="AX109" s="65"/>
      <c r="AY109" s="267"/>
      <c r="AZ109" s="33"/>
      <c r="BA109" s="46"/>
      <c r="BB109" s="335"/>
      <c r="BC109" s="336"/>
      <c r="BD109" s="28"/>
      <c r="BE109" s="35"/>
      <c r="BF109" s="35"/>
      <c r="BG109" s="35"/>
    </row>
    <row r="110" spans="1:60" ht="13.5" customHeight="1">
      <c r="A110" s="22"/>
      <c r="B110" s="45"/>
      <c r="C110" s="266"/>
      <c r="D110" s="28"/>
      <c r="E110" s="28"/>
      <c r="F110" s="28"/>
      <c r="G110" s="28"/>
      <c r="H110" s="485" t="s">
        <v>256</v>
      </c>
      <c r="I110" s="137"/>
      <c r="J110" s="137"/>
      <c r="K110" s="137"/>
      <c r="L110" s="137"/>
      <c r="M110" s="137"/>
      <c r="N110" s="137"/>
      <c r="O110" s="350"/>
      <c r="P110" s="139"/>
      <c r="Q110" s="486" t="s">
        <v>54</v>
      </c>
      <c r="R110" s="139"/>
      <c r="S110" s="108"/>
      <c r="T110" s="108"/>
      <c r="U110" s="108"/>
      <c r="V110" s="156"/>
      <c r="W110" s="110"/>
      <c r="X110" s="110"/>
      <c r="Y110" s="156"/>
      <c r="Z110" s="156"/>
      <c r="AA110" s="110"/>
      <c r="AB110" s="110"/>
      <c r="AC110" s="37"/>
      <c r="AD110" s="37"/>
      <c r="AE110" s="37"/>
      <c r="AF110" s="37"/>
      <c r="AG110" s="37"/>
      <c r="AH110" s="37"/>
      <c r="AI110" s="37"/>
      <c r="AJ110" s="37"/>
      <c r="AK110" s="97"/>
      <c r="AL110" s="140"/>
      <c r="AM110" s="141"/>
      <c r="AN110" s="142"/>
      <c r="AO110" s="31"/>
      <c r="AP110" s="31"/>
      <c r="AQ110" s="31"/>
      <c r="AR110" s="31"/>
      <c r="AS110" s="31"/>
      <c r="AT110" s="31"/>
      <c r="AU110" s="31"/>
      <c r="AV110" s="31"/>
      <c r="AW110" s="31"/>
      <c r="AX110" s="65"/>
      <c r="AY110" s="267"/>
      <c r="AZ110" s="33"/>
      <c r="BA110" s="46"/>
      <c r="BB110" s="335"/>
      <c r="BC110" s="336"/>
      <c r="BD110" s="28"/>
      <c r="BE110" s="35"/>
      <c r="BF110" s="35"/>
      <c r="BG110" s="35"/>
    </row>
    <row r="111" spans="1:60" ht="13.5" customHeight="1">
      <c r="A111" s="22"/>
      <c r="B111" s="45"/>
      <c r="C111" s="266"/>
      <c r="D111" s="28"/>
      <c r="E111" s="28"/>
      <c r="F111" s="28"/>
      <c r="G111" s="28"/>
      <c r="H111" s="485" t="s">
        <v>257</v>
      </c>
      <c r="I111" s="137"/>
      <c r="J111" s="137"/>
      <c r="K111" s="137"/>
      <c r="L111" s="137"/>
      <c r="M111" s="137"/>
      <c r="N111" s="137"/>
      <c r="O111" s="350"/>
      <c r="P111" s="139"/>
      <c r="Q111" s="486" t="s">
        <v>54</v>
      </c>
      <c r="R111" s="139"/>
      <c r="S111" s="108"/>
      <c r="T111" s="108"/>
      <c r="U111" s="108"/>
      <c r="V111" s="156"/>
      <c r="W111" s="110"/>
      <c r="X111" s="110"/>
      <c r="Y111" s="156"/>
      <c r="Z111" s="156"/>
      <c r="AA111" s="110"/>
      <c r="AB111" s="110"/>
      <c r="AC111" s="37"/>
      <c r="AD111" s="37"/>
      <c r="AE111" s="37"/>
      <c r="AF111" s="37"/>
      <c r="AG111" s="37"/>
      <c r="AH111" s="37"/>
      <c r="AI111" s="37"/>
      <c r="AJ111" s="37"/>
      <c r="AK111" s="97"/>
      <c r="AL111" s="140"/>
      <c r="AM111" s="141"/>
      <c r="AN111" s="142"/>
      <c r="AO111" s="31"/>
      <c r="AP111" s="31"/>
      <c r="AQ111" s="31"/>
      <c r="AR111" s="31"/>
      <c r="AS111" s="31"/>
      <c r="AT111" s="31"/>
      <c r="AU111" s="31"/>
      <c r="AV111" s="31"/>
      <c r="AW111" s="31"/>
      <c r="AX111" s="65"/>
      <c r="AY111" s="267"/>
      <c r="AZ111" s="33"/>
      <c r="BA111" s="46"/>
      <c r="BB111" s="335"/>
      <c r="BC111" s="336"/>
      <c r="BD111" s="28"/>
      <c r="BE111" s="35"/>
      <c r="BF111" s="35"/>
      <c r="BG111" s="35"/>
    </row>
    <row r="112" spans="1:60" ht="5.15" customHeight="1">
      <c r="A112" s="22"/>
      <c r="B112" s="202"/>
      <c r="C112" s="315"/>
      <c r="D112" s="73"/>
      <c r="E112" s="73"/>
      <c r="F112" s="73"/>
      <c r="G112" s="73"/>
      <c r="H112" s="316"/>
      <c r="I112" s="275"/>
      <c r="J112" s="273"/>
      <c r="K112" s="275"/>
      <c r="L112" s="273"/>
      <c r="M112" s="317"/>
      <c r="N112" s="317"/>
      <c r="O112" s="270"/>
      <c r="P112" s="317"/>
      <c r="Q112" s="270"/>
      <c r="R112" s="317"/>
      <c r="S112" s="73"/>
      <c r="T112" s="73"/>
      <c r="U112" s="73"/>
      <c r="V112" s="73"/>
      <c r="W112" s="73"/>
      <c r="X112" s="316"/>
      <c r="Y112" s="275"/>
      <c r="Z112" s="273"/>
      <c r="AA112" s="275"/>
      <c r="AB112" s="273"/>
      <c r="AC112" s="317"/>
      <c r="AD112" s="317"/>
      <c r="AE112" s="270"/>
      <c r="AF112" s="317"/>
      <c r="AG112" s="270"/>
      <c r="AH112" s="317"/>
      <c r="AI112" s="276"/>
      <c r="AJ112" s="317"/>
      <c r="AK112" s="270"/>
      <c r="AL112" s="73"/>
      <c r="AM112" s="73"/>
      <c r="AN112" s="73"/>
      <c r="AO112" s="73"/>
      <c r="AP112" s="73"/>
      <c r="AQ112" s="73"/>
      <c r="AR112" s="73"/>
      <c r="AS112" s="73"/>
      <c r="AT112" s="73"/>
      <c r="AU112" s="73"/>
      <c r="AV112" s="318"/>
      <c r="AW112" s="73"/>
      <c r="AX112" s="73"/>
      <c r="AY112" s="277"/>
      <c r="AZ112" s="33"/>
      <c r="BA112" s="46"/>
      <c r="BB112" s="335"/>
      <c r="BC112" s="336"/>
      <c r="BD112" s="28"/>
    </row>
    <row r="113" spans="1:60" ht="14.15" customHeight="1">
      <c r="A113" s="22"/>
      <c r="B113" s="202"/>
      <c r="C113" s="331"/>
      <c r="D113" s="332"/>
      <c r="E113" s="65"/>
      <c r="F113" s="65"/>
      <c r="G113" s="65"/>
      <c r="H113" s="65"/>
      <c r="I113" s="65"/>
      <c r="J113" s="354"/>
      <c r="K113" s="354"/>
      <c r="L113" s="354"/>
      <c r="M113" s="354"/>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125"/>
      <c r="AU113" s="65"/>
      <c r="AV113" s="65"/>
      <c r="AW113" s="65"/>
      <c r="AX113" s="65"/>
      <c r="AY113" s="65"/>
      <c r="AZ113" s="33"/>
      <c r="BA113" s="46"/>
      <c r="BB113" s="335"/>
      <c r="BC113" s="336"/>
      <c r="BD113" s="28"/>
      <c r="BG113" s="24"/>
      <c r="BH113" s="28"/>
    </row>
    <row r="114" spans="1:60" ht="13.5" customHeight="1">
      <c r="A114" s="22"/>
      <c r="B114" s="202">
        <v>36</v>
      </c>
      <c r="C114" s="331"/>
      <c r="D114" s="332"/>
      <c r="E114" s="65"/>
      <c r="F114" s="65"/>
      <c r="G114" s="65"/>
      <c r="H114" s="65"/>
      <c r="I114" s="65"/>
      <c r="J114" s="989"/>
      <c r="K114" s="989"/>
      <c r="L114" s="989"/>
      <c r="M114" s="989"/>
      <c r="N114" s="63"/>
      <c r="O114" s="65"/>
      <c r="P114" s="65"/>
      <c r="Q114" s="65"/>
      <c r="R114" s="28"/>
      <c r="S114" s="28"/>
      <c r="T114" s="31"/>
      <c r="U114" s="31"/>
      <c r="V114" s="31"/>
      <c r="W114" s="31"/>
      <c r="X114" s="31"/>
      <c r="Y114" s="44"/>
      <c r="Z114" s="31"/>
      <c r="AA114" s="28"/>
      <c r="AB114" s="44"/>
      <c r="AC114" s="31"/>
      <c r="AD114" s="28"/>
      <c r="AE114" s="44"/>
      <c r="AF114" s="28"/>
      <c r="AG114" s="116"/>
      <c r="AH114" s="41"/>
      <c r="AI114" s="116"/>
      <c r="AJ114" s="116"/>
      <c r="AK114" s="116"/>
      <c r="AL114" s="116"/>
      <c r="AM114" s="116"/>
      <c r="AN114" s="116"/>
      <c r="AO114" s="116"/>
      <c r="AP114" s="116"/>
      <c r="AQ114" s="116"/>
      <c r="AR114" s="116"/>
      <c r="AS114" s="116"/>
      <c r="AT114" s="116"/>
      <c r="AU114" s="116"/>
      <c r="AV114" s="116"/>
      <c r="AW114" s="116"/>
      <c r="AX114" s="116"/>
      <c r="AY114" s="116"/>
      <c r="AZ114" s="33"/>
      <c r="BA114" s="46"/>
      <c r="BB114" s="335"/>
      <c r="BC114" s="336"/>
      <c r="BD114" s="28"/>
      <c r="BG114" s="24"/>
      <c r="BH114" s="28"/>
    </row>
    <row r="115" spans="1:60" ht="13.5" customHeight="1">
      <c r="A115" s="22"/>
      <c r="B115" s="202">
        <v>37</v>
      </c>
      <c r="C115" s="331"/>
      <c r="D115" s="332"/>
      <c r="E115" s="65"/>
      <c r="F115" s="65"/>
      <c r="G115" s="65"/>
      <c r="H115" s="65"/>
      <c r="I115" s="65"/>
      <c r="J115" s="989"/>
      <c r="K115" s="989"/>
      <c r="L115" s="989"/>
      <c r="M115" s="989"/>
      <c r="N115" s="193"/>
      <c r="O115" s="195"/>
      <c r="P115" s="193"/>
      <c r="Q115" s="194"/>
      <c r="R115" s="194"/>
      <c r="S115" s="194"/>
      <c r="T115" s="196"/>
      <c r="U115" s="196"/>
      <c r="V115" s="196"/>
      <c r="W115" s="196"/>
      <c r="X115" s="196"/>
      <c r="Y115" s="195"/>
      <c r="Z115" s="196"/>
      <c r="AA115" s="194"/>
      <c r="AB115" s="195"/>
      <c r="AC115" s="196"/>
      <c r="AD115" s="194"/>
      <c r="AE115" s="195"/>
      <c r="AF115" s="194"/>
      <c r="AG115" s="194"/>
      <c r="AH115" s="195"/>
      <c r="AI115" s="194"/>
      <c r="AJ115" s="194"/>
      <c r="AK115" s="197"/>
      <c r="AL115" s="194"/>
      <c r="AM115" s="194"/>
      <c r="AN115" s="194"/>
      <c r="AO115" s="194"/>
      <c r="AP115" s="194"/>
      <c r="AQ115" s="194"/>
      <c r="AR115" s="194"/>
      <c r="AS115" s="194"/>
      <c r="AT115" s="194"/>
      <c r="AU115" s="194"/>
      <c r="AV115" s="194"/>
      <c r="AW115" s="194"/>
      <c r="AX115" s="194"/>
      <c r="AY115" s="194"/>
      <c r="AZ115" s="33"/>
      <c r="BA115" s="46"/>
      <c r="BB115" s="335"/>
      <c r="BC115" s="336"/>
      <c r="BD115" s="28"/>
      <c r="BG115" s="24"/>
      <c r="BH115" s="28"/>
    </row>
    <row r="116" spans="1:60">
      <c r="A116" s="22"/>
      <c r="B116" s="32"/>
      <c r="C116" s="28"/>
      <c r="D116" s="28"/>
      <c r="E116" s="28"/>
      <c r="F116" s="28"/>
      <c r="G116" s="28"/>
      <c r="H116" s="28"/>
      <c r="I116" s="28"/>
      <c r="J116" s="28"/>
      <c r="K116" s="28"/>
      <c r="L116" s="28"/>
      <c r="M116" s="28"/>
      <c r="N116" s="28"/>
      <c r="O116" s="28"/>
      <c r="P116" s="28"/>
      <c r="Q116" s="28"/>
      <c r="R116" s="28"/>
      <c r="S116" s="81"/>
      <c r="T116" s="81"/>
      <c r="U116" s="81"/>
      <c r="V116" s="81"/>
      <c r="W116" s="28"/>
      <c r="X116" s="28"/>
      <c r="Y116" s="81"/>
      <c r="Z116" s="81"/>
      <c r="AA116" s="28"/>
      <c r="AB116" s="28"/>
      <c r="AC116" s="28"/>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31"/>
      <c r="AZ116" s="33"/>
      <c r="BA116" s="46"/>
      <c r="BB116" s="335"/>
      <c r="BC116" s="336"/>
    </row>
    <row r="117" spans="1:60">
      <c r="A117" s="155"/>
      <c r="B117" s="95"/>
      <c r="C117" s="110"/>
      <c r="D117" s="110"/>
      <c r="E117" s="110"/>
      <c r="F117" s="110"/>
      <c r="G117" s="110"/>
      <c r="H117" s="110"/>
      <c r="I117" s="110"/>
      <c r="J117" s="110"/>
      <c r="K117" s="110"/>
      <c r="L117" s="110"/>
      <c r="M117" s="110"/>
      <c r="N117" s="110"/>
      <c r="O117" s="110"/>
      <c r="P117" s="110"/>
      <c r="Q117" s="110"/>
      <c r="R117" s="110"/>
      <c r="S117" s="156"/>
      <c r="T117" s="156"/>
      <c r="U117" s="156"/>
      <c r="V117" s="156"/>
      <c r="W117" s="110"/>
      <c r="X117" s="110"/>
      <c r="Y117" s="156"/>
      <c r="Z117" s="156"/>
      <c r="AA117" s="110"/>
      <c r="AB117" s="110"/>
      <c r="AC117" s="110"/>
      <c r="AD117" s="156"/>
      <c r="AE117" s="156"/>
      <c r="AF117" s="156"/>
      <c r="AG117" s="156"/>
      <c r="AH117" s="156"/>
      <c r="AI117" s="156"/>
      <c r="AJ117" s="156"/>
      <c r="AK117" s="156"/>
      <c r="AL117" s="156"/>
      <c r="AM117" s="156"/>
      <c r="AN117" s="156"/>
      <c r="AO117" s="156"/>
      <c r="AP117" s="156"/>
      <c r="AQ117" s="156"/>
      <c r="AR117" s="156"/>
      <c r="AS117" s="156"/>
      <c r="AT117" s="156"/>
      <c r="AU117" s="156"/>
      <c r="AV117" s="156"/>
      <c r="AW117" s="156"/>
      <c r="AX117" s="156"/>
      <c r="AY117" s="95"/>
      <c r="AZ117" s="95"/>
      <c r="BA117" s="157"/>
      <c r="BB117" s="355"/>
      <c r="BC117" s="356"/>
    </row>
  </sheetData>
  <mergeCells count="127">
    <mergeCell ref="BA70:BD70"/>
    <mergeCell ref="BE70:BH70"/>
    <mergeCell ref="BE82:BH82"/>
    <mergeCell ref="BA75:BD75"/>
    <mergeCell ref="BA65:BD65"/>
    <mergeCell ref="BE65:BH65"/>
    <mergeCell ref="BE75:BH75"/>
    <mergeCell ref="X69:AA69"/>
    <mergeCell ref="AB69:AE69"/>
    <mergeCell ref="AF69:AJ69"/>
    <mergeCell ref="AK69:AN69"/>
    <mergeCell ref="AO69:AR69"/>
    <mergeCell ref="BA69:BD69"/>
    <mergeCell ref="BE69:BH69"/>
    <mergeCell ref="X74:AA74"/>
    <mergeCell ref="AB74:AE74"/>
    <mergeCell ref="AF74:AJ74"/>
    <mergeCell ref="AK74:AN74"/>
    <mergeCell ref="AO74:AR74"/>
    <mergeCell ref="AS74:AV74"/>
    <mergeCell ref="AW74:AZ74"/>
    <mergeCell ref="BA74:BD74"/>
    <mergeCell ref="BE74:BH74"/>
    <mergeCell ref="H42:L42"/>
    <mergeCell ref="H43:L43"/>
    <mergeCell ref="J114:M114"/>
    <mergeCell ref="X70:AA70"/>
    <mergeCell ref="AB70:AE70"/>
    <mergeCell ref="AF70:AJ70"/>
    <mergeCell ref="AK70:AN70"/>
    <mergeCell ref="AO70:AR70"/>
    <mergeCell ref="AS70:AV70"/>
    <mergeCell ref="J115:M115"/>
    <mergeCell ref="AE51:AI51"/>
    <mergeCell ref="AE52:AI52"/>
    <mergeCell ref="AW75:AZ75"/>
    <mergeCell ref="J81:M81"/>
    <mergeCell ref="J88:M88"/>
    <mergeCell ref="J89:M89"/>
    <mergeCell ref="J91:M91"/>
    <mergeCell ref="J97:M97"/>
    <mergeCell ref="J105:M105"/>
    <mergeCell ref="AF64:AJ64"/>
    <mergeCell ref="AK64:AN64"/>
    <mergeCell ref="AO64:AR64"/>
    <mergeCell ref="AS64:AV64"/>
    <mergeCell ref="X75:AA75"/>
    <mergeCell ref="AB75:AE75"/>
    <mergeCell ref="AF75:AJ75"/>
    <mergeCell ref="AK75:AN75"/>
    <mergeCell ref="AO75:AR75"/>
    <mergeCell ref="AS75:AV75"/>
    <mergeCell ref="AS69:AV69"/>
    <mergeCell ref="AW69:AZ69"/>
    <mergeCell ref="J77:M77"/>
    <mergeCell ref="AW70:AZ70"/>
    <mergeCell ref="BU64:BX64"/>
    <mergeCell ref="BY64:CB64"/>
    <mergeCell ref="CC64:CE64"/>
    <mergeCell ref="X65:AA65"/>
    <mergeCell ref="AB65:AE65"/>
    <mergeCell ref="AF65:AJ65"/>
    <mergeCell ref="AK65:AN65"/>
    <mergeCell ref="AO65:AR65"/>
    <mergeCell ref="AS65:AV65"/>
    <mergeCell ref="AW65:AZ65"/>
    <mergeCell ref="AW64:AZ64"/>
    <mergeCell ref="BA64:BD64"/>
    <mergeCell ref="BE64:BH64"/>
    <mergeCell ref="BI64:BL64"/>
    <mergeCell ref="BM64:BP64"/>
    <mergeCell ref="BQ64:BT64"/>
    <mergeCell ref="X64:AA64"/>
    <mergeCell ref="AB64:AE64"/>
    <mergeCell ref="CC65:CE65"/>
    <mergeCell ref="BI65:BL65"/>
    <mergeCell ref="BM65:BP65"/>
    <mergeCell ref="BQ65:BT65"/>
    <mergeCell ref="BU65:BX65"/>
    <mergeCell ref="BY65:CB65"/>
    <mergeCell ref="A1:H1"/>
    <mergeCell ref="I1:L1"/>
    <mergeCell ref="M1:W1"/>
    <mergeCell ref="X1:Z2"/>
    <mergeCell ref="AA1:AJ2"/>
    <mergeCell ref="A2:H2"/>
    <mergeCell ref="I2:L2"/>
    <mergeCell ref="M2:W2"/>
    <mergeCell ref="AK2:AM2"/>
    <mergeCell ref="AK1:AM1"/>
    <mergeCell ref="AV2:AY2"/>
    <mergeCell ref="AZ2:BC3"/>
    <mergeCell ref="M3:W3"/>
    <mergeCell ref="X3:Z3"/>
    <mergeCell ref="AA3:AR3"/>
    <mergeCell ref="AS3:AU3"/>
    <mergeCell ref="AV3:AY3"/>
    <mergeCell ref="AN2:AR2"/>
    <mergeCell ref="AN1:AR1"/>
    <mergeCell ref="AS1:AU1"/>
    <mergeCell ref="AV1:AY1"/>
    <mergeCell ref="AZ1:BC1"/>
    <mergeCell ref="AS2:AU2"/>
    <mergeCell ref="BK81:BO81"/>
    <mergeCell ref="I3:L3"/>
    <mergeCell ref="BB5:BC5"/>
    <mergeCell ref="R51:U51"/>
    <mergeCell ref="Z51:AD51"/>
    <mergeCell ref="AN51:AQ51"/>
    <mergeCell ref="AR51:AU51"/>
    <mergeCell ref="AV51:AY51"/>
    <mergeCell ref="AZ51:BC51"/>
    <mergeCell ref="BD51:BG51"/>
    <mergeCell ref="A5:BA5"/>
    <mergeCell ref="A3:H3"/>
    <mergeCell ref="BL52:BN52"/>
    <mergeCell ref="BH51:BK51"/>
    <mergeCell ref="BL51:BN51"/>
    <mergeCell ref="R52:U52"/>
    <mergeCell ref="Z52:AD52"/>
    <mergeCell ref="AN52:AQ52"/>
    <mergeCell ref="AR52:AU52"/>
    <mergeCell ref="AV52:AY52"/>
    <mergeCell ref="AZ52:BC52"/>
    <mergeCell ref="BD52:BG52"/>
    <mergeCell ref="BH52:BK52"/>
    <mergeCell ref="BD76:BF76"/>
  </mergeCells>
  <phoneticPr fontId="56"/>
  <conditionalFormatting sqref="AK69:AV70">
    <cfRule type="cellIs" dxfId="12" priority="4" operator="lessThan">
      <formula>0</formula>
    </cfRule>
  </conditionalFormatting>
  <conditionalFormatting sqref="AK74:AV75">
    <cfRule type="cellIs" dxfId="11" priority="2" operator="lessThan">
      <formula>0</formula>
    </cfRule>
  </conditionalFormatting>
  <conditionalFormatting sqref="BA64:BD65">
    <cfRule type="cellIs" dxfId="10" priority="10" operator="lessThan">
      <formula>0.3</formula>
    </cfRule>
  </conditionalFormatting>
  <conditionalFormatting sqref="BE64:BH65">
    <cfRule type="cellIs" dxfId="9" priority="14" operator="lessThan">
      <formula>0</formula>
    </cfRule>
  </conditionalFormatting>
  <conditionalFormatting sqref="BE69:BH70">
    <cfRule type="cellIs" dxfId="8" priority="3" operator="lessThan">
      <formula>0.3</formula>
    </cfRule>
  </conditionalFormatting>
  <conditionalFormatting sqref="BE74:BH75">
    <cfRule type="cellIs" dxfId="7" priority="1" operator="lessThan">
      <formula>0.3</formula>
    </cfRule>
  </conditionalFormatting>
  <conditionalFormatting sqref="BQ64:BT65">
    <cfRule type="cellIs" dxfId="6" priority="12"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8F4CE-E231-4DB9-9A50-8A11224C626C}">
  <dimension ref="A1:CI113"/>
  <sheetViews>
    <sheetView showGridLines="0" topLeftCell="A5" zoomScaleNormal="100" zoomScaleSheetLayoutView="100" workbookViewId="0">
      <pane ySplit="2" topLeftCell="A7" activePane="bottomLeft" state="frozen"/>
      <selection activeCell="Z20" sqref="Z20"/>
      <selection pane="bottomLeft" activeCell="Z20" sqref="Z20"/>
    </sheetView>
  </sheetViews>
  <sheetFormatPr defaultColWidth="9" defaultRowHeight="13"/>
  <cols>
    <col min="1" max="18" width="2.6328125" style="35" customWidth="1"/>
    <col min="19" max="22" width="2.6328125" style="25" customWidth="1"/>
    <col min="23" max="24" width="2.6328125" style="35" customWidth="1"/>
    <col min="25" max="26" width="2.6328125" style="25" customWidth="1"/>
    <col min="27" max="29" width="2.6328125" style="35" customWidth="1"/>
    <col min="30" max="55" width="2.6328125" style="25" customWidth="1"/>
    <col min="56" max="56" width="2.6328125" style="81" customWidth="1"/>
    <col min="57" max="59" width="2.6328125" style="28" customWidth="1"/>
    <col min="60" max="128" width="2.6328125" style="35" customWidth="1"/>
    <col min="129" max="16384" width="9" style="35"/>
  </cols>
  <sheetData>
    <row r="1" spans="1:59" ht="12" customHeight="1">
      <c r="A1" s="731" t="s">
        <v>4</v>
      </c>
      <c r="B1" s="731"/>
      <c r="C1" s="731"/>
      <c r="D1" s="731"/>
      <c r="E1" s="731"/>
      <c r="F1" s="731"/>
      <c r="G1" s="731"/>
      <c r="H1" s="731"/>
      <c r="I1" s="718" t="s">
        <v>5</v>
      </c>
      <c r="J1" s="718"/>
      <c r="K1" s="718"/>
      <c r="L1" s="718"/>
      <c r="M1" s="729" t="str">
        <f>変更来歴!M1</f>
        <v>ヒロセ電機株式会社</v>
      </c>
      <c r="N1" s="729"/>
      <c r="O1" s="729"/>
      <c r="P1" s="729"/>
      <c r="Q1" s="729"/>
      <c r="R1" s="729"/>
      <c r="S1" s="729"/>
      <c r="T1" s="729"/>
      <c r="U1" s="729"/>
      <c r="V1" s="729"/>
      <c r="W1" s="729"/>
      <c r="X1" s="718" t="s">
        <v>7</v>
      </c>
      <c r="Y1" s="718"/>
      <c r="Z1" s="718"/>
      <c r="AA1" s="733" t="str">
        <f>変更来歴!AA1</f>
        <v>化学物質データ申請</v>
      </c>
      <c r="AB1" s="733"/>
      <c r="AC1" s="733"/>
      <c r="AD1" s="733"/>
      <c r="AE1" s="733"/>
      <c r="AF1" s="733"/>
      <c r="AG1" s="733"/>
      <c r="AH1" s="733"/>
      <c r="AI1" s="733"/>
      <c r="AJ1" s="733"/>
      <c r="AK1" s="707" t="s">
        <v>8</v>
      </c>
      <c r="AL1" s="707"/>
      <c r="AM1" s="707"/>
      <c r="AN1" s="709" t="str">
        <f>変更来歴!AP7</f>
        <v>古竹</v>
      </c>
      <c r="AO1" s="709"/>
      <c r="AP1" s="709"/>
      <c r="AQ1" s="709"/>
      <c r="AR1" s="709"/>
      <c r="AS1" s="707" t="s">
        <v>9</v>
      </c>
      <c r="AT1" s="707"/>
      <c r="AU1" s="707"/>
      <c r="AV1" s="710">
        <f>変更来歴!AL7</f>
        <v>46125</v>
      </c>
      <c r="AW1" s="708"/>
      <c r="AX1" s="708"/>
      <c r="AY1" s="708"/>
      <c r="AZ1" s="714" t="s">
        <v>10</v>
      </c>
      <c r="BA1" s="715"/>
      <c r="BB1" s="715"/>
      <c r="BC1" s="716"/>
    </row>
    <row r="2" spans="1:59">
      <c r="A2" s="717" t="s">
        <v>16</v>
      </c>
      <c r="B2" s="717"/>
      <c r="C2" s="717"/>
      <c r="D2" s="717"/>
      <c r="E2" s="717"/>
      <c r="F2" s="717"/>
      <c r="G2" s="717"/>
      <c r="H2" s="717"/>
      <c r="I2" s="718" t="s">
        <v>11</v>
      </c>
      <c r="J2" s="718"/>
      <c r="K2" s="718"/>
      <c r="L2" s="718"/>
      <c r="M2" s="753" t="str">
        <f>変更来歴!M2</f>
        <v>　</v>
      </c>
      <c r="N2" s="753"/>
      <c r="O2" s="753"/>
      <c r="P2" s="753"/>
      <c r="Q2" s="753"/>
      <c r="R2" s="753"/>
      <c r="S2" s="753"/>
      <c r="T2" s="753"/>
      <c r="U2" s="753"/>
      <c r="V2" s="753"/>
      <c r="W2" s="753"/>
      <c r="X2" s="718"/>
      <c r="Y2" s="718"/>
      <c r="Z2" s="718"/>
      <c r="AA2" s="733"/>
      <c r="AB2" s="733"/>
      <c r="AC2" s="733"/>
      <c r="AD2" s="733"/>
      <c r="AE2" s="733"/>
      <c r="AF2" s="733"/>
      <c r="AG2" s="733"/>
      <c r="AH2" s="733"/>
      <c r="AI2" s="733"/>
      <c r="AJ2" s="733"/>
      <c r="AK2" s="707" t="s">
        <v>12</v>
      </c>
      <c r="AL2" s="707"/>
      <c r="AM2" s="707"/>
      <c r="AN2" s="709" t="str">
        <f ca="1">INDIRECT("変更来歴!AP" &amp; COUNTA(変更来歴!AP7:'変更来歴'!AP39) + 6)</f>
        <v>古竹</v>
      </c>
      <c r="AO2" s="709"/>
      <c r="AP2" s="709"/>
      <c r="AQ2" s="709"/>
      <c r="AR2" s="709"/>
      <c r="AS2" s="707" t="s">
        <v>13</v>
      </c>
      <c r="AT2" s="707"/>
      <c r="AU2" s="707"/>
      <c r="AV2" s="710">
        <f ca="1">INDIRECT("変更来歴!AL" &amp; COUNTA(変更来歴!AL7:'変更来歴'!AL39) + 6)</f>
        <v>46157</v>
      </c>
      <c r="AW2" s="708"/>
      <c r="AX2" s="708"/>
      <c r="AY2" s="708"/>
      <c r="AZ2" s="722" t="str">
        <f>変更来歴!AX2</f>
        <v>IMWF-53</v>
      </c>
      <c r="BA2" s="723"/>
      <c r="BB2" s="723"/>
      <c r="BC2" s="724"/>
    </row>
    <row r="3" spans="1:59" ht="12" customHeight="1">
      <c r="A3" s="728" t="str">
        <f>変更来歴!A3</f>
        <v>画面設計書</v>
      </c>
      <c r="B3" s="728"/>
      <c r="C3" s="728"/>
      <c r="D3" s="728"/>
      <c r="E3" s="728"/>
      <c r="F3" s="728"/>
      <c r="G3" s="728"/>
      <c r="H3" s="728"/>
      <c r="I3" s="718" t="s">
        <v>14</v>
      </c>
      <c r="J3" s="718"/>
      <c r="K3" s="718"/>
      <c r="L3" s="718"/>
      <c r="M3" s="729" t="str">
        <f ca="1">RIGHT(CELL("filename",A1),LEN(CELL("filename",A1))-FIND("]",CELL("filename",A1)))</f>
        <v>外貨(コリア原計)</v>
      </c>
      <c r="N3" s="729"/>
      <c r="O3" s="729"/>
      <c r="P3" s="729"/>
      <c r="Q3" s="729"/>
      <c r="R3" s="729"/>
      <c r="S3" s="729"/>
      <c r="T3" s="729"/>
      <c r="U3" s="729"/>
      <c r="V3" s="729"/>
      <c r="W3" s="729"/>
      <c r="X3" s="718" t="s">
        <v>27</v>
      </c>
      <c r="Y3" s="718"/>
      <c r="Z3" s="718"/>
      <c r="AA3" s="730" t="str">
        <f ca="1">MID(CELL("filename"),FIND("]",CELL("filename"))+1,LEN(CELL("filename"))) &amp; "画面"</f>
        <v>変更来歴画面</v>
      </c>
      <c r="AB3" s="730"/>
      <c r="AC3" s="730"/>
      <c r="AD3" s="730"/>
      <c r="AE3" s="730"/>
      <c r="AF3" s="730"/>
      <c r="AG3" s="730"/>
      <c r="AH3" s="730"/>
      <c r="AI3" s="730"/>
      <c r="AJ3" s="730"/>
      <c r="AK3" s="730"/>
      <c r="AL3" s="730"/>
      <c r="AM3" s="730"/>
      <c r="AN3" s="730"/>
      <c r="AO3" s="730"/>
      <c r="AP3" s="730"/>
      <c r="AQ3" s="730"/>
      <c r="AR3" s="730"/>
      <c r="AS3" s="707" t="s">
        <v>15</v>
      </c>
      <c r="AT3" s="707"/>
      <c r="AU3" s="707"/>
      <c r="AV3" s="708" t="str">
        <f ca="1">INDIRECT("変更来歴!A" &amp; COUNTA(変更来歴!A7:'変更来歴'!A39) + 6)</f>
        <v>r1.2</v>
      </c>
      <c r="AW3" s="708"/>
      <c r="AX3" s="708"/>
      <c r="AY3" s="708"/>
      <c r="AZ3" s="725"/>
      <c r="BA3" s="726"/>
      <c r="BB3" s="726"/>
      <c r="BC3" s="727"/>
    </row>
    <row r="4" spans="1:59" ht="5.9" customHeight="1"/>
    <row r="5" spans="1:59" ht="13.5" customHeight="1">
      <c r="A5" s="754" t="str">
        <f ca="1">"画面レイアウト"&amp;"("&amp;MID(CELL("filename"),FIND("]",CELL("filename"))+1,LEN(CELL("filename")))&amp;")"</f>
        <v>画面レイアウト(変更来歴)</v>
      </c>
      <c r="B5" s="755"/>
      <c r="C5" s="755"/>
      <c r="D5" s="755"/>
      <c r="E5" s="755"/>
      <c r="F5" s="755"/>
      <c r="G5" s="755"/>
      <c r="H5" s="755"/>
      <c r="I5" s="755"/>
      <c r="J5" s="755"/>
      <c r="K5" s="755"/>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6"/>
      <c r="BB5" s="757" t="s">
        <v>24</v>
      </c>
      <c r="BC5" s="758"/>
      <c r="BD5" s="28"/>
    </row>
    <row r="6" spans="1:59" ht="13.5" customHeight="1">
      <c r="A6" s="27"/>
      <c r="B6" s="186">
        <v>1</v>
      </c>
      <c r="C6" s="186">
        <v>2</v>
      </c>
      <c r="D6" s="186">
        <v>3</v>
      </c>
      <c r="E6" s="186">
        <v>4</v>
      </c>
      <c r="F6" s="186">
        <v>5</v>
      </c>
      <c r="G6" s="186">
        <v>6</v>
      </c>
      <c r="H6" s="186">
        <v>7</v>
      </c>
      <c r="I6" s="186">
        <v>8</v>
      </c>
      <c r="J6" s="186">
        <v>9</v>
      </c>
      <c r="K6" s="186">
        <v>10</v>
      </c>
      <c r="L6" s="186">
        <v>11</v>
      </c>
      <c r="M6" s="186">
        <v>12</v>
      </c>
      <c r="N6" s="186">
        <v>13</v>
      </c>
      <c r="O6" s="186">
        <v>14</v>
      </c>
      <c r="P6" s="186">
        <v>15</v>
      </c>
      <c r="Q6" s="186">
        <v>16</v>
      </c>
      <c r="R6" s="186">
        <v>17</v>
      </c>
      <c r="S6" s="188">
        <v>18</v>
      </c>
      <c r="T6" s="188">
        <v>19</v>
      </c>
      <c r="U6" s="188">
        <v>20</v>
      </c>
      <c r="V6" s="188">
        <v>21</v>
      </c>
      <c r="W6" s="188">
        <v>22</v>
      </c>
      <c r="X6" s="188">
        <v>23</v>
      </c>
      <c r="Y6" s="188">
        <v>24</v>
      </c>
      <c r="Z6" s="188">
        <v>25</v>
      </c>
      <c r="AA6" s="188">
        <v>26</v>
      </c>
      <c r="AB6" s="188">
        <v>27</v>
      </c>
      <c r="AC6" s="188">
        <v>28</v>
      </c>
      <c r="AD6" s="188">
        <v>29</v>
      </c>
      <c r="AE6" s="188">
        <v>30</v>
      </c>
      <c r="AF6" s="188">
        <v>31</v>
      </c>
      <c r="AG6" s="188">
        <v>32</v>
      </c>
      <c r="AH6" s="188">
        <v>33</v>
      </c>
      <c r="AI6" s="188">
        <v>34</v>
      </c>
      <c r="AJ6" s="187">
        <v>35</v>
      </c>
      <c r="AK6" s="187">
        <v>36</v>
      </c>
      <c r="AL6" s="187">
        <v>37</v>
      </c>
      <c r="AM6" s="187">
        <v>38</v>
      </c>
      <c r="AN6" s="187">
        <v>39</v>
      </c>
      <c r="AO6" s="187">
        <v>40</v>
      </c>
      <c r="AP6" s="187">
        <v>41</v>
      </c>
      <c r="AQ6" s="187">
        <v>42</v>
      </c>
      <c r="AR6" s="187">
        <v>43</v>
      </c>
      <c r="AS6" s="187">
        <v>44</v>
      </c>
      <c r="AT6" s="187">
        <v>45</v>
      </c>
      <c r="AU6" s="187">
        <v>46</v>
      </c>
      <c r="AV6" s="187">
        <v>47</v>
      </c>
      <c r="AW6" s="187">
        <v>48</v>
      </c>
      <c r="AX6" s="187">
        <v>49</v>
      </c>
      <c r="AY6" s="187">
        <v>50</v>
      </c>
      <c r="AZ6" s="187">
        <v>51</v>
      </c>
      <c r="BA6" s="21"/>
      <c r="BB6" s="77"/>
      <c r="BC6" s="42"/>
      <c r="BD6" s="28"/>
    </row>
    <row r="7" spans="1:59" ht="18.75" customHeight="1">
      <c r="A7" s="29"/>
      <c r="B7" s="47" t="s">
        <v>47</v>
      </c>
      <c r="C7" s="36"/>
      <c r="D7" s="36"/>
      <c r="E7" s="36"/>
      <c r="F7" s="36"/>
      <c r="G7" s="36"/>
      <c r="H7" s="48"/>
      <c r="I7" s="36"/>
      <c r="J7" s="48"/>
      <c r="K7" s="36"/>
      <c r="L7" s="36"/>
      <c r="M7" s="36"/>
      <c r="N7" s="48" t="s">
        <v>287</v>
      </c>
      <c r="O7" s="36"/>
      <c r="P7" s="36"/>
      <c r="Q7" s="36"/>
      <c r="R7" s="49" t="s">
        <v>286</v>
      </c>
      <c r="S7" s="36"/>
      <c r="T7" s="36"/>
      <c r="U7" s="36"/>
      <c r="V7" s="36"/>
      <c r="W7" s="36"/>
      <c r="X7" s="36"/>
      <c r="Y7" s="49"/>
      <c r="Z7" s="36"/>
      <c r="AA7" s="36"/>
      <c r="AB7" s="36"/>
      <c r="AC7" s="36"/>
      <c r="AD7" s="36"/>
      <c r="AE7" s="49"/>
      <c r="AF7" s="36"/>
      <c r="AG7" s="36"/>
      <c r="AH7" s="36"/>
      <c r="AI7" s="36"/>
      <c r="AJ7" s="36"/>
      <c r="AK7" s="36"/>
      <c r="AL7" s="36"/>
      <c r="AM7" s="36"/>
      <c r="AN7" s="36"/>
      <c r="AO7" s="36"/>
      <c r="AP7" s="36"/>
      <c r="AQ7" s="36"/>
      <c r="AR7" s="36"/>
      <c r="AS7" s="36"/>
      <c r="AT7" s="36"/>
      <c r="AU7" s="36"/>
      <c r="AV7" s="36"/>
      <c r="AW7" s="50"/>
      <c r="AX7" s="50"/>
      <c r="AY7" s="50"/>
      <c r="AZ7" s="51"/>
      <c r="BA7" s="80" t="s">
        <v>30</v>
      </c>
      <c r="BB7" s="78"/>
      <c r="BC7" s="34"/>
      <c r="BD7" s="28"/>
    </row>
    <row r="8" spans="1:59" ht="18" customHeight="1">
      <c r="A8" s="29"/>
      <c r="B8" s="176"/>
      <c r="C8" s="177"/>
      <c r="D8" s="177"/>
      <c r="E8" s="177" t="s">
        <v>48</v>
      </c>
      <c r="F8" s="177"/>
      <c r="G8" s="177"/>
      <c r="H8" s="178"/>
      <c r="I8" s="178"/>
      <c r="J8" s="178"/>
      <c r="K8" s="178"/>
      <c r="L8" s="179"/>
      <c r="M8" s="178"/>
      <c r="N8" s="57"/>
      <c r="O8" s="57"/>
      <c r="P8" s="179"/>
      <c r="Q8" s="57"/>
      <c r="R8" s="57"/>
      <c r="S8" s="57"/>
      <c r="T8" s="180"/>
      <c r="U8" s="180"/>
      <c r="V8" s="180"/>
      <c r="W8" s="180"/>
      <c r="X8" s="181"/>
      <c r="Y8" s="178"/>
      <c r="Z8" s="178"/>
      <c r="AA8" s="178"/>
      <c r="AB8" s="179"/>
      <c r="AC8" s="178"/>
      <c r="AD8" s="57"/>
      <c r="AE8" s="57"/>
      <c r="AF8" s="179"/>
      <c r="AG8" s="177"/>
      <c r="AH8" s="177"/>
      <c r="AI8" s="182"/>
      <c r="AJ8" s="55"/>
      <c r="AK8" s="55"/>
      <c r="AL8" s="55"/>
      <c r="AM8" s="55"/>
      <c r="AN8" s="183"/>
      <c r="AO8" s="184"/>
      <c r="AP8" s="184"/>
      <c r="AQ8" s="55"/>
      <c r="AR8" s="55"/>
      <c r="AS8" s="55"/>
      <c r="AT8" s="56"/>
      <c r="AU8" s="55"/>
      <c r="AV8" s="57"/>
      <c r="AW8" s="57"/>
      <c r="AX8" s="57"/>
      <c r="AY8" s="177"/>
      <c r="AZ8" s="185"/>
      <c r="BA8" s="143"/>
      <c r="BB8" s="78"/>
      <c r="BC8" s="34"/>
      <c r="BD8" s="28"/>
    </row>
    <row r="9" spans="1:59" ht="13.5" customHeight="1">
      <c r="A9" s="22"/>
      <c r="B9" s="201"/>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31"/>
      <c r="AN9" s="31"/>
      <c r="AO9" s="31"/>
      <c r="AP9" s="31"/>
      <c r="AQ9" s="31"/>
      <c r="AR9" s="31"/>
      <c r="AS9" s="31"/>
      <c r="AT9" s="31"/>
      <c r="AU9" s="31"/>
      <c r="AV9" s="31"/>
      <c r="AW9" s="31"/>
      <c r="AX9" s="31"/>
      <c r="AY9" s="31"/>
      <c r="AZ9" s="33"/>
      <c r="BA9" s="46"/>
      <c r="BB9" s="78"/>
      <c r="BC9" s="34"/>
      <c r="BD9" s="28"/>
    </row>
    <row r="10" spans="1:59" ht="13.5" customHeight="1">
      <c r="A10" s="22"/>
      <c r="B10" s="201"/>
      <c r="C10" s="43" t="s">
        <v>49</v>
      </c>
      <c r="D10" s="31"/>
      <c r="E10" s="31"/>
      <c r="F10" s="31" t="s">
        <v>53</v>
      </c>
      <c r="G10" s="31"/>
      <c r="H10" s="127" t="s">
        <v>52</v>
      </c>
      <c r="I10" s="75"/>
      <c r="J10" s="75"/>
      <c r="K10" s="75"/>
      <c r="L10" s="75"/>
      <c r="M10" s="75"/>
      <c r="N10" s="75"/>
      <c r="O10" s="75"/>
      <c r="P10" s="75"/>
      <c r="Q10" s="75"/>
      <c r="R10" s="75"/>
      <c r="S10" s="75"/>
      <c r="T10" s="63"/>
      <c r="U10" s="63"/>
      <c r="V10" s="63"/>
      <c r="W10" s="63"/>
      <c r="X10" s="62"/>
      <c r="Y10" s="63"/>
      <c r="Z10" s="63"/>
      <c r="AA10" s="63"/>
      <c r="AB10" s="64"/>
      <c r="AC10" s="63"/>
      <c r="AD10" s="65"/>
      <c r="AE10" s="65"/>
      <c r="AF10" s="65"/>
      <c r="AG10" s="65"/>
      <c r="AH10" s="65"/>
      <c r="AI10" s="75"/>
      <c r="AJ10" s="63"/>
      <c r="AK10" s="63"/>
      <c r="AL10" s="63"/>
      <c r="AM10" s="63"/>
      <c r="AN10" s="125"/>
      <c r="AO10" s="62"/>
      <c r="AP10" s="62"/>
      <c r="AQ10" s="63"/>
      <c r="AR10" s="63"/>
      <c r="AS10" s="63"/>
      <c r="AT10" s="64"/>
      <c r="AU10" s="63"/>
      <c r="AV10" s="65"/>
      <c r="AW10" s="65"/>
      <c r="AX10" s="65"/>
      <c r="AY10" s="31"/>
      <c r="AZ10" s="33"/>
      <c r="BA10" s="46"/>
      <c r="BB10" s="78"/>
      <c r="BC10" s="34"/>
      <c r="BD10" s="28"/>
    </row>
    <row r="11" spans="1:59" ht="13.5" customHeight="1">
      <c r="A11" s="22"/>
      <c r="B11" s="201"/>
      <c r="C11" s="43" t="s">
        <v>50</v>
      </c>
      <c r="D11" s="31"/>
      <c r="E11" s="31"/>
      <c r="F11" s="31" t="s">
        <v>53</v>
      </c>
      <c r="G11" s="31"/>
      <c r="H11" s="75" t="s">
        <v>54</v>
      </c>
      <c r="I11" s="75"/>
      <c r="J11" s="75"/>
      <c r="K11" s="75"/>
      <c r="L11" s="75"/>
      <c r="M11" s="75"/>
      <c r="N11" s="75"/>
      <c r="O11" s="75"/>
      <c r="P11" s="75"/>
      <c r="Q11" s="75"/>
      <c r="R11" s="75"/>
      <c r="S11" s="75"/>
      <c r="T11" s="63"/>
      <c r="U11" s="63"/>
      <c r="V11" s="63"/>
      <c r="W11" s="63"/>
      <c r="X11" s="62"/>
      <c r="Y11" s="63"/>
      <c r="Z11" s="63"/>
      <c r="AA11" s="63"/>
      <c r="AB11" s="64"/>
      <c r="AC11" s="63"/>
      <c r="AD11" s="65"/>
      <c r="AE11" s="65"/>
      <c r="AF11" s="65"/>
      <c r="AG11" s="65"/>
      <c r="AH11" s="65"/>
      <c r="AI11" s="75"/>
      <c r="AJ11" s="63"/>
      <c r="AK11" s="63"/>
      <c r="AL11" s="63"/>
      <c r="AM11" s="63"/>
      <c r="AN11" s="125"/>
      <c r="AO11" s="62"/>
      <c r="AP11" s="62"/>
      <c r="AQ11" s="63"/>
      <c r="AR11" s="63"/>
      <c r="AS11" s="63"/>
      <c r="AT11" s="64"/>
      <c r="AU11" s="63"/>
      <c r="AV11" s="65"/>
      <c r="AW11" s="65"/>
      <c r="AX11" s="65"/>
      <c r="AY11" s="31"/>
      <c r="AZ11" s="33"/>
      <c r="BA11" s="46"/>
      <c r="BB11" s="78"/>
      <c r="BC11" s="34"/>
      <c r="BD11" s="28"/>
    </row>
    <row r="12" spans="1:59" ht="13.5" customHeight="1">
      <c r="A12" s="22"/>
      <c r="B12" s="201"/>
      <c r="C12" s="43" t="s">
        <v>51</v>
      </c>
      <c r="D12" s="31"/>
      <c r="E12" s="31"/>
      <c r="F12" s="31" t="s">
        <v>53</v>
      </c>
      <c r="G12" s="31"/>
      <c r="H12" s="75" t="s">
        <v>55</v>
      </c>
      <c r="I12" s="75"/>
      <c r="J12" s="75"/>
      <c r="K12" s="75"/>
      <c r="L12" s="75" t="s">
        <v>56</v>
      </c>
      <c r="M12" s="75"/>
      <c r="N12" s="75"/>
      <c r="O12" s="75" t="s">
        <v>57</v>
      </c>
      <c r="P12" s="75"/>
      <c r="Q12" s="75"/>
      <c r="R12" s="75"/>
      <c r="S12" s="75"/>
      <c r="T12" s="63"/>
      <c r="U12" s="63"/>
      <c r="V12" s="63"/>
      <c r="W12" s="63"/>
      <c r="X12" s="62"/>
      <c r="Y12" s="63"/>
      <c r="Z12" s="63"/>
      <c r="AA12" s="63"/>
      <c r="AB12" s="64"/>
      <c r="AC12" s="63"/>
      <c r="AD12" s="65"/>
      <c r="AE12" s="65"/>
      <c r="AF12" s="65"/>
      <c r="AG12" s="65"/>
      <c r="AH12" s="65"/>
      <c r="AI12" s="75"/>
      <c r="AJ12" s="63"/>
      <c r="AK12" s="63"/>
      <c r="AL12" s="63"/>
      <c r="AM12" s="63"/>
      <c r="AN12" s="125"/>
      <c r="AO12" s="62"/>
      <c r="AP12" s="62"/>
      <c r="AQ12" s="63"/>
      <c r="AR12" s="63"/>
      <c r="AS12" s="63"/>
      <c r="AT12" s="64"/>
      <c r="AU12" s="63"/>
      <c r="AV12" s="65"/>
      <c r="AW12" s="65"/>
      <c r="AX12" s="65"/>
      <c r="AY12" s="31"/>
      <c r="AZ12" s="33"/>
      <c r="BA12" s="46"/>
      <c r="BB12" s="78"/>
      <c r="BC12" s="34"/>
      <c r="BD12" s="28"/>
    </row>
    <row r="13" spans="1:59" ht="13.5" customHeight="1">
      <c r="A13" s="22"/>
      <c r="B13" s="202">
        <v>1</v>
      </c>
      <c r="C13" s="203">
        <v>2</v>
      </c>
      <c r="D13" s="203">
        <v>3</v>
      </c>
      <c r="E13" s="203">
        <v>4</v>
      </c>
      <c r="F13" s="203">
        <v>5</v>
      </c>
      <c r="G13" s="203">
        <v>6</v>
      </c>
      <c r="H13" s="203">
        <v>7</v>
      </c>
      <c r="I13" s="203">
        <v>8</v>
      </c>
      <c r="J13" s="203">
        <v>9</v>
      </c>
      <c r="K13" s="203">
        <v>10</v>
      </c>
      <c r="L13" s="203">
        <v>11</v>
      </c>
      <c r="M13" s="203">
        <v>12</v>
      </c>
      <c r="N13" s="203">
        <v>13</v>
      </c>
      <c r="O13" s="203">
        <v>14</v>
      </c>
      <c r="P13" s="203">
        <v>15</v>
      </c>
      <c r="Q13" s="203">
        <v>16</v>
      </c>
      <c r="R13" s="203">
        <v>17</v>
      </c>
      <c r="S13" s="203">
        <v>18</v>
      </c>
      <c r="T13" s="203">
        <v>19</v>
      </c>
      <c r="U13" s="203">
        <v>20</v>
      </c>
      <c r="V13" s="203">
        <v>21</v>
      </c>
      <c r="W13" s="203">
        <v>22</v>
      </c>
      <c r="X13" s="203">
        <v>23</v>
      </c>
      <c r="Y13" s="203">
        <v>24</v>
      </c>
      <c r="Z13" s="203">
        <v>25</v>
      </c>
      <c r="AA13" s="203">
        <v>26</v>
      </c>
      <c r="AB13" s="203">
        <v>27</v>
      </c>
      <c r="AC13" s="203">
        <v>28</v>
      </c>
      <c r="AD13" s="203">
        <v>29</v>
      </c>
      <c r="AE13" s="203">
        <v>30</v>
      </c>
      <c r="AF13" s="203">
        <v>31</v>
      </c>
      <c r="AG13" s="203">
        <v>32</v>
      </c>
      <c r="AH13" s="203">
        <v>33</v>
      </c>
      <c r="AI13" s="203">
        <v>34</v>
      </c>
      <c r="AJ13" s="203">
        <v>35</v>
      </c>
      <c r="AK13" s="203">
        <v>36</v>
      </c>
      <c r="AL13" s="203">
        <v>37</v>
      </c>
      <c r="AM13" s="203">
        <v>38</v>
      </c>
      <c r="AN13" s="203">
        <v>39</v>
      </c>
      <c r="AO13" s="203">
        <v>40</v>
      </c>
      <c r="AP13" s="203"/>
      <c r="AQ13" s="203">
        <v>41</v>
      </c>
      <c r="AR13" s="203">
        <v>42</v>
      </c>
      <c r="AS13" s="203">
        <v>43</v>
      </c>
      <c r="AT13" s="203">
        <v>44</v>
      </c>
      <c r="AU13" s="203">
        <v>45</v>
      </c>
      <c r="AV13" s="203">
        <v>46</v>
      </c>
      <c r="AW13" s="203">
        <v>47</v>
      </c>
      <c r="AX13" s="65"/>
      <c r="AY13" s="31"/>
      <c r="AZ13" s="33"/>
      <c r="BA13" s="46"/>
      <c r="BB13" s="78"/>
      <c r="BC13" s="34"/>
      <c r="BD13" s="28"/>
      <c r="BE13" s="24"/>
      <c r="BF13" s="24"/>
    </row>
    <row r="14" spans="1:59" ht="13.5" customHeight="1">
      <c r="A14" s="22"/>
      <c r="B14" s="202">
        <v>2</v>
      </c>
      <c r="C14" s="204" t="s">
        <v>103</v>
      </c>
      <c r="D14" s="28"/>
      <c r="E14" s="28"/>
      <c r="F14" s="28"/>
      <c r="G14" s="28"/>
      <c r="H14" s="121"/>
      <c r="I14" s="62"/>
      <c r="J14" s="63"/>
      <c r="K14" s="62"/>
      <c r="L14" s="63"/>
      <c r="M14" s="69"/>
      <c r="N14" s="69"/>
      <c r="O14" s="65"/>
      <c r="P14" s="69"/>
      <c r="Q14" s="65"/>
      <c r="R14" s="69"/>
      <c r="S14" s="28"/>
      <c r="T14" s="28"/>
      <c r="U14" s="28"/>
      <c r="V14" s="28"/>
      <c r="W14" s="28"/>
      <c r="X14" s="121"/>
      <c r="Y14" s="62"/>
      <c r="Z14" s="63"/>
      <c r="AA14" s="62"/>
      <c r="AB14" s="63"/>
      <c r="AC14" s="69"/>
      <c r="AD14" s="69"/>
      <c r="AE14" s="65"/>
      <c r="AF14" s="69"/>
      <c r="AG14" s="65"/>
      <c r="AH14" s="69"/>
      <c r="AI14" s="64"/>
      <c r="AJ14" s="69"/>
      <c r="AK14" s="65"/>
      <c r="AL14" s="28"/>
      <c r="AM14" s="28"/>
      <c r="AN14" s="28"/>
      <c r="AO14" s="28"/>
      <c r="AP14" s="28"/>
      <c r="AQ14" s="28"/>
      <c r="AR14" s="28"/>
      <c r="AS14" s="28"/>
      <c r="AT14" s="28"/>
      <c r="AU14" s="28"/>
      <c r="AV14" s="233"/>
      <c r="AW14" s="28"/>
      <c r="AX14" s="65"/>
      <c r="AY14" s="31"/>
      <c r="AZ14" s="33"/>
      <c r="BA14" s="46"/>
      <c r="BB14" s="78"/>
      <c r="BC14" s="34"/>
      <c r="BD14" s="28"/>
    </row>
    <row r="15" spans="1:59" ht="5.15" customHeight="1">
      <c r="A15" s="22"/>
      <c r="B15" s="202"/>
      <c r="C15" s="296"/>
      <c r="D15" s="72"/>
      <c r="E15" s="72"/>
      <c r="F15" s="72"/>
      <c r="G15" s="72"/>
      <c r="H15" s="297"/>
      <c r="I15" s="278"/>
      <c r="J15" s="279"/>
      <c r="K15" s="278"/>
      <c r="L15" s="279"/>
      <c r="M15" s="298"/>
      <c r="N15" s="298"/>
      <c r="O15" s="263"/>
      <c r="P15" s="298"/>
      <c r="Q15" s="263"/>
      <c r="R15" s="298"/>
      <c r="S15" s="281"/>
      <c r="T15" s="72"/>
      <c r="U15" s="72"/>
      <c r="V15" s="72"/>
      <c r="W15" s="72"/>
      <c r="X15" s="72"/>
      <c r="Y15" s="297"/>
      <c r="Z15" s="278"/>
      <c r="AA15" s="279"/>
      <c r="AB15" s="278"/>
      <c r="AC15" s="279"/>
      <c r="AD15" s="298"/>
      <c r="AE15" s="298"/>
      <c r="AF15" s="263"/>
      <c r="AG15" s="298"/>
      <c r="AH15" s="298"/>
      <c r="AI15" s="280"/>
      <c r="AJ15" s="298"/>
      <c r="AK15" s="263"/>
      <c r="AL15" s="72"/>
      <c r="AM15" s="72"/>
      <c r="AN15" s="72"/>
      <c r="AO15" s="72"/>
      <c r="AP15" s="72"/>
      <c r="AQ15" s="72"/>
      <c r="AR15" s="72"/>
      <c r="AS15" s="279"/>
      <c r="AT15" s="280"/>
      <c r="AU15" s="279"/>
      <c r="AV15" s="263"/>
      <c r="AW15" s="263"/>
      <c r="AX15" s="263"/>
      <c r="AY15" s="265"/>
      <c r="AZ15" s="33"/>
      <c r="BA15" s="46"/>
      <c r="BB15" s="78"/>
      <c r="BC15" s="34"/>
      <c r="BD15" s="28"/>
    </row>
    <row r="16" spans="1:59" ht="13.5" customHeight="1">
      <c r="A16" s="22"/>
      <c r="B16" s="45"/>
      <c r="C16" s="266" t="s">
        <v>104</v>
      </c>
      <c r="D16" s="28"/>
      <c r="E16" s="28"/>
      <c r="F16" s="28"/>
      <c r="G16" s="28"/>
      <c r="H16" s="255" t="s">
        <v>170</v>
      </c>
      <c r="I16" s="255"/>
      <c r="J16" s="255"/>
      <c r="K16" s="26"/>
      <c r="L16" s="26"/>
      <c r="M16" s="105"/>
      <c r="N16" s="100"/>
      <c r="O16" s="67"/>
      <c r="P16" s="67"/>
      <c r="Q16" s="101"/>
      <c r="R16" s="100"/>
      <c r="S16" s="100"/>
      <c r="T16" s="100"/>
      <c r="U16" s="67"/>
      <c r="V16" s="101"/>
      <c r="W16" s="100"/>
      <c r="X16" s="65"/>
      <c r="Y16" s="28"/>
      <c r="Z16" s="28"/>
      <c r="AA16" s="28"/>
      <c r="AB16" s="28"/>
      <c r="AC16" s="28"/>
      <c r="AD16" s="28"/>
      <c r="AE16" s="28"/>
      <c r="AF16" s="28"/>
      <c r="AG16" s="28"/>
      <c r="AH16" s="28"/>
      <c r="AI16" s="28"/>
      <c r="AJ16" s="28"/>
      <c r="AK16" s="28"/>
      <c r="AL16" s="28"/>
      <c r="AM16" s="31"/>
      <c r="AN16" s="31"/>
      <c r="AO16" s="31"/>
      <c r="AP16" s="31"/>
      <c r="AQ16" s="31"/>
      <c r="AR16" s="31"/>
      <c r="AS16" s="31"/>
      <c r="AT16" s="31"/>
      <c r="AU16" s="31"/>
      <c r="AV16" s="31"/>
      <c r="AW16" s="31"/>
      <c r="AX16" s="65"/>
      <c r="AY16" s="267"/>
      <c r="AZ16" s="33"/>
      <c r="BA16" s="46"/>
      <c r="BB16" s="78"/>
      <c r="BC16" s="34"/>
      <c r="BD16" s="28"/>
      <c r="BE16" s="35"/>
      <c r="BF16" s="35"/>
      <c r="BG16" s="35"/>
    </row>
    <row r="17" spans="1:59" ht="13.5" customHeight="1">
      <c r="A17" s="22"/>
      <c r="B17" s="202">
        <v>3</v>
      </c>
      <c r="C17" s="266" t="s">
        <v>58</v>
      </c>
      <c r="D17" s="31"/>
      <c r="E17" s="31"/>
      <c r="F17" s="31"/>
      <c r="G17" s="31"/>
      <c r="H17" s="58"/>
      <c r="I17" s="59"/>
      <c r="J17" s="59"/>
      <c r="K17" s="59"/>
      <c r="L17" s="60"/>
      <c r="M17" s="59"/>
      <c r="N17" s="61"/>
      <c r="O17" s="61"/>
      <c r="P17" s="61"/>
      <c r="Q17" s="61"/>
      <c r="R17" s="61"/>
      <c r="S17" s="128"/>
      <c r="T17" s="59"/>
      <c r="U17" s="59"/>
      <c r="V17" s="59"/>
      <c r="W17" s="59"/>
      <c r="X17" s="123"/>
      <c r="Y17" s="59"/>
      <c r="Z17" s="59"/>
      <c r="AA17" s="59"/>
      <c r="AB17" s="60"/>
      <c r="AC17" s="59"/>
      <c r="AD17" s="61"/>
      <c r="AE17" s="61"/>
      <c r="AF17" s="61"/>
      <c r="AG17" s="61"/>
      <c r="AH17" s="94"/>
      <c r="AI17" s="75"/>
      <c r="AJ17" s="63"/>
      <c r="AK17" s="63"/>
      <c r="AL17" s="63"/>
      <c r="AM17" s="63"/>
      <c r="AN17" s="125"/>
      <c r="AO17" s="62"/>
      <c r="AP17" s="62"/>
      <c r="AQ17" s="63"/>
      <c r="AR17" s="63"/>
      <c r="AS17" s="63"/>
      <c r="AT17" s="64"/>
      <c r="AU17" s="63"/>
      <c r="AV17" s="65"/>
      <c r="AW17" s="65"/>
      <c r="AX17" s="65"/>
      <c r="AY17" s="267"/>
      <c r="AZ17" s="33"/>
      <c r="BA17" s="46"/>
      <c r="BB17" s="78"/>
      <c r="BC17" s="34"/>
      <c r="BD17" s="28"/>
      <c r="BE17" s="35"/>
      <c r="BF17" s="35"/>
      <c r="BG17" s="35"/>
    </row>
    <row r="18" spans="1:59" ht="13.5" customHeight="1">
      <c r="A18" s="22"/>
      <c r="B18" s="201"/>
      <c r="C18" s="266" t="s">
        <v>39</v>
      </c>
      <c r="D18" s="31"/>
      <c r="E18" s="31"/>
      <c r="F18" s="31"/>
      <c r="G18" s="31"/>
      <c r="H18" s="58"/>
      <c r="I18" s="59"/>
      <c r="J18" s="59"/>
      <c r="K18" s="59"/>
      <c r="L18" s="60"/>
      <c r="M18" s="59"/>
      <c r="N18" s="61"/>
      <c r="O18" s="61"/>
      <c r="P18" s="61"/>
      <c r="Q18" s="189"/>
      <c r="R18" s="74"/>
      <c r="S18" s="75"/>
      <c r="T18" s="114" t="s">
        <v>59</v>
      </c>
      <c r="U18" s="31"/>
      <c r="V18" s="31"/>
      <c r="W18" s="31"/>
      <c r="X18" s="31"/>
      <c r="Y18" s="58"/>
      <c r="Z18" s="59"/>
      <c r="AA18" s="59"/>
      <c r="AB18" s="59"/>
      <c r="AC18" s="60"/>
      <c r="AD18" s="59"/>
      <c r="AE18" s="61"/>
      <c r="AF18" s="61"/>
      <c r="AG18" s="70"/>
      <c r="AH18" s="65"/>
      <c r="AI18" s="75"/>
      <c r="AJ18" s="63"/>
      <c r="AK18" s="75" t="s">
        <v>60</v>
      </c>
      <c r="AL18" s="63"/>
      <c r="AM18" s="63"/>
      <c r="AN18" s="63"/>
      <c r="AO18" s="63"/>
      <c r="AP18" s="58"/>
      <c r="AQ18" s="59"/>
      <c r="AR18" s="59"/>
      <c r="AS18" s="59"/>
      <c r="AT18" s="60"/>
      <c r="AU18" s="59"/>
      <c r="AV18" s="61"/>
      <c r="AW18" s="61"/>
      <c r="AX18" s="70"/>
      <c r="AY18" s="267"/>
      <c r="AZ18" s="33"/>
      <c r="BA18" s="46"/>
      <c r="BB18" s="78"/>
      <c r="BC18" s="34"/>
      <c r="BD18" s="28"/>
      <c r="BE18" s="35"/>
      <c r="BF18" s="35"/>
      <c r="BG18" s="35"/>
    </row>
    <row r="19" spans="1:59" ht="13.5" customHeight="1">
      <c r="A19" s="22"/>
      <c r="B19" s="201"/>
      <c r="C19" s="266" t="s">
        <v>61</v>
      </c>
      <c r="D19" s="31"/>
      <c r="E19" s="31"/>
      <c r="F19" s="31"/>
      <c r="G19" s="31"/>
      <c r="H19" s="58"/>
      <c r="I19" s="59"/>
      <c r="J19" s="59"/>
      <c r="K19" s="59"/>
      <c r="L19" s="60"/>
      <c r="M19" s="59"/>
      <c r="N19" s="61"/>
      <c r="O19" s="61"/>
      <c r="P19" s="99" t="s">
        <v>33</v>
      </c>
      <c r="Q19" s="94"/>
      <c r="R19" s="65"/>
      <c r="S19" s="35"/>
      <c r="T19" s="43" t="s">
        <v>62</v>
      </c>
      <c r="U19" s="63"/>
      <c r="V19" s="63"/>
      <c r="W19" s="63"/>
      <c r="X19" s="63"/>
      <c r="Y19" s="124" t="s">
        <v>70</v>
      </c>
      <c r="Z19" s="59"/>
      <c r="AA19" s="59"/>
      <c r="AB19" s="59"/>
      <c r="AC19" s="60"/>
      <c r="AD19" s="59"/>
      <c r="AE19" s="61"/>
      <c r="AF19" s="61"/>
      <c r="AG19" s="70"/>
      <c r="AH19" s="65"/>
      <c r="AI19" s="75"/>
      <c r="AJ19" s="63"/>
      <c r="AK19" s="63"/>
      <c r="AL19" s="63"/>
      <c r="AM19" s="63"/>
      <c r="AN19" s="125"/>
      <c r="AO19" s="62"/>
      <c r="AP19" s="62"/>
      <c r="AQ19" s="63"/>
      <c r="AR19" s="63"/>
      <c r="AS19" s="63"/>
      <c r="AT19" s="64"/>
      <c r="AU19" s="63"/>
      <c r="AV19" s="65"/>
      <c r="AW19" s="65"/>
      <c r="AX19" s="65"/>
      <c r="AY19" s="267"/>
      <c r="AZ19" s="33"/>
      <c r="BA19" s="46"/>
      <c r="BB19" s="78"/>
      <c r="BC19" s="34"/>
      <c r="BD19" s="28"/>
      <c r="BE19" s="35"/>
      <c r="BF19" s="35"/>
      <c r="BG19" s="35"/>
    </row>
    <row r="20" spans="1:59" ht="13.5" customHeight="1">
      <c r="A20" s="22"/>
      <c r="B20" s="201"/>
      <c r="C20" s="266" t="s">
        <v>106</v>
      </c>
      <c r="D20" s="31"/>
      <c r="E20" s="31"/>
      <c r="F20" s="31"/>
      <c r="G20" s="31"/>
      <c r="H20" s="58"/>
      <c r="I20" s="59"/>
      <c r="J20" s="59"/>
      <c r="K20" s="456">
        <v>0.05</v>
      </c>
      <c r="L20" s="299" t="s">
        <v>107</v>
      </c>
      <c r="M20" s="103"/>
      <c r="N20" s="74"/>
      <c r="O20" s="74"/>
      <c r="P20" s="74"/>
      <c r="Q20" s="65"/>
      <c r="R20" s="65"/>
      <c r="S20" s="35"/>
      <c r="T20" s="35"/>
      <c r="U20" s="35"/>
      <c r="V20" s="63"/>
      <c r="W20" s="63"/>
      <c r="X20" s="63"/>
      <c r="Y20" s="102"/>
      <c r="Z20" s="103"/>
      <c r="AA20" s="103"/>
      <c r="AB20" s="103"/>
      <c r="AC20" s="104"/>
      <c r="AD20" s="103"/>
      <c r="AE20" s="74"/>
      <c r="AF20" s="74"/>
      <c r="AG20" s="74"/>
      <c r="AH20" s="65"/>
      <c r="AI20" s="75"/>
      <c r="AJ20" s="63"/>
      <c r="AK20" s="63"/>
      <c r="AL20" s="63"/>
      <c r="AM20" s="63"/>
      <c r="AN20" s="125"/>
      <c r="AO20" s="62"/>
      <c r="AP20" s="62"/>
      <c r="AQ20" s="63"/>
      <c r="AR20" s="63"/>
      <c r="AS20" s="63"/>
      <c r="AT20" s="64"/>
      <c r="AU20" s="63"/>
      <c r="AV20" s="65"/>
      <c r="AW20" s="65"/>
      <c r="AX20" s="65"/>
      <c r="AY20" s="267"/>
      <c r="AZ20" s="33"/>
      <c r="BA20" s="46"/>
      <c r="BB20" s="78"/>
      <c r="BC20" s="34"/>
      <c r="BD20" s="28"/>
      <c r="BE20" s="35"/>
      <c r="BF20" s="35"/>
      <c r="BG20" s="35"/>
    </row>
    <row r="21" spans="1:59" ht="5.15" customHeight="1">
      <c r="A21" s="22"/>
      <c r="B21" s="201"/>
      <c r="C21" s="268"/>
      <c r="D21" s="269"/>
      <c r="E21" s="269"/>
      <c r="F21" s="269"/>
      <c r="G21" s="269"/>
      <c r="H21" s="275"/>
      <c r="I21" s="273"/>
      <c r="J21" s="273"/>
      <c r="K21" s="273"/>
      <c r="L21" s="276"/>
      <c r="M21" s="273"/>
      <c r="N21" s="270"/>
      <c r="O21" s="270"/>
      <c r="P21" s="270"/>
      <c r="Q21" s="270"/>
      <c r="R21" s="270"/>
      <c r="S21" s="271"/>
      <c r="T21" s="272"/>
      <c r="U21" s="273"/>
      <c r="V21" s="273"/>
      <c r="W21" s="273"/>
      <c r="X21" s="273"/>
      <c r="Y21" s="275"/>
      <c r="Z21" s="273"/>
      <c r="AA21" s="273"/>
      <c r="AB21" s="273"/>
      <c r="AC21" s="276"/>
      <c r="AD21" s="273"/>
      <c r="AE21" s="270"/>
      <c r="AF21" s="270"/>
      <c r="AG21" s="270"/>
      <c r="AH21" s="270"/>
      <c r="AI21" s="272"/>
      <c r="AJ21" s="273"/>
      <c r="AK21" s="273"/>
      <c r="AL21" s="273"/>
      <c r="AM21" s="273"/>
      <c r="AN21" s="274"/>
      <c r="AO21" s="275"/>
      <c r="AP21" s="275"/>
      <c r="AQ21" s="273"/>
      <c r="AR21" s="273"/>
      <c r="AS21" s="273"/>
      <c r="AT21" s="276"/>
      <c r="AU21" s="273"/>
      <c r="AV21" s="270"/>
      <c r="AW21" s="270"/>
      <c r="AX21" s="270"/>
      <c r="AY21" s="277"/>
      <c r="AZ21" s="33"/>
      <c r="BA21" s="46"/>
      <c r="BB21" s="78"/>
      <c r="BC21" s="34"/>
      <c r="BD21" s="28"/>
      <c r="BE21" s="35"/>
      <c r="BF21" s="35"/>
      <c r="BG21" s="35"/>
    </row>
    <row r="22" spans="1:59" ht="13.5" customHeight="1">
      <c r="A22" s="22"/>
      <c r="B22" s="32"/>
      <c r="C22" s="64"/>
      <c r="D22" s="62"/>
      <c r="E22" s="63"/>
      <c r="F22" s="63"/>
      <c r="G22" s="63"/>
      <c r="H22" s="69"/>
      <c r="I22" s="69"/>
      <c r="J22" s="65"/>
      <c r="K22" s="69"/>
      <c r="L22" s="65"/>
      <c r="M22" s="69"/>
      <c r="N22" s="64"/>
      <c r="O22" s="69"/>
      <c r="P22" s="65"/>
      <c r="Q22" s="28"/>
      <c r="R22" s="28"/>
      <c r="T22" s="31"/>
      <c r="U22" s="31"/>
      <c r="V22" s="31"/>
      <c r="W22" s="31"/>
      <c r="X22" s="31"/>
      <c r="Y22" s="44"/>
      <c r="Z22" s="31"/>
      <c r="AA22" s="28"/>
      <c r="AB22" s="44"/>
      <c r="AC22" s="31"/>
      <c r="AD22" s="28"/>
      <c r="AE22" s="44"/>
      <c r="AF22" s="28"/>
      <c r="AG22" s="28"/>
      <c r="AH22" s="28"/>
      <c r="AI22" s="28"/>
      <c r="AJ22" s="76"/>
      <c r="AK22" s="28"/>
      <c r="AL22" s="28"/>
      <c r="AM22" s="28"/>
      <c r="AN22" s="28"/>
      <c r="AO22" s="28"/>
      <c r="AP22" s="28"/>
      <c r="AQ22" s="28"/>
      <c r="AR22" s="28"/>
      <c r="AS22" s="63"/>
      <c r="AT22" s="64"/>
      <c r="AU22" s="63"/>
      <c r="AV22" s="65"/>
      <c r="AW22" s="65"/>
      <c r="AX22" s="65"/>
      <c r="AY22" s="31"/>
      <c r="AZ22" s="33"/>
      <c r="BA22" s="46"/>
      <c r="BB22" s="78"/>
      <c r="BC22" s="34"/>
      <c r="BD22" s="28"/>
    </row>
    <row r="23" spans="1:59" ht="13.5" customHeight="1">
      <c r="A23" s="22"/>
      <c r="B23" s="202">
        <v>2</v>
      </c>
      <c r="C23" s="204" t="s">
        <v>108</v>
      </c>
      <c r="D23" s="28"/>
      <c r="E23" s="28"/>
      <c r="F23" s="28"/>
      <c r="G23" s="28"/>
      <c r="H23" s="121"/>
      <c r="I23" s="62"/>
      <c r="J23" s="63"/>
      <c r="K23" s="62"/>
      <c r="L23" s="63"/>
      <c r="M23" s="69"/>
      <c r="N23" s="69"/>
      <c r="O23" s="65"/>
      <c r="P23" s="69"/>
      <c r="Q23" s="65"/>
      <c r="R23" s="69"/>
      <c r="S23" s="35"/>
      <c r="T23" s="28"/>
      <c r="U23" s="28"/>
      <c r="V23" s="28"/>
      <c r="W23" s="28"/>
      <c r="X23" s="28"/>
      <c r="Y23" s="121"/>
      <c r="Z23" s="62"/>
      <c r="AA23" s="63"/>
      <c r="AB23" s="62"/>
      <c r="AC23" s="63"/>
      <c r="AD23" s="69"/>
      <c r="AE23" s="69"/>
      <c r="AF23" s="65"/>
      <c r="AG23" s="69"/>
      <c r="AH23" s="69"/>
      <c r="AI23" s="64"/>
      <c r="AJ23" s="69"/>
      <c r="AK23" s="65"/>
      <c r="AL23" s="28"/>
      <c r="AM23" s="28"/>
      <c r="AN23" s="28"/>
      <c r="AO23" s="28"/>
      <c r="AP23" s="28"/>
      <c r="AQ23" s="28"/>
      <c r="AR23" s="28"/>
      <c r="AS23" s="63"/>
      <c r="AT23" s="64"/>
      <c r="AU23" s="63"/>
      <c r="AV23" s="65"/>
      <c r="AW23" s="65"/>
      <c r="AX23" s="65"/>
      <c r="AY23" s="31"/>
      <c r="AZ23" s="33"/>
      <c r="BA23" s="46"/>
      <c r="BB23" s="78"/>
      <c r="BC23" s="34"/>
      <c r="BD23" s="28"/>
    </row>
    <row r="24" spans="1:59" ht="5.15" customHeight="1">
      <c r="A24" s="22"/>
      <c r="B24" s="202"/>
      <c r="C24" s="296"/>
      <c r="D24" s="72"/>
      <c r="E24" s="72"/>
      <c r="F24" s="72"/>
      <c r="G24" s="72"/>
      <c r="H24" s="297"/>
      <c r="I24" s="278"/>
      <c r="J24" s="279"/>
      <c r="K24" s="278"/>
      <c r="L24" s="279"/>
      <c r="M24" s="298"/>
      <c r="N24" s="298"/>
      <c r="O24" s="263"/>
      <c r="P24" s="298"/>
      <c r="Q24" s="263"/>
      <c r="R24" s="298"/>
      <c r="S24" s="281"/>
      <c r="T24" s="72"/>
      <c r="U24" s="72"/>
      <c r="V24" s="72"/>
      <c r="W24" s="72"/>
      <c r="X24" s="72"/>
      <c r="Y24" s="297"/>
      <c r="Z24" s="278"/>
      <c r="AA24" s="279"/>
      <c r="AB24" s="278"/>
      <c r="AC24" s="279"/>
      <c r="AD24" s="298"/>
      <c r="AE24" s="298"/>
      <c r="AF24" s="263"/>
      <c r="AG24" s="298"/>
      <c r="AH24" s="298"/>
      <c r="AI24" s="280"/>
      <c r="AJ24" s="298"/>
      <c r="AK24" s="263"/>
      <c r="AL24" s="72"/>
      <c r="AM24" s="72"/>
      <c r="AN24" s="72"/>
      <c r="AO24" s="72"/>
      <c r="AP24" s="72"/>
      <c r="AQ24" s="72"/>
      <c r="AR24" s="72"/>
      <c r="AS24" s="279"/>
      <c r="AT24" s="280"/>
      <c r="AU24" s="279"/>
      <c r="AV24" s="263"/>
      <c r="AW24" s="263"/>
      <c r="AX24" s="263"/>
      <c r="AY24" s="265"/>
      <c r="AZ24" s="33"/>
      <c r="BA24" s="46"/>
      <c r="BB24" s="78"/>
      <c r="BC24" s="34"/>
      <c r="BD24" s="28"/>
    </row>
    <row r="25" spans="1:59" ht="13.5" customHeight="1">
      <c r="A25" s="22"/>
      <c r="B25" s="45"/>
      <c r="C25" s="266" t="s">
        <v>109</v>
      </c>
      <c r="D25" s="28"/>
      <c r="E25" s="28"/>
      <c r="F25" s="28"/>
      <c r="G25" s="28"/>
      <c r="H25" s="58"/>
      <c r="I25" s="59"/>
      <c r="J25" s="59"/>
      <c r="K25" s="59"/>
      <c r="L25" s="60"/>
      <c r="M25" s="59"/>
      <c r="N25" s="70"/>
      <c r="O25" s="94" t="s">
        <v>110</v>
      </c>
      <c r="Q25" s="64"/>
      <c r="R25" s="63"/>
      <c r="S25" s="35"/>
      <c r="T25" s="28" t="s">
        <v>119</v>
      </c>
      <c r="U25" s="28"/>
      <c r="V25" s="28"/>
      <c r="W25" s="28"/>
      <c r="Y25" s="58"/>
      <c r="Z25" s="59"/>
      <c r="AA25" s="59"/>
      <c r="AB25" s="59"/>
      <c r="AC25" s="60"/>
      <c r="AD25" s="59"/>
      <c r="AE25" s="61"/>
      <c r="AF25" s="70"/>
      <c r="AG25" s="94" t="s">
        <v>112</v>
      </c>
      <c r="AH25" s="28"/>
      <c r="AI25" s="28"/>
      <c r="AJ25" s="28"/>
      <c r="AK25" s="28" t="s">
        <v>113</v>
      </c>
      <c r="AL25" s="28"/>
      <c r="AM25" s="28"/>
      <c r="AN25" s="28"/>
      <c r="AO25" s="35"/>
      <c r="AP25" s="54"/>
      <c r="AQ25" s="55"/>
      <c r="AR25" s="55"/>
      <c r="AS25" s="55"/>
      <c r="AT25" s="56"/>
      <c r="AU25" s="55"/>
      <c r="AV25" s="57"/>
      <c r="AW25" s="66"/>
      <c r="AX25" s="94" t="s">
        <v>114</v>
      </c>
      <c r="AY25" s="283"/>
      <c r="AZ25" s="33"/>
      <c r="BA25" s="46"/>
      <c r="BB25" s="78"/>
      <c r="BC25" s="34"/>
      <c r="BD25" s="28"/>
      <c r="BE25" s="35"/>
      <c r="BF25" s="35"/>
      <c r="BG25" s="35"/>
    </row>
    <row r="26" spans="1:59" ht="13.5" customHeight="1">
      <c r="A26" s="22"/>
      <c r="B26" s="45"/>
      <c r="C26" s="282" t="s">
        <v>267</v>
      </c>
      <c r="D26" s="28"/>
      <c r="E26" s="28"/>
      <c r="F26" s="28"/>
      <c r="H26" s="58"/>
      <c r="I26" s="59"/>
      <c r="J26" s="59"/>
      <c r="K26" s="59"/>
      <c r="L26" s="60"/>
      <c r="M26" s="59"/>
      <c r="N26" s="61"/>
      <c r="O26" s="61"/>
      <c r="P26" s="70"/>
      <c r="Q26" s="64"/>
      <c r="R26" s="28"/>
      <c r="S26" s="35"/>
      <c r="T26" s="28" t="s">
        <v>265</v>
      </c>
      <c r="V26" s="28"/>
      <c r="W26" s="28"/>
      <c r="Y26" s="58"/>
      <c r="Z26" s="59"/>
      <c r="AA26" s="59"/>
      <c r="AB26" s="59"/>
      <c r="AC26" s="60"/>
      <c r="AD26" s="59"/>
      <c r="AE26" s="61"/>
      <c r="AF26" s="61"/>
      <c r="AG26" s="70"/>
      <c r="AH26" s="28"/>
      <c r="AI26" s="28"/>
      <c r="AJ26" s="28"/>
      <c r="AL26" s="28"/>
      <c r="AM26" s="28"/>
      <c r="AN26" s="28"/>
      <c r="AO26" s="35"/>
      <c r="AP26" s="62"/>
      <c r="AQ26" s="63"/>
      <c r="AR26" s="63"/>
      <c r="AS26" s="63"/>
      <c r="AT26" s="64"/>
      <c r="AU26" s="63"/>
      <c r="AV26" s="65"/>
      <c r="AW26" s="65"/>
      <c r="AX26" s="65"/>
      <c r="AY26" s="283"/>
      <c r="AZ26" s="33"/>
      <c r="BA26" s="46"/>
      <c r="BB26" s="78"/>
      <c r="BC26" s="34"/>
      <c r="BD26" s="28"/>
      <c r="BE26" s="35"/>
      <c r="BF26" s="35"/>
      <c r="BG26" s="35"/>
    </row>
    <row r="27" spans="1:59" ht="14.15" customHeight="1">
      <c r="A27" s="22"/>
      <c r="B27" s="256"/>
      <c r="C27" s="497" t="s">
        <v>273</v>
      </c>
      <c r="F27" s="285"/>
      <c r="G27" s="285"/>
      <c r="H27" s="98" t="s">
        <v>122</v>
      </c>
      <c r="I27" s="257"/>
      <c r="J27" s="258"/>
      <c r="K27" s="258"/>
      <c r="L27" s="258"/>
      <c r="M27" s="259"/>
      <c r="N27" s="258"/>
      <c r="O27" s="110"/>
      <c r="P27" s="260" t="s">
        <v>33</v>
      </c>
      <c r="R27" s="130"/>
      <c r="S27" s="35"/>
      <c r="T27" s="285" t="s">
        <v>274</v>
      </c>
      <c r="U27" s="35"/>
      <c r="V27" s="285"/>
      <c r="W27" s="285"/>
      <c r="X27" s="285"/>
      <c r="Y27" s="98" t="s">
        <v>123</v>
      </c>
      <c r="Z27" s="257"/>
      <c r="AA27" s="258"/>
      <c r="AB27" s="258"/>
      <c r="AC27" s="258"/>
      <c r="AD27" s="259"/>
      <c r="AE27" s="258"/>
      <c r="AF27" s="142"/>
      <c r="AG27" s="496" t="s">
        <v>33</v>
      </c>
      <c r="AH27" s="35"/>
      <c r="AI27" s="35"/>
      <c r="AJ27" s="285"/>
      <c r="AL27" s="35"/>
      <c r="AM27" s="285"/>
      <c r="AN27" s="35"/>
      <c r="AO27" s="35"/>
      <c r="AP27" s="26"/>
      <c r="AQ27" s="493"/>
      <c r="AR27" s="494"/>
      <c r="AS27" s="494"/>
      <c r="AT27" s="494"/>
      <c r="AU27" s="495"/>
      <c r="AV27" s="38"/>
      <c r="AW27" s="26"/>
      <c r="AX27" s="499"/>
      <c r="AY27" s="286"/>
      <c r="AZ27" s="33"/>
      <c r="BA27" s="46"/>
      <c r="BB27" s="78"/>
      <c r="BC27" s="34"/>
      <c r="BD27" s="35"/>
      <c r="BE27" s="35"/>
      <c r="BF27" s="35"/>
      <c r="BG27" s="35"/>
    </row>
    <row r="28" spans="1:59" ht="13.5" customHeight="1">
      <c r="A28" s="22"/>
      <c r="B28" s="45"/>
      <c r="C28" s="282" t="s">
        <v>268</v>
      </c>
      <c r="D28" s="28"/>
      <c r="E28" s="28"/>
      <c r="F28" s="28"/>
      <c r="H28" s="58"/>
      <c r="I28" s="59"/>
      <c r="J28" s="59"/>
      <c r="K28" s="59"/>
      <c r="L28" s="60"/>
      <c r="M28" s="59"/>
      <c r="N28" s="61"/>
      <c r="O28" s="61"/>
      <c r="P28" s="70"/>
      <c r="Q28" s="64"/>
      <c r="R28" s="28"/>
      <c r="S28" s="35"/>
      <c r="T28" s="28" t="s">
        <v>269</v>
      </c>
      <c r="U28" s="28"/>
      <c r="V28" s="28"/>
      <c r="W28" s="28"/>
      <c r="Y28" s="58"/>
      <c r="Z28" s="59"/>
      <c r="AA28" s="59"/>
      <c r="AB28" s="59"/>
      <c r="AC28" s="60"/>
      <c r="AD28" s="59"/>
      <c r="AE28" s="61"/>
      <c r="AF28" s="61"/>
      <c r="AG28" s="70"/>
      <c r="AH28" s="28"/>
      <c r="AI28" s="28"/>
      <c r="AJ28" s="28" t="s">
        <v>270</v>
      </c>
      <c r="AK28" s="28"/>
      <c r="AL28" s="28"/>
      <c r="AM28" s="28"/>
      <c r="AN28" s="28"/>
      <c r="AO28" s="35"/>
      <c r="AP28" s="58"/>
      <c r="AQ28" s="59"/>
      <c r="AR28" s="59"/>
      <c r="AS28" s="59"/>
      <c r="AT28" s="60"/>
      <c r="AU28" s="59"/>
      <c r="AV28" s="61"/>
      <c r="AW28" s="61"/>
      <c r="AX28" s="498"/>
      <c r="AY28" s="283"/>
      <c r="AZ28" s="33"/>
      <c r="BA28" s="46"/>
      <c r="BB28" s="78"/>
      <c r="BC28" s="34"/>
      <c r="BD28" s="28"/>
      <c r="BE28" s="35"/>
      <c r="BF28" s="35"/>
      <c r="BG28" s="35"/>
    </row>
    <row r="29" spans="1:59" ht="13.5" customHeight="1">
      <c r="A29" s="22"/>
      <c r="B29" s="45"/>
      <c r="C29" s="282" t="s">
        <v>118</v>
      </c>
      <c r="D29" s="28"/>
      <c r="E29" s="28"/>
      <c r="F29" s="28"/>
      <c r="H29" s="58"/>
      <c r="I29" s="59"/>
      <c r="J29" s="59"/>
      <c r="K29" s="59"/>
      <c r="L29" s="60"/>
      <c r="M29" s="59"/>
      <c r="N29" s="61"/>
      <c r="O29" s="61"/>
      <c r="P29" s="260" t="s">
        <v>33</v>
      </c>
      <c r="Q29" s="64"/>
      <c r="R29" s="28"/>
      <c r="S29" s="35"/>
      <c r="T29" s="26" t="s">
        <v>271</v>
      </c>
      <c r="U29" s="28"/>
      <c r="V29" s="28"/>
      <c r="W29" s="28"/>
      <c r="Y29" s="58"/>
      <c r="Z29" s="59"/>
      <c r="AA29" s="59"/>
      <c r="AB29" s="59"/>
      <c r="AC29" s="60"/>
      <c r="AD29" s="59"/>
      <c r="AE29" s="61"/>
      <c r="AF29" s="61"/>
      <c r="AG29" s="70"/>
      <c r="AH29" s="28"/>
      <c r="AI29" s="28"/>
      <c r="AJ29" s="28" t="s">
        <v>272</v>
      </c>
      <c r="AK29" s="28"/>
      <c r="AL29" s="28"/>
      <c r="AM29" s="28"/>
      <c r="AN29" s="28"/>
      <c r="AO29" s="35"/>
      <c r="AP29" s="58"/>
      <c r="AQ29" s="59"/>
      <c r="AR29" s="59"/>
      <c r="AS29" s="59"/>
      <c r="AT29" s="60"/>
      <c r="AU29" s="59"/>
      <c r="AV29" s="70"/>
      <c r="AW29" s="94" t="s">
        <v>266</v>
      </c>
      <c r="AX29" s="35"/>
      <c r="AY29" s="283"/>
      <c r="AZ29" s="33"/>
      <c r="BA29" s="46"/>
      <c r="BB29" s="78"/>
      <c r="BC29" s="34"/>
      <c r="BD29" s="28"/>
      <c r="BE29" s="35"/>
      <c r="BF29" s="35"/>
      <c r="BG29" s="35"/>
    </row>
    <row r="30" spans="1:59" ht="13.5" customHeight="1">
      <c r="A30" s="22"/>
      <c r="B30" s="32"/>
      <c r="C30" s="287" t="s">
        <v>124</v>
      </c>
      <c r="D30" s="41"/>
      <c r="E30" s="41"/>
      <c r="F30" s="41"/>
      <c r="G30" s="41"/>
      <c r="H30" s="163"/>
      <c r="I30" s="164"/>
      <c r="J30" s="165"/>
      <c r="K30" s="164"/>
      <c r="L30" s="165"/>
      <c r="M30" s="164"/>
      <c r="N30" s="166"/>
      <c r="O30" s="164"/>
      <c r="P30" s="165"/>
      <c r="Q30" s="165"/>
      <c r="R30" s="165"/>
      <c r="S30" s="167"/>
      <c r="T30" s="167"/>
      <c r="U30" s="167"/>
      <c r="V30" s="167"/>
      <c r="W30" s="167"/>
      <c r="X30" s="166"/>
      <c r="Y30" s="167"/>
      <c r="Z30" s="165"/>
      <c r="AA30" s="166"/>
      <c r="AB30" s="167"/>
      <c r="AC30" s="165"/>
      <c r="AD30" s="166"/>
      <c r="AE30" s="165"/>
      <c r="AF30" s="165"/>
      <c r="AG30" s="166"/>
      <c r="AH30" s="165"/>
      <c r="AI30" s="165"/>
      <c r="AJ30" s="168"/>
      <c r="AK30" s="165"/>
      <c r="AL30" s="165"/>
      <c r="AM30" s="165"/>
      <c r="AN30" s="165"/>
      <c r="AO30" s="165"/>
      <c r="AP30" s="165"/>
      <c r="AQ30" s="165"/>
      <c r="AR30" s="165"/>
      <c r="AS30" s="165"/>
      <c r="AT30" s="165"/>
      <c r="AU30" s="165"/>
      <c r="AV30" s="165"/>
      <c r="AW30" s="165"/>
      <c r="AX30" s="160" t="s">
        <v>37</v>
      </c>
      <c r="AY30" s="283"/>
      <c r="AZ30" s="33"/>
      <c r="BA30" s="46"/>
      <c r="BB30" s="78"/>
      <c r="BC30" s="34"/>
      <c r="BD30" s="28"/>
      <c r="BE30" s="35"/>
      <c r="BF30" s="35"/>
      <c r="BG30" s="35"/>
    </row>
    <row r="31" spans="1:59" ht="13.5" customHeight="1">
      <c r="A31" s="22"/>
      <c r="B31" s="32"/>
      <c r="C31" s="287"/>
      <c r="D31" s="41"/>
      <c r="E31" s="41"/>
      <c r="F31" s="41"/>
      <c r="G31" s="41"/>
      <c r="H31" s="169"/>
      <c r="I31" s="170"/>
      <c r="J31" s="171"/>
      <c r="K31" s="170"/>
      <c r="L31" s="171"/>
      <c r="M31" s="170"/>
      <c r="N31" s="172"/>
      <c r="O31" s="170"/>
      <c r="P31" s="171"/>
      <c r="Q31" s="171"/>
      <c r="R31" s="171"/>
      <c r="S31" s="173"/>
      <c r="T31" s="173"/>
      <c r="U31" s="173"/>
      <c r="V31" s="173"/>
      <c r="W31" s="173"/>
      <c r="X31" s="172"/>
      <c r="Y31" s="173"/>
      <c r="Z31" s="171"/>
      <c r="AA31" s="172"/>
      <c r="AB31" s="173"/>
      <c r="AC31" s="171"/>
      <c r="AD31" s="172"/>
      <c r="AE31" s="171"/>
      <c r="AF31" s="171"/>
      <c r="AG31" s="172"/>
      <c r="AH31" s="171"/>
      <c r="AI31" s="171"/>
      <c r="AJ31" s="174"/>
      <c r="AK31" s="171"/>
      <c r="AL31" s="171"/>
      <c r="AM31" s="171"/>
      <c r="AN31" s="171"/>
      <c r="AO31" s="171"/>
      <c r="AP31" s="171"/>
      <c r="AQ31" s="171"/>
      <c r="AR31" s="171"/>
      <c r="AS31" s="171"/>
      <c r="AT31" s="171"/>
      <c r="AU31" s="171"/>
      <c r="AV31" s="171"/>
      <c r="AW31" s="171"/>
      <c r="AX31" s="122" t="s">
        <v>33</v>
      </c>
      <c r="AY31" s="283"/>
      <c r="AZ31" s="33"/>
      <c r="BA31" s="46"/>
      <c r="BB31" s="78"/>
      <c r="BC31" s="34"/>
      <c r="BD31" s="28"/>
      <c r="BE31" s="35"/>
      <c r="BF31" s="35"/>
      <c r="BG31" s="35"/>
    </row>
    <row r="32" spans="1:59" ht="13.5" customHeight="1">
      <c r="A32" s="22"/>
      <c r="B32" s="32"/>
      <c r="C32" s="287" t="s">
        <v>126</v>
      </c>
      <c r="D32" s="41"/>
      <c r="E32" s="41"/>
      <c r="F32" s="41"/>
      <c r="G32" s="41"/>
      <c r="H32" s="163" t="s">
        <v>171</v>
      </c>
      <c r="I32" s="164"/>
      <c r="J32" s="165"/>
      <c r="K32" s="164"/>
      <c r="L32" s="165"/>
      <c r="M32" s="164"/>
      <c r="N32" s="166"/>
      <c r="O32" s="164"/>
      <c r="P32" s="165"/>
      <c r="Q32" s="165"/>
      <c r="R32" s="165"/>
      <c r="S32" s="167"/>
      <c r="T32" s="167"/>
      <c r="U32" s="167"/>
      <c r="V32" s="167"/>
      <c r="W32" s="167"/>
      <c r="X32" s="166"/>
      <c r="Y32" s="167"/>
      <c r="Z32" s="165"/>
      <c r="AA32" s="166"/>
      <c r="AB32" s="167"/>
      <c r="AC32" s="165"/>
      <c r="AD32" s="166"/>
      <c r="AE32" s="165"/>
      <c r="AF32" s="165"/>
      <c r="AG32" s="166"/>
      <c r="AH32" s="165"/>
      <c r="AI32" s="165"/>
      <c r="AJ32" s="168"/>
      <c r="AK32" s="165"/>
      <c r="AL32" s="165"/>
      <c r="AM32" s="165"/>
      <c r="AN32" s="165"/>
      <c r="AO32" s="165"/>
      <c r="AP32" s="165"/>
      <c r="AQ32" s="165"/>
      <c r="AR32" s="165"/>
      <c r="AS32" s="165"/>
      <c r="AT32" s="165"/>
      <c r="AU32" s="165"/>
      <c r="AV32" s="165"/>
      <c r="AW32" s="165"/>
      <c r="AX32" s="160" t="s">
        <v>37</v>
      </c>
      <c r="AY32" s="283"/>
      <c r="AZ32" s="33"/>
      <c r="BA32" s="46"/>
      <c r="BB32" s="78"/>
      <c r="BC32" s="34"/>
      <c r="BD32" s="28"/>
      <c r="BE32" s="35"/>
      <c r="BF32" s="35"/>
      <c r="BG32" s="35"/>
    </row>
    <row r="33" spans="1:59" ht="13.5" customHeight="1">
      <c r="A33" s="22"/>
      <c r="B33" s="32"/>
      <c r="C33" s="287"/>
      <c r="D33" s="41"/>
      <c r="E33" s="41"/>
      <c r="F33" s="41"/>
      <c r="G33" s="41"/>
      <c r="H33" s="169"/>
      <c r="I33" s="170"/>
      <c r="J33" s="171"/>
      <c r="K33" s="170"/>
      <c r="L33" s="171"/>
      <c r="M33" s="170"/>
      <c r="N33" s="172"/>
      <c r="O33" s="170"/>
      <c r="P33" s="171"/>
      <c r="Q33" s="171"/>
      <c r="R33" s="171"/>
      <c r="S33" s="173"/>
      <c r="T33" s="173"/>
      <c r="U33" s="173"/>
      <c r="V33" s="173"/>
      <c r="W33" s="173"/>
      <c r="X33" s="172"/>
      <c r="Y33" s="173"/>
      <c r="Z33" s="171"/>
      <c r="AA33" s="172"/>
      <c r="AB33" s="173"/>
      <c r="AC33" s="171"/>
      <c r="AD33" s="172"/>
      <c r="AE33" s="171"/>
      <c r="AF33" s="171"/>
      <c r="AG33" s="172"/>
      <c r="AH33" s="171"/>
      <c r="AI33" s="171"/>
      <c r="AJ33" s="174"/>
      <c r="AK33" s="171"/>
      <c r="AL33" s="171"/>
      <c r="AM33" s="171"/>
      <c r="AN33" s="171"/>
      <c r="AO33" s="171"/>
      <c r="AP33" s="171"/>
      <c r="AQ33" s="171"/>
      <c r="AR33" s="171"/>
      <c r="AS33" s="171"/>
      <c r="AT33" s="171"/>
      <c r="AU33" s="171"/>
      <c r="AV33" s="171"/>
      <c r="AW33" s="171"/>
      <c r="AX33" s="122" t="s">
        <v>33</v>
      </c>
      <c r="AY33" s="283"/>
      <c r="AZ33" s="33"/>
      <c r="BA33" s="46"/>
      <c r="BB33" s="78"/>
      <c r="BC33" s="34"/>
      <c r="BD33" s="28"/>
      <c r="BE33" s="35"/>
      <c r="BF33" s="35"/>
      <c r="BG33" s="35"/>
    </row>
    <row r="34" spans="1:59" ht="13.5" customHeight="1">
      <c r="A34" s="22"/>
      <c r="B34" s="32"/>
      <c r="C34" s="287" t="s">
        <v>127</v>
      </c>
      <c r="D34" s="41"/>
      <c r="E34" s="41"/>
      <c r="F34" s="41"/>
      <c r="G34" s="41"/>
      <c r="H34" s="163"/>
      <c r="I34" s="164"/>
      <c r="J34" s="165"/>
      <c r="K34" s="164"/>
      <c r="L34" s="165"/>
      <c r="M34" s="164"/>
      <c r="N34" s="166"/>
      <c r="O34" s="164"/>
      <c r="P34" s="165"/>
      <c r="Q34" s="165"/>
      <c r="R34" s="165"/>
      <c r="S34" s="167"/>
      <c r="T34" s="167"/>
      <c r="U34" s="167"/>
      <c r="V34" s="167"/>
      <c r="W34" s="167"/>
      <c r="X34" s="166"/>
      <c r="Y34" s="167"/>
      <c r="Z34" s="165"/>
      <c r="AA34" s="166"/>
      <c r="AB34" s="167"/>
      <c r="AC34" s="165"/>
      <c r="AD34" s="166"/>
      <c r="AE34" s="165"/>
      <c r="AF34" s="165"/>
      <c r="AG34" s="166"/>
      <c r="AH34" s="165"/>
      <c r="AI34" s="165"/>
      <c r="AJ34" s="168"/>
      <c r="AK34" s="165"/>
      <c r="AL34" s="165"/>
      <c r="AM34" s="165"/>
      <c r="AN34" s="165"/>
      <c r="AO34" s="165"/>
      <c r="AP34" s="165"/>
      <c r="AQ34" s="165"/>
      <c r="AR34" s="165"/>
      <c r="AS34" s="165"/>
      <c r="AT34" s="165"/>
      <c r="AU34" s="165"/>
      <c r="AV34" s="165"/>
      <c r="AW34" s="165"/>
      <c r="AX34" s="160" t="s">
        <v>37</v>
      </c>
      <c r="AY34" s="283"/>
      <c r="AZ34" s="33"/>
      <c r="BA34" s="46"/>
      <c r="BB34" s="78"/>
      <c r="BC34" s="34"/>
      <c r="BD34" s="28"/>
      <c r="BE34" s="35"/>
      <c r="BF34" s="35"/>
      <c r="BG34" s="35"/>
    </row>
    <row r="35" spans="1:59" ht="13.5" customHeight="1">
      <c r="A35" s="22"/>
      <c r="B35" s="32"/>
      <c r="C35" s="287"/>
      <c r="D35" s="41"/>
      <c r="E35" s="41"/>
      <c r="F35" s="41"/>
      <c r="G35" s="41"/>
      <c r="H35" s="169"/>
      <c r="I35" s="170"/>
      <c r="J35" s="171"/>
      <c r="K35" s="170"/>
      <c r="L35" s="171"/>
      <c r="M35" s="170"/>
      <c r="N35" s="172"/>
      <c r="O35" s="170"/>
      <c r="P35" s="171"/>
      <c r="Q35" s="171"/>
      <c r="R35" s="171"/>
      <c r="S35" s="173"/>
      <c r="T35" s="173"/>
      <c r="U35" s="173"/>
      <c r="V35" s="173"/>
      <c r="W35" s="173"/>
      <c r="X35" s="172"/>
      <c r="Y35" s="173"/>
      <c r="Z35" s="171"/>
      <c r="AA35" s="172"/>
      <c r="AB35" s="173"/>
      <c r="AC35" s="171"/>
      <c r="AD35" s="172"/>
      <c r="AE35" s="171"/>
      <c r="AF35" s="171"/>
      <c r="AG35" s="172"/>
      <c r="AH35" s="171"/>
      <c r="AI35" s="171"/>
      <c r="AJ35" s="174"/>
      <c r="AK35" s="171"/>
      <c r="AL35" s="171"/>
      <c r="AM35" s="171"/>
      <c r="AN35" s="171"/>
      <c r="AO35" s="171"/>
      <c r="AP35" s="171"/>
      <c r="AQ35" s="171"/>
      <c r="AR35" s="171"/>
      <c r="AS35" s="171"/>
      <c r="AT35" s="171"/>
      <c r="AU35" s="171"/>
      <c r="AV35" s="171"/>
      <c r="AW35" s="171"/>
      <c r="AX35" s="122" t="s">
        <v>33</v>
      </c>
      <c r="AY35" s="283"/>
      <c r="AZ35" s="33"/>
      <c r="BA35" s="46"/>
      <c r="BB35" s="78"/>
      <c r="BC35" s="34"/>
      <c r="BD35" s="28"/>
      <c r="BE35" s="35"/>
      <c r="BF35" s="35"/>
      <c r="BG35" s="35"/>
    </row>
    <row r="36" spans="1:59" ht="5.15" customHeight="1">
      <c r="A36" s="22"/>
      <c r="B36" s="32"/>
      <c r="C36" s="288"/>
      <c r="D36" s="289"/>
      <c r="E36" s="289"/>
      <c r="F36" s="289"/>
      <c r="G36" s="289"/>
      <c r="H36" s="290"/>
      <c r="I36" s="290"/>
      <c r="J36" s="291"/>
      <c r="K36" s="290"/>
      <c r="L36" s="291"/>
      <c r="M36" s="290"/>
      <c r="N36" s="292"/>
      <c r="O36" s="290"/>
      <c r="P36" s="291"/>
      <c r="Q36" s="291"/>
      <c r="R36" s="291"/>
      <c r="S36" s="293"/>
      <c r="T36" s="293"/>
      <c r="U36" s="293"/>
      <c r="V36" s="293"/>
      <c r="W36" s="293"/>
      <c r="X36" s="292"/>
      <c r="Y36" s="293"/>
      <c r="Z36" s="291"/>
      <c r="AA36" s="292"/>
      <c r="AB36" s="293"/>
      <c r="AC36" s="291"/>
      <c r="AD36" s="292"/>
      <c r="AE36" s="291"/>
      <c r="AF36" s="291"/>
      <c r="AG36" s="292"/>
      <c r="AH36" s="291"/>
      <c r="AI36" s="291"/>
      <c r="AJ36" s="294"/>
      <c r="AK36" s="291"/>
      <c r="AL36" s="291"/>
      <c r="AM36" s="291"/>
      <c r="AN36" s="291"/>
      <c r="AO36" s="291"/>
      <c r="AP36" s="291"/>
      <c r="AQ36" s="291"/>
      <c r="AR36" s="291"/>
      <c r="AS36" s="291"/>
      <c r="AT36" s="291"/>
      <c r="AU36" s="291"/>
      <c r="AV36" s="291"/>
      <c r="AW36" s="291"/>
      <c r="AX36" s="276"/>
      <c r="AY36" s="295"/>
      <c r="AZ36" s="33"/>
      <c r="BA36" s="46"/>
      <c r="BB36" s="78"/>
      <c r="BC36" s="34"/>
      <c r="BD36" s="28"/>
      <c r="BE36" s="35"/>
      <c r="BF36" s="35"/>
      <c r="BG36" s="35"/>
    </row>
    <row r="37" spans="1:59" ht="13.5" customHeight="1">
      <c r="A37" s="22"/>
      <c r="B37" s="32"/>
      <c r="C37" s="41"/>
      <c r="D37" s="41"/>
      <c r="E37" s="41"/>
      <c r="F37" s="41"/>
      <c r="G37" s="41"/>
      <c r="H37" s="364"/>
      <c r="I37" s="364"/>
      <c r="J37" s="365"/>
      <c r="K37" s="364"/>
      <c r="L37" s="365"/>
      <c r="M37" s="364"/>
      <c r="N37" s="366"/>
      <c r="O37" s="364"/>
      <c r="P37" s="365"/>
      <c r="Q37" s="365"/>
      <c r="R37" s="365"/>
      <c r="S37" s="367"/>
      <c r="T37" s="367"/>
      <c r="U37" s="367"/>
      <c r="V37" s="367"/>
      <c r="W37" s="367"/>
      <c r="X37" s="366"/>
      <c r="Y37" s="367"/>
      <c r="Z37" s="365"/>
      <c r="AA37" s="366"/>
      <c r="AB37" s="367"/>
      <c r="AC37" s="365"/>
      <c r="AD37" s="366"/>
      <c r="AE37" s="365"/>
      <c r="AF37" s="365"/>
      <c r="AG37" s="366"/>
      <c r="AH37" s="365"/>
      <c r="AI37" s="365"/>
      <c r="AJ37" s="368"/>
      <c r="AK37" s="365"/>
      <c r="AL37" s="365"/>
      <c r="AM37" s="365"/>
      <c r="AN37" s="365"/>
      <c r="AO37" s="365"/>
      <c r="AP37" s="365"/>
      <c r="AQ37" s="365"/>
      <c r="AR37" s="365"/>
      <c r="AS37" s="365"/>
      <c r="AT37" s="365"/>
      <c r="AU37" s="365"/>
      <c r="AV37" s="365"/>
      <c r="AW37" s="365"/>
      <c r="AX37" s="280"/>
      <c r="AY37" s="279"/>
      <c r="AZ37" s="33"/>
      <c r="BA37" s="46"/>
      <c r="BB37" s="78"/>
      <c r="BC37" s="34"/>
      <c r="BD37" s="28"/>
      <c r="BE37" s="35"/>
      <c r="BF37" s="35"/>
      <c r="BG37" s="35"/>
    </row>
    <row r="38" spans="1:59" ht="13.5" customHeight="1">
      <c r="A38" s="22"/>
      <c r="B38" s="202">
        <v>5</v>
      </c>
      <c r="C38" s="204" t="s">
        <v>264</v>
      </c>
      <c r="D38" s="28"/>
      <c r="E38" s="28"/>
      <c r="F38" s="28"/>
      <c r="G38" s="28"/>
      <c r="H38" s="121"/>
      <c r="I38" s="62"/>
      <c r="J38" s="62"/>
      <c r="K38" s="63"/>
      <c r="L38" s="69"/>
      <c r="M38" s="69"/>
      <c r="N38" s="65"/>
      <c r="O38" s="69"/>
      <c r="P38" s="65"/>
      <c r="Q38" s="65"/>
      <c r="R38" s="69"/>
      <c r="S38" s="28"/>
      <c r="T38" s="28"/>
      <c r="U38" s="28"/>
      <c r="V38" s="28"/>
      <c r="W38" s="28"/>
      <c r="X38" s="121"/>
      <c r="Y38" s="62"/>
      <c r="Z38" s="63"/>
      <c r="AA38" s="62"/>
      <c r="AB38" s="63"/>
      <c r="AC38" s="69"/>
      <c r="AD38" s="69"/>
      <c r="AE38" s="65"/>
      <c r="AF38" s="69"/>
      <c r="AG38" s="65"/>
      <c r="AH38" s="69"/>
      <c r="AI38" s="64"/>
      <c r="AJ38" s="69"/>
      <c r="AK38" s="65"/>
      <c r="AL38" s="28"/>
      <c r="AM38" s="28"/>
      <c r="AN38" s="28"/>
      <c r="AO38" s="28"/>
      <c r="AP38" s="28"/>
      <c r="AQ38" s="28"/>
      <c r="AR38" s="28"/>
      <c r="AS38" s="28"/>
      <c r="AT38" s="28"/>
      <c r="AU38" s="28"/>
      <c r="AV38" s="233"/>
      <c r="AW38" s="28"/>
      <c r="AX38" s="28"/>
      <c r="AY38" s="31"/>
      <c r="AZ38" s="33"/>
      <c r="BA38" s="46"/>
      <c r="BB38" s="159"/>
      <c r="BC38" s="115"/>
      <c r="BD38" s="28"/>
    </row>
    <row r="39" spans="1:59" ht="5.15" customHeight="1">
      <c r="A39" s="22"/>
      <c r="B39" s="202"/>
      <c r="C39" s="296"/>
      <c r="D39" s="72"/>
      <c r="E39" s="72"/>
      <c r="F39" s="72"/>
      <c r="G39" s="72"/>
      <c r="H39" s="297"/>
      <c r="I39" s="278"/>
      <c r="J39" s="278"/>
      <c r="K39" s="279"/>
      <c r="L39" s="298"/>
      <c r="M39" s="298"/>
      <c r="N39" s="263"/>
      <c r="O39" s="298"/>
      <c r="P39" s="263"/>
      <c r="Q39" s="263"/>
      <c r="R39" s="298"/>
      <c r="S39" s="72"/>
      <c r="T39" s="72"/>
      <c r="U39" s="72"/>
      <c r="V39" s="72"/>
      <c r="W39" s="72"/>
      <c r="X39" s="297"/>
      <c r="Y39" s="278"/>
      <c r="Z39" s="279"/>
      <c r="AA39" s="278"/>
      <c r="AB39" s="279"/>
      <c r="AC39" s="298"/>
      <c r="AD39" s="298"/>
      <c r="AE39" s="263"/>
      <c r="AF39" s="298"/>
      <c r="AG39" s="263"/>
      <c r="AH39" s="298"/>
      <c r="AI39" s="280"/>
      <c r="AJ39" s="298"/>
      <c r="AK39" s="263"/>
      <c r="AL39" s="72"/>
      <c r="AM39" s="72"/>
      <c r="AN39" s="72"/>
      <c r="AO39" s="72"/>
      <c r="AP39" s="72"/>
      <c r="AQ39" s="72"/>
      <c r="AR39" s="72"/>
      <c r="AS39" s="72"/>
      <c r="AT39" s="72"/>
      <c r="AU39" s="72"/>
      <c r="AV39" s="300"/>
      <c r="AW39" s="72"/>
      <c r="AX39" s="72"/>
      <c r="AY39" s="265"/>
      <c r="AZ39" s="33"/>
      <c r="BA39" s="46"/>
      <c r="BB39" s="159"/>
      <c r="BC39" s="115"/>
      <c r="BD39" s="28"/>
    </row>
    <row r="40" spans="1:59" ht="13.9" customHeight="1">
      <c r="A40" s="22"/>
      <c r="B40" s="202"/>
      <c r="C40" s="501" t="s">
        <v>282</v>
      </c>
      <c r="D40" s="28"/>
      <c r="E40" s="28"/>
      <c r="F40" s="28"/>
      <c r="G40" s="86" t="s">
        <v>277</v>
      </c>
      <c r="H40" s="86"/>
      <c r="I40" s="86"/>
      <c r="J40" s="86"/>
      <c r="K40" s="86"/>
      <c r="L40" s="322"/>
      <c r="M40" s="75"/>
      <c r="N40" s="65"/>
      <c r="O40" s="69"/>
      <c r="P40" s="65"/>
      <c r="Q40" s="65"/>
      <c r="R40" s="69"/>
      <c r="S40" s="28"/>
      <c r="T40" s="28"/>
      <c r="U40" s="28"/>
      <c r="V40" s="28"/>
      <c r="W40" s="28"/>
      <c r="X40" s="121"/>
      <c r="Y40" s="62"/>
      <c r="Z40" s="63"/>
      <c r="AA40" s="62"/>
      <c r="AB40" s="63"/>
      <c r="AC40" s="69"/>
      <c r="AD40" s="69"/>
      <c r="AE40" s="65"/>
      <c r="AF40" s="69"/>
      <c r="AG40" s="65"/>
      <c r="AH40" s="69"/>
      <c r="AI40" s="64"/>
      <c r="AJ40" s="69"/>
      <c r="AK40" s="65"/>
      <c r="AL40" s="28"/>
      <c r="AM40" s="28"/>
      <c r="AN40" s="28"/>
      <c r="AO40" s="28"/>
      <c r="AP40" s="28"/>
      <c r="AQ40" s="28"/>
      <c r="AR40" s="28"/>
      <c r="AS40" s="28"/>
      <c r="AT40" s="28"/>
      <c r="AU40" s="28"/>
      <c r="AV40" s="233"/>
      <c r="AW40" s="28"/>
      <c r="AX40" s="28"/>
      <c r="AY40" s="267"/>
      <c r="AZ40" s="33"/>
      <c r="BA40" s="46"/>
      <c r="BB40" s="159"/>
      <c r="BC40" s="115"/>
      <c r="BD40" s="28"/>
    </row>
    <row r="41" spans="1:59" ht="13.5" customHeight="1">
      <c r="A41" s="22"/>
      <c r="B41" s="202">
        <v>6</v>
      </c>
      <c r="C41" s="304" t="s">
        <v>32</v>
      </c>
      <c r="D41" s="205" t="s">
        <v>262</v>
      </c>
      <c r="E41" s="206"/>
      <c r="F41" s="206"/>
      <c r="G41" s="207"/>
      <c r="H41" s="208" t="s">
        <v>276</v>
      </c>
      <c r="I41" s="209"/>
      <c r="J41" s="209"/>
      <c r="K41" s="206"/>
      <c r="L41" s="207"/>
      <c r="M41" s="28"/>
      <c r="N41" s="28"/>
      <c r="O41" s="28"/>
      <c r="P41" s="28"/>
      <c r="Q41" s="28"/>
      <c r="R41" s="28"/>
      <c r="S41" s="35"/>
      <c r="T41" s="35"/>
      <c r="U41" s="35"/>
      <c r="V41" s="35"/>
      <c r="Y41" s="35"/>
      <c r="Z41" s="35"/>
      <c r="AD41" s="35"/>
      <c r="AE41" s="35"/>
      <c r="AF41" s="35"/>
      <c r="AG41" s="35"/>
      <c r="AH41" s="35"/>
      <c r="AI41" s="35"/>
      <c r="AJ41" s="35"/>
      <c r="AK41" s="35"/>
      <c r="AL41" s="35"/>
      <c r="AM41" s="35"/>
      <c r="AN41" s="35"/>
      <c r="AO41" s="35"/>
      <c r="AP41" s="35"/>
      <c r="AQ41" s="35"/>
      <c r="AR41" s="35"/>
      <c r="AS41" s="35"/>
      <c r="AT41" s="35"/>
      <c r="AU41" s="35"/>
      <c r="AV41" s="35"/>
      <c r="AW41" s="35"/>
      <c r="AX41" s="35"/>
      <c r="AY41" s="311"/>
      <c r="AZ41" s="33"/>
      <c r="BA41" s="46"/>
      <c r="BB41" s="159"/>
      <c r="BC41" s="115"/>
      <c r="BD41" s="35"/>
      <c r="BE41" s="35"/>
      <c r="BF41" s="35"/>
      <c r="BG41" s="35"/>
    </row>
    <row r="42" spans="1:59" ht="13.5" customHeight="1">
      <c r="A42" s="22"/>
      <c r="B42" s="202">
        <v>8</v>
      </c>
      <c r="C42" s="308">
        <v>1</v>
      </c>
      <c r="D42" s="148" t="s">
        <v>148</v>
      </c>
      <c r="E42" s="149"/>
      <c r="F42" s="149"/>
      <c r="G42" s="151"/>
      <c r="H42" s="1054">
        <v>110</v>
      </c>
      <c r="I42" s="991"/>
      <c r="J42" s="991"/>
      <c r="K42" s="991"/>
      <c r="L42" s="992"/>
      <c r="M42" s="28"/>
      <c r="N42" s="28"/>
      <c r="O42" s="28"/>
      <c r="P42" s="28"/>
      <c r="Q42" s="28"/>
      <c r="R42" s="28"/>
      <c r="S42" s="35"/>
      <c r="T42" s="35"/>
      <c r="U42" s="35"/>
      <c r="V42" s="35"/>
      <c r="Y42" s="35"/>
      <c r="Z42" s="35"/>
      <c r="AD42" s="35"/>
      <c r="AE42" s="35"/>
      <c r="AF42" s="35"/>
      <c r="AG42" s="35"/>
      <c r="AH42" s="35"/>
      <c r="AI42" s="35"/>
      <c r="AJ42" s="35"/>
      <c r="AK42" s="35"/>
      <c r="AL42" s="35"/>
      <c r="AM42" s="35"/>
      <c r="AN42" s="35"/>
      <c r="AO42" s="35"/>
      <c r="AP42" s="35"/>
      <c r="AQ42" s="35"/>
      <c r="AR42" s="35"/>
      <c r="AS42" s="35"/>
      <c r="AT42" s="35"/>
      <c r="AU42" s="35"/>
      <c r="AV42" s="35"/>
      <c r="AW42" s="35"/>
      <c r="AX42" s="35"/>
      <c r="AY42" s="311"/>
      <c r="AZ42" s="33"/>
      <c r="BA42" s="46"/>
      <c r="BB42" s="159"/>
      <c r="BC42" s="115"/>
      <c r="BD42" s="35"/>
      <c r="BE42" s="35"/>
      <c r="BF42" s="35"/>
      <c r="BG42" s="35"/>
    </row>
    <row r="43" spans="1:59" ht="13.5" customHeight="1">
      <c r="A43" s="22"/>
      <c r="B43" s="202">
        <v>9</v>
      </c>
      <c r="C43" s="308">
        <v>2</v>
      </c>
      <c r="D43" s="148" t="s">
        <v>263</v>
      </c>
      <c r="E43" s="149"/>
      <c r="F43" s="149"/>
      <c r="G43" s="151"/>
      <c r="H43" s="1054">
        <v>125</v>
      </c>
      <c r="I43" s="991"/>
      <c r="J43" s="991"/>
      <c r="K43" s="991"/>
      <c r="L43" s="992"/>
      <c r="M43" s="28"/>
      <c r="N43" s="28"/>
      <c r="O43" s="28"/>
      <c r="P43" s="28"/>
      <c r="Q43" s="28"/>
      <c r="R43" s="28"/>
      <c r="S43" s="35"/>
      <c r="T43" s="35"/>
      <c r="U43" s="35"/>
      <c r="V43" s="35"/>
      <c r="Y43" s="35"/>
      <c r="Z43" s="35"/>
      <c r="AD43" s="35"/>
      <c r="AE43" s="35"/>
      <c r="AF43" s="35"/>
      <c r="AG43" s="35"/>
      <c r="AH43" s="35"/>
      <c r="AI43" s="35"/>
      <c r="AJ43" s="35"/>
      <c r="AK43" s="35"/>
      <c r="AL43" s="35"/>
      <c r="AM43" s="35"/>
      <c r="AN43" s="35"/>
      <c r="AO43" s="35"/>
      <c r="AP43" s="35"/>
      <c r="AQ43" s="35"/>
      <c r="AR43" s="35"/>
      <c r="AS43" s="35"/>
      <c r="AT43" s="35"/>
      <c r="AU43" s="35"/>
      <c r="AV43" s="35"/>
      <c r="AW43" s="35"/>
      <c r="AX43" s="35"/>
      <c r="AY43" s="311"/>
      <c r="AZ43" s="33"/>
      <c r="BA43" s="46"/>
      <c r="BB43" s="159"/>
      <c r="BC43" s="115"/>
      <c r="BD43" s="35"/>
      <c r="BE43" s="35"/>
      <c r="BF43" s="35"/>
      <c r="BG43" s="35"/>
    </row>
    <row r="44" spans="1:59" ht="5.15" customHeight="1">
      <c r="A44" s="22"/>
      <c r="B44" s="202"/>
      <c r="C44" s="315"/>
      <c r="D44" s="73"/>
      <c r="E44" s="73"/>
      <c r="F44" s="73"/>
      <c r="G44" s="73"/>
      <c r="H44" s="316"/>
      <c r="I44" s="275"/>
      <c r="J44" s="275"/>
      <c r="K44" s="273"/>
      <c r="L44" s="317"/>
      <c r="M44" s="317"/>
      <c r="N44" s="270"/>
      <c r="O44" s="317"/>
      <c r="P44" s="270"/>
      <c r="Q44" s="270"/>
      <c r="R44" s="317"/>
      <c r="S44" s="73"/>
      <c r="T44" s="73"/>
      <c r="U44" s="73"/>
      <c r="V44" s="73"/>
      <c r="W44" s="73"/>
      <c r="X44" s="316"/>
      <c r="Y44" s="275"/>
      <c r="Z44" s="273"/>
      <c r="AA44" s="275"/>
      <c r="AB44" s="273"/>
      <c r="AC44" s="317"/>
      <c r="AD44" s="317"/>
      <c r="AE44" s="270"/>
      <c r="AF44" s="317"/>
      <c r="AG44" s="270"/>
      <c r="AH44" s="317"/>
      <c r="AI44" s="276"/>
      <c r="AJ44" s="317"/>
      <c r="AK44" s="270"/>
      <c r="AL44" s="73"/>
      <c r="AM44" s="73"/>
      <c r="AN44" s="73"/>
      <c r="AO44" s="73"/>
      <c r="AP44" s="73"/>
      <c r="AQ44" s="73"/>
      <c r="AR44" s="73"/>
      <c r="AS44" s="73"/>
      <c r="AT44" s="73"/>
      <c r="AU44" s="73"/>
      <c r="AV44" s="318"/>
      <c r="AW44" s="73"/>
      <c r="AX44" s="73"/>
      <c r="AY44" s="277"/>
      <c r="AZ44" s="33"/>
      <c r="BA44" s="46"/>
      <c r="BB44" s="159"/>
      <c r="BC44" s="115"/>
      <c r="BD44" s="28"/>
    </row>
    <row r="45" spans="1:59" ht="13.5" customHeight="1">
      <c r="A45" s="22"/>
      <c r="B45" s="202">
        <v>10</v>
      </c>
      <c r="C45" s="492"/>
      <c r="D45" s="65"/>
      <c r="E45" s="65"/>
      <c r="F45" s="65"/>
      <c r="G45" s="65"/>
      <c r="H45" s="65"/>
      <c r="I45" s="65"/>
      <c r="J45" s="65"/>
      <c r="K45" s="65"/>
      <c r="L45" s="65"/>
      <c r="M45" s="62"/>
      <c r="N45" s="63"/>
      <c r="O45" s="65"/>
      <c r="P45" s="65"/>
      <c r="Q45" s="64"/>
      <c r="R45" s="63"/>
      <c r="S45" s="190"/>
      <c r="T45" s="190"/>
      <c r="U45" s="191"/>
      <c r="V45" s="192"/>
      <c r="W45" s="190"/>
      <c r="X45" s="65"/>
      <c r="Y45" s="65"/>
      <c r="Z45" s="65"/>
      <c r="AA45" s="65"/>
      <c r="AB45" s="65"/>
      <c r="AC45" s="65"/>
      <c r="AD45" s="65"/>
      <c r="AE45" s="65"/>
      <c r="AF45" s="65"/>
      <c r="AG45" s="65"/>
      <c r="AH45" s="65"/>
      <c r="AI45" s="65"/>
      <c r="AJ45" s="65"/>
      <c r="AK45" s="65"/>
      <c r="AL45" s="65"/>
      <c r="AM45" s="63"/>
      <c r="AN45" s="63"/>
      <c r="AO45" s="63"/>
      <c r="AP45" s="63"/>
      <c r="AQ45" s="63"/>
      <c r="AR45" s="63"/>
      <c r="AS45" s="63"/>
      <c r="AT45" s="63"/>
      <c r="AU45" s="63"/>
      <c r="AV45" s="63"/>
      <c r="AW45" s="63"/>
      <c r="AX45" s="63"/>
      <c r="AY45" s="63"/>
      <c r="AZ45" s="33"/>
      <c r="BA45" s="46"/>
      <c r="BB45" s="159"/>
      <c r="BC45" s="115"/>
      <c r="BD45" s="28"/>
    </row>
    <row r="46" spans="1:59" ht="13.5" customHeight="1">
      <c r="A46" s="22"/>
      <c r="B46" s="202">
        <v>5</v>
      </c>
      <c r="C46" s="204" t="s">
        <v>63</v>
      </c>
      <c r="D46" s="28"/>
      <c r="E46" s="28"/>
      <c r="F46" s="28"/>
      <c r="G46" s="28"/>
      <c r="H46" s="121"/>
      <c r="I46" s="62"/>
      <c r="J46" s="63"/>
      <c r="K46" s="62"/>
      <c r="L46" s="63"/>
      <c r="M46" s="69"/>
      <c r="N46" s="69"/>
      <c r="O46" s="65"/>
      <c r="P46" s="69"/>
      <c r="Q46" s="65"/>
      <c r="R46" s="69"/>
      <c r="S46" s="28"/>
      <c r="T46" s="28"/>
      <c r="U46" s="28"/>
      <c r="V46" s="28"/>
      <c r="W46" s="28"/>
      <c r="X46" s="121"/>
      <c r="Y46" s="62"/>
      <c r="Z46" s="63"/>
      <c r="AA46" s="62"/>
      <c r="AB46" s="63"/>
      <c r="AC46" s="69"/>
      <c r="AD46" s="69"/>
      <c r="AE46" s="65"/>
      <c r="AF46" s="69"/>
      <c r="AG46" s="65"/>
      <c r="AH46" s="69"/>
      <c r="AI46" s="64"/>
      <c r="AJ46" s="69"/>
      <c r="AK46" s="65"/>
      <c r="AL46" s="28"/>
      <c r="AM46" s="28"/>
      <c r="AN46" s="28"/>
      <c r="AO46" s="28"/>
      <c r="AP46" s="28"/>
      <c r="AQ46" s="28"/>
      <c r="AR46" s="28"/>
      <c r="AS46" s="28"/>
      <c r="AT46" s="28"/>
      <c r="AU46" s="28"/>
      <c r="AV46" s="233"/>
      <c r="AW46" s="28"/>
      <c r="AX46" s="28"/>
      <c r="AY46" s="31"/>
      <c r="AZ46" s="33"/>
      <c r="BA46" s="46"/>
      <c r="BB46" s="159"/>
      <c r="BC46" s="115"/>
      <c r="BD46" s="28"/>
    </row>
    <row r="47" spans="1:59" ht="5.15" customHeight="1">
      <c r="A47" s="22"/>
      <c r="B47" s="202"/>
      <c r="C47" s="296"/>
      <c r="D47" s="72"/>
      <c r="E47" s="72"/>
      <c r="F47" s="72"/>
      <c r="G47" s="72"/>
      <c r="H47" s="297"/>
      <c r="I47" s="278"/>
      <c r="J47" s="279"/>
      <c r="K47" s="278"/>
      <c r="L47" s="279"/>
      <c r="M47" s="298"/>
      <c r="N47" s="298"/>
      <c r="O47" s="263"/>
      <c r="P47" s="298"/>
      <c r="Q47" s="263"/>
      <c r="R47" s="298"/>
      <c r="S47" s="72"/>
      <c r="T47" s="72"/>
      <c r="U47" s="72"/>
      <c r="V47" s="72"/>
      <c r="W47" s="72"/>
      <c r="X47" s="297"/>
      <c r="Y47" s="278"/>
      <c r="Z47" s="279"/>
      <c r="AA47" s="278"/>
      <c r="AB47" s="279"/>
      <c r="AC47" s="298"/>
      <c r="AD47" s="298"/>
      <c r="AE47" s="263"/>
      <c r="AF47" s="298"/>
      <c r="AG47" s="263"/>
      <c r="AH47" s="298"/>
      <c r="AI47" s="280"/>
      <c r="AJ47" s="298"/>
      <c r="AK47" s="263"/>
      <c r="AL47" s="72"/>
      <c r="AM47" s="72"/>
      <c r="AN47" s="72"/>
      <c r="AO47" s="72"/>
      <c r="AP47" s="72"/>
      <c r="AQ47" s="72"/>
      <c r="AR47" s="72"/>
      <c r="AS47" s="72"/>
      <c r="AT47" s="72"/>
      <c r="AU47" s="72"/>
      <c r="AV47" s="300"/>
      <c r="AW47" s="72"/>
      <c r="AX47" s="72"/>
      <c r="AY47" s="264"/>
      <c r="AZ47" s="264"/>
      <c r="BA47" s="301"/>
      <c r="BB47" s="302"/>
      <c r="BC47" s="303"/>
      <c r="BD47" s="28"/>
    </row>
    <row r="48" spans="1:59" ht="13.5" customHeight="1">
      <c r="A48" s="22"/>
      <c r="B48" s="45"/>
      <c r="C48" s="266"/>
      <c r="D48" s="28" t="s">
        <v>288</v>
      </c>
      <c r="E48" s="28"/>
      <c r="F48" s="28"/>
      <c r="G48" s="28"/>
      <c r="H48" s="86" t="s">
        <v>146</v>
      </c>
      <c r="I48" s="86"/>
      <c r="J48" s="86"/>
      <c r="K48" s="86"/>
      <c r="L48" s="86"/>
      <c r="M48" s="322"/>
      <c r="N48" s="87"/>
      <c r="O48" s="88"/>
      <c r="P48" s="88"/>
      <c r="Q48" s="89"/>
      <c r="R48" s="87"/>
      <c r="S48" s="87"/>
      <c r="T48" s="87"/>
      <c r="U48" s="88"/>
      <c r="V48" s="89"/>
      <c r="W48" s="87"/>
      <c r="X48" s="65"/>
      <c r="Y48" s="28"/>
      <c r="Z48" s="28"/>
      <c r="AA48" s="28"/>
      <c r="AB48" s="28"/>
      <c r="AC48" s="28"/>
      <c r="AD48" s="28"/>
      <c r="AE48" s="28"/>
      <c r="AF48" s="28"/>
      <c r="AG48" s="28"/>
      <c r="AH48" s="28"/>
      <c r="AI48" s="28"/>
      <c r="AJ48" s="28"/>
      <c r="AK48" s="28"/>
      <c r="AL48" s="28"/>
      <c r="AM48" s="31"/>
      <c r="AN48" s="31"/>
      <c r="AO48" s="31"/>
      <c r="AP48" s="31"/>
      <c r="AQ48" s="31"/>
      <c r="AR48" s="31"/>
      <c r="AS48" s="31"/>
      <c r="AT48" s="31"/>
      <c r="AU48" s="31"/>
      <c r="AV48" s="31"/>
      <c r="AW48" s="31"/>
      <c r="AX48" s="65"/>
      <c r="AY48" s="31"/>
      <c r="AZ48" s="52"/>
      <c r="BA48" s="93"/>
      <c r="BB48" s="327"/>
      <c r="BC48" s="328"/>
      <c r="BD48" s="28"/>
      <c r="BE48" s="35"/>
      <c r="BF48" s="35"/>
      <c r="BG48" s="35"/>
    </row>
    <row r="49" spans="1:87" ht="13.5" customHeight="1">
      <c r="A49" s="22"/>
      <c r="B49" s="202">
        <v>6</v>
      </c>
      <c r="C49" s="304" t="s">
        <v>32</v>
      </c>
      <c r="D49" s="205" t="s">
        <v>64</v>
      </c>
      <c r="E49" s="206"/>
      <c r="F49" s="206"/>
      <c r="G49" s="207"/>
      <c r="H49" s="208" t="s">
        <v>73</v>
      </c>
      <c r="I49" s="209"/>
      <c r="J49" s="209"/>
      <c r="K49" s="209"/>
      <c r="L49" s="206"/>
      <c r="M49" s="207"/>
      <c r="N49" s="205" t="s">
        <v>74</v>
      </c>
      <c r="O49" s="206"/>
      <c r="P49" s="206"/>
      <c r="Q49" s="207"/>
      <c r="R49" s="205" t="s">
        <v>75</v>
      </c>
      <c r="S49" s="206"/>
      <c r="T49" s="206"/>
      <c r="U49" s="206"/>
      <c r="V49" s="210" t="s">
        <v>292</v>
      </c>
      <c r="W49" s="211"/>
      <c r="X49" s="211"/>
      <c r="Y49" s="212"/>
      <c r="Z49" s="210" t="s">
        <v>150</v>
      </c>
      <c r="AA49" s="211"/>
      <c r="AB49" s="211"/>
      <c r="AC49" s="211"/>
      <c r="AD49" s="212"/>
      <c r="AE49" s="210" t="s">
        <v>293</v>
      </c>
      <c r="AF49" s="211"/>
      <c r="AG49" s="211"/>
      <c r="AH49" s="212"/>
      <c r="AI49" s="210" t="s">
        <v>162</v>
      </c>
      <c r="AJ49" s="211"/>
      <c r="AK49" s="211"/>
      <c r="AL49" s="212"/>
      <c r="AM49" s="211" t="s">
        <v>152</v>
      </c>
      <c r="AN49" s="211"/>
      <c r="AO49" s="211"/>
      <c r="AP49" s="212"/>
      <c r="AQ49" s="211" t="s">
        <v>197</v>
      </c>
      <c r="AR49" s="211"/>
      <c r="AS49" s="211"/>
      <c r="AT49" s="212"/>
      <c r="AU49" s="210" t="s">
        <v>199</v>
      </c>
      <c r="AV49" s="211"/>
      <c r="AW49" s="211"/>
      <c r="AX49" s="212"/>
      <c r="AY49" s="210" t="s">
        <v>83</v>
      </c>
      <c r="AZ49" s="211"/>
      <c r="BA49" s="211"/>
      <c r="BB49" s="212"/>
      <c r="BC49" s="210" t="s">
        <v>42</v>
      </c>
      <c r="BD49" s="211"/>
      <c r="BE49" s="211"/>
      <c r="BF49" s="212"/>
      <c r="BG49" s="211" t="s">
        <v>156</v>
      </c>
      <c r="BH49" s="211"/>
      <c r="BI49" s="212"/>
      <c r="BJ49" s="305" t="s">
        <v>86</v>
      </c>
      <c r="BK49" s="211"/>
      <c r="BL49" s="211"/>
      <c r="BM49" s="212"/>
      <c r="BN49" s="211" t="s">
        <v>69</v>
      </c>
      <c r="BO49" s="211"/>
      <c r="BP49" s="211"/>
      <c r="BQ49" s="212"/>
      <c r="BR49" s="28"/>
      <c r="BS49" s="28"/>
      <c r="BT49" s="28"/>
      <c r="BU49" s="28"/>
      <c r="BV49" s="28"/>
    </row>
    <row r="50" spans="1:87" ht="13.5" customHeight="1">
      <c r="A50" s="22"/>
      <c r="B50" s="202">
        <v>7</v>
      </c>
      <c r="C50" s="306"/>
      <c r="D50" s="213" t="s">
        <v>30</v>
      </c>
      <c r="E50" s="216"/>
      <c r="F50" s="214"/>
      <c r="G50" s="215"/>
      <c r="H50" s="213" t="s">
        <v>30</v>
      </c>
      <c r="I50" s="216"/>
      <c r="J50" s="216"/>
      <c r="K50" s="216"/>
      <c r="L50" s="214"/>
      <c r="M50" s="215"/>
      <c r="N50" s="213" t="s">
        <v>30</v>
      </c>
      <c r="O50" s="214"/>
      <c r="P50" s="214"/>
      <c r="Q50" s="215"/>
      <c r="R50" s="213" t="s">
        <v>30</v>
      </c>
      <c r="S50" s="216"/>
      <c r="T50" s="214"/>
      <c r="U50" s="214"/>
      <c r="V50" s="217" t="s">
        <v>43</v>
      </c>
      <c r="W50" s="218"/>
      <c r="X50" s="219"/>
      <c r="Y50" s="220"/>
      <c r="Z50" s="217" t="s">
        <v>30</v>
      </c>
      <c r="AA50" s="218"/>
      <c r="AB50" s="218"/>
      <c r="AC50" s="219"/>
      <c r="AD50" s="220"/>
      <c r="AE50" s="217" t="s">
        <v>43</v>
      </c>
      <c r="AF50" s="218"/>
      <c r="AG50" s="219"/>
      <c r="AH50" s="220"/>
      <c r="AI50" s="217" t="s">
        <v>30</v>
      </c>
      <c r="AJ50" s="218"/>
      <c r="AK50" s="219"/>
      <c r="AL50" s="220"/>
      <c r="AM50" s="218" t="s">
        <v>43</v>
      </c>
      <c r="AN50" s="218"/>
      <c r="AO50" s="219"/>
      <c r="AP50" s="220"/>
      <c r="AQ50" s="218" t="s">
        <v>198</v>
      </c>
      <c r="AR50" s="218"/>
      <c r="AS50" s="219"/>
      <c r="AT50" s="220"/>
      <c r="AU50" s="217" t="s">
        <v>155</v>
      </c>
      <c r="AV50" s="218"/>
      <c r="AW50" s="219"/>
      <c r="AX50" s="220"/>
      <c r="AY50" s="217" t="s">
        <v>155</v>
      </c>
      <c r="AZ50" s="218"/>
      <c r="BA50" s="219"/>
      <c r="BB50" s="220"/>
      <c r="BC50" s="217" t="s">
        <v>200</v>
      </c>
      <c r="BD50" s="218"/>
      <c r="BE50" s="219"/>
      <c r="BF50" s="220"/>
      <c r="BG50" s="218" t="s">
        <v>201</v>
      </c>
      <c r="BH50" s="218"/>
      <c r="BI50" s="220"/>
      <c r="BJ50" s="307" t="s">
        <v>43</v>
      </c>
      <c r="BK50" s="218"/>
      <c r="BL50" s="219"/>
      <c r="BM50" s="220"/>
      <c r="BN50" s="218" t="s">
        <v>43</v>
      </c>
      <c r="BO50" s="218"/>
      <c r="BP50" s="219"/>
      <c r="BQ50" s="220"/>
      <c r="BR50" s="28"/>
      <c r="BS50" s="28"/>
      <c r="BT50" s="28"/>
      <c r="BU50" s="28"/>
      <c r="BV50" s="28"/>
    </row>
    <row r="51" spans="1:87" ht="13.5" customHeight="1">
      <c r="A51" s="22"/>
      <c r="B51" s="202">
        <v>8</v>
      </c>
      <c r="C51" s="308">
        <v>1</v>
      </c>
      <c r="D51" s="148" t="s">
        <v>158</v>
      </c>
      <c r="E51" s="149"/>
      <c r="F51" s="149"/>
      <c r="G51" s="151"/>
      <c r="H51" s="242" t="s">
        <v>159</v>
      </c>
      <c r="I51" s="150"/>
      <c r="J51" s="150"/>
      <c r="K51" s="150"/>
      <c r="L51" s="161"/>
      <c r="M51" s="162"/>
      <c r="N51" s="242" t="s">
        <v>160</v>
      </c>
      <c r="O51" s="150"/>
      <c r="P51" s="150"/>
      <c r="Q51" s="99" t="s">
        <v>33</v>
      </c>
      <c r="R51" s="1002">
        <v>70000</v>
      </c>
      <c r="S51" s="1003"/>
      <c r="T51" s="1003"/>
      <c r="U51" s="1004"/>
      <c r="V51" s="148" t="s">
        <v>148</v>
      </c>
      <c r="W51" s="150"/>
      <c r="X51" s="150"/>
      <c r="Y51" s="99" t="s">
        <v>33</v>
      </c>
      <c r="Z51" s="1042">
        <v>6.7299999999999999E-2</v>
      </c>
      <c r="AA51" s="1043"/>
      <c r="AB51" s="1043"/>
      <c r="AC51" s="1043"/>
      <c r="AD51" s="1044"/>
      <c r="AE51" s="148" t="s">
        <v>148</v>
      </c>
      <c r="AF51" s="150"/>
      <c r="AG51" s="150"/>
      <c r="AH51" s="99" t="s">
        <v>33</v>
      </c>
      <c r="AI51" s="1042">
        <v>0.1211</v>
      </c>
      <c r="AJ51" s="1043"/>
      <c r="AK51" s="1043"/>
      <c r="AL51" s="1044"/>
      <c r="AM51" s="1042">
        <v>0.12</v>
      </c>
      <c r="AN51" s="1043"/>
      <c r="AO51" s="1043"/>
      <c r="AP51" s="1044"/>
      <c r="AQ51" s="1051">
        <v>0.01</v>
      </c>
      <c r="AR51" s="1052"/>
      <c r="AS51" s="1052"/>
      <c r="AT51" s="1053"/>
      <c r="AU51" s="1042">
        <v>0.13589999999999999</v>
      </c>
      <c r="AV51" s="1043"/>
      <c r="AW51" s="1043"/>
      <c r="AX51" s="1044"/>
      <c r="AY51" s="1042">
        <v>0.151</v>
      </c>
      <c r="AZ51" s="1043"/>
      <c r="BA51" s="1043"/>
      <c r="BB51" s="1044"/>
      <c r="BC51" s="1042">
        <v>0.151</v>
      </c>
      <c r="BD51" s="1043"/>
      <c r="BE51" s="1043"/>
      <c r="BF51" s="1044"/>
      <c r="BG51" s="1045">
        <v>6.1000000000000004E-3</v>
      </c>
      <c r="BH51" s="1046"/>
      <c r="BI51" s="1047"/>
      <c r="BJ51" s="309" t="s">
        <v>208</v>
      </c>
      <c r="BK51" s="150"/>
      <c r="BL51" s="150"/>
      <c r="BM51" s="152"/>
      <c r="BN51" s="149" t="s">
        <v>30</v>
      </c>
      <c r="BO51" s="150"/>
      <c r="BP51" s="150"/>
      <c r="BQ51" s="152"/>
      <c r="BR51" s="28"/>
      <c r="BS51" s="28"/>
      <c r="BT51" s="28"/>
      <c r="BU51" s="28"/>
      <c r="BV51" s="28"/>
    </row>
    <row r="52" spans="1:87" ht="13.5" customHeight="1">
      <c r="A52" s="22"/>
      <c r="B52" s="202">
        <v>9</v>
      </c>
      <c r="C52" s="308">
        <v>2</v>
      </c>
      <c r="D52" s="148"/>
      <c r="E52" s="149"/>
      <c r="F52" s="149"/>
      <c r="G52" s="151"/>
      <c r="H52" s="242"/>
      <c r="I52" s="150"/>
      <c r="J52" s="150"/>
      <c r="K52" s="150"/>
      <c r="L52" s="161"/>
      <c r="M52" s="162"/>
      <c r="N52" s="242"/>
      <c r="O52" s="150"/>
      <c r="P52" s="150"/>
      <c r="Q52" s="99" t="s">
        <v>33</v>
      </c>
      <c r="R52" s="1002"/>
      <c r="S52" s="1003"/>
      <c r="T52" s="1003"/>
      <c r="U52" s="1004"/>
      <c r="V52" s="148"/>
      <c r="W52" s="150"/>
      <c r="X52" s="150"/>
      <c r="Y52" s="99" t="s">
        <v>33</v>
      </c>
      <c r="Z52" s="990"/>
      <c r="AA52" s="1012"/>
      <c r="AB52" s="1012"/>
      <c r="AC52" s="1012"/>
      <c r="AD52" s="1013"/>
      <c r="AE52" s="148"/>
      <c r="AF52" s="150"/>
      <c r="AG52" s="150"/>
      <c r="AH52" s="99" t="s">
        <v>33</v>
      </c>
      <c r="AI52" s="1042"/>
      <c r="AJ52" s="1043"/>
      <c r="AK52" s="1043"/>
      <c r="AL52" s="1044"/>
      <c r="AM52" s="1042"/>
      <c r="AN52" s="1043"/>
      <c r="AO52" s="1043"/>
      <c r="AP52" s="1044"/>
      <c r="AQ52" s="1051"/>
      <c r="AR52" s="1052"/>
      <c r="AS52" s="1052"/>
      <c r="AT52" s="1053"/>
      <c r="AU52" s="1042"/>
      <c r="AV52" s="1043"/>
      <c r="AW52" s="1043"/>
      <c r="AX52" s="1044"/>
      <c r="AY52" s="1042"/>
      <c r="AZ52" s="1043"/>
      <c r="BA52" s="1043"/>
      <c r="BB52" s="1044"/>
      <c r="BC52" s="1042"/>
      <c r="BD52" s="1043"/>
      <c r="BE52" s="1043"/>
      <c r="BF52" s="1044"/>
      <c r="BG52" s="1045"/>
      <c r="BH52" s="1046"/>
      <c r="BI52" s="1047"/>
      <c r="BJ52" s="148"/>
      <c r="BK52" s="150"/>
      <c r="BL52" s="150"/>
      <c r="BM52" s="152"/>
      <c r="BN52" s="149"/>
      <c r="BO52" s="150"/>
      <c r="BP52" s="150"/>
      <c r="BQ52" s="152"/>
      <c r="BR52" s="28"/>
      <c r="BS52" s="28"/>
      <c r="BT52" s="28"/>
      <c r="BU52" s="28"/>
      <c r="BV52" s="28"/>
    </row>
    <row r="53" spans="1:87" ht="13.5" customHeight="1">
      <c r="A53" s="22"/>
      <c r="B53" s="202">
        <v>10</v>
      </c>
      <c r="C53" s="310"/>
      <c r="D53" s="65"/>
      <c r="E53" s="65"/>
      <c r="F53" s="65"/>
      <c r="G53" s="65"/>
      <c r="H53" s="65"/>
      <c r="I53" s="65"/>
      <c r="J53" s="65"/>
      <c r="K53" s="65"/>
      <c r="L53" s="65"/>
      <c r="M53" s="62"/>
      <c r="N53" s="63"/>
      <c r="O53" s="65"/>
      <c r="P53" s="65"/>
      <c r="Q53" s="64"/>
      <c r="R53" s="63"/>
      <c r="S53" s="190"/>
      <c r="T53" s="190"/>
      <c r="U53" s="191"/>
      <c r="V53" s="192"/>
      <c r="W53" s="190"/>
      <c r="X53" s="65"/>
      <c r="Y53" s="65"/>
      <c r="Z53" s="65"/>
      <c r="AA53" s="65"/>
      <c r="AB53" s="65"/>
      <c r="AC53" s="65"/>
      <c r="AD53" s="65"/>
      <c r="AE53" s="65"/>
      <c r="AF53" s="65"/>
      <c r="AG53" s="65"/>
      <c r="AH53" s="65"/>
      <c r="AI53" s="65"/>
      <c r="AJ53" s="65"/>
      <c r="AK53" s="65"/>
      <c r="AL53" s="65"/>
      <c r="AM53" s="63"/>
      <c r="AN53" s="63"/>
      <c r="AO53" s="63"/>
      <c r="AP53" s="63"/>
      <c r="AQ53" s="63"/>
      <c r="AR53" s="63"/>
      <c r="AS53" s="63"/>
      <c r="AT53" s="63"/>
      <c r="AU53" s="63"/>
      <c r="AV53" s="63"/>
      <c r="AW53" s="63"/>
      <c r="AX53" s="63"/>
      <c r="AY53" s="63"/>
      <c r="AZ53" s="31"/>
      <c r="BA53" s="35"/>
      <c r="BB53" s="35"/>
      <c r="BC53" s="311"/>
      <c r="BD53" s="28"/>
    </row>
    <row r="54" spans="1:87" ht="13.5" customHeight="1">
      <c r="A54" s="22"/>
      <c r="B54" s="202">
        <v>14</v>
      </c>
      <c r="C54" s="312"/>
      <c r="D54" s="65"/>
      <c r="E54" s="65"/>
      <c r="F54" s="65"/>
      <c r="G54" s="65"/>
      <c r="H54" s="65"/>
      <c r="I54" s="65"/>
      <c r="J54" s="65"/>
      <c r="K54" s="198"/>
      <c r="L54" s="65"/>
      <c r="M54" s="65"/>
      <c r="N54" s="65"/>
      <c r="O54" s="65"/>
      <c r="P54" s="65"/>
      <c r="Q54" s="198"/>
      <c r="R54" s="65"/>
      <c r="S54" s="65"/>
      <c r="T54" s="65"/>
      <c r="U54" s="198"/>
      <c r="V54" s="65"/>
      <c r="W54" s="65"/>
      <c r="X54" s="65"/>
      <c r="Y54" s="65"/>
      <c r="Z54" s="65"/>
      <c r="AA54" s="65"/>
      <c r="AB54" s="65"/>
      <c r="AC54" s="65"/>
      <c r="AD54" s="65"/>
      <c r="AE54" s="65"/>
      <c r="AF54" s="65"/>
      <c r="AG54" s="65"/>
      <c r="AH54" s="65"/>
      <c r="AI54" s="65"/>
      <c r="AJ54" s="125"/>
      <c r="AK54" s="112"/>
      <c r="AL54" s="62"/>
      <c r="AM54" s="63"/>
      <c r="AN54" s="63"/>
      <c r="AO54" s="63"/>
      <c r="AP54" s="63"/>
      <c r="AQ54" s="64"/>
      <c r="AR54" s="63"/>
      <c r="AS54" s="65"/>
      <c r="AT54" s="65"/>
      <c r="AU54" s="65"/>
      <c r="AV54" s="65"/>
      <c r="AW54" s="65"/>
      <c r="AX54" s="65"/>
      <c r="AY54" s="63"/>
      <c r="AZ54" s="31"/>
      <c r="BA54" s="35"/>
      <c r="BB54" s="35"/>
      <c r="BC54" s="311"/>
      <c r="BD54" s="28"/>
    </row>
    <row r="55" spans="1:87" ht="13.5" customHeight="1">
      <c r="A55" s="22"/>
      <c r="B55" s="202">
        <v>15</v>
      </c>
      <c r="C55" s="313" t="s">
        <v>71</v>
      </c>
      <c r="D55" s="223"/>
      <c r="E55" s="224"/>
      <c r="F55" s="223"/>
      <c r="G55" s="224"/>
      <c r="H55" s="225"/>
      <c r="I55" s="226"/>
      <c r="J55" s="227"/>
      <c r="K55" s="227"/>
      <c r="L55" s="227"/>
      <c r="M55" s="228"/>
      <c r="N55" s="227"/>
      <c r="O55" s="227"/>
      <c r="P55" s="227"/>
      <c r="Q55" s="229"/>
      <c r="R55" s="227"/>
      <c r="S55" s="227"/>
      <c r="T55" s="227"/>
      <c r="U55" s="227"/>
      <c r="V55" s="227"/>
      <c r="W55" s="229"/>
      <c r="X55" s="227"/>
      <c r="Y55" s="227"/>
      <c r="Z55" s="227"/>
      <c r="AA55" s="229"/>
      <c r="AB55" s="227"/>
      <c r="AC55" s="227"/>
      <c r="AD55" s="227"/>
      <c r="AE55" s="227"/>
      <c r="AF55" s="227"/>
      <c r="AG55" s="232"/>
      <c r="AH55" s="227"/>
      <c r="AI55" s="227"/>
      <c r="AJ55" s="227"/>
      <c r="AK55" s="227"/>
      <c r="AL55" s="227"/>
      <c r="AM55" s="227"/>
      <c r="AN55" s="227"/>
      <c r="AO55" s="227"/>
      <c r="AP55" s="227"/>
      <c r="AQ55" s="230"/>
      <c r="AR55" s="227"/>
      <c r="AS55" s="230"/>
      <c r="AT55" s="227"/>
      <c r="AU55" s="227"/>
      <c r="AV55" s="227"/>
      <c r="AW55" s="227"/>
      <c r="AX55" s="227"/>
      <c r="AY55" s="224"/>
      <c r="AZ55" s="224"/>
      <c r="BA55" s="231"/>
      <c r="BB55" s="231"/>
      <c r="BC55" s="314"/>
      <c r="BD55" s="28"/>
    </row>
    <row r="56" spans="1:87" ht="13.5" customHeight="1">
      <c r="A56" s="22"/>
      <c r="B56" s="202"/>
      <c r="C56" s="394"/>
      <c r="D56" s="62"/>
      <c r="E56" s="63"/>
      <c r="F56" s="62"/>
      <c r="G56" s="63"/>
      <c r="H56" s="398"/>
      <c r="I56" s="399"/>
      <c r="J56" s="74"/>
      <c r="K56" s="74"/>
      <c r="L56" s="74"/>
      <c r="M56" s="400"/>
      <c r="N56" s="74"/>
      <c r="O56" s="74"/>
      <c r="P56" s="74"/>
      <c r="Q56" s="401"/>
      <c r="R56" s="74"/>
      <c r="S56" s="74"/>
      <c r="T56" s="74"/>
      <c r="U56" s="74"/>
      <c r="V56" s="74"/>
      <c r="W56" s="401"/>
      <c r="X56" s="65"/>
      <c r="Y56" s="65"/>
      <c r="Z56" s="65"/>
      <c r="AA56" s="198"/>
      <c r="AB56" s="65"/>
      <c r="AC56" s="65"/>
      <c r="AD56" s="65"/>
      <c r="AE56" s="65"/>
      <c r="AF56" s="65"/>
      <c r="AG56" s="158"/>
      <c r="AH56" s="65"/>
      <c r="AI56" s="65"/>
      <c r="AJ56" s="65"/>
      <c r="AK56" s="65"/>
      <c r="AL56" s="65"/>
      <c r="AM56" s="65"/>
      <c r="AN56" s="65"/>
      <c r="AO56" s="65"/>
      <c r="AP56" s="65"/>
      <c r="AQ56" s="125"/>
      <c r="AR56" s="65"/>
      <c r="AS56" s="125"/>
      <c r="AT56" s="65"/>
      <c r="AU56" s="65"/>
      <c r="AV56" s="65"/>
      <c r="AW56" s="65"/>
      <c r="AX56" s="65"/>
      <c r="AY56" s="63"/>
      <c r="AZ56" s="103"/>
      <c r="BA56" s="396"/>
      <c r="BB56"/>
      <c r="BC56" s="397"/>
      <c r="BD56" s="28"/>
    </row>
    <row r="57" spans="1:87" ht="13.5" customHeight="1">
      <c r="A57" s="22"/>
      <c r="B57" s="202">
        <v>16</v>
      </c>
      <c r="C57" s="310"/>
      <c r="D57" s="65"/>
      <c r="E57" s="65"/>
      <c r="F57" s="65"/>
      <c r="G57" s="65"/>
      <c r="H57" s="65"/>
      <c r="I57" s="65"/>
      <c r="J57" s="65"/>
      <c r="K57" s="65"/>
      <c r="L57" s="65"/>
      <c r="M57" s="62"/>
      <c r="N57" s="65"/>
      <c r="O57" s="65"/>
      <c r="P57" s="63"/>
      <c r="Q57" s="64"/>
      <c r="R57" s="63"/>
      <c r="S57" s="111"/>
      <c r="T57" s="112"/>
      <c r="U57" s="111"/>
      <c r="V57" s="112"/>
      <c r="W57" s="111"/>
      <c r="X57" s="111"/>
      <c r="Y57" s="111"/>
      <c r="Z57" s="111"/>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3"/>
      <c r="AZ57" s="53"/>
      <c r="BA57" s="323"/>
      <c r="BB57" s="324"/>
      <c r="BC57" s="326"/>
      <c r="BD57" s="28"/>
    </row>
    <row r="58" spans="1:87" ht="13.5" customHeight="1">
      <c r="A58" s="22"/>
      <c r="B58" s="202">
        <v>17</v>
      </c>
      <c r="C58" s="310"/>
      <c r="D58" s="65"/>
      <c r="E58" s="65"/>
      <c r="F58" s="65"/>
      <c r="G58" s="65"/>
      <c r="H58" s="126"/>
      <c r="I58" s="65"/>
      <c r="J58" s="65"/>
      <c r="K58" s="65"/>
      <c r="L58" s="198"/>
      <c r="M58" s="65"/>
      <c r="N58" s="65"/>
      <c r="O58" s="65"/>
      <c r="P58" s="198"/>
      <c r="Q58" s="65"/>
      <c r="R58" s="65"/>
      <c r="S58" s="65"/>
      <c r="T58" s="198"/>
      <c r="U58" s="65"/>
      <c r="V58" s="65"/>
      <c r="W58" s="65"/>
      <c r="X58" s="65"/>
      <c r="Y58" s="65"/>
      <c r="Z58" s="65"/>
      <c r="AA58" s="65"/>
      <c r="AB58" s="65"/>
      <c r="AC58" s="65"/>
      <c r="AD58" s="65"/>
      <c r="AE58" s="65"/>
      <c r="AF58" s="65"/>
      <c r="AG58" s="65"/>
      <c r="AH58" s="65"/>
      <c r="AI58" s="65"/>
      <c r="AJ58" s="65"/>
      <c r="AK58" s="125"/>
      <c r="AL58" s="65"/>
      <c r="AM58" s="65"/>
      <c r="AN58" s="65"/>
      <c r="AO58" s="65"/>
      <c r="AP58" s="65"/>
      <c r="AQ58" s="65"/>
      <c r="AR58" s="65"/>
      <c r="AS58" s="65"/>
      <c r="AT58" s="65"/>
      <c r="AU58" s="65"/>
      <c r="AV58" s="65"/>
      <c r="AW58" s="65"/>
      <c r="AX58" s="65"/>
      <c r="AY58" s="63"/>
      <c r="AZ58" s="31"/>
      <c r="BA58" s="30"/>
      <c r="BB58" s="175"/>
      <c r="BC58" s="326"/>
      <c r="BD58" s="28"/>
      <c r="BM58" s="1090">
        <f>1-(0.0673/0.1359)</f>
        <v>0.50478292862398821</v>
      </c>
      <c r="BN58" s="1090"/>
      <c r="BO58" s="1090"/>
      <c r="BP58" s="1090"/>
    </row>
    <row r="59" spans="1:87" ht="5.15" customHeight="1">
      <c r="A59" s="22"/>
      <c r="B59" s="202"/>
      <c r="C59" s="315"/>
      <c r="D59" s="73"/>
      <c r="E59" s="73"/>
      <c r="F59" s="73"/>
      <c r="G59" s="73"/>
      <c r="H59" s="316"/>
      <c r="I59" s="275"/>
      <c r="J59" s="273"/>
      <c r="K59" s="275"/>
      <c r="L59" s="273"/>
      <c r="M59" s="317"/>
      <c r="N59" s="317"/>
      <c r="O59" s="270"/>
      <c r="P59" s="317"/>
      <c r="Q59" s="270"/>
      <c r="R59" s="317"/>
      <c r="S59" s="73"/>
      <c r="T59" s="73"/>
      <c r="U59" s="73"/>
      <c r="V59" s="73"/>
      <c r="W59" s="73"/>
      <c r="X59" s="316"/>
      <c r="Y59" s="275"/>
      <c r="Z59" s="273"/>
      <c r="AA59" s="275"/>
      <c r="AB59" s="273"/>
      <c r="AC59" s="317"/>
      <c r="AD59" s="317"/>
      <c r="AE59" s="270"/>
      <c r="AF59" s="317"/>
      <c r="AG59" s="270"/>
      <c r="AH59" s="317"/>
      <c r="AI59" s="276"/>
      <c r="AJ59" s="317"/>
      <c r="AK59" s="270"/>
      <c r="AL59" s="73"/>
      <c r="AM59" s="73"/>
      <c r="AN59" s="73"/>
      <c r="AO59" s="73"/>
      <c r="AP59" s="73"/>
      <c r="AQ59" s="73"/>
      <c r="AR59" s="73"/>
      <c r="AS59" s="73"/>
      <c r="AT59" s="73"/>
      <c r="AU59" s="73"/>
      <c r="AV59" s="318"/>
      <c r="AW59" s="73"/>
      <c r="AX59" s="73"/>
      <c r="AY59" s="269"/>
      <c r="AZ59" s="269"/>
      <c r="BA59" s="319"/>
      <c r="BB59" s="320"/>
      <c r="BC59" s="321"/>
      <c r="BD59" s="28"/>
    </row>
    <row r="60" spans="1:87" ht="13.5" customHeight="1">
      <c r="A60" s="22"/>
      <c r="B60" s="202">
        <v>18</v>
      </c>
      <c r="C60" s="75"/>
      <c r="D60" s="63"/>
      <c r="E60" s="63"/>
      <c r="F60" s="63"/>
      <c r="G60" s="63"/>
      <c r="H60" s="69"/>
      <c r="I60" s="69"/>
      <c r="J60" s="65"/>
      <c r="K60" s="69"/>
      <c r="L60" s="65"/>
      <c r="M60" s="69"/>
      <c r="N60" s="64"/>
      <c r="O60" s="69"/>
      <c r="P60" s="65"/>
      <c r="Q60" s="65"/>
      <c r="R60" s="65"/>
      <c r="S60" s="63"/>
      <c r="T60" s="63"/>
      <c r="U60" s="63"/>
      <c r="V60" s="63"/>
      <c r="W60" s="63"/>
      <c r="X60" s="64"/>
      <c r="Y60" s="63"/>
      <c r="Z60" s="65"/>
      <c r="AA60" s="64"/>
      <c r="AB60" s="63"/>
      <c r="AC60" s="65"/>
      <c r="AD60" s="64"/>
      <c r="AE60" s="65"/>
      <c r="AF60" s="65"/>
      <c r="AG60" s="64"/>
      <c r="AH60" s="65"/>
      <c r="AI60" s="65"/>
      <c r="AJ60" s="126"/>
      <c r="AK60" s="65"/>
      <c r="AL60" s="65"/>
      <c r="AM60" s="65"/>
      <c r="AN60" s="65"/>
      <c r="AO60" s="65"/>
      <c r="AP60" s="65"/>
      <c r="AQ60" s="65"/>
      <c r="AR60" s="65"/>
      <c r="AS60" s="65"/>
      <c r="AT60" s="65"/>
      <c r="AU60" s="65"/>
      <c r="AV60" s="65"/>
      <c r="AW60" s="65"/>
      <c r="AX60" s="65"/>
      <c r="AY60" s="63"/>
      <c r="AZ60" s="264"/>
      <c r="BA60" s="301"/>
      <c r="BB60" s="302"/>
      <c r="BC60" s="343"/>
      <c r="BD60" s="28"/>
    </row>
    <row r="61" spans="1:87" ht="13.5" customHeight="1">
      <c r="A61" s="22"/>
      <c r="B61" s="202">
        <v>20</v>
      </c>
      <c r="C61" s="204" t="s">
        <v>78</v>
      </c>
      <c r="D61" s="28"/>
      <c r="E61" s="28"/>
      <c r="F61" s="28"/>
      <c r="G61" s="28"/>
      <c r="H61" s="121"/>
      <c r="I61" s="62"/>
      <c r="J61" s="63"/>
      <c r="K61" s="62"/>
      <c r="L61" s="63"/>
      <c r="M61" s="69"/>
      <c r="N61" s="69"/>
      <c r="O61" s="65"/>
      <c r="P61" s="69"/>
      <c r="Q61" s="65"/>
      <c r="R61" s="69"/>
      <c r="S61" s="28"/>
      <c r="T61" s="28"/>
      <c r="U61" s="28"/>
      <c r="V61" s="28"/>
      <c r="W61" s="28"/>
      <c r="X61" s="121"/>
      <c r="Y61" s="62"/>
      <c r="Z61" s="63"/>
      <c r="AA61" s="62"/>
      <c r="AB61" s="63"/>
      <c r="AC61" s="69"/>
      <c r="AD61" s="69"/>
      <c r="AE61" s="65"/>
      <c r="AF61" s="69"/>
      <c r="AG61" s="65"/>
      <c r="AH61" s="69"/>
      <c r="AI61" s="64"/>
      <c r="AJ61" s="69"/>
      <c r="AK61" s="65"/>
      <c r="AL61" s="28"/>
      <c r="AM61" s="28"/>
      <c r="AN61" s="28"/>
      <c r="AO61" s="28"/>
      <c r="AP61" s="28"/>
      <c r="AQ61" s="28"/>
      <c r="AR61" s="28"/>
      <c r="AS61" s="28"/>
      <c r="AT61" s="28"/>
      <c r="AU61" s="28"/>
      <c r="AV61" s="233"/>
      <c r="AW61" s="28"/>
      <c r="AX61" s="28"/>
      <c r="AY61" s="31"/>
      <c r="AZ61" s="269"/>
      <c r="BA61" s="319"/>
      <c r="BB61" s="320"/>
      <c r="BC61" s="344"/>
      <c r="BD61" s="28"/>
    </row>
    <row r="62" spans="1:87" ht="5.15" customHeight="1">
      <c r="A62" s="22"/>
      <c r="B62" s="202"/>
      <c r="C62" s="296"/>
      <c r="D62" s="72"/>
      <c r="E62" s="72"/>
      <c r="F62" s="72"/>
      <c r="G62" s="72"/>
      <c r="H62" s="297"/>
      <c r="I62" s="278"/>
      <c r="J62" s="279"/>
      <c r="K62" s="278"/>
      <c r="L62" s="279"/>
      <c r="M62" s="298"/>
      <c r="N62" s="298"/>
      <c r="O62" s="263"/>
      <c r="P62" s="298"/>
      <c r="Q62" s="263"/>
      <c r="R62" s="298"/>
      <c r="S62" s="72"/>
      <c r="T62" s="72"/>
      <c r="U62" s="72"/>
      <c r="V62" s="72"/>
      <c r="W62" s="72"/>
      <c r="X62" s="297"/>
      <c r="Y62" s="278"/>
      <c r="Z62" s="279"/>
      <c r="AA62" s="278"/>
      <c r="AB62" s="279"/>
      <c r="AC62" s="298"/>
      <c r="AD62" s="298"/>
      <c r="AE62" s="263"/>
      <c r="AF62" s="298"/>
      <c r="AG62" s="263"/>
      <c r="AH62" s="298"/>
      <c r="AI62" s="280"/>
      <c r="AJ62" s="298"/>
      <c r="AK62" s="263"/>
      <c r="AL62" s="72"/>
      <c r="AM62" s="72"/>
      <c r="AN62" s="72"/>
      <c r="AO62" s="72"/>
      <c r="AP62" s="72"/>
      <c r="AQ62" s="72"/>
      <c r="AR62" s="72"/>
      <c r="AS62" s="72"/>
      <c r="AT62" s="72"/>
      <c r="AU62" s="72"/>
      <c r="AV62" s="300"/>
      <c r="AW62" s="72"/>
      <c r="AX62" s="72"/>
      <c r="AY62" s="264"/>
      <c r="AZ62" s="264"/>
      <c r="BA62" s="301"/>
      <c r="BB62" s="302"/>
      <c r="BC62" s="303"/>
      <c r="BD62" s="28"/>
    </row>
    <row r="63" spans="1:87" ht="13.5" customHeight="1">
      <c r="A63" s="22"/>
      <c r="B63" s="202">
        <v>21</v>
      </c>
      <c r="C63" s="304" t="s">
        <v>32</v>
      </c>
      <c r="D63" s="234" t="s">
        <v>260</v>
      </c>
      <c r="E63" s="235"/>
      <c r="F63" s="234" t="s">
        <v>64</v>
      </c>
      <c r="G63" s="235"/>
      <c r="H63" s="235"/>
      <c r="I63" s="236"/>
      <c r="J63" s="237" t="s">
        <v>34</v>
      </c>
      <c r="K63" s="238"/>
      <c r="L63" s="238"/>
      <c r="M63" s="238"/>
      <c r="N63" s="235"/>
      <c r="O63" s="236"/>
      <c r="P63" s="239" t="s">
        <v>67</v>
      </c>
      <c r="Q63" s="240"/>
      <c r="R63" s="240"/>
      <c r="S63" s="241"/>
      <c r="T63" s="239" t="s">
        <v>151</v>
      </c>
      <c r="U63" s="240"/>
      <c r="V63" s="240"/>
      <c r="W63" s="241"/>
      <c r="X63" s="234" t="s">
        <v>79</v>
      </c>
      <c r="Y63" s="235"/>
      <c r="Z63" s="235"/>
      <c r="AA63" s="236"/>
      <c r="AB63" s="234" t="s">
        <v>150</v>
      </c>
      <c r="AC63" s="235"/>
      <c r="AD63" s="235"/>
      <c r="AE63" s="235"/>
      <c r="AF63" s="239" t="s">
        <v>65</v>
      </c>
      <c r="AG63" s="240"/>
      <c r="AH63" s="240"/>
      <c r="AI63" s="240"/>
      <c r="AJ63" s="241"/>
      <c r="AK63" s="240" t="s">
        <v>210</v>
      </c>
      <c r="AL63" s="240"/>
      <c r="AM63" s="240"/>
      <c r="AN63" s="241"/>
      <c r="AO63" s="240" t="s">
        <v>162</v>
      </c>
      <c r="AP63" s="240"/>
      <c r="AQ63" s="240"/>
      <c r="AR63" s="241"/>
      <c r="AS63" s="240" t="s">
        <v>211</v>
      </c>
      <c r="AT63" s="240"/>
      <c r="AU63" s="240"/>
      <c r="AV63" s="241"/>
      <c r="AW63" s="240" t="s">
        <v>66</v>
      </c>
      <c r="AX63" s="240"/>
      <c r="AY63" s="240"/>
      <c r="AZ63" s="241"/>
      <c r="BA63" s="239" t="s">
        <v>213</v>
      </c>
      <c r="BB63" s="240"/>
      <c r="BC63" s="240"/>
      <c r="BD63" s="240"/>
      <c r="BE63" s="239" t="s">
        <v>199</v>
      </c>
      <c r="BF63" s="240"/>
      <c r="BG63" s="240"/>
      <c r="BH63" s="241"/>
      <c r="BI63" s="239" t="s">
        <v>214</v>
      </c>
      <c r="BJ63" s="240"/>
      <c r="BK63" s="240"/>
      <c r="BL63" s="241"/>
      <c r="BM63" s="239" t="s">
        <v>236</v>
      </c>
      <c r="BN63" s="240"/>
      <c r="BO63" s="240"/>
      <c r="BP63" s="241"/>
      <c r="BQ63" s="239" t="s">
        <v>83</v>
      </c>
      <c r="BR63" s="240"/>
      <c r="BS63" s="240"/>
      <c r="BT63" s="241"/>
      <c r="BU63" s="239" t="s">
        <v>84</v>
      </c>
      <c r="BV63" s="240"/>
      <c r="BW63" s="240"/>
      <c r="BX63" s="241"/>
      <c r="BY63" s="240" t="s">
        <v>85</v>
      </c>
      <c r="BZ63" s="240"/>
      <c r="CA63" s="241"/>
      <c r="CB63" s="240" t="s">
        <v>86</v>
      </c>
      <c r="CC63" s="240"/>
      <c r="CD63" s="240"/>
      <c r="CE63" s="241"/>
      <c r="CF63" s="240" t="s">
        <v>69</v>
      </c>
      <c r="CG63" s="240"/>
      <c r="CH63" s="240"/>
      <c r="CI63" s="241"/>
    </row>
    <row r="64" spans="1:87" ht="13.5" customHeight="1">
      <c r="A64" s="22"/>
      <c r="B64" s="202">
        <v>22</v>
      </c>
      <c r="C64" s="308">
        <v>1</v>
      </c>
      <c r="D64" s="148" t="str">
        <f>N51</f>
        <v>KFH</v>
      </c>
      <c r="E64" s="149"/>
      <c r="F64" s="148" t="str">
        <f>D51</f>
        <v>4800215830</v>
      </c>
      <c r="G64" s="149"/>
      <c r="H64" s="149"/>
      <c r="I64" s="151"/>
      <c r="J64" s="242" t="str">
        <f>H51</f>
        <v>TF38-20S-0.5SV(830)</v>
      </c>
      <c r="K64" s="150"/>
      <c r="L64" s="150"/>
      <c r="M64" s="150"/>
      <c r="N64" s="161"/>
      <c r="O64" s="162"/>
      <c r="P64" s="148" t="s">
        <v>149</v>
      </c>
      <c r="Q64" s="150"/>
      <c r="R64" s="150"/>
      <c r="S64" s="162"/>
      <c r="T64" s="148" t="str">
        <f>AE51</f>
        <v>USD</v>
      </c>
      <c r="U64" s="150"/>
      <c r="V64" s="150"/>
      <c r="W64" s="162"/>
      <c r="X64" s="1002">
        <f>R51</f>
        <v>70000</v>
      </c>
      <c r="Y64" s="1003"/>
      <c r="Z64" s="1003"/>
      <c r="AA64" s="1004"/>
      <c r="AB64" s="1042">
        <f>Z51</f>
        <v>6.7299999999999999E-2</v>
      </c>
      <c r="AC64" s="1043"/>
      <c r="AD64" s="1043"/>
      <c r="AE64" s="1044"/>
      <c r="AF64" s="1042">
        <f>BC51</f>
        <v>0.151</v>
      </c>
      <c r="AG64" s="1043"/>
      <c r="AH64" s="1043"/>
      <c r="AI64" s="1043"/>
      <c r="AJ64" s="1044"/>
      <c r="AK64" s="1042">
        <f>AM51</f>
        <v>0.12</v>
      </c>
      <c r="AL64" s="1043"/>
      <c r="AM64" s="1043"/>
      <c r="AN64" s="1044"/>
      <c r="AO64" s="1042">
        <f>AI51</f>
        <v>0.1211</v>
      </c>
      <c r="AP64" s="1043"/>
      <c r="AQ64" s="1043"/>
      <c r="AR64" s="1044"/>
      <c r="AS64" s="1042">
        <f>AI51/(1-AQ51)</f>
        <v>0.12232323232323232</v>
      </c>
      <c r="AT64" s="1043"/>
      <c r="AU64" s="1043"/>
      <c r="AV64" s="1044"/>
      <c r="AW64" s="1042">
        <f>AO64-(AS64*$K$20)</f>
        <v>0.11498383838383838</v>
      </c>
      <c r="AX64" s="1043"/>
      <c r="AY64" s="1043"/>
      <c r="AZ64" s="1044"/>
      <c r="BA64" s="1023">
        <f>IFERROR((AI51-AM51)/AM51,"")</f>
        <v>9.1666666666666979E-3</v>
      </c>
      <c r="BB64" s="1024"/>
      <c r="BC64" s="1024"/>
      <c r="BD64" s="1025"/>
      <c r="BE64" s="1074">
        <f>AU51</f>
        <v>0.13589999999999999</v>
      </c>
      <c r="BF64" s="1075"/>
      <c r="BG64" s="1075"/>
      <c r="BH64" s="1076"/>
      <c r="BI64" s="1026">
        <f>1-AI51/(1-AQ51)/AU51</f>
        <v>9.990263191146187E-2</v>
      </c>
      <c r="BJ64" s="1027"/>
      <c r="BK64" s="1027"/>
      <c r="BL64" s="1028"/>
      <c r="BM64" s="1026">
        <f>1-AB64/BE64</f>
        <v>0.50478292862398821</v>
      </c>
      <c r="BN64" s="1027"/>
      <c r="BO64" s="1027"/>
      <c r="BP64" s="1028"/>
      <c r="BQ64" s="1045">
        <f>AY51</f>
        <v>0.151</v>
      </c>
      <c r="BR64" s="1046"/>
      <c r="BS64" s="1046"/>
      <c r="BT64" s="1047"/>
      <c r="BU64" s="1026">
        <f>1-AU51/AY51</f>
        <v>9.9999999999999978E-2</v>
      </c>
      <c r="BV64" s="1027"/>
      <c r="BW64" s="1027"/>
      <c r="BX64" s="1028"/>
      <c r="BY64" s="1042">
        <f>BG51</f>
        <v>6.1000000000000004E-3</v>
      </c>
      <c r="BZ64" s="1043"/>
      <c r="CA64" s="1044"/>
      <c r="CB64" s="149" t="str">
        <f>BJ51</f>
        <v>JAE</v>
      </c>
      <c r="CC64" s="150"/>
      <c r="CD64" s="150"/>
      <c r="CE64" s="152"/>
      <c r="CF64" s="149" t="s">
        <v>30</v>
      </c>
      <c r="CG64" s="150"/>
      <c r="CH64" s="150"/>
      <c r="CI64" s="152"/>
    </row>
    <row r="65" spans="1:87" ht="13.5" customHeight="1">
      <c r="A65" s="22"/>
      <c r="B65" s="489">
        <v>20</v>
      </c>
      <c r="C65" s="204" t="s">
        <v>281</v>
      </c>
      <c r="D65" s="28"/>
      <c r="E65" s="28"/>
      <c r="F65" s="28"/>
      <c r="G65" s="28"/>
      <c r="H65" s="121"/>
      <c r="I65" s="62"/>
      <c r="J65" s="63"/>
      <c r="K65" s="62"/>
      <c r="L65" s="63"/>
      <c r="M65" s="69"/>
      <c r="N65" s="69"/>
      <c r="O65" s="65"/>
      <c r="P65" s="69"/>
      <c r="Q65" s="65"/>
      <c r="R65" s="69"/>
      <c r="S65" s="28"/>
      <c r="T65" s="28"/>
      <c r="U65" s="28"/>
      <c r="V65" s="28"/>
      <c r="W65" s="28"/>
      <c r="X65" s="121"/>
      <c r="Y65" s="62"/>
      <c r="Z65" s="63"/>
      <c r="AA65" s="62"/>
      <c r="AB65" s="63"/>
      <c r="AC65" s="69"/>
      <c r="AD65" s="69"/>
      <c r="AE65" s="65"/>
      <c r="AF65" s="69"/>
      <c r="AG65" s="65"/>
      <c r="AH65" s="69"/>
      <c r="AI65" s="64"/>
      <c r="AJ65" s="69"/>
      <c r="AK65" s="65"/>
      <c r="AL65" s="28"/>
      <c r="AM65" s="28"/>
      <c r="AN65" s="28"/>
      <c r="AO65" s="28"/>
      <c r="AP65" s="28"/>
      <c r="AQ65" s="28"/>
      <c r="AR65" s="28"/>
      <c r="AS65" s="28"/>
      <c r="AT65" s="28"/>
      <c r="AU65" s="28"/>
      <c r="AV65" s="233"/>
      <c r="AW65" s="28"/>
      <c r="AX65" s="28"/>
      <c r="AY65" s="31"/>
      <c r="AZ65" s="52"/>
      <c r="BA65" s="93"/>
      <c r="BB65" s="327"/>
      <c r="BC65" s="328"/>
      <c r="BD65" s="26"/>
      <c r="BE65" s="26"/>
      <c r="BF65" s="26"/>
    </row>
    <row r="66" spans="1:87" ht="13.5" customHeight="1">
      <c r="A66" s="22"/>
      <c r="B66" s="202">
        <v>24</v>
      </c>
      <c r="C66" s="304"/>
      <c r="D66" s="502" t="s">
        <v>280</v>
      </c>
      <c r="E66" s="503"/>
      <c r="F66" s="504" t="s">
        <v>294</v>
      </c>
      <c r="G66" s="503"/>
      <c r="H66" s="503"/>
      <c r="I66" s="505"/>
      <c r="J66" s="504" t="s">
        <v>30</v>
      </c>
      <c r="K66" s="506"/>
      <c r="L66" s="506"/>
      <c r="M66" s="506"/>
      <c r="N66" s="503"/>
      <c r="O66" s="505"/>
      <c r="P66" s="511" t="s">
        <v>30</v>
      </c>
      <c r="Q66" s="508"/>
      <c r="R66" s="508"/>
      <c r="S66" s="509"/>
      <c r="T66" s="502"/>
      <c r="U66" s="503"/>
      <c r="V66" s="503"/>
      <c r="W66" s="505"/>
      <c r="X66" s="508" t="s">
        <v>239</v>
      </c>
      <c r="Y66" s="503"/>
      <c r="Z66" s="503"/>
      <c r="AA66" s="503"/>
      <c r="AB66" s="507" t="s">
        <v>234</v>
      </c>
      <c r="AC66" s="503"/>
      <c r="AD66" s="503"/>
      <c r="AE66" s="503"/>
      <c r="AF66" s="507" t="s">
        <v>235</v>
      </c>
      <c r="AG66" s="508"/>
      <c r="AH66" s="508"/>
      <c r="AI66" s="508"/>
      <c r="AJ66" s="509"/>
      <c r="AK66" s="507" t="s">
        <v>236</v>
      </c>
      <c r="AL66" s="508"/>
      <c r="AM66" s="508"/>
      <c r="AN66" s="509"/>
      <c r="AO66" s="507" t="s">
        <v>237</v>
      </c>
      <c r="AP66" s="508"/>
      <c r="AQ66" s="508"/>
      <c r="AR66" s="509"/>
      <c r="AS66" s="507" t="s">
        <v>238</v>
      </c>
      <c r="AT66" s="508"/>
      <c r="AU66" s="508"/>
      <c r="AV66" s="508"/>
      <c r="AW66" s="511" t="s">
        <v>30</v>
      </c>
      <c r="AX66" s="508"/>
      <c r="AY66" s="508"/>
      <c r="AZ66" s="509"/>
      <c r="BA66" s="511"/>
      <c r="BB66" s="508"/>
      <c r="BC66" s="508"/>
      <c r="BD66" s="509"/>
      <c r="BE66" s="513"/>
      <c r="BF66" s="508"/>
      <c r="BG66" s="508"/>
      <c r="BH66" s="509"/>
      <c r="BI66" s="513" t="s">
        <v>30</v>
      </c>
      <c r="BJ66" s="508"/>
      <c r="BK66" s="508"/>
      <c r="BL66" s="509"/>
      <c r="BM66" s="513" t="s">
        <v>30</v>
      </c>
      <c r="BN66" s="508"/>
      <c r="BO66" s="508"/>
      <c r="BP66" s="509"/>
      <c r="BQ66" s="513" t="s">
        <v>30</v>
      </c>
      <c r="BR66" s="508"/>
      <c r="BS66" s="508"/>
      <c r="BT66" s="509"/>
      <c r="BU66" s="508"/>
      <c r="BV66" s="508"/>
      <c r="BW66" s="508"/>
      <c r="BX66" s="509"/>
      <c r="BY66" s="513" t="s">
        <v>30</v>
      </c>
      <c r="BZ66" s="508"/>
      <c r="CA66" s="509"/>
      <c r="CB66" s="508"/>
      <c r="CC66" s="508"/>
      <c r="CD66" s="508"/>
      <c r="CE66" s="509"/>
      <c r="CF66" s="508"/>
      <c r="CG66" s="508"/>
      <c r="CH66" s="508"/>
      <c r="CI66" s="509"/>
    </row>
    <row r="67" spans="1:87" ht="13.5" customHeight="1">
      <c r="A67" s="22"/>
      <c r="B67" s="202">
        <v>25</v>
      </c>
      <c r="C67" s="308">
        <v>1</v>
      </c>
      <c r="D67" s="148" t="s">
        <v>160</v>
      </c>
      <c r="E67" s="149"/>
      <c r="F67" s="148" t="s">
        <v>148</v>
      </c>
      <c r="G67" s="149"/>
      <c r="H67" s="149"/>
      <c r="I67" s="151"/>
      <c r="J67" s="221"/>
      <c r="K67" s="222"/>
      <c r="L67" s="222"/>
      <c r="M67" s="222"/>
      <c r="N67" s="161"/>
      <c r="O67" s="162"/>
      <c r="P67" s="148"/>
      <c r="Q67" s="150"/>
      <c r="R67" s="150"/>
      <c r="S67" s="162"/>
      <c r="T67" s="119"/>
      <c r="U67" s="120"/>
      <c r="V67" s="120"/>
      <c r="W67" s="162"/>
      <c r="X67" s="990">
        <f>SUMPRODUCT(X$64:AA$64,BE$64:BH$64)</f>
        <v>9513</v>
      </c>
      <c r="Y67" s="1012"/>
      <c r="Z67" s="1012"/>
      <c r="AA67" s="1013"/>
      <c r="AB67" s="990">
        <f>SUMPRODUCT(X$64:AA$64,AB$64:AE$64)</f>
        <v>4711</v>
      </c>
      <c r="AC67" s="1012"/>
      <c r="AD67" s="1012"/>
      <c r="AE67" s="1013"/>
      <c r="AF67" s="990">
        <f>X67-AB67</f>
        <v>4802</v>
      </c>
      <c r="AG67" s="1012"/>
      <c r="AH67" s="1012"/>
      <c r="AI67" s="1012"/>
      <c r="AJ67" s="1013"/>
      <c r="AK67" s="996">
        <f>AF67/X67</f>
        <v>0.50478292862398821</v>
      </c>
      <c r="AL67" s="997"/>
      <c r="AM67" s="997"/>
      <c r="AN67" s="998"/>
      <c r="AO67" s="996">
        <f>IFERROR(AS67/(X67-AS67),"")</f>
        <v>0.13249999999999998</v>
      </c>
      <c r="AP67" s="997"/>
      <c r="AQ67" s="997"/>
      <c r="AR67" s="998"/>
      <c r="AS67" s="1091">
        <f>X$64*(BE$64-AK$64)</f>
        <v>1112.9999999999998</v>
      </c>
      <c r="AT67" s="1092"/>
      <c r="AU67" s="1092"/>
      <c r="AV67" s="1093"/>
      <c r="AW67" s="1067"/>
      <c r="AX67" s="1068"/>
      <c r="AY67" s="1068"/>
      <c r="AZ67" s="1069"/>
      <c r="BA67" s="1017"/>
      <c r="BB67" s="1018"/>
      <c r="BC67" s="1018"/>
      <c r="BD67" s="1019"/>
      <c r="BE67" s="1026"/>
      <c r="BF67" s="1027"/>
      <c r="BG67" s="1027"/>
      <c r="BH67" s="1028"/>
      <c r="BI67" s="149" t="s">
        <v>30</v>
      </c>
      <c r="BJ67" s="150"/>
      <c r="BK67" s="150"/>
      <c r="BL67" s="152"/>
      <c r="BM67" s="149" t="s">
        <v>30</v>
      </c>
      <c r="BN67" s="150"/>
      <c r="BO67" s="150"/>
      <c r="BP67" s="152"/>
      <c r="BQ67" s="149" t="s">
        <v>30</v>
      </c>
      <c r="BR67" s="150"/>
      <c r="BS67" s="150"/>
      <c r="BT67" s="152"/>
      <c r="BU67" s="149" t="s">
        <v>30</v>
      </c>
      <c r="BV67" s="150"/>
      <c r="BW67" s="150"/>
      <c r="BX67" s="152"/>
      <c r="BY67" s="149" t="s">
        <v>30</v>
      </c>
      <c r="BZ67" s="150"/>
      <c r="CA67" s="152"/>
      <c r="CB67" s="149" t="s">
        <v>30</v>
      </c>
      <c r="CC67" s="150"/>
      <c r="CD67" s="150"/>
      <c r="CE67" s="152"/>
      <c r="CF67" s="149" t="s">
        <v>30</v>
      </c>
      <c r="CG67" s="150"/>
      <c r="CH67" s="150"/>
      <c r="CI67" s="152"/>
    </row>
    <row r="68" spans="1:87" ht="13.5" customHeight="1">
      <c r="A68" s="22"/>
      <c r="B68" s="202">
        <v>25</v>
      </c>
      <c r="C68" s="308">
        <v>2</v>
      </c>
      <c r="D68" s="148" t="s">
        <v>160</v>
      </c>
      <c r="E68" s="149"/>
      <c r="F68" s="148" t="s">
        <v>207</v>
      </c>
      <c r="G68" s="149"/>
      <c r="H68" s="149"/>
      <c r="I68" s="151"/>
      <c r="J68" s="221"/>
      <c r="K68" s="222"/>
      <c r="L68" s="222"/>
      <c r="M68" s="222"/>
      <c r="N68" s="161"/>
      <c r="O68" s="162"/>
      <c r="P68" s="148"/>
      <c r="Q68" s="150"/>
      <c r="R68" s="150"/>
      <c r="S68" s="162"/>
      <c r="T68" s="119"/>
      <c r="U68" s="120"/>
      <c r="V68" s="120"/>
      <c r="W68" s="162"/>
      <c r="X68" s="1017">
        <f>SUMPRODUCT(X$64:AA$64,BE$64:BH$64)</f>
        <v>9513</v>
      </c>
      <c r="Y68" s="1018"/>
      <c r="Z68" s="1018"/>
      <c r="AA68" s="1019"/>
      <c r="AB68" s="1017">
        <f>SUMPRODUCT(X$64:AA$64,AB$64:AE$64)</f>
        <v>4711</v>
      </c>
      <c r="AC68" s="1018"/>
      <c r="AD68" s="1018"/>
      <c r="AE68" s="1019"/>
      <c r="AF68" s="1017">
        <f>X68-AB68</f>
        <v>4802</v>
      </c>
      <c r="AG68" s="1018"/>
      <c r="AH68" s="1018"/>
      <c r="AI68" s="1018"/>
      <c r="AJ68" s="1019"/>
      <c r="AK68" s="996">
        <f>AF68/X68</f>
        <v>0.50478292862398821</v>
      </c>
      <c r="AL68" s="997"/>
      <c r="AM68" s="997"/>
      <c r="AN68" s="998"/>
      <c r="AO68" s="996">
        <f>IFERROR(AS68/(X68-AS68),"")</f>
        <v>0.13249999999999998</v>
      </c>
      <c r="AP68" s="997"/>
      <c r="AQ68" s="997"/>
      <c r="AR68" s="998"/>
      <c r="AS68" s="1070">
        <f>X$64*(BE$64-AK$64)</f>
        <v>1112.9999999999998</v>
      </c>
      <c r="AT68" s="1071"/>
      <c r="AU68" s="1071"/>
      <c r="AV68" s="1072"/>
      <c r="AW68" s="1067"/>
      <c r="AX68" s="1068"/>
      <c r="AY68" s="1068"/>
      <c r="AZ68" s="1069"/>
      <c r="BA68" s="1017"/>
      <c r="BB68" s="1018"/>
      <c r="BC68" s="1018"/>
      <c r="BD68" s="1019"/>
      <c r="BE68" s="1026"/>
      <c r="BF68" s="1027"/>
      <c r="BG68" s="1027"/>
      <c r="BH68" s="1028"/>
      <c r="BI68" s="149" t="s">
        <v>30</v>
      </c>
      <c r="BJ68" s="150"/>
      <c r="BK68" s="150"/>
      <c r="BL68" s="152"/>
      <c r="BM68" s="149" t="s">
        <v>30</v>
      </c>
      <c r="BN68" s="150"/>
      <c r="BO68" s="150"/>
      <c r="BP68" s="152"/>
      <c r="BQ68" s="149" t="s">
        <v>30</v>
      </c>
      <c r="BR68" s="150"/>
      <c r="BS68" s="150"/>
      <c r="BT68" s="152"/>
      <c r="BU68" s="149" t="s">
        <v>30</v>
      </c>
      <c r="BV68" s="150"/>
      <c r="BW68" s="150"/>
      <c r="BX68" s="152"/>
      <c r="BY68" s="149" t="s">
        <v>30</v>
      </c>
      <c r="BZ68" s="150"/>
      <c r="CA68" s="152"/>
      <c r="CB68" s="149" t="s">
        <v>30</v>
      </c>
      <c r="CC68" s="150"/>
      <c r="CD68" s="150"/>
      <c r="CE68" s="152"/>
      <c r="CF68" s="149" t="s">
        <v>30</v>
      </c>
      <c r="CG68" s="150"/>
      <c r="CH68" s="150"/>
      <c r="CI68" s="152"/>
    </row>
    <row r="69" spans="1:87" ht="13.5" customHeight="1">
      <c r="A69" s="22"/>
      <c r="B69" s="489">
        <v>20</v>
      </c>
      <c r="C69" s="204" t="s">
        <v>279</v>
      </c>
      <c r="D69" s="28"/>
      <c r="E69" s="28"/>
      <c r="F69" s="28"/>
      <c r="G69" s="28"/>
      <c r="H69" s="121"/>
      <c r="I69" s="62"/>
      <c r="J69" s="63"/>
      <c r="K69" s="62"/>
      <c r="L69" s="63"/>
      <c r="M69" s="69"/>
      <c r="N69" s="69"/>
      <c r="O69" s="65"/>
      <c r="P69" s="69"/>
      <c r="Q69" s="65"/>
      <c r="R69" s="69"/>
      <c r="S69" s="28"/>
      <c r="T69" s="28"/>
      <c r="U69" s="28"/>
      <c r="V69" s="28"/>
      <c r="W69" s="28"/>
      <c r="X69" s="121"/>
      <c r="Y69" s="62"/>
      <c r="Z69" s="63"/>
      <c r="AA69" s="62"/>
      <c r="AB69" s="63"/>
      <c r="AC69" s="69"/>
      <c r="AD69" s="69"/>
      <c r="AE69" s="65"/>
      <c r="AF69" s="69"/>
      <c r="AG69" s="65"/>
      <c r="AH69" s="69"/>
      <c r="AI69" s="64"/>
      <c r="AJ69" s="69"/>
      <c r="AK69" s="65"/>
      <c r="AL69" s="28"/>
      <c r="AM69" s="28"/>
      <c r="AN69" s="28"/>
      <c r="AO69" s="28"/>
      <c r="AP69" s="28"/>
      <c r="AQ69" s="28"/>
      <c r="AR69" s="28"/>
      <c r="AS69" s="28"/>
      <c r="AT69" s="28"/>
      <c r="AU69" s="28"/>
      <c r="AV69" s="233"/>
      <c r="AW69" s="28"/>
      <c r="AX69" s="28"/>
      <c r="AY69" s="31"/>
      <c r="AZ69" s="52"/>
      <c r="BA69" s="93"/>
      <c r="BB69" s="327"/>
      <c r="BC69" s="328"/>
      <c r="BD69" s="26"/>
      <c r="BE69" s="26"/>
      <c r="BF69" s="26"/>
    </row>
    <row r="70" spans="1:87" ht="13.5" customHeight="1">
      <c r="A70" s="22"/>
      <c r="B70" s="202">
        <v>24</v>
      </c>
      <c r="C70" s="304"/>
      <c r="D70" s="243"/>
      <c r="E70" s="244"/>
      <c r="F70" s="243" t="s">
        <v>295</v>
      </c>
      <c r="G70" s="244"/>
      <c r="H70" s="244"/>
      <c r="I70" s="245"/>
      <c r="J70" s="246" t="s">
        <v>30</v>
      </c>
      <c r="K70" s="247"/>
      <c r="L70" s="247"/>
      <c r="M70" s="247"/>
      <c r="N70" s="244"/>
      <c r="O70" s="245"/>
      <c r="P70" s="248"/>
      <c r="Q70" s="249"/>
      <c r="R70" s="249"/>
      <c r="S70" s="250"/>
      <c r="T70" s="243"/>
      <c r="U70" s="244"/>
      <c r="V70" s="244"/>
      <c r="W70" s="245"/>
      <c r="X70" s="249" t="s">
        <v>239</v>
      </c>
      <c r="Y70" s="244"/>
      <c r="Z70" s="244"/>
      <c r="AA70" s="244"/>
      <c r="AB70" s="248" t="s">
        <v>234</v>
      </c>
      <c r="AC70" s="244"/>
      <c r="AD70" s="244"/>
      <c r="AE70" s="244"/>
      <c r="AF70" s="248" t="s">
        <v>235</v>
      </c>
      <c r="AG70" s="249"/>
      <c r="AH70" s="249"/>
      <c r="AI70" s="249"/>
      <c r="AJ70" s="250"/>
      <c r="AK70" s="248" t="s">
        <v>236</v>
      </c>
      <c r="AL70" s="249"/>
      <c r="AM70" s="249"/>
      <c r="AN70" s="250"/>
      <c r="AO70" s="248" t="s">
        <v>237</v>
      </c>
      <c r="AP70" s="249"/>
      <c r="AQ70" s="249"/>
      <c r="AR70" s="250"/>
      <c r="AS70" s="248" t="s">
        <v>238</v>
      </c>
      <c r="AT70" s="249"/>
      <c r="AU70" s="249"/>
      <c r="AV70" s="249"/>
      <c r="AW70" s="253" t="s">
        <v>30</v>
      </c>
      <c r="AX70" s="249"/>
      <c r="AY70" s="249"/>
      <c r="AZ70" s="250"/>
      <c r="BA70" s="253"/>
      <c r="BB70" s="249"/>
      <c r="BC70" s="249"/>
      <c r="BD70" s="250"/>
      <c r="BE70" s="251"/>
      <c r="BF70" s="249"/>
      <c r="BG70" s="249"/>
      <c r="BH70" s="250"/>
      <c r="BI70" s="251" t="s">
        <v>30</v>
      </c>
      <c r="BJ70" s="249"/>
      <c r="BK70" s="249"/>
      <c r="BL70" s="250"/>
      <c r="BM70" s="251" t="s">
        <v>30</v>
      </c>
      <c r="BN70" s="249"/>
      <c r="BO70" s="249"/>
      <c r="BP70" s="250"/>
      <c r="BQ70" s="251" t="s">
        <v>30</v>
      </c>
      <c r="BR70" s="249"/>
      <c r="BS70" s="249"/>
      <c r="BT70" s="250"/>
      <c r="BU70" s="249"/>
      <c r="BV70" s="249"/>
      <c r="BW70" s="249"/>
      <c r="BX70" s="250"/>
      <c r="BY70" s="251" t="s">
        <v>30</v>
      </c>
      <c r="BZ70" s="249"/>
      <c r="CA70" s="250"/>
      <c r="CB70" s="249"/>
      <c r="CC70" s="249"/>
      <c r="CD70" s="249"/>
      <c r="CE70" s="250"/>
      <c r="CF70" s="249"/>
      <c r="CG70" s="249"/>
      <c r="CH70" s="249"/>
      <c r="CI70" s="250"/>
    </row>
    <row r="71" spans="1:87" ht="13.5" customHeight="1">
      <c r="A71" s="22"/>
      <c r="B71" s="202">
        <v>25</v>
      </c>
      <c r="C71" s="308"/>
      <c r="D71" s="148"/>
      <c r="E71" s="149"/>
      <c r="F71" s="148" t="s">
        <v>148</v>
      </c>
      <c r="G71" s="149"/>
      <c r="H71" s="149"/>
      <c r="I71" s="151"/>
      <c r="J71" s="221"/>
      <c r="K71" s="222"/>
      <c r="L71" s="222"/>
      <c r="M71" s="222"/>
      <c r="N71" s="161"/>
      <c r="O71" s="162"/>
      <c r="P71" s="148"/>
      <c r="Q71" s="150"/>
      <c r="R71" s="150"/>
      <c r="S71" s="162"/>
      <c r="T71" s="119"/>
      <c r="U71" s="120"/>
      <c r="V71" s="120"/>
      <c r="W71" s="162"/>
      <c r="X71" s="990">
        <f>SUMPRODUCT(X$64:AA$64,BE$64:BH$64)</f>
        <v>9513</v>
      </c>
      <c r="Y71" s="1012"/>
      <c r="Z71" s="1012"/>
      <c r="AA71" s="1013"/>
      <c r="AB71" s="990">
        <f>SUMPRODUCT(X$64:AA$64,AB$64:AE$64)</f>
        <v>4711</v>
      </c>
      <c r="AC71" s="1012"/>
      <c r="AD71" s="1012"/>
      <c r="AE71" s="1013"/>
      <c r="AF71" s="990">
        <f>X71-AB71</f>
        <v>4802</v>
      </c>
      <c r="AG71" s="1012"/>
      <c r="AH71" s="1012"/>
      <c r="AI71" s="1012"/>
      <c r="AJ71" s="1013"/>
      <c r="AK71" s="996">
        <f>AF71/X71</f>
        <v>0.50478292862398821</v>
      </c>
      <c r="AL71" s="997"/>
      <c r="AM71" s="997"/>
      <c r="AN71" s="998"/>
      <c r="AO71" s="996">
        <f>IFERROR(AS71/(X71-AS71),"")</f>
        <v>0.13249999999999998</v>
      </c>
      <c r="AP71" s="997"/>
      <c r="AQ71" s="997"/>
      <c r="AR71" s="998"/>
      <c r="AS71" s="1091">
        <f>X$64*(BE$64-AK$64)</f>
        <v>1112.9999999999998</v>
      </c>
      <c r="AT71" s="1092"/>
      <c r="AU71" s="1092"/>
      <c r="AV71" s="1093"/>
      <c r="AW71" s="1067"/>
      <c r="AX71" s="1068"/>
      <c r="AY71" s="1068"/>
      <c r="AZ71" s="1069"/>
      <c r="BA71" s="1017"/>
      <c r="BB71" s="1018"/>
      <c r="BC71" s="1018"/>
      <c r="BD71" s="1019"/>
      <c r="BE71" s="1026"/>
      <c r="BF71" s="1027"/>
      <c r="BG71" s="1027"/>
      <c r="BH71" s="1028"/>
      <c r="BI71" s="149" t="s">
        <v>30</v>
      </c>
      <c r="BJ71" s="150"/>
      <c r="BK71" s="150"/>
      <c r="BL71" s="152"/>
      <c r="BM71" s="149" t="s">
        <v>30</v>
      </c>
      <c r="BN71" s="150"/>
      <c r="BO71" s="150"/>
      <c r="BP71" s="152"/>
      <c r="BQ71" s="149" t="s">
        <v>30</v>
      </c>
      <c r="BR71" s="150"/>
      <c r="BS71" s="150"/>
      <c r="BT71" s="152"/>
      <c r="BU71" s="149" t="s">
        <v>30</v>
      </c>
      <c r="BV71" s="150"/>
      <c r="BW71" s="150"/>
      <c r="BX71" s="152"/>
      <c r="BY71" s="149" t="s">
        <v>30</v>
      </c>
      <c r="BZ71" s="150"/>
      <c r="CA71" s="152"/>
      <c r="CB71" s="149" t="s">
        <v>30</v>
      </c>
      <c r="CC71" s="150"/>
      <c r="CD71" s="150"/>
      <c r="CE71" s="152"/>
      <c r="CF71" s="149" t="s">
        <v>30</v>
      </c>
      <c r="CG71" s="150"/>
      <c r="CH71" s="150"/>
      <c r="CI71" s="152"/>
    </row>
    <row r="72" spans="1:87" ht="13.5" customHeight="1">
      <c r="A72" s="22"/>
      <c r="B72" s="202">
        <v>25</v>
      </c>
      <c r="C72" s="308"/>
      <c r="D72" s="148"/>
      <c r="E72" s="149"/>
      <c r="F72" s="148" t="s">
        <v>207</v>
      </c>
      <c r="G72" s="149"/>
      <c r="H72" s="149"/>
      <c r="I72" s="151"/>
      <c r="J72" s="221"/>
      <c r="K72" s="222"/>
      <c r="L72" s="222"/>
      <c r="M72" s="222"/>
      <c r="N72" s="161"/>
      <c r="O72" s="162"/>
      <c r="P72" s="148"/>
      <c r="Q72" s="150"/>
      <c r="R72" s="150"/>
      <c r="S72" s="162"/>
      <c r="T72" s="119"/>
      <c r="U72" s="120"/>
      <c r="V72" s="120"/>
      <c r="W72" s="162"/>
      <c r="X72" s="1017">
        <f>SUMPRODUCT(X$64:AA$64,BE$64:BH$64)</f>
        <v>9513</v>
      </c>
      <c r="Y72" s="1018"/>
      <c r="Z72" s="1018"/>
      <c r="AA72" s="1019"/>
      <c r="AB72" s="1017">
        <f>SUMPRODUCT(X$64:AA$64,AB$64:AE$64)</f>
        <v>4711</v>
      </c>
      <c r="AC72" s="1018"/>
      <c r="AD72" s="1018"/>
      <c r="AE72" s="1019"/>
      <c r="AF72" s="1017">
        <f>X72-AB72</f>
        <v>4802</v>
      </c>
      <c r="AG72" s="1018"/>
      <c r="AH72" s="1018"/>
      <c r="AI72" s="1018"/>
      <c r="AJ72" s="1019"/>
      <c r="AK72" s="996">
        <f>AF72/X72</f>
        <v>0.50478292862398821</v>
      </c>
      <c r="AL72" s="997"/>
      <c r="AM72" s="997"/>
      <c r="AN72" s="998"/>
      <c r="AO72" s="996">
        <f>IFERROR(AS72/(X72-AS72),"")</f>
        <v>0.13249999999999998</v>
      </c>
      <c r="AP72" s="997"/>
      <c r="AQ72" s="997"/>
      <c r="AR72" s="998"/>
      <c r="AS72" s="1070">
        <f>X$64*(BE$64-AK$64)</f>
        <v>1112.9999999999998</v>
      </c>
      <c r="AT72" s="1071"/>
      <c r="AU72" s="1071"/>
      <c r="AV72" s="1072"/>
      <c r="AW72" s="1067"/>
      <c r="AX72" s="1068"/>
      <c r="AY72" s="1068"/>
      <c r="AZ72" s="1069"/>
      <c r="BA72" s="1017"/>
      <c r="BB72" s="1018"/>
      <c r="BC72" s="1018"/>
      <c r="BD72" s="1019"/>
      <c r="BE72" s="1026"/>
      <c r="BF72" s="1027"/>
      <c r="BG72" s="1027"/>
      <c r="BH72" s="1028"/>
      <c r="BI72" s="149" t="s">
        <v>30</v>
      </c>
      <c r="BJ72" s="150"/>
      <c r="BK72" s="150"/>
      <c r="BL72" s="152"/>
      <c r="BM72" s="149" t="s">
        <v>30</v>
      </c>
      <c r="BN72" s="150"/>
      <c r="BO72" s="150"/>
      <c r="BP72" s="152"/>
      <c r="BQ72" s="149" t="s">
        <v>30</v>
      </c>
      <c r="BR72" s="150"/>
      <c r="BS72" s="150"/>
      <c r="BT72" s="152"/>
      <c r="BU72" s="149" t="s">
        <v>30</v>
      </c>
      <c r="BV72" s="150"/>
      <c r="BW72" s="150"/>
      <c r="BX72" s="152"/>
      <c r="BY72" s="149" t="s">
        <v>30</v>
      </c>
      <c r="BZ72" s="150"/>
      <c r="CA72" s="152"/>
      <c r="CB72" s="149" t="s">
        <v>30</v>
      </c>
      <c r="CC72" s="150"/>
      <c r="CD72" s="150"/>
      <c r="CE72" s="152"/>
      <c r="CF72" s="149" t="s">
        <v>30</v>
      </c>
      <c r="CG72" s="150"/>
      <c r="CH72" s="150"/>
      <c r="CI72" s="152"/>
    </row>
    <row r="73" spans="1:87" ht="13.5" customHeight="1">
      <c r="A73" s="22"/>
      <c r="B73" s="202">
        <v>26</v>
      </c>
      <c r="C73" s="339"/>
      <c r="D73" s="75"/>
      <c r="E73" s="75"/>
      <c r="F73" s="75"/>
      <c r="G73" s="75"/>
      <c r="H73" s="199"/>
      <c r="I73" s="199"/>
      <c r="J73" s="200"/>
      <c r="K73" s="199"/>
      <c r="L73" s="200"/>
      <c r="M73" s="199"/>
      <c r="N73" s="199"/>
      <c r="O73" s="83"/>
      <c r="P73" s="84"/>
      <c r="Q73" s="84"/>
      <c r="R73" s="84"/>
      <c r="S73" s="75"/>
      <c r="T73" s="75"/>
      <c r="U73" s="75"/>
      <c r="V73" s="75"/>
      <c r="W73" s="75"/>
      <c r="X73" s="85"/>
      <c r="Y73" s="75"/>
      <c r="Z73" s="84"/>
      <c r="AA73" s="85"/>
      <c r="AB73" s="75"/>
      <c r="AC73" s="84"/>
      <c r="AD73" s="85"/>
      <c r="AE73" s="84"/>
      <c r="AF73" s="84"/>
      <c r="AG73" s="85"/>
      <c r="AH73" s="84"/>
      <c r="AI73" s="84"/>
      <c r="AJ73" s="90"/>
      <c r="AK73" s="84"/>
      <c r="AL73" s="84"/>
      <c r="AM73" s="84"/>
      <c r="AN73" s="84"/>
      <c r="AO73" s="84"/>
      <c r="AP73" s="84"/>
      <c r="AQ73" s="84"/>
      <c r="AR73" s="84"/>
      <c r="AS73" s="65"/>
      <c r="AT73" s="65"/>
      <c r="AU73" s="65"/>
      <c r="AV73" s="65"/>
      <c r="AW73" s="65"/>
      <c r="AX73" s="65"/>
      <c r="AY73" s="63"/>
      <c r="AZ73" s="31"/>
      <c r="BA73" s="30"/>
      <c r="BB73" s="175"/>
      <c r="BC73" s="343"/>
      <c r="BD73" s="1078"/>
      <c r="BE73" s="1079"/>
      <c r="BF73" s="1079"/>
    </row>
    <row r="74" spans="1:87" ht="13.5" customHeight="1">
      <c r="A74" s="22"/>
      <c r="B74" s="202"/>
      <c r="C74" s="342"/>
      <c r="D74" s="332"/>
      <c r="E74" s="65"/>
      <c r="F74" s="65"/>
      <c r="G74" s="65"/>
      <c r="H74" s="65"/>
      <c r="I74" s="65"/>
      <c r="J74" s="333"/>
      <c r="K74" s="334"/>
      <c r="L74" s="334"/>
      <c r="M74" s="334"/>
      <c r="N74"/>
      <c r="O74"/>
      <c r="P74"/>
      <c r="Q74"/>
      <c r="R74"/>
      <c r="S74"/>
      <c r="T74"/>
      <c r="U74"/>
      <c r="V74"/>
      <c r="W74" s="65"/>
      <c r="X74" s="65"/>
      <c r="Y74" s="65"/>
      <c r="Z74" s="65"/>
      <c r="AA74" s="65"/>
      <c r="AB74" s="65"/>
      <c r="AC74" s="65"/>
      <c r="AD74" s="65"/>
      <c r="AE74" s="65"/>
      <c r="AF74" s="65"/>
      <c r="AG74" s="65"/>
      <c r="AH74" s="65"/>
      <c r="AI74" s="65"/>
      <c r="AJ74" s="65"/>
      <c r="AK74" s="65"/>
      <c r="AL74" s="65"/>
      <c r="AM74" s="198"/>
      <c r="AN74" s="198"/>
      <c r="AO74" s="198"/>
      <c r="AP74" s="198"/>
      <c r="AQ74" s="198"/>
      <c r="AR74" s="198"/>
      <c r="AS74" s="254"/>
      <c r="AT74" s="35"/>
      <c r="AU74" s="35"/>
      <c r="AV74" s="254"/>
      <c r="AW74" s="198"/>
      <c r="AX74" s="198"/>
      <c r="AY74" s="198"/>
      <c r="AZ74" s="31"/>
      <c r="BA74" s="30"/>
      <c r="BB74" s="175"/>
      <c r="BC74" s="345"/>
      <c r="BD74" s="28"/>
      <c r="BG74" s="24"/>
      <c r="BH74" s="28"/>
    </row>
    <row r="75" spans="1:87" ht="13.5" customHeight="1">
      <c r="A75" s="22"/>
      <c r="B75" s="202"/>
      <c r="C75" s="342"/>
      <c r="D75" s="332"/>
      <c r="E75" s="65"/>
      <c r="F75" s="65"/>
      <c r="G75" s="65"/>
      <c r="H75" s="65"/>
      <c r="I75" s="65"/>
      <c r="J75" s="333"/>
      <c r="K75" s="334"/>
      <c r="L75" s="334"/>
      <c r="M75" s="334"/>
      <c r="N75"/>
      <c r="O75"/>
      <c r="P75"/>
      <c r="Q75"/>
      <c r="R75"/>
      <c r="S75"/>
      <c r="T75"/>
      <c r="U75"/>
      <c r="V75"/>
      <c r="W75" s="65"/>
      <c r="X75" s="65"/>
      <c r="Y75" s="65"/>
      <c r="Z75" s="65"/>
      <c r="AA75" s="65"/>
      <c r="AB75" s="65"/>
      <c r="AC75" s="65"/>
      <c r="AD75" s="65"/>
      <c r="AE75" s="65"/>
      <c r="AF75" s="65"/>
      <c r="AG75" s="65"/>
      <c r="AH75" s="65"/>
      <c r="AI75" s="65"/>
      <c r="AJ75" s="65"/>
      <c r="AK75" s="65"/>
      <c r="AL75" s="65"/>
      <c r="AM75" s="198"/>
      <c r="AN75" s="198"/>
      <c r="AO75" s="198"/>
      <c r="AP75" s="198"/>
      <c r="AQ75" s="198"/>
      <c r="AR75" s="198"/>
      <c r="AS75" s="254"/>
      <c r="AT75" s="35"/>
      <c r="AU75" s="35"/>
      <c r="AV75" s="254"/>
      <c r="AW75" s="198"/>
      <c r="AX75" s="198"/>
      <c r="AY75" s="198"/>
      <c r="AZ75" s="31"/>
      <c r="BA75" s="30"/>
      <c r="BB75" s="175"/>
      <c r="BC75" s="345"/>
      <c r="BD75" s="28"/>
      <c r="BG75" s="24"/>
      <c r="BH75" s="28"/>
    </row>
    <row r="76" spans="1:87" ht="5.15" customHeight="1">
      <c r="A76" s="22"/>
      <c r="B76" s="202"/>
      <c r="C76" s="315"/>
      <c r="D76" s="73"/>
      <c r="E76" s="73"/>
      <c r="F76" s="73"/>
      <c r="G76" s="73"/>
      <c r="H76" s="316"/>
      <c r="I76" s="275"/>
      <c r="J76" s="273"/>
      <c r="K76" s="275"/>
      <c r="L76" s="273"/>
      <c r="M76" s="317"/>
      <c r="N76" s="317"/>
      <c r="O76" s="270"/>
      <c r="P76" s="317"/>
      <c r="Q76" s="270"/>
      <c r="R76" s="317"/>
      <c r="S76" s="73"/>
      <c r="T76" s="73"/>
      <c r="U76" s="73"/>
      <c r="V76" s="73"/>
      <c r="W76" s="73"/>
      <c r="X76" s="316"/>
      <c r="Y76" s="275"/>
      <c r="Z76" s="273"/>
      <c r="AA76" s="275"/>
      <c r="AB76" s="273"/>
      <c r="AC76" s="317"/>
      <c r="AD76" s="317"/>
      <c r="AE76" s="270"/>
      <c r="AF76" s="317"/>
      <c r="AG76" s="270"/>
      <c r="AH76" s="317"/>
      <c r="AI76" s="276"/>
      <c r="AJ76" s="317"/>
      <c r="AK76" s="270"/>
      <c r="AL76" s="73"/>
      <c r="AM76" s="73"/>
      <c r="AN76" s="73"/>
      <c r="AO76" s="73"/>
      <c r="AP76" s="73"/>
      <c r="AQ76" s="73"/>
      <c r="AR76" s="73"/>
      <c r="AS76" s="73"/>
      <c r="AT76" s="73"/>
      <c r="AU76" s="73"/>
      <c r="AV76" s="318"/>
      <c r="AW76" s="73"/>
      <c r="AX76" s="73"/>
      <c r="AY76" s="269"/>
      <c r="AZ76" s="269"/>
      <c r="BA76" s="319"/>
      <c r="BB76" s="320"/>
      <c r="BC76" s="344"/>
      <c r="BD76" s="28"/>
    </row>
    <row r="77" spans="1:87" ht="13.5" customHeight="1">
      <c r="A77" s="22"/>
      <c r="B77" s="202">
        <v>31</v>
      </c>
      <c r="C77" s="331"/>
      <c r="D77" s="332"/>
      <c r="E77" s="65"/>
      <c r="F77" s="65"/>
      <c r="G77" s="65"/>
      <c r="H77" s="65"/>
      <c r="I77" s="65"/>
      <c r="J77" s="1010"/>
      <c r="K77" s="1010"/>
      <c r="L77" s="1010"/>
      <c r="M77" s="1010"/>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198"/>
      <c r="AN77" s="198"/>
      <c r="AO77" s="198"/>
      <c r="AP77" s="198"/>
      <c r="AQ77" s="198"/>
      <c r="AR77" s="198"/>
      <c r="AS77" s="198"/>
      <c r="AT77" s="198"/>
      <c r="AU77" s="198"/>
      <c r="AV77" s="198"/>
      <c r="AW77" s="198"/>
      <c r="AX77" s="198"/>
      <c r="AY77" s="198"/>
      <c r="AZ77" s="33"/>
      <c r="BA77" s="46"/>
      <c r="BB77" s="78"/>
      <c r="BC77" s="34"/>
      <c r="BD77" s="28"/>
      <c r="BG77" s="24"/>
      <c r="BH77" s="28"/>
    </row>
    <row r="78" spans="1:87" ht="14.15" customHeight="1">
      <c r="A78" s="22"/>
      <c r="B78" s="129"/>
      <c r="C78" s="346" t="s">
        <v>131</v>
      </c>
      <c r="D78" s="28"/>
      <c r="E78" s="28"/>
      <c r="F78" s="28"/>
      <c r="G78" s="28"/>
      <c r="S78" s="35"/>
      <c r="T78" s="35"/>
      <c r="U78" s="35"/>
      <c r="V78" s="35"/>
      <c r="Y78" s="35"/>
      <c r="Z78" s="35"/>
      <c r="AD78" s="35"/>
      <c r="AE78" s="35"/>
      <c r="AF78" s="35"/>
      <c r="AG78" s="35"/>
      <c r="AH78" s="35"/>
      <c r="AI78" s="35"/>
      <c r="AJ78" s="28"/>
      <c r="AK78" s="28"/>
      <c r="AL78" s="28"/>
      <c r="AM78" s="130"/>
      <c r="AN78" s="130"/>
      <c r="AO78" s="35"/>
      <c r="AP78" s="35"/>
      <c r="AQ78" s="35"/>
      <c r="AR78" s="35"/>
      <c r="AS78" s="35"/>
      <c r="AT78" s="35"/>
      <c r="AU78" s="35"/>
      <c r="AV78" s="35"/>
      <c r="AW78" s="35"/>
      <c r="AX78" s="65"/>
      <c r="AY78" s="65"/>
      <c r="AZ78" s="33"/>
      <c r="BA78" s="46"/>
      <c r="BB78" s="78"/>
      <c r="BC78" s="34"/>
      <c r="BD78" s="28"/>
      <c r="BG78" s="35"/>
    </row>
    <row r="79" spans="1:87" ht="5.15" customHeight="1">
      <c r="A79" s="22"/>
      <c r="B79" s="202"/>
      <c r="C79" s="296"/>
      <c r="D79" s="72"/>
      <c r="E79" s="72"/>
      <c r="F79" s="72"/>
      <c r="G79" s="72"/>
      <c r="H79" s="297"/>
      <c r="I79" s="278"/>
      <c r="J79" s="279"/>
      <c r="K79" s="278"/>
      <c r="L79" s="279"/>
      <c r="M79" s="298"/>
      <c r="N79" s="298"/>
      <c r="O79" s="263"/>
      <c r="P79" s="298"/>
      <c r="Q79" s="263"/>
      <c r="R79" s="298"/>
      <c r="S79" s="72"/>
      <c r="T79" s="72"/>
      <c r="U79" s="72"/>
      <c r="V79" s="72"/>
      <c r="W79" s="72"/>
      <c r="X79" s="297"/>
      <c r="Y79" s="278"/>
      <c r="Z79" s="279"/>
      <c r="AA79" s="278"/>
      <c r="AB79" s="279"/>
      <c r="AC79" s="298"/>
      <c r="AD79" s="298"/>
      <c r="AE79" s="263"/>
      <c r="AF79" s="298"/>
      <c r="AG79" s="263"/>
      <c r="AH79" s="298"/>
      <c r="AI79" s="280"/>
      <c r="AJ79" s="298"/>
      <c r="AK79" s="263"/>
      <c r="AL79" s="72"/>
      <c r="AM79" s="72"/>
      <c r="AN79" s="72"/>
      <c r="AO79" s="72"/>
      <c r="AP79" s="72"/>
      <c r="AQ79" s="72"/>
      <c r="AR79" s="72"/>
      <c r="AS79" s="72"/>
      <c r="AT79" s="72"/>
      <c r="AU79" s="72"/>
      <c r="AV79" s="300"/>
      <c r="AW79" s="72"/>
      <c r="AX79" s="72"/>
      <c r="AY79" s="265"/>
      <c r="AZ79" s="33"/>
      <c r="BA79" s="46"/>
      <c r="BB79" s="78"/>
      <c r="BC79" s="34"/>
      <c r="BD79" s="28"/>
    </row>
    <row r="80" spans="1:87" ht="14.15" customHeight="1">
      <c r="A80" s="23"/>
      <c r="B80" s="351"/>
      <c r="C80" s="282"/>
      <c r="D80" s="28"/>
      <c r="E80" s="28"/>
      <c r="F80" s="28"/>
      <c r="G80" s="28"/>
      <c r="H80" s="28"/>
      <c r="I80" s="28"/>
      <c r="J80" s="28"/>
      <c r="K80" s="28"/>
      <c r="L80" s="28"/>
      <c r="M80" s="28"/>
      <c r="N80" s="28"/>
      <c r="O80" s="28"/>
      <c r="P80" s="28"/>
      <c r="Q80" s="25"/>
      <c r="S80" s="35"/>
      <c r="T80" s="28"/>
      <c r="U80" s="28"/>
      <c r="V80" s="28"/>
      <c r="W80" s="28"/>
      <c r="X80" s="28"/>
      <c r="Y80" s="28"/>
      <c r="Z80" s="28"/>
      <c r="AC80" s="28"/>
      <c r="AD80" s="28"/>
      <c r="AE80" s="35"/>
      <c r="AF80" s="35"/>
      <c r="AG80" s="35"/>
      <c r="AH80" s="35"/>
      <c r="AI80" s="35"/>
      <c r="AJ80" s="28"/>
      <c r="AK80" s="28"/>
      <c r="AL80" s="28"/>
      <c r="AM80" s="35"/>
      <c r="AN80" s="35"/>
      <c r="AO80" s="135"/>
      <c r="AP80" s="136"/>
      <c r="AQ80" s="130"/>
      <c r="AR80" s="130"/>
      <c r="AS80" s="130"/>
      <c r="AT80" s="130"/>
      <c r="AU80" s="81"/>
      <c r="AV80" s="35"/>
      <c r="AW80" s="35"/>
      <c r="AX80" s="65"/>
      <c r="AY80" s="347"/>
      <c r="AZ80" s="33"/>
      <c r="BA80" s="46"/>
      <c r="BB80" s="78"/>
      <c r="BC80" s="34"/>
      <c r="BD80" s="28"/>
      <c r="BG80" s="35"/>
    </row>
    <row r="81" spans="1:60" ht="14.15" customHeight="1">
      <c r="A81" s="23"/>
      <c r="B81" s="351"/>
      <c r="C81" s="352"/>
      <c r="D81" s="348" t="s">
        <v>38</v>
      </c>
      <c r="E81" s="131"/>
      <c r="F81" s="131"/>
      <c r="G81" s="131"/>
      <c r="H81" s="132"/>
      <c r="I81" s="132"/>
      <c r="J81" s="106"/>
      <c r="K81" s="133"/>
      <c r="L81" s="134"/>
      <c r="M81" s="144"/>
      <c r="N81" s="144"/>
      <c r="O81" s="131"/>
      <c r="P81" s="134"/>
      <c r="Q81" s="107"/>
      <c r="R81" s="133" t="s">
        <v>40</v>
      </c>
      <c r="S81" s="134"/>
      <c r="T81" s="107"/>
      <c r="U81" s="107"/>
      <c r="V81" s="133" t="s">
        <v>44</v>
      </c>
      <c r="W81" s="134"/>
      <c r="X81" s="107"/>
      <c r="Y81" s="35"/>
      <c r="Z81" s="35"/>
      <c r="AC81" s="28"/>
      <c r="AD81" s="28"/>
      <c r="AE81" s="28"/>
      <c r="AF81" s="35"/>
      <c r="AG81" s="35"/>
      <c r="AH81" s="28"/>
      <c r="AI81" s="28"/>
      <c r="AJ81" s="28"/>
      <c r="AK81" s="81"/>
      <c r="AL81" s="28"/>
      <c r="AM81" s="28"/>
      <c r="AN81" s="28"/>
      <c r="AO81" s="28"/>
      <c r="AP81" s="28"/>
      <c r="AQ81" s="65"/>
      <c r="AR81" s="65"/>
      <c r="AS81" s="65"/>
      <c r="AT81" s="125"/>
      <c r="AU81" s="65"/>
      <c r="AV81" s="65"/>
      <c r="AW81" s="65"/>
      <c r="AX81" s="65"/>
      <c r="AY81" s="347"/>
      <c r="AZ81" s="33"/>
      <c r="BA81" s="46"/>
      <c r="BB81" s="78"/>
      <c r="BC81" s="34"/>
      <c r="BD81" s="28"/>
      <c r="BE81" s="35"/>
      <c r="BF81" s="35"/>
      <c r="BG81" s="35"/>
    </row>
    <row r="82" spans="1:60" ht="13.5" customHeight="1">
      <c r="A82" s="22"/>
      <c r="B82" s="353"/>
      <c r="C82" s="352"/>
      <c r="D82" s="349" t="s">
        <v>45</v>
      </c>
      <c r="E82" s="137"/>
      <c r="F82" s="137"/>
      <c r="G82" s="137"/>
      <c r="H82" s="137"/>
      <c r="I82" s="137"/>
      <c r="J82" s="137"/>
      <c r="K82" s="350"/>
      <c r="L82" s="139"/>
      <c r="M82" s="108"/>
      <c r="N82" s="108"/>
      <c r="O82" s="145"/>
      <c r="P82" s="139"/>
      <c r="Q82" s="109"/>
      <c r="R82" s="138" t="s">
        <v>41</v>
      </c>
      <c r="S82" s="139"/>
      <c r="T82" s="108"/>
      <c r="U82" s="109"/>
      <c r="V82" s="140"/>
      <c r="W82" s="141"/>
      <c r="X82" s="142"/>
      <c r="Y82" s="116"/>
      <c r="Z82" s="41"/>
      <c r="AA82" s="116"/>
      <c r="AB82" s="116"/>
      <c r="AC82" s="116"/>
      <c r="AD82" s="116"/>
      <c r="AE82" s="116"/>
      <c r="AF82" s="116"/>
      <c r="AG82" s="116"/>
      <c r="AH82" s="116"/>
      <c r="AI82" s="116"/>
      <c r="AJ82" s="116"/>
      <c r="AK82" s="116"/>
      <c r="AL82" s="116"/>
      <c r="AM82" s="116"/>
      <c r="AN82" s="116"/>
      <c r="AO82" s="116"/>
      <c r="AP82" s="116"/>
      <c r="AQ82" s="65"/>
      <c r="AR82" s="65"/>
      <c r="AS82" s="65"/>
      <c r="AT82" s="125"/>
      <c r="AU82" s="65"/>
      <c r="AV82" s="65"/>
      <c r="AW82" s="65"/>
      <c r="AX82" s="65"/>
      <c r="AY82" s="347"/>
      <c r="AZ82" s="33"/>
      <c r="BA82" s="46"/>
      <c r="BB82" s="78"/>
      <c r="BC82" s="34"/>
      <c r="BD82" s="28"/>
      <c r="BE82" s="35"/>
      <c r="BF82" s="35"/>
      <c r="BG82" s="35"/>
    </row>
    <row r="83" spans="1:60" ht="5.15" customHeight="1">
      <c r="A83" s="22"/>
      <c r="B83" s="202"/>
      <c r="C83" s="315"/>
      <c r="D83" s="73"/>
      <c r="E83" s="73"/>
      <c r="F83" s="73"/>
      <c r="G83" s="73"/>
      <c r="H83" s="316"/>
      <c r="I83" s="275"/>
      <c r="J83" s="273"/>
      <c r="K83" s="275"/>
      <c r="L83" s="273"/>
      <c r="M83" s="317"/>
      <c r="N83" s="317"/>
      <c r="O83" s="270"/>
      <c r="P83" s="317"/>
      <c r="Q83" s="270"/>
      <c r="R83" s="317"/>
      <c r="S83" s="73"/>
      <c r="T83" s="73"/>
      <c r="U83" s="73"/>
      <c r="V83" s="73"/>
      <c r="W83" s="73"/>
      <c r="X83" s="316"/>
      <c r="Y83" s="275"/>
      <c r="Z83" s="273"/>
      <c r="AA83" s="275"/>
      <c r="AB83" s="273"/>
      <c r="AC83" s="317"/>
      <c r="AD83" s="317"/>
      <c r="AE83" s="270"/>
      <c r="AF83" s="317"/>
      <c r="AG83" s="270"/>
      <c r="AH83" s="317"/>
      <c r="AI83" s="276"/>
      <c r="AJ83" s="317"/>
      <c r="AK83" s="270"/>
      <c r="AL83" s="73"/>
      <c r="AM83" s="73"/>
      <c r="AN83" s="73"/>
      <c r="AO83" s="73"/>
      <c r="AP83" s="73"/>
      <c r="AQ83" s="73"/>
      <c r="AR83" s="73"/>
      <c r="AS83" s="73"/>
      <c r="AT83" s="73"/>
      <c r="AU83" s="73"/>
      <c r="AV83" s="318"/>
      <c r="AW83" s="73"/>
      <c r="AX83" s="73"/>
      <c r="AY83" s="277"/>
      <c r="AZ83" s="33"/>
      <c r="BA83" s="46"/>
      <c r="BB83" s="78"/>
      <c r="BC83" s="34"/>
      <c r="BD83" s="28"/>
    </row>
    <row r="84" spans="1:60" ht="14.15" customHeight="1">
      <c r="A84" s="22"/>
      <c r="B84" s="202">
        <v>35</v>
      </c>
      <c r="C84" s="331"/>
      <c r="D84" s="332"/>
      <c r="E84" s="65"/>
      <c r="F84" s="65"/>
      <c r="G84" s="65"/>
      <c r="H84" s="65"/>
      <c r="I84" s="65"/>
      <c r="J84" s="989"/>
      <c r="K84" s="989"/>
      <c r="L84" s="989"/>
      <c r="M84" s="989"/>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125"/>
      <c r="AU84" s="65"/>
      <c r="AV84" s="65"/>
      <c r="AW84" s="65"/>
      <c r="AX84" s="65"/>
      <c r="AY84" s="65"/>
      <c r="AZ84" s="33"/>
      <c r="BA84" s="46"/>
      <c r="BB84" s="335"/>
      <c r="BC84" s="336"/>
      <c r="BD84" s="28"/>
      <c r="BG84" s="24"/>
      <c r="BH84" s="28"/>
    </row>
    <row r="85" spans="1:60" ht="14.15" customHeight="1">
      <c r="A85" s="22"/>
      <c r="B85" s="202">
        <v>35</v>
      </c>
      <c r="C85" s="346" t="s">
        <v>247</v>
      </c>
      <c r="D85" s="332"/>
      <c r="E85" s="65"/>
      <c r="F85" s="65"/>
      <c r="G85" s="65"/>
      <c r="H85" s="65"/>
      <c r="I85" s="65"/>
      <c r="J85" s="989"/>
      <c r="K85" s="989"/>
      <c r="L85" s="989"/>
      <c r="M85" s="989"/>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125"/>
      <c r="AU85" s="65"/>
      <c r="AV85" s="65"/>
      <c r="AW85" s="65"/>
      <c r="AX85" s="65"/>
      <c r="AY85" s="65"/>
      <c r="AZ85" s="33"/>
      <c r="BA85" s="46"/>
      <c r="BB85" s="335"/>
      <c r="BC85" s="336"/>
      <c r="BD85" s="28"/>
      <c r="BG85" s="24"/>
      <c r="BH85" s="28"/>
    </row>
    <row r="86" spans="1:60" ht="14.15" customHeight="1">
      <c r="A86" s="22"/>
      <c r="B86" s="202">
        <v>35</v>
      </c>
      <c r="C86" s="331"/>
      <c r="D86" s="478" t="s">
        <v>248</v>
      </c>
      <c r="E86" s="65"/>
      <c r="F86" s="65"/>
      <c r="G86" s="65"/>
      <c r="H86" s="65"/>
      <c r="I86" s="65"/>
      <c r="J86" s="477"/>
      <c r="K86" s="477"/>
      <c r="L86" s="477"/>
      <c r="M86" s="477"/>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125"/>
      <c r="AU86" s="65"/>
      <c r="AV86" s="65"/>
      <c r="AW86" s="65"/>
      <c r="AX86" s="65"/>
      <c r="AY86" s="65"/>
      <c r="AZ86" s="33"/>
      <c r="BA86" s="46"/>
      <c r="BB86" s="335"/>
      <c r="BC86" s="336"/>
      <c r="BD86" s="28"/>
      <c r="BG86" s="24"/>
      <c r="BH86" s="28"/>
    </row>
    <row r="87" spans="1:60" ht="14.15" customHeight="1">
      <c r="A87" s="22"/>
      <c r="B87" s="202">
        <v>35</v>
      </c>
      <c r="C87" s="331"/>
      <c r="D87" s="332"/>
      <c r="E87" s="65"/>
      <c r="F87" s="65"/>
      <c r="G87" s="65"/>
      <c r="H87" s="65"/>
      <c r="I87" s="65"/>
      <c r="J87" s="1011"/>
      <c r="K87" s="1011"/>
      <c r="L87" s="1011"/>
      <c r="M87" s="1011"/>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125"/>
      <c r="AU87" s="65"/>
      <c r="AV87" s="65"/>
      <c r="AW87" s="65"/>
      <c r="AX87" s="65"/>
      <c r="AY87" s="65"/>
      <c r="AZ87" s="33"/>
      <c r="BA87" s="46"/>
      <c r="BB87" s="335"/>
      <c r="BC87" s="336"/>
      <c r="BD87" s="28"/>
      <c r="BG87" s="24"/>
      <c r="BH87" s="28"/>
    </row>
    <row r="88" spans="1:60" ht="5.15" customHeight="1">
      <c r="A88" s="22"/>
      <c r="B88" s="202"/>
      <c r="C88" s="296"/>
      <c r="D88" s="72"/>
      <c r="E88" s="72"/>
      <c r="F88" s="72"/>
      <c r="G88" s="72"/>
      <c r="H88" s="297"/>
      <c r="I88" s="278"/>
      <c r="J88" s="279"/>
      <c r="K88" s="278"/>
      <c r="L88" s="279"/>
      <c r="M88" s="298"/>
      <c r="N88" s="298"/>
      <c r="O88" s="263"/>
      <c r="P88" s="298"/>
      <c r="Q88" s="263"/>
      <c r="R88" s="298"/>
      <c r="S88" s="72"/>
      <c r="T88" s="72"/>
      <c r="U88" s="72"/>
      <c r="V88" s="72"/>
      <c r="W88" s="72"/>
      <c r="X88" s="297"/>
      <c r="Y88" s="278"/>
      <c r="Z88" s="279"/>
      <c r="AA88" s="278"/>
      <c r="AB88" s="279"/>
      <c r="AC88" s="298"/>
      <c r="AD88" s="298"/>
      <c r="AE88" s="263"/>
      <c r="AF88" s="298"/>
      <c r="AG88" s="263"/>
      <c r="AH88" s="298"/>
      <c r="AI88" s="280"/>
      <c r="AJ88" s="298"/>
      <c r="AK88" s="263"/>
      <c r="AL88" s="72"/>
      <c r="AM88" s="72"/>
      <c r="AN88" s="72"/>
      <c r="AO88" s="72"/>
      <c r="AP88" s="72"/>
      <c r="AQ88" s="72"/>
      <c r="AR88" s="72"/>
      <c r="AS88" s="72"/>
      <c r="AT88" s="72"/>
      <c r="AU88" s="72"/>
      <c r="AV88" s="300"/>
      <c r="AW88" s="72"/>
      <c r="AX88" s="72"/>
      <c r="AY88" s="265"/>
      <c r="AZ88" s="33"/>
      <c r="BA88" s="46"/>
      <c r="BB88" s="78"/>
      <c r="BC88" s="34"/>
      <c r="BD88" s="28"/>
    </row>
    <row r="89" spans="1:60" ht="14.15" customHeight="1">
      <c r="A89" s="23"/>
      <c r="B89" s="351"/>
      <c r="C89" s="282"/>
      <c r="D89" s="28" t="s">
        <v>240</v>
      </c>
      <c r="E89" s="28"/>
      <c r="F89" s="28"/>
      <c r="G89" s="28"/>
      <c r="H89" s="468" t="s">
        <v>245</v>
      </c>
      <c r="I89" s="257"/>
      <c r="J89" s="258"/>
      <c r="K89" s="258"/>
      <c r="L89" s="258"/>
      <c r="M89" s="259"/>
      <c r="N89" s="258"/>
      <c r="O89" s="110"/>
      <c r="P89" s="261" t="s">
        <v>33</v>
      </c>
      <c r="Q89" s="25"/>
      <c r="R89" s="469" t="s">
        <v>246</v>
      </c>
      <c r="S89" s="470"/>
      <c r="T89" s="471"/>
      <c r="U89" s="471"/>
      <c r="V89" s="483"/>
      <c r="W89" s="472"/>
      <c r="X89" s="471"/>
      <c r="Y89" s="473"/>
      <c r="Z89" s="474"/>
      <c r="AB89" s="469" t="s">
        <v>289</v>
      </c>
      <c r="AC89" s="470"/>
      <c r="AD89" s="471"/>
      <c r="AE89" s="471"/>
      <c r="AF89" s="471"/>
      <c r="AG89" s="472"/>
      <c r="AH89" s="471"/>
      <c r="AI89" s="473"/>
      <c r="AJ89" s="472"/>
      <c r="AK89" s="479"/>
      <c r="AL89" s="479"/>
      <c r="AM89" s="473"/>
      <c r="AN89" s="473"/>
      <c r="AO89" s="471"/>
      <c r="AP89" s="480"/>
      <c r="AQ89" s="471"/>
      <c r="AR89" s="471"/>
      <c r="AS89" s="471"/>
      <c r="AT89" s="471"/>
      <c r="AU89" s="481"/>
      <c r="AV89" s="473"/>
      <c r="AW89" s="473"/>
      <c r="AX89" s="482"/>
      <c r="AY89" s="347"/>
      <c r="AZ89" s="33"/>
      <c r="BA89" s="46"/>
      <c r="BB89" s="78"/>
      <c r="BC89" s="34"/>
      <c r="BD89" s="28"/>
      <c r="BG89" s="35"/>
    </row>
    <row r="90" spans="1:60" ht="14.15" customHeight="1">
      <c r="A90" s="23"/>
      <c r="B90" s="351"/>
      <c r="C90" s="282"/>
      <c r="D90" s="28"/>
      <c r="E90" s="28"/>
      <c r="F90" s="28"/>
      <c r="G90" s="28"/>
      <c r="H90" s="469" t="s">
        <v>54</v>
      </c>
      <c r="I90" s="470"/>
      <c r="J90" s="471"/>
      <c r="K90" s="471"/>
      <c r="L90" s="471"/>
      <c r="M90" s="472"/>
      <c r="N90" s="471"/>
      <c r="O90" s="473"/>
      <c r="P90" s="472"/>
      <c r="Q90" s="479"/>
      <c r="R90" s="479"/>
      <c r="S90" s="473"/>
      <c r="T90" s="473"/>
      <c r="U90" s="471"/>
      <c r="V90" s="480"/>
      <c r="W90" s="471"/>
      <c r="X90" s="471"/>
      <c r="Y90" s="471"/>
      <c r="Z90" s="471"/>
      <c r="AA90" s="481"/>
      <c r="AB90" s="473"/>
      <c r="AC90" s="473"/>
      <c r="AD90" s="479"/>
      <c r="AE90" s="471"/>
      <c r="AF90" s="471"/>
      <c r="AG90" s="472"/>
      <c r="AH90" s="471"/>
      <c r="AI90" s="473"/>
      <c r="AJ90" s="472"/>
      <c r="AK90" s="479"/>
      <c r="AL90" s="479"/>
      <c r="AM90" s="473"/>
      <c r="AN90" s="473"/>
      <c r="AO90" s="471"/>
      <c r="AP90" s="480"/>
      <c r="AQ90" s="471"/>
      <c r="AR90" s="471"/>
      <c r="AS90" s="471"/>
      <c r="AT90" s="471"/>
      <c r="AU90" s="481"/>
      <c r="AV90" s="473"/>
      <c r="AW90" s="473"/>
      <c r="AX90" s="482"/>
      <c r="AY90" s="347"/>
      <c r="AZ90" s="33"/>
      <c r="BA90" s="46"/>
      <c r="BB90" s="78"/>
      <c r="BC90" s="34"/>
      <c r="BD90" s="28"/>
      <c r="BG90" s="35"/>
    </row>
    <row r="91" spans="1:60" ht="5.15" customHeight="1">
      <c r="A91" s="22"/>
      <c r="B91" s="202"/>
      <c r="C91" s="315"/>
      <c r="D91" s="73"/>
      <c r="E91" s="73"/>
      <c r="F91" s="73"/>
      <c r="G91" s="73"/>
      <c r="H91" s="316"/>
      <c r="I91" s="275"/>
      <c r="J91" s="273"/>
      <c r="K91" s="275"/>
      <c r="L91" s="273"/>
      <c r="M91" s="317"/>
      <c r="N91" s="317"/>
      <c r="O91" s="270"/>
      <c r="P91" s="317"/>
      <c r="Q91" s="270"/>
      <c r="R91" s="317"/>
      <c r="S91" s="73"/>
      <c r="T91" s="73"/>
      <c r="U91" s="73"/>
      <c r="V91" s="73"/>
      <c r="W91" s="73"/>
      <c r="X91" s="316"/>
      <c r="Y91" s="275"/>
      <c r="Z91" s="273"/>
      <c r="AA91" s="275"/>
      <c r="AB91" s="273"/>
      <c r="AC91" s="317"/>
      <c r="AD91" s="317"/>
      <c r="AE91" s="270"/>
      <c r="AF91" s="317"/>
      <c r="AG91" s="270"/>
      <c r="AH91" s="317"/>
      <c r="AI91" s="276"/>
      <c r="AJ91" s="317"/>
      <c r="AK91" s="270"/>
      <c r="AL91" s="73"/>
      <c r="AM91" s="73"/>
      <c r="AN91" s="73"/>
      <c r="AO91" s="73"/>
      <c r="AP91" s="73"/>
      <c r="AQ91" s="73"/>
      <c r="AR91" s="73"/>
      <c r="AS91" s="73"/>
      <c r="AT91" s="73"/>
      <c r="AU91" s="73"/>
      <c r="AV91" s="318"/>
      <c r="AW91" s="73"/>
      <c r="AX91" s="73"/>
      <c r="AY91" s="277"/>
      <c r="AZ91" s="33"/>
      <c r="BA91" s="46"/>
      <c r="BB91" s="78"/>
      <c r="BC91" s="34"/>
      <c r="BD91" s="28"/>
    </row>
    <row r="92" spans="1:60" ht="5.15" customHeight="1">
      <c r="A92" s="22"/>
      <c r="B92" s="202"/>
      <c r="C92" s="476"/>
      <c r="D92" s="72"/>
      <c r="E92" s="72"/>
      <c r="F92" s="72"/>
      <c r="G92" s="72"/>
      <c r="H92" s="297"/>
      <c r="I92" s="278"/>
      <c r="J92" s="279"/>
      <c r="K92" s="278"/>
      <c r="L92" s="279"/>
      <c r="M92" s="298"/>
      <c r="N92" s="298"/>
      <c r="O92" s="263"/>
      <c r="P92" s="298"/>
      <c r="Q92" s="263"/>
      <c r="R92" s="298"/>
      <c r="S92" s="72"/>
      <c r="T92" s="72"/>
      <c r="U92" s="72"/>
      <c r="V92" s="72"/>
      <c r="W92" s="72"/>
      <c r="X92" s="297"/>
      <c r="Y92" s="278"/>
      <c r="Z92" s="279"/>
      <c r="AA92" s="278"/>
      <c r="AB92" s="279"/>
      <c r="AC92" s="298"/>
      <c r="AD92" s="298"/>
      <c r="AE92" s="263"/>
      <c r="AF92" s="298"/>
      <c r="AG92" s="263"/>
      <c r="AH92" s="298"/>
      <c r="AI92" s="280"/>
      <c r="AJ92" s="298"/>
      <c r="AK92" s="263"/>
      <c r="AL92" s="72"/>
      <c r="AM92" s="72"/>
      <c r="AN92" s="72"/>
      <c r="AO92" s="72"/>
      <c r="AP92" s="72"/>
      <c r="AQ92" s="72"/>
      <c r="AR92" s="72"/>
      <c r="AS92" s="72"/>
      <c r="AT92" s="72"/>
      <c r="AU92" s="72"/>
      <c r="AV92" s="300"/>
      <c r="AW92" s="72"/>
      <c r="AX92" s="72"/>
      <c r="AY92" s="264"/>
      <c r="AZ92" s="33"/>
      <c r="BA92" s="46"/>
      <c r="BB92" s="78"/>
      <c r="BC92" s="34"/>
      <c r="BD92" s="28"/>
    </row>
    <row r="93" spans="1:60" ht="14.15" customHeight="1">
      <c r="A93" s="22"/>
      <c r="B93" s="202">
        <v>35</v>
      </c>
      <c r="C93" s="62" t="s">
        <v>243</v>
      </c>
      <c r="D93" s="332"/>
      <c r="E93" s="65"/>
      <c r="F93" s="65"/>
      <c r="G93" s="65"/>
      <c r="H93" s="65"/>
      <c r="I93" s="65"/>
      <c r="J93" s="989"/>
      <c r="K93" s="989"/>
      <c r="L93" s="989"/>
      <c r="M93" s="989"/>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125"/>
      <c r="AU93" s="65"/>
      <c r="AV93" s="65"/>
      <c r="AW93" s="65"/>
      <c r="AX93" s="65"/>
      <c r="AY93" s="65"/>
      <c r="AZ93" s="33"/>
      <c r="BA93" s="46"/>
      <c r="BB93" s="335"/>
      <c r="BC93" s="336"/>
      <c r="BD93" s="28"/>
      <c r="BG93" s="24"/>
      <c r="BH93" s="28"/>
    </row>
    <row r="94" spans="1:60" ht="5.15" customHeight="1">
      <c r="A94" s="22"/>
      <c r="B94" s="202"/>
      <c r="C94" s="296"/>
      <c r="D94" s="72"/>
      <c r="E94" s="72"/>
      <c r="F94" s="72"/>
      <c r="G94" s="72"/>
      <c r="H94" s="297"/>
      <c r="I94" s="278"/>
      <c r="J94" s="279"/>
      <c r="K94" s="278"/>
      <c r="L94" s="279"/>
      <c r="M94" s="298"/>
      <c r="N94" s="298"/>
      <c r="O94" s="263"/>
      <c r="P94" s="298"/>
      <c r="Q94" s="263"/>
      <c r="R94" s="298"/>
      <c r="S94" s="72"/>
      <c r="T94" s="72"/>
      <c r="U94" s="72"/>
      <c r="V94" s="72"/>
      <c r="W94" s="72"/>
      <c r="X94" s="297"/>
      <c r="Y94" s="278"/>
      <c r="Z94" s="279"/>
      <c r="AA94" s="278"/>
      <c r="AB94" s="279"/>
      <c r="AC94" s="298"/>
      <c r="AD94" s="298"/>
      <c r="AE94" s="263"/>
      <c r="AF94" s="298"/>
      <c r="AG94" s="263"/>
      <c r="AH94" s="298"/>
      <c r="AI94" s="280"/>
      <c r="AJ94" s="298"/>
      <c r="AK94" s="263"/>
      <c r="AL94" s="72"/>
      <c r="AM94" s="72"/>
      <c r="AN94" s="72"/>
      <c r="AO94" s="72"/>
      <c r="AP94" s="72"/>
      <c r="AQ94" s="72"/>
      <c r="AR94" s="72"/>
      <c r="AS94" s="72"/>
      <c r="AT94" s="72"/>
      <c r="AU94" s="72"/>
      <c r="AV94" s="300"/>
      <c r="AW94" s="72"/>
      <c r="AX94" s="72"/>
      <c r="AY94" s="265"/>
      <c r="AZ94" s="33"/>
      <c r="BA94" s="46"/>
      <c r="BB94" s="78"/>
      <c r="BC94" s="34"/>
      <c r="BD94" s="28"/>
    </row>
    <row r="95" spans="1:60" ht="14.15" customHeight="1">
      <c r="A95" s="23"/>
      <c r="B95" s="351"/>
      <c r="C95" s="282"/>
      <c r="D95" s="28" t="s">
        <v>240</v>
      </c>
      <c r="E95" s="28"/>
      <c r="F95" s="28"/>
      <c r="G95" s="28"/>
      <c r="H95" s="468" t="s">
        <v>241</v>
      </c>
      <c r="I95" s="257"/>
      <c r="J95" s="258"/>
      <c r="K95" s="258"/>
      <c r="L95" s="258"/>
      <c r="M95" s="259"/>
      <c r="N95" s="258"/>
      <c r="O95" s="110"/>
      <c r="P95" s="261" t="s">
        <v>33</v>
      </c>
      <c r="Q95" s="25"/>
      <c r="R95" s="469" t="s">
        <v>242</v>
      </c>
      <c r="S95" s="470"/>
      <c r="T95" s="471"/>
      <c r="U95" s="471"/>
      <c r="V95" s="483"/>
      <c r="W95" s="484" t="s">
        <v>254</v>
      </c>
      <c r="X95" s="471"/>
      <c r="Y95" s="473"/>
      <c r="Z95" s="474"/>
      <c r="AB95" s="529" t="s">
        <v>290</v>
      </c>
      <c r="AC95" s="530"/>
      <c r="AD95" s="531"/>
      <c r="AE95" s="531"/>
      <c r="AF95" s="531"/>
      <c r="AG95" s="532"/>
      <c r="AH95" s="531"/>
      <c r="AI95" s="533"/>
      <c r="AJ95" s="532"/>
      <c r="AK95" s="61"/>
      <c r="AL95" s="61"/>
      <c r="AM95" s="533"/>
      <c r="AN95" s="533"/>
      <c r="AO95" s="531"/>
      <c r="AP95" s="534"/>
      <c r="AQ95" s="531"/>
      <c r="AR95" s="531"/>
      <c r="AS95" s="531"/>
      <c r="AT95" s="531"/>
      <c r="AU95" s="535"/>
      <c r="AV95" s="533"/>
      <c r="AW95" s="533"/>
      <c r="AX95" s="70"/>
      <c r="AY95" s="347"/>
      <c r="AZ95" s="33"/>
      <c r="BA95" s="46"/>
      <c r="BB95" s="78"/>
      <c r="BC95" s="34"/>
      <c r="BD95" s="28"/>
      <c r="BG95" s="35"/>
    </row>
    <row r="96" spans="1:60" ht="14.15" customHeight="1">
      <c r="A96" s="23"/>
      <c r="B96" s="351"/>
      <c r="C96" s="282"/>
      <c r="D96" s="28"/>
      <c r="E96" s="28"/>
      <c r="F96" s="28"/>
      <c r="G96" s="28"/>
      <c r="H96" s="469" t="s">
        <v>253</v>
      </c>
      <c r="I96" s="470"/>
      <c r="J96" s="471"/>
      <c r="K96" s="471"/>
      <c r="L96" s="471"/>
      <c r="M96" s="472"/>
      <c r="N96" s="471"/>
      <c r="O96" s="473"/>
      <c r="P96" s="472"/>
      <c r="Q96" s="479"/>
      <c r="R96" s="479"/>
      <c r="S96" s="473"/>
      <c r="T96" s="473"/>
      <c r="U96" s="471"/>
      <c r="V96" s="480"/>
      <c r="W96" s="471"/>
      <c r="X96" s="471"/>
      <c r="Y96" s="471"/>
      <c r="Z96" s="471"/>
      <c r="AA96" s="481"/>
      <c r="AB96" s="473"/>
      <c r="AC96" s="473"/>
      <c r="AD96" s="479"/>
      <c r="AE96" s="471"/>
      <c r="AF96" s="471"/>
      <c r="AG96" s="472"/>
      <c r="AH96" s="471"/>
      <c r="AI96" s="473"/>
      <c r="AJ96" s="472"/>
      <c r="AK96" s="479"/>
      <c r="AL96" s="479"/>
      <c r="AM96" s="473"/>
      <c r="AN96" s="473"/>
      <c r="AO96" s="471"/>
      <c r="AP96" s="480"/>
      <c r="AQ96" s="471"/>
      <c r="AR96" s="471"/>
      <c r="AS96" s="471"/>
      <c r="AT96" s="471"/>
      <c r="AU96" s="481"/>
      <c r="AV96" s="473"/>
      <c r="AW96" s="473"/>
      <c r="AX96" s="482"/>
      <c r="AY96" s="347"/>
      <c r="AZ96" s="33"/>
      <c r="BA96" s="46"/>
      <c r="BB96" s="78"/>
      <c r="BC96" s="34"/>
      <c r="BD96" s="28"/>
      <c r="BG96" s="35"/>
    </row>
    <row r="97" spans="1:60" ht="5.15" customHeight="1">
      <c r="A97" s="22"/>
      <c r="B97" s="202"/>
      <c r="C97" s="315"/>
      <c r="D97" s="73"/>
      <c r="E97" s="73"/>
      <c r="F97" s="73"/>
      <c r="G97" s="73"/>
      <c r="H97" s="316"/>
      <c r="I97" s="275"/>
      <c r="J97" s="273"/>
      <c r="K97" s="275"/>
      <c r="L97" s="273"/>
      <c r="M97" s="317"/>
      <c r="N97" s="317"/>
      <c r="O97" s="270"/>
      <c r="P97" s="317"/>
      <c r="Q97" s="270"/>
      <c r="R97" s="317"/>
      <c r="S97" s="73"/>
      <c r="T97" s="73"/>
      <c r="U97" s="73"/>
      <c r="V97" s="73"/>
      <c r="W97" s="73"/>
      <c r="X97" s="316"/>
      <c r="Y97" s="275"/>
      <c r="Z97" s="273"/>
      <c r="AA97" s="275"/>
      <c r="AB97" s="273"/>
      <c r="AC97" s="317"/>
      <c r="AD97" s="317"/>
      <c r="AE97" s="270"/>
      <c r="AF97" s="317"/>
      <c r="AG97" s="270"/>
      <c r="AH97" s="317"/>
      <c r="AI97" s="276"/>
      <c r="AJ97" s="317"/>
      <c r="AK97" s="270"/>
      <c r="AL97" s="73"/>
      <c r="AM97" s="73"/>
      <c r="AN97" s="73"/>
      <c r="AO97" s="73"/>
      <c r="AP97" s="73"/>
      <c r="AQ97" s="73"/>
      <c r="AR97" s="73"/>
      <c r="AS97" s="73"/>
      <c r="AT97" s="73"/>
      <c r="AU97" s="73"/>
      <c r="AV97" s="318"/>
      <c r="AW97" s="73"/>
      <c r="AX97" s="73"/>
      <c r="AY97" s="277"/>
      <c r="AZ97" s="33"/>
      <c r="BA97" s="46"/>
      <c r="BB97" s="78"/>
      <c r="BC97" s="34"/>
      <c r="BD97" s="28"/>
    </row>
    <row r="98" spans="1:60" ht="5.15" customHeight="1">
      <c r="A98" s="22"/>
      <c r="B98" s="202"/>
      <c r="C98" s="476"/>
      <c r="D98" s="72"/>
      <c r="E98" s="72"/>
      <c r="F98" s="72"/>
      <c r="G98" s="72"/>
      <c r="H98" s="297"/>
      <c r="I98" s="278"/>
      <c r="J98" s="279"/>
      <c r="K98" s="278"/>
      <c r="L98" s="279"/>
      <c r="M98" s="298"/>
      <c r="N98" s="298"/>
      <c r="O98" s="263"/>
      <c r="P98" s="298"/>
      <c r="Q98" s="263"/>
      <c r="R98" s="298"/>
      <c r="S98" s="72"/>
      <c r="T98" s="72"/>
      <c r="U98" s="72"/>
      <c r="V98" s="72"/>
      <c r="W98" s="72"/>
      <c r="X98" s="297"/>
      <c r="Y98" s="278"/>
      <c r="Z98" s="279"/>
      <c r="AA98" s="278"/>
      <c r="AB98" s="279"/>
      <c r="AC98" s="298"/>
      <c r="AD98" s="298"/>
      <c r="AE98" s="263"/>
      <c r="AF98" s="298"/>
      <c r="AG98" s="263"/>
      <c r="AH98" s="298"/>
      <c r="AI98" s="280"/>
      <c r="AJ98" s="298"/>
      <c r="AK98" s="263"/>
      <c r="AL98" s="72"/>
      <c r="AM98" s="72"/>
      <c r="AN98" s="72"/>
      <c r="AO98" s="72"/>
      <c r="AP98" s="72"/>
      <c r="AQ98" s="72"/>
      <c r="AR98" s="72"/>
      <c r="AS98" s="72"/>
      <c r="AT98" s="72"/>
      <c r="AU98" s="72"/>
      <c r="AV98" s="300"/>
      <c r="AW98" s="72"/>
      <c r="AX98" s="72"/>
      <c r="AY98" s="264"/>
      <c r="AZ98" s="33"/>
      <c r="BA98" s="46"/>
      <c r="BB98" s="78"/>
      <c r="BC98" s="34"/>
      <c r="BD98" s="28"/>
    </row>
    <row r="99" spans="1:60" ht="14.15" customHeight="1">
      <c r="A99" s="22"/>
      <c r="B99" s="202">
        <v>35</v>
      </c>
      <c r="C99" s="62" t="s">
        <v>243</v>
      </c>
      <c r="D99" s="332"/>
      <c r="E99" s="65"/>
      <c r="F99" s="65"/>
      <c r="G99" s="65"/>
      <c r="H99" s="65"/>
      <c r="I99" s="65"/>
      <c r="J99" s="477"/>
      <c r="K99" s="477"/>
      <c r="L99" s="477"/>
      <c r="M99" s="477"/>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125"/>
      <c r="AU99" s="65"/>
      <c r="AV99" s="65"/>
      <c r="AW99" s="65"/>
      <c r="AX99" s="65"/>
      <c r="AY99" s="65"/>
      <c r="AZ99" s="33"/>
      <c r="BA99" s="46"/>
      <c r="BB99" s="335"/>
      <c r="BC99" s="336"/>
      <c r="BD99" s="28"/>
      <c r="BG99" s="24"/>
      <c r="BH99" s="28"/>
    </row>
    <row r="100" spans="1:60" ht="14.15" customHeight="1">
      <c r="A100" s="22"/>
      <c r="B100" s="202">
        <v>35</v>
      </c>
      <c r="C100" s="331"/>
      <c r="D100" s="332"/>
      <c r="E100" s="65"/>
      <c r="F100" s="65"/>
      <c r="G100" s="65"/>
      <c r="H100" s="65"/>
      <c r="I100" s="65"/>
      <c r="J100" s="477"/>
      <c r="K100" s="477"/>
      <c r="L100" s="477"/>
      <c r="M100" s="477"/>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125"/>
      <c r="AU100" s="65"/>
      <c r="AV100" s="65"/>
      <c r="AW100" s="65"/>
      <c r="AX100" s="65"/>
      <c r="AY100" s="65"/>
      <c r="AZ100" s="33"/>
      <c r="BA100" s="46"/>
      <c r="BB100" s="335"/>
      <c r="BC100" s="336"/>
      <c r="BD100" s="28"/>
      <c r="BG100" s="24"/>
      <c r="BH100" s="28"/>
    </row>
    <row r="101" spans="1:60" ht="14.15" customHeight="1">
      <c r="A101" s="22"/>
      <c r="B101" s="202">
        <v>35</v>
      </c>
      <c r="C101" s="346" t="s">
        <v>249</v>
      </c>
      <c r="D101" s="332"/>
      <c r="E101" s="65"/>
      <c r="F101" s="65"/>
      <c r="G101" s="65"/>
      <c r="H101" s="65"/>
      <c r="I101" s="65"/>
      <c r="J101" s="989"/>
      <c r="K101" s="989"/>
      <c r="L101" s="989"/>
      <c r="M101" s="989"/>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125"/>
      <c r="AU101" s="65"/>
      <c r="AV101" s="65"/>
      <c r="AW101" s="65"/>
      <c r="AX101" s="65"/>
      <c r="AY101" s="65"/>
      <c r="AZ101" s="33"/>
      <c r="BA101" s="46"/>
      <c r="BB101" s="335"/>
      <c r="BC101" s="336"/>
      <c r="BD101" s="28"/>
      <c r="BG101" s="24"/>
      <c r="BH101" s="28"/>
    </row>
    <row r="102" spans="1:60" ht="5.15" customHeight="1">
      <c r="A102" s="22"/>
      <c r="B102" s="202"/>
      <c r="C102" s="296"/>
      <c r="D102" s="72"/>
      <c r="E102" s="72"/>
      <c r="F102" s="72"/>
      <c r="G102" s="72"/>
      <c r="H102" s="297"/>
      <c r="I102" s="278"/>
      <c r="J102" s="279"/>
      <c r="K102" s="278"/>
      <c r="L102" s="279"/>
      <c r="M102" s="298"/>
      <c r="N102" s="298"/>
      <c r="O102" s="263"/>
      <c r="P102" s="298"/>
      <c r="Q102" s="263"/>
      <c r="R102" s="298"/>
      <c r="S102" s="72"/>
      <c r="T102" s="72"/>
      <c r="U102" s="72"/>
      <c r="V102" s="72"/>
      <c r="W102" s="72"/>
      <c r="X102" s="297"/>
      <c r="Y102" s="278"/>
      <c r="Z102" s="279"/>
      <c r="AA102" s="278"/>
      <c r="AB102" s="279"/>
      <c r="AC102" s="298"/>
      <c r="AD102" s="298"/>
      <c r="AE102" s="263"/>
      <c r="AF102" s="298"/>
      <c r="AG102" s="263"/>
      <c r="AH102" s="298"/>
      <c r="AI102" s="280"/>
      <c r="AJ102" s="298"/>
      <c r="AK102" s="263"/>
      <c r="AL102" s="72"/>
      <c r="AM102" s="72"/>
      <c r="AN102" s="72"/>
      <c r="AO102" s="72"/>
      <c r="AP102" s="72"/>
      <c r="AQ102" s="72"/>
      <c r="AR102" s="72"/>
      <c r="AS102" s="72"/>
      <c r="AT102" s="72"/>
      <c r="AU102" s="72"/>
      <c r="AV102" s="300"/>
      <c r="AW102" s="72"/>
      <c r="AX102" s="72"/>
      <c r="AY102" s="265"/>
      <c r="AZ102" s="33"/>
      <c r="BA102" s="46"/>
      <c r="BB102" s="335"/>
      <c r="BC102" s="336"/>
      <c r="BD102" s="28"/>
    </row>
    <row r="103" spans="1:60" ht="13.5" customHeight="1">
      <c r="A103" s="22"/>
      <c r="B103" s="45"/>
      <c r="C103" s="266"/>
      <c r="D103" s="28" t="s">
        <v>250</v>
      </c>
      <c r="E103" s="28"/>
      <c r="F103" s="28"/>
      <c r="G103" s="28"/>
      <c r="H103" s="24"/>
      <c r="I103" s="24"/>
      <c r="J103" s="24"/>
      <c r="K103" s="24"/>
      <c r="L103" s="24"/>
      <c r="M103" s="127"/>
      <c r="N103" s="75"/>
      <c r="O103" s="84"/>
      <c r="P103" s="84"/>
      <c r="Q103" s="85"/>
      <c r="R103" s="75"/>
      <c r="S103" s="75"/>
      <c r="T103" s="75"/>
      <c r="U103" s="84"/>
      <c r="V103" s="85"/>
      <c r="W103" s="75"/>
      <c r="X103" s="65"/>
      <c r="Y103" s="28"/>
      <c r="Z103" s="28"/>
      <c r="AA103" s="28"/>
      <c r="AB103" s="28"/>
      <c r="AC103" s="28"/>
      <c r="AD103" s="28"/>
      <c r="AE103" s="28"/>
      <c r="AF103" s="28"/>
      <c r="AG103" s="28"/>
      <c r="AH103" s="28"/>
      <c r="AI103" s="28"/>
      <c r="AJ103" s="28"/>
      <c r="AK103" s="28"/>
      <c r="AL103" s="28"/>
      <c r="AM103" s="31"/>
      <c r="AN103" s="31"/>
      <c r="AO103" s="31"/>
      <c r="AP103" s="31"/>
      <c r="AQ103" s="31"/>
      <c r="AR103" s="31"/>
      <c r="AS103" s="31"/>
      <c r="AT103" s="31"/>
      <c r="AU103" s="31"/>
      <c r="AV103" s="31"/>
      <c r="AW103" s="31"/>
      <c r="AX103" s="65"/>
      <c r="AY103" s="267"/>
      <c r="AZ103" s="33"/>
      <c r="BA103" s="46"/>
      <c r="BB103" s="335"/>
      <c r="BC103" s="336"/>
      <c r="BD103" s="28"/>
      <c r="BE103" s="35"/>
      <c r="BF103" s="35"/>
      <c r="BG103" s="35"/>
    </row>
    <row r="104" spans="1:60" ht="13.5" customHeight="1">
      <c r="A104" s="22"/>
      <c r="B104" s="45"/>
      <c r="C104" s="266"/>
      <c r="D104" s="28"/>
      <c r="E104" s="28"/>
      <c r="F104" s="28"/>
      <c r="G104" s="28"/>
      <c r="H104" s="348" t="s">
        <v>252</v>
      </c>
      <c r="I104" s="131"/>
      <c r="J104" s="131"/>
      <c r="K104" s="131"/>
      <c r="L104" s="132"/>
      <c r="M104" s="132"/>
      <c r="N104" s="106"/>
      <c r="O104" s="133"/>
      <c r="P104" s="134"/>
      <c r="Q104" s="133" t="s">
        <v>251</v>
      </c>
      <c r="R104" s="134"/>
      <c r="S104" s="107"/>
      <c r="T104" s="107"/>
      <c r="U104" s="107"/>
      <c r="V104" s="107"/>
      <c r="W104" s="107"/>
      <c r="X104" s="107"/>
      <c r="Y104" s="107"/>
      <c r="Z104" s="107"/>
      <c r="AA104" s="107"/>
      <c r="AB104" s="107"/>
      <c r="AC104" s="107"/>
      <c r="AD104" s="107"/>
      <c r="AE104" s="107"/>
      <c r="AF104" s="107"/>
      <c r="AG104" s="107"/>
      <c r="AH104" s="107"/>
      <c r="AI104" s="107"/>
      <c r="AJ104" s="107"/>
      <c r="AK104" s="107"/>
      <c r="AL104" s="133" t="s">
        <v>44</v>
      </c>
      <c r="AM104" s="134"/>
      <c r="AN104" s="107"/>
      <c r="AO104" s="31"/>
      <c r="AP104" s="31"/>
      <c r="AQ104" s="31"/>
      <c r="AR104" s="31"/>
      <c r="AS104" s="31"/>
      <c r="AT104" s="31"/>
      <c r="AU104" s="31"/>
      <c r="AV104" s="31"/>
      <c r="AW104" s="31"/>
      <c r="AX104" s="65"/>
      <c r="AY104" s="267"/>
      <c r="AZ104" s="33"/>
      <c r="BA104" s="46"/>
      <c r="BB104" s="335"/>
      <c r="BC104" s="336"/>
      <c r="BD104" s="28"/>
      <c r="BE104" s="35"/>
      <c r="BF104" s="35"/>
      <c r="BG104" s="35"/>
    </row>
    <row r="105" spans="1:60" ht="13.5" customHeight="1">
      <c r="A105" s="22"/>
      <c r="B105" s="45"/>
      <c r="C105" s="266"/>
      <c r="D105" s="28"/>
      <c r="E105" s="28"/>
      <c r="F105" s="28"/>
      <c r="G105" s="28"/>
      <c r="H105" s="485" t="s">
        <v>255</v>
      </c>
      <c r="I105" s="137"/>
      <c r="J105" s="137"/>
      <c r="K105" s="137"/>
      <c r="L105" s="137"/>
      <c r="M105" s="137"/>
      <c r="N105" s="137"/>
      <c r="O105" s="350"/>
      <c r="P105" s="139"/>
      <c r="Q105" s="486" t="s">
        <v>54</v>
      </c>
      <c r="R105" s="139"/>
      <c r="S105" s="108"/>
      <c r="T105" s="108"/>
      <c r="U105" s="108"/>
      <c r="V105" s="156"/>
      <c r="W105" s="110"/>
      <c r="X105" s="110"/>
      <c r="Y105" s="156"/>
      <c r="Z105" s="156"/>
      <c r="AA105" s="110"/>
      <c r="AB105" s="110"/>
      <c r="AC105" s="37"/>
      <c r="AD105" s="37"/>
      <c r="AE105" s="37"/>
      <c r="AF105" s="37"/>
      <c r="AG105" s="37"/>
      <c r="AH105" s="37"/>
      <c r="AI105" s="37"/>
      <c r="AJ105" s="37"/>
      <c r="AK105" s="97"/>
      <c r="AL105" s="140"/>
      <c r="AM105" s="141"/>
      <c r="AN105" s="142"/>
      <c r="AO105" s="31"/>
      <c r="AP105" s="31"/>
      <c r="AQ105" s="31"/>
      <c r="AR105" s="31"/>
      <c r="AS105" s="31"/>
      <c r="AT105" s="31"/>
      <c r="AU105" s="31"/>
      <c r="AV105" s="31"/>
      <c r="AW105" s="31"/>
      <c r="AX105" s="65"/>
      <c r="AY105" s="267"/>
      <c r="AZ105" s="33"/>
      <c r="BA105" s="46"/>
      <c r="BB105" s="335"/>
      <c r="BC105" s="336"/>
      <c r="BD105" s="28"/>
      <c r="BE105" s="35"/>
      <c r="BF105" s="35"/>
      <c r="BG105" s="35"/>
    </row>
    <row r="106" spans="1:60" ht="13.5" customHeight="1">
      <c r="A106" s="22"/>
      <c r="B106" s="45"/>
      <c r="C106" s="266"/>
      <c r="D106" s="28"/>
      <c r="E106" s="28"/>
      <c r="F106" s="28"/>
      <c r="G106" s="28"/>
      <c r="H106" s="485" t="s">
        <v>256</v>
      </c>
      <c r="I106" s="137"/>
      <c r="J106" s="137"/>
      <c r="K106" s="137"/>
      <c r="L106" s="137"/>
      <c r="M106" s="137"/>
      <c r="N106" s="137"/>
      <c r="O106" s="350"/>
      <c r="P106" s="139"/>
      <c r="Q106" s="486" t="s">
        <v>54</v>
      </c>
      <c r="R106" s="139"/>
      <c r="S106" s="108"/>
      <c r="T106" s="108"/>
      <c r="U106" s="108"/>
      <c r="V106" s="156"/>
      <c r="W106" s="110"/>
      <c r="X106" s="110"/>
      <c r="Y106" s="156"/>
      <c r="Z106" s="156"/>
      <c r="AA106" s="110"/>
      <c r="AB106" s="110"/>
      <c r="AC106" s="37"/>
      <c r="AD106" s="37"/>
      <c r="AE106" s="37"/>
      <c r="AF106" s="37"/>
      <c r="AG106" s="37"/>
      <c r="AH106" s="37"/>
      <c r="AI106" s="37"/>
      <c r="AJ106" s="37"/>
      <c r="AK106" s="97"/>
      <c r="AL106" s="140"/>
      <c r="AM106" s="141"/>
      <c r="AN106" s="142"/>
      <c r="AO106" s="31"/>
      <c r="AP106" s="31"/>
      <c r="AQ106" s="31"/>
      <c r="AR106" s="31"/>
      <c r="AS106" s="31"/>
      <c r="AT106" s="31"/>
      <c r="AU106" s="31"/>
      <c r="AV106" s="31"/>
      <c r="AW106" s="31"/>
      <c r="AX106" s="65"/>
      <c r="AY106" s="267"/>
      <c r="AZ106" s="33"/>
      <c r="BA106" s="46"/>
      <c r="BB106" s="335"/>
      <c r="BC106" s="336"/>
      <c r="BD106" s="28"/>
      <c r="BE106" s="35"/>
      <c r="BF106" s="35"/>
      <c r="BG106" s="35"/>
    </row>
    <row r="107" spans="1:60" ht="13.5" customHeight="1">
      <c r="A107" s="22"/>
      <c r="B107" s="45"/>
      <c r="C107" s="266"/>
      <c r="D107" s="28"/>
      <c r="E107" s="28"/>
      <c r="F107" s="28"/>
      <c r="G107" s="28"/>
      <c r="H107" s="485" t="s">
        <v>257</v>
      </c>
      <c r="I107" s="137"/>
      <c r="J107" s="137"/>
      <c r="K107" s="137"/>
      <c r="L107" s="137"/>
      <c r="M107" s="137"/>
      <c r="N107" s="137"/>
      <c r="O107" s="350"/>
      <c r="P107" s="139"/>
      <c r="Q107" s="486" t="s">
        <v>54</v>
      </c>
      <c r="R107" s="139"/>
      <c r="S107" s="108"/>
      <c r="T107" s="108"/>
      <c r="U107" s="108"/>
      <c r="V107" s="156"/>
      <c r="W107" s="110"/>
      <c r="X107" s="110"/>
      <c r="Y107" s="156"/>
      <c r="Z107" s="156"/>
      <c r="AA107" s="110"/>
      <c r="AB107" s="110"/>
      <c r="AC107" s="37"/>
      <c r="AD107" s="37"/>
      <c r="AE107" s="37"/>
      <c r="AF107" s="37"/>
      <c r="AG107" s="37"/>
      <c r="AH107" s="37"/>
      <c r="AI107" s="37"/>
      <c r="AJ107" s="37"/>
      <c r="AK107" s="97"/>
      <c r="AL107" s="140"/>
      <c r="AM107" s="141"/>
      <c r="AN107" s="142"/>
      <c r="AO107" s="31"/>
      <c r="AP107" s="31"/>
      <c r="AQ107" s="31"/>
      <c r="AR107" s="31"/>
      <c r="AS107" s="31"/>
      <c r="AT107" s="31"/>
      <c r="AU107" s="31"/>
      <c r="AV107" s="31"/>
      <c r="AW107" s="31"/>
      <c r="AX107" s="65"/>
      <c r="AY107" s="267"/>
      <c r="AZ107" s="33"/>
      <c r="BA107" s="46"/>
      <c r="BB107" s="335"/>
      <c r="BC107" s="336"/>
      <c r="BD107" s="28"/>
      <c r="BE107" s="35"/>
      <c r="BF107" s="35"/>
      <c r="BG107" s="35"/>
    </row>
    <row r="108" spans="1:60" ht="5.15" customHeight="1">
      <c r="A108" s="22"/>
      <c r="B108" s="202"/>
      <c r="C108" s="315"/>
      <c r="D108" s="73"/>
      <c r="E108" s="73"/>
      <c r="F108" s="73"/>
      <c r="G108" s="73"/>
      <c r="H108" s="316"/>
      <c r="I108" s="275"/>
      <c r="J108" s="273"/>
      <c r="K108" s="275"/>
      <c r="L108" s="273"/>
      <c r="M108" s="317"/>
      <c r="N108" s="317"/>
      <c r="O108" s="270"/>
      <c r="P108" s="317"/>
      <c r="Q108" s="270"/>
      <c r="R108" s="317"/>
      <c r="S108" s="73"/>
      <c r="T108" s="73"/>
      <c r="U108" s="73"/>
      <c r="V108" s="73"/>
      <c r="W108" s="73"/>
      <c r="X108" s="316"/>
      <c r="Y108" s="275"/>
      <c r="Z108" s="273"/>
      <c r="AA108" s="275"/>
      <c r="AB108" s="273"/>
      <c r="AC108" s="317"/>
      <c r="AD108" s="317"/>
      <c r="AE108" s="270"/>
      <c r="AF108" s="317"/>
      <c r="AG108" s="270"/>
      <c r="AH108" s="317"/>
      <c r="AI108" s="276"/>
      <c r="AJ108" s="317"/>
      <c r="AK108" s="270"/>
      <c r="AL108" s="73"/>
      <c r="AM108" s="73"/>
      <c r="AN108" s="73"/>
      <c r="AO108" s="73"/>
      <c r="AP108" s="73"/>
      <c r="AQ108" s="73"/>
      <c r="AR108" s="73"/>
      <c r="AS108" s="73"/>
      <c r="AT108" s="73"/>
      <c r="AU108" s="73"/>
      <c r="AV108" s="318"/>
      <c r="AW108" s="73"/>
      <c r="AX108" s="73"/>
      <c r="AY108" s="277"/>
      <c r="AZ108" s="33"/>
      <c r="BA108" s="46"/>
      <c r="BB108" s="335"/>
      <c r="BC108" s="336"/>
      <c r="BD108" s="28"/>
    </row>
    <row r="109" spans="1:60" ht="14.15" customHeight="1">
      <c r="A109" s="22"/>
      <c r="B109" s="202"/>
      <c r="C109" s="331"/>
      <c r="D109" s="332"/>
      <c r="E109" s="65"/>
      <c r="F109" s="65"/>
      <c r="G109" s="65"/>
      <c r="H109" s="65"/>
      <c r="I109" s="65"/>
      <c r="J109" s="354"/>
      <c r="K109" s="354"/>
      <c r="L109" s="354"/>
      <c r="M109" s="354"/>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125"/>
      <c r="AU109" s="65"/>
      <c r="AV109" s="65"/>
      <c r="AW109" s="65"/>
      <c r="AX109" s="65"/>
      <c r="AY109" s="65"/>
      <c r="AZ109" s="33"/>
      <c r="BA109" s="46"/>
      <c r="BB109" s="335"/>
      <c r="BC109" s="336"/>
      <c r="BD109" s="28"/>
      <c r="BG109" s="24"/>
      <c r="BH109" s="28"/>
    </row>
    <row r="110" spans="1:60" ht="13.5" customHeight="1">
      <c r="A110" s="22"/>
      <c r="B110" s="202">
        <v>36</v>
      </c>
      <c r="C110" s="331"/>
      <c r="D110" s="332"/>
      <c r="E110" s="65"/>
      <c r="F110" s="65"/>
      <c r="G110" s="65"/>
      <c r="H110" s="65"/>
      <c r="I110" s="65"/>
      <c r="J110" s="989"/>
      <c r="K110" s="989"/>
      <c r="L110" s="989"/>
      <c r="M110" s="989"/>
      <c r="N110" s="63"/>
      <c r="O110" s="65"/>
      <c r="P110" s="65"/>
      <c r="Q110" s="65"/>
      <c r="R110" s="28"/>
      <c r="S110" s="28"/>
      <c r="T110" s="31"/>
      <c r="U110" s="31"/>
      <c r="V110" s="31"/>
      <c r="W110" s="31"/>
      <c r="X110" s="31"/>
      <c r="Y110" s="44"/>
      <c r="Z110" s="31"/>
      <c r="AA110" s="28"/>
      <c r="AB110" s="44"/>
      <c r="AC110" s="31"/>
      <c r="AD110" s="28"/>
      <c r="AE110" s="44"/>
      <c r="AF110" s="28"/>
      <c r="AG110" s="116"/>
      <c r="AH110" s="41"/>
      <c r="AI110" s="116"/>
      <c r="AJ110" s="116"/>
      <c r="AK110" s="116"/>
      <c r="AL110" s="116"/>
      <c r="AM110" s="116"/>
      <c r="AN110" s="116"/>
      <c r="AO110" s="116"/>
      <c r="AP110" s="116"/>
      <c r="AQ110" s="116"/>
      <c r="AR110" s="116"/>
      <c r="AS110" s="116"/>
      <c r="AT110" s="116"/>
      <c r="AU110" s="116"/>
      <c r="AV110" s="116"/>
      <c r="AW110" s="116"/>
      <c r="AX110" s="116"/>
      <c r="AY110" s="116"/>
      <c r="AZ110" s="33"/>
      <c r="BA110" s="46"/>
      <c r="BB110" s="335"/>
      <c r="BC110" s="336"/>
      <c r="BD110" s="28"/>
      <c r="BG110" s="24"/>
      <c r="BH110" s="28"/>
    </row>
    <row r="111" spans="1:60" ht="13.5" customHeight="1">
      <c r="A111" s="22"/>
      <c r="B111" s="202">
        <v>37</v>
      </c>
      <c r="C111" s="331"/>
      <c r="D111" s="332"/>
      <c r="E111" s="65"/>
      <c r="F111" s="65"/>
      <c r="G111" s="65"/>
      <c r="H111" s="65"/>
      <c r="I111" s="65"/>
      <c r="J111" s="989"/>
      <c r="K111" s="989"/>
      <c r="L111" s="989"/>
      <c r="M111" s="989"/>
      <c r="N111" s="193"/>
      <c r="O111" s="195"/>
      <c r="P111" s="193"/>
      <c r="Q111" s="194"/>
      <c r="R111" s="194"/>
      <c r="S111" s="194"/>
      <c r="T111" s="196"/>
      <c r="U111" s="196"/>
      <c r="V111" s="196"/>
      <c r="W111" s="196"/>
      <c r="X111" s="196"/>
      <c r="Y111" s="195"/>
      <c r="Z111" s="196"/>
      <c r="AA111" s="194"/>
      <c r="AB111" s="195"/>
      <c r="AC111" s="196"/>
      <c r="AD111" s="194"/>
      <c r="AE111" s="195"/>
      <c r="AF111" s="194"/>
      <c r="AG111" s="194"/>
      <c r="AH111" s="195"/>
      <c r="AI111" s="194"/>
      <c r="AJ111" s="194"/>
      <c r="AK111" s="197"/>
      <c r="AL111" s="194"/>
      <c r="AM111" s="194"/>
      <c r="AN111" s="194"/>
      <c r="AO111" s="194"/>
      <c r="AP111" s="194"/>
      <c r="AQ111" s="194"/>
      <c r="AR111" s="194"/>
      <c r="AS111" s="194"/>
      <c r="AT111" s="194"/>
      <c r="AU111" s="194"/>
      <c r="AV111" s="194"/>
      <c r="AW111" s="194"/>
      <c r="AX111" s="194"/>
      <c r="AY111" s="194"/>
      <c r="AZ111" s="33"/>
      <c r="BA111" s="46"/>
      <c r="BB111" s="335"/>
      <c r="BC111" s="336"/>
      <c r="BD111" s="28"/>
      <c r="BG111" s="24"/>
      <c r="BH111" s="28"/>
    </row>
    <row r="112" spans="1:60">
      <c r="A112" s="22"/>
      <c r="B112" s="32"/>
      <c r="C112" s="28"/>
      <c r="D112" s="28"/>
      <c r="E112" s="28"/>
      <c r="F112" s="28"/>
      <c r="G112" s="28"/>
      <c r="H112" s="28"/>
      <c r="I112" s="28"/>
      <c r="J112" s="28"/>
      <c r="K112" s="28"/>
      <c r="L112" s="28"/>
      <c r="M112" s="28"/>
      <c r="N112" s="28"/>
      <c r="O112" s="28"/>
      <c r="P112" s="28"/>
      <c r="Q112" s="28"/>
      <c r="R112" s="28"/>
      <c r="S112" s="81"/>
      <c r="T112" s="81"/>
      <c r="U112" s="81"/>
      <c r="V112" s="81"/>
      <c r="W112" s="28"/>
      <c r="X112" s="28"/>
      <c r="Y112" s="81"/>
      <c r="Z112" s="81"/>
      <c r="AA112" s="28"/>
      <c r="AB112" s="28"/>
      <c r="AC112" s="28"/>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31"/>
      <c r="AZ112" s="33"/>
      <c r="BA112" s="46"/>
      <c r="BB112" s="335"/>
      <c r="BC112" s="336"/>
    </row>
    <row r="113" spans="1:55">
      <c r="A113" s="155"/>
      <c r="B113" s="95"/>
      <c r="C113" s="110"/>
      <c r="D113" s="110"/>
      <c r="E113" s="110"/>
      <c r="F113" s="110"/>
      <c r="G113" s="110"/>
      <c r="H113" s="110"/>
      <c r="I113" s="110"/>
      <c r="J113" s="110"/>
      <c r="K113" s="110"/>
      <c r="L113" s="110"/>
      <c r="M113" s="110"/>
      <c r="N113" s="110"/>
      <c r="O113" s="110"/>
      <c r="P113" s="110"/>
      <c r="Q113" s="110"/>
      <c r="R113" s="110"/>
      <c r="S113" s="156"/>
      <c r="T113" s="156"/>
      <c r="U113" s="156"/>
      <c r="V113" s="156"/>
      <c r="W113" s="110"/>
      <c r="X113" s="110"/>
      <c r="Y113" s="156"/>
      <c r="Z113" s="156"/>
      <c r="AA113" s="110"/>
      <c r="AB113" s="110"/>
      <c r="AC113" s="110"/>
      <c r="AD113" s="156"/>
      <c r="AE113" s="156"/>
      <c r="AF113" s="156"/>
      <c r="AG113" s="156"/>
      <c r="AH113" s="156"/>
      <c r="AI113" s="156"/>
      <c r="AJ113" s="156"/>
      <c r="AK113" s="156"/>
      <c r="AL113" s="156"/>
      <c r="AM113" s="156"/>
      <c r="AN113" s="156"/>
      <c r="AO113" s="156"/>
      <c r="AP113" s="156"/>
      <c r="AQ113" s="156"/>
      <c r="AR113" s="156"/>
      <c r="AS113" s="156"/>
      <c r="AT113" s="156"/>
      <c r="AU113" s="156"/>
      <c r="AV113" s="156"/>
      <c r="AW113" s="156"/>
      <c r="AX113" s="156"/>
      <c r="AY113" s="95"/>
      <c r="AZ113" s="95"/>
      <c r="BA113" s="157"/>
      <c r="BB113" s="355"/>
      <c r="BC113" s="356"/>
    </row>
  </sheetData>
  <mergeCells count="107">
    <mergeCell ref="BE67:BH67"/>
    <mergeCell ref="BE68:BH68"/>
    <mergeCell ref="AF68:AJ68"/>
    <mergeCell ref="AK68:AN68"/>
    <mergeCell ref="AO68:AR68"/>
    <mergeCell ref="AS68:AV68"/>
    <mergeCell ref="AW68:AZ68"/>
    <mergeCell ref="AS71:AV71"/>
    <mergeCell ref="AW71:AZ71"/>
    <mergeCell ref="BA71:BD71"/>
    <mergeCell ref="BE71:BH71"/>
    <mergeCell ref="AF71:AJ71"/>
    <mergeCell ref="AK71:AN71"/>
    <mergeCell ref="AO71:AR71"/>
    <mergeCell ref="J110:M110"/>
    <mergeCell ref="J111:M111"/>
    <mergeCell ref="J77:M77"/>
    <mergeCell ref="J84:M84"/>
    <mergeCell ref="BE72:BH72"/>
    <mergeCell ref="BD73:BF73"/>
    <mergeCell ref="J85:M85"/>
    <mergeCell ref="J87:M87"/>
    <mergeCell ref="J93:M93"/>
    <mergeCell ref="J101:M101"/>
    <mergeCell ref="X72:AA72"/>
    <mergeCell ref="AB72:AE72"/>
    <mergeCell ref="AF72:AJ72"/>
    <mergeCell ref="AK72:AN72"/>
    <mergeCell ref="AO72:AR72"/>
    <mergeCell ref="AS64:AV64"/>
    <mergeCell ref="AS72:AV72"/>
    <mergeCell ref="AW72:AZ72"/>
    <mergeCell ref="BA72:BD72"/>
    <mergeCell ref="X68:AA68"/>
    <mergeCell ref="AB68:AE68"/>
    <mergeCell ref="BA68:BD68"/>
    <mergeCell ref="X64:AA64"/>
    <mergeCell ref="AB64:AE64"/>
    <mergeCell ref="AF64:AJ64"/>
    <mergeCell ref="AK64:AN64"/>
    <mergeCell ref="AO64:AR64"/>
    <mergeCell ref="X67:AA67"/>
    <mergeCell ref="AB67:AE67"/>
    <mergeCell ref="AF67:AJ67"/>
    <mergeCell ref="AK67:AN67"/>
    <mergeCell ref="AO67:AR67"/>
    <mergeCell ref="AS67:AV67"/>
    <mergeCell ref="AW67:AZ67"/>
    <mergeCell ref="BA67:BD67"/>
    <mergeCell ref="X71:AA71"/>
    <mergeCell ref="AB71:AE71"/>
    <mergeCell ref="BQ64:BT64"/>
    <mergeCell ref="BU64:BX64"/>
    <mergeCell ref="BY64:CA64"/>
    <mergeCell ref="AW64:AZ64"/>
    <mergeCell ref="BA64:BD64"/>
    <mergeCell ref="BE64:BH64"/>
    <mergeCell ref="BI64:BL64"/>
    <mergeCell ref="BM64:BP64"/>
    <mergeCell ref="BG52:BI52"/>
    <mergeCell ref="BM58:BP58"/>
    <mergeCell ref="BG51:BI51"/>
    <mergeCell ref="R52:U52"/>
    <mergeCell ref="Z52:AD52"/>
    <mergeCell ref="AI52:AL52"/>
    <mergeCell ref="AM52:AP52"/>
    <mergeCell ref="AQ52:AT52"/>
    <mergeCell ref="AU52:AX52"/>
    <mergeCell ref="AY52:BB52"/>
    <mergeCell ref="BC52:BF52"/>
    <mergeCell ref="AV3:AY3"/>
    <mergeCell ref="A5:BA5"/>
    <mergeCell ref="BB5:BC5"/>
    <mergeCell ref="R51:U51"/>
    <mergeCell ref="Z51:AD51"/>
    <mergeCell ref="AI51:AL51"/>
    <mergeCell ref="AM51:AP51"/>
    <mergeCell ref="AQ51:AT51"/>
    <mergeCell ref="AU51:AX51"/>
    <mergeCell ref="AY51:BB51"/>
    <mergeCell ref="H42:L42"/>
    <mergeCell ref="H43:L43"/>
    <mergeCell ref="BC51:BF5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s>
  <phoneticPr fontId="56"/>
  <conditionalFormatting sqref="AK67:AV68">
    <cfRule type="cellIs" dxfId="5" priority="3" operator="lessThan">
      <formula>0</formula>
    </cfRule>
  </conditionalFormatting>
  <conditionalFormatting sqref="AK71:AV72">
    <cfRule type="cellIs" dxfId="4" priority="2" operator="lessThan">
      <formula>0</formula>
    </cfRule>
  </conditionalFormatting>
  <conditionalFormatting sqref="BA64:BD64">
    <cfRule type="cellIs" dxfId="3" priority="15" operator="lessThan">
      <formula>0</formula>
    </cfRule>
  </conditionalFormatting>
  <conditionalFormatting sqref="BE67:BH68">
    <cfRule type="cellIs" dxfId="2" priority="4" operator="lessThan">
      <formula>0.3</formula>
    </cfRule>
  </conditionalFormatting>
  <conditionalFormatting sqref="BE71:BH72">
    <cfRule type="cellIs" dxfId="1" priority="1" operator="lessThan">
      <formula>0.3</formula>
    </cfRule>
  </conditionalFormatting>
  <conditionalFormatting sqref="BM64:BP64">
    <cfRule type="cellIs" dxfId="0" priority="10" operator="lessThan">
      <formula>0.3</formula>
    </cfRule>
  </conditionalFormatting>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13</vt:i4>
      </vt:variant>
    </vt:vector>
  </HeadingPairs>
  <TitlesOfParts>
    <vt:vector size="27" baseType="lpstr">
      <vt:lpstr>表紙</vt:lpstr>
      <vt:lpstr>変更来歴</vt:lpstr>
      <vt:lpstr>化学物質データ画面(日本語)</vt:lpstr>
      <vt:lpstr>化学物質データ申請画面(日英併記)</vt:lpstr>
      <vt:lpstr>画面項目</vt:lpstr>
      <vt:lpstr>画面状態</vt:lpstr>
      <vt:lpstr>入力チェック</vt:lpstr>
      <vt:lpstr>選択画面</vt:lpstr>
      <vt:lpstr>円(PPM)</vt:lpstr>
      <vt:lpstr>円(技術原計)</vt:lpstr>
      <vt:lpstr>円(コリア原計)</vt:lpstr>
      <vt:lpstr>外貨(PPM)</vt:lpstr>
      <vt:lpstr>外貨(技術原計)</vt:lpstr>
      <vt:lpstr>外貨(コリア原計)</vt:lpstr>
      <vt:lpstr>'円(PPM)'!Print_Area</vt:lpstr>
      <vt:lpstr>'円(コリア原計)'!Print_Area</vt:lpstr>
      <vt:lpstr>'円(技術原計)'!Print_Area</vt:lpstr>
      <vt:lpstr>'化学物質データ画面(日本語)'!Print_Area</vt:lpstr>
      <vt:lpstr>'化学物質データ申請画面(日英併記)'!Print_Area</vt:lpstr>
      <vt:lpstr>画面項目!Print_Area</vt:lpstr>
      <vt:lpstr>画面状態!Print_Area</vt:lpstr>
      <vt:lpstr>'外貨(PPM)'!Print_Area</vt:lpstr>
      <vt:lpstr>'外貨(コリア原計)'!Print_Area</vt:lpstr>
      <vt:lpstr>'外貨(技術原計)'!Print_Area</vt:lpstr>
      <vt:lpstr>選択画面!Print_Area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2026-05-15T06:51:30Z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