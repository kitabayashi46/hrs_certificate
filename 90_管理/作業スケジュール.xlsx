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project\hrs_環境証明書\90_管理\"/>
    </mc:Choice>
  </mc:AlternateContent>
  <xr:revisionPtr revIDLastSave="0" documentId="13_ncr:1_{064A80E1-4C95-4C12-8BDE-E10E487B11D8}" xr6:coauthVersionLast="47" xr6:coauthVersionMax="47" xr10:uidLastSave="{00000000-0000-0000-0000-000000000000}"/>
  <bookViews>
    <workbookView xWindow="5145" yWindow="1740" windowWidth="23460" windowHeight="12645" tabRatio="760" activeTab="1" xr2:uid="{00000000-000D-0000-FFFF-FFFF00000000}"/>
  </bookViews>
  <sheets>
    <sheet name="スケジュール" sheetId="17" r:id="rId1"/>
    <sheet name="実装・単体スケジュール" sheetId="19" r:id="rId2"/>
    <sheet name="進捗管理 (2)" sheetId="18" state="hidden" r:id="rId3"/>
    <sheet name="List" sheetId="2" state="hidden" r:id="rId4"/>
  </sheets>
  <externalReferences>
    <externalReference r:id="rId5"/>
  </externalReferences>
  <definedNames>
    <definedName name="_1Module1_.MARU" localSheetId="0">[1]!_1Module1_.MARU</definedName>
    <definedName name="_1Module1_.MARU" localSheetId="1">[1]!_1Module1_.MARU</definedName>
    <definedName name="_1Module1_.MARU" localSheetId="2">[1]!_1Module1_.MARU</definedName>
    <definedName name="_1Module1_.MARU">[1]!_1Module1_.MARU</definedName>
    <definedName name="_2a1_" hidden="1">{"'Sheet1'!$A$3:$I$11"}</definedName>
    <definedName name="_a1" hidden="1">{"'Sheet1'!$A$3:$I$11"}</definedName>
    <definedName name="_xlnm._FilterDatabase" localSheetId="0" hidden="1">スケジュール!$A$3:$E$7</definedName>
    <definedName name="_xlnm._FilterDatabase" localSheetId="1" hidden="1">実装・単体スケジュール!$A$3:$D$7</definedName>
    <definedName name="_xlnm._FilterDatabase" localSheetId="2" hidden="1">'進捗管理 (2)'!$A$3:$M$21</definedName>
    <definedName name="_Order1" hidden="1">255</definedName>
    <definedName name="a" hidden="1">{"'Sheet1'!$A$3:$I$11"}</definedName>
    <definedName name="AAA" hidden="1">{"'Sheet1'!$A$3:$I$11"}</definedName>
    <definedName name="aaaa" hidden="1">{"'Sheet1'!$A$3:$I$11"}</definedName>
    <definedName name="aaaaa" hidden="1">{"'Sheet1'!$A$3:$I$11"}</definedName>
    <definedName name="ab" hidden="1">{"'Sheet1'!$A$3:$I$11"}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b" hidden="1">{"'Sheet1'!$A$3:$I$11"}</definedName>
    <definedName name="bb" hidden="1">{"'Sheet1'!$A$3:$I$11"}</definedName>
    <definedName name="bbb" hidden="1">{"'Sheet1'!$A$3:$I$11"}</definedName>
    <definedName name="bbbb" hidden="1">{"'Sheet1'!$A$3:$I$11"}</definedName>
    <definedName name="D" localSheetId="0">[1]!D</definedName>
    <definedName name="D" localSheetId="1">[1]!D</definedName>
    <definedName name="D" localSheetId="2">[1]!D</definedName>
    <definedName name="D">[1]!D</definedName>
    <definedName name="E" localSheetId="0">[1]!E</definedName>
    <definedName name="E" localSheetId="1">[1]!E</definedName>
    <definedName name="E" localSheetId="2">[1]!E</definedName>
    <definedName name="E">[1]!E</definedName>
    <definedName name="er" localSheetId="0">[1]!er</definedName>
    <definedName name="er" localSheetId="1">[1]!er</definedName>
    <definedName name="er" localSheetId="2">[1]!er</definedName>
    <definedName name="er">[1]!er</definedName>
    <definedName name="f" hidden="1">{"'Sheet1'!$A$3:$I$11"}</definedName>
    <definedName name="ff" hidden="1">{"'Sheet1'!$A$3:$I$11"}</definedName>
    <definedName name="help" localSheetId="0">[1]!help</definedName>
    <definedName name="help" localSheetId="1">[1]!help</definedName>
    <definedName name="help" localSheetId="2">[1]!help</definedName>
    <definedName name="help">[1]!help</definedName>
    <definedName name="HTML_CodePage" hidden="1">932</definedName>
    <definedName name="HTML_Control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hidden="1">{"'Sheet1'!$A$3:$I$11"}</definedName>
    <definedName name="IBD00110チェック仕様" hidden="1">{"'Sheet1'!$A$3:$I$11"}</definedName>
    <definedName name="IBE09000チェック仕様" hidden="1">{"'Sheet1'!$A$3:$I$11"}</definedName>
    <definedName name="j" localSheetId="0">[1]!j</definedName>
    <definedName name="j" localSheetId="1">[1]!j</definedName>
    <definedName name="j" localSheetId="2">[1]!j</definedName>
    <definedName name="j">[1]!j</definedName>
    <definedName name="k" localSheetId="0">[1]!k</definedName>
    <definedName name="k" localSheetId="1">[1]!k</definedName>
    <definedName name="k" localSheetId="2">[1]!k</definedName>
    <definedName name="k">[1]!k</definedName>
    <definedName name="kurikoshi" localSheetId="0">[1]!kurikoshi</definedName>
    <definedName name="kurikoshi" localSheetId="1">[1]!kurikoshi</definedName>
    <definedName name="kurikoshi" localSheetId="2">[1]!kurikoshi</definedName>
    <definedName name="kurikoshi">[1]!kurikoshi</definedName>
    <definedName name="l" hidden="1">{"'Sheet1'!$A$3:$I$11"}</definedName>
    <definedName name="ll" localSheetId="0">[1]!ll</definedName>
    <definedName name="ll" localSheetId="1">[1]!ll</definedName>
    <definedName name="ll" localSheetId="2">[1]!ll</definedName>
    <definedName name="ll">[1]!ll</definedName>
    <definedName name="MARA" localSheetId="0">[1]!MARA</definedName>
    <definedName name="MARA" localSheetId="1">[1]!MARA</definedName>
    <definedName name="MARA" localSheetId="2">[1]!MARA</definedName>
    <definedName name="MARA">[1]!MARA</definedName>
    <definedName name="MARU" localSheetId="0">[1]!MARU</definedName>
    <definedName name="MARU" localSheetId="1">[1]!MARU</definedName>
    <definedName name="MARU" localSheetId="2">[1]!MARU</definedName>
    <definedName name="MARU">[1]!MARU</definedName>
    <definedName name="mi" localSheetId="0">[1]!mi</definedName>
    <definedName name="mi" localSheetId="1">[1]!mi</definedName>
    <definedName name="mi" localSheetId="2">[1]!mi</definedName>
    <definedName name="mi">[1]!mi</definedName>
    <definedName name="mi_blue" localSheetId="0">[1]!mi_blue</definedName>
    <definedName name="mi_blue" localSheetId="1">[1]!mi_blue</definedName>
    <definedName name="mi_blue" localSheetId="2">[1]!mi_blue</definedName>
    <definedName name="mi_blue">[1]!mi_blue</definedName>
    <definedName name="Module1.MARU" localSheetId="0">[1]!Module1.MARU</definedName>
    <definedName name="Module1.MARU" localSheetId="1">[1]!Module1.MARU</definedName>
    <definedName name="Module1.MARU" localSheetId="2">[1]!Module1.MARU</definedName>
    <definedName name="Module1.MARU">[1]!Module1.MARU</definedName>
    <definedName name="o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oo" hidden="1">{"'Sheet1'!$A$3:$I$11"}</definedName>
    <definedName name="_xlnm.Print_Area" localSheetId="0">スケジュール!$A$1:$E$7</definedName>
    <definedName name="_xlnm.Print_Area" localSheetId="1">実装・単体スケジュール!$A$1:$D$7</definedName>
    <definedName name="_xlnm.Print_Area" localSheetId="2">'進捗管理 (2)'!$A$1:$M$21</definedName>
    <definedName name="_xlnm.Print_Titles" localSheetId="0">スケジュール!$1:$2</definedName>
    <definedName name="_xlnm.Print_Titles" localSheetId="1">実装・単体スケジュール!$1:$2</definedName>
    <definedName name="_xlnm.Print_Titles" localSheetId="2">'進捗管理 (2)'!$1:$3</definedName>
    <definedName name="Question1" localSheetId="0">[1]!Question1</definedName>
    <definedName name="Question1" localSheetId="1">[1]!Question1</definedName>
    <definedName name="Question1" localSheetId="2">[1]!Question1</definedName>
    <definedName name="Question1">[1]!Question1</definedName>
    <definedName name="ｒｒ" hidden="1">{"'Sheet1'!$A$3:$I$11"}</definedName>
    <definedName name="S">{"'Sheet1'!$A$3:$I$11"}</definedName>
    <definedName name="SANKAKU" localSheetId="0">[1]!SANKAKU</definedName>
    <definedName name="SANKAKU" localSheetId="1">[1]!SANKAKU</definedName>
    <definedName name="SANKAKU" localSheetId="2">[1]!SANKAKU</definedName>
    <definedName name="SANKAKU">[1]!SANKAKU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solver_opt" localSheetId="0" hidden="1">#REF!</definedName>
    <definedName name="solver_opt" localSheetId="1" hidden="1">#REF!</definedName>
    <definedName name="solver_opt" localSheetId="2" hidden="1">#REF!</definedName>
    <definedName name="solver_opt" hidden="1">#REF!</definedName>
    <definedName name="vvvv" hidden="1">{"'Sheet1'!$A$3:$I$11"}</definedName>
    <definedName name="vvvvvvvvvvvvvvvv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" localSheetId="0">[1]!w</definedName>
    <definedName name="w" localSheetId="1">[1]!w</definedName>
    <definedName name="w" localSheetId="2">[1]!w</definedName>
    <definedName name="w">[1]!w</definedName>
    <definedName name="wew" hidden="1">{"'Sheet1'!$A$3:$I$11"}</definedName>
    <definedName name="ｗｑｗｑ" localSheetId="0">[1]!ｗｑｗｑ</definedName>
    <definedName name="ｗｑｗｑ" localSheetId="1">[1]!ｗｑｗｑ</definedName>
    <definedName name="ｗｑｗｑ" localSheetId="2">[1]!ｗｑｗｑ</definedName>
    <definedName name="ｗｑｗｑ">[1]!ｗｑｗｑ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ww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あ" hidden="1">{"'Sheet1'!$A$3:$I$11"}</definedName>
    <definedName name="ささ" hidden="1">{"'Sheet1'!$A$3:$I$11"}</definedName>
    <definedName name="ステータス">List!$A$2:$A$16</definedName>
    <definedName name="仮単価発注" hidden="1">{"'Sheet1'!$A$3:$I$11"}</definedName>
    <definedName name="荷札イレギュラー" hidden="1">{"'Sheet1'!$A$3:$I$11"}</definedName>
    <definedName name="工程">List!$D$2:$D$8</definedName>
    <definedName name="対象システム">List!#REF!</definedName>
  </definedNames>
  <calcPr calcId="191029"/>
  <customWorkbookViews>
    <customWorkbookView name="tsssw - 個人用ビュー" guid="{123BCFAA-3B88-4ADD-B530-EFA4D0C8331A}" mergeInterval="0" personalView="1" maximized="1" xWindow="1911" yWindow="-9" windowWidth="1938" windowHeight="105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9" l="1"/>
  <c r="A5" i="19" s="1"/>
  <c r="A6" i="19" s="1"/>
  <c r="A7" i="19" s="1"/>
  <c r="A8" i="19" s="1"/>
  <c r="A8" i="17"/>
  <c r="A4" i="17" l="1"/>
  <c r="A5" i="17" s="1"/>
  <c r="K53" i="18"/>
  <c r="G53" i="18"/>
  <c r="E53" i="18"/>
  <c r="C53" i="18"/>
  <c r="I52" i="18"/>
  <c r="H52" i="18"/>
  <c r="K51" i="18"/>
  <c r="G51" i="18"/>
  <c r="E51" i="18"/>
  <c r="C51" i="18"/>
  <c r="I50" i="18"/>
  <c r="H50" i="18"/>
  <c r="K49" i="18"/>
  <c r="G49" i="18"/>
  <c r="E49" i="18"/>
  <c r="C49" i="18"/>
  <c r="I48" i="18"/>
  <c r="H48" i="18"/>
  <c r="K47" i="18"/>
  <c r="G47" i="18"/>
  <c r="E47" i="18"/>
  <c r="C47" i="18"/>
  <c r="I46" i="18"/>
  <c r="H46" i="18"/>
  <c r="K45" i="18"/>
  <c r="G45" i="18"/>
  <c r="E45" i="18"/>
  <c r="C45" i="18"/>
  <c r="I44" i="18"/>
  <c r="H44" i="18"/>
  <c r="K43" i="18"/>
  <c r="G43" i="18"/>
  <c r="E43" i="18"/>
  <c r="C43" i="18"/>
  <c r="I42" i="18"/>
  <c r="H42" i="18"/>
  <c r="K41" i="18"/>
  <c r="G41" i="18"/>
  <c r="E41" i="18"/>
  <c r="C41" i="18"/>
  <c r="I40" i="18"/>
  <c r="H40" i="18"/>
  <c r="K39" i="18"/>
  <c r="G39" i="18"/>
  <c r="E39" i="18"/>
  <c r="C39" i="18"/>
  <c r="I38" i="18"/>
  <c r="H38" i="18"/>
  <c r="K37" i="18"/>
  <c r="G37" i="18"/>
  <c r="E37" i="18"/>
  <c r="C37" i="18"/>
  <c r="I36" i="18"/>
  <c r="H36" i="18"/>
  <c r="K35" i="18"/>
  <c r="G35" i="18"/>
  <c r="E35" i="18"/>
  <c r="C35" i="18"/>
  <c r="I34" i="18"/>
  <c r="H34" i="18"/>
  <c r="K33" i="18"/>
  <c r="G33" i="18"/>
  <c r="E33" i="18"/>
  <c r="C33" i="18"/>
  <c r="I32" i="18"/>
  <c r="H32" i="18"/>
  <c r="K31" i="18"/>
  <c r="G31" i="18"/>
  <c r="E31" i="18"/>
  <c r="C31" i="18"/>
  <c r="I30" i="18"/>
  <c r="H30" i="18"/>
  <c r="K29" i="18"/>
  <c r="G29" i="18"/>
  <c r="E29" i="18"/>
  <c r="C29" i="18"/>
  <c r="I28" i="18"/>
  <c r="H28" i="18"/>
  <c r="K27" i="18"/>
  <c r="G27" i="18"/>
  <c r="E27" i="18"/>
  <c r="C27" i="18"/>
  <c r="I26" i="18"/>
  <c r="H26" i="18"/>
  <c r="K25" i="18"/>
  <c r="G25" i="18"/>
  <c r="E25" i="18"/>
  <c r="C25" i="18"/>
  <c r="I24" i="18"/>
  <c r="H24" i="18"/>
  <c r="K23" i="18"/>
  <c r="G23" i="18"/>
  <c r="E23" i="18"/>
  <c r="C23" i="18"/>
  <c r="I22" i="18"/>
  <c r="H22" i="18"/>
  <c r="K21" i="18"/>
  <c r="G21" i="18"/>
  <c r="E21" i="18"/>
  <c r="C21" i="18"/>
  <c r="I20" i="18"/>
  <c r="H20" i="18"/>
  <c r="K19" i="18"/>
  <c r="G19" i="18"/>
  <c r="E19" i="18"/>
  <c r="C19" i="18"/>
  <c r="I18" i="18"/>
  <c r="H18" i="18"/>
  <c r="K17" i="18"/>
  <c r="G17" i="18"/>
  <c r="E17" i="18"/>
  <c r="C17" i="18"/>
  <c r="I16" i="18"/>
  <c r="H16" i="18"/>
  <c r="K15" i="18"/>
  <c r="G15" i="18"/>
  <c r="E15" i="18"/>
  <c r="C15" i="18"/>
  <c r="I14" i="18"/>
  <c r="H14" i="18"/>
  <c r="K13" i="18"/>
  <c r="G13" i="18"/>
  <c r="E13" i="18"/>
  <c r="C13" i="18"/>
  <c r="I12" i="18"/>
  <c r="H12" i="18"/>
  <c r="K11" i="18"/>
  <c r="G11" i="18"/>
  <c r="E11" i="18"/>
  <c r="C11" i="18"/>
  <c r="I10" i="18"/>
  <c r="H10" i="18"/>
  <c r="K9" i="18"/>
  <c r="G9" i="18"/>
  <c r="E9" i="18"/>
  <c r="C9" i="18"/>
  <c r="I8" i="18"/>
  <c r="H8" i="18"/>
  <c r="K7" i="18"/>
  <c r="G7" i="18"/>
  <c r="E7" i="18"/>
  <c r="C7" i="18"/>
  <c r="I6" i="18"/>
  <c r="H6" i="18"/>
  <c r="B6" i="18"/>
  <c r="B8" i="18" s="1"/>
  <c r="K5" i="18"/>
  <c r="G5" i="18"/>
  <c r="E5" i="18"/>
  <c r="C5" i="18"/>
  <c r="I4" i="18"/>
  <c r="H4" i="18"/>
  <c r="CY3" i="18"/>
  <c r="CX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J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B10" i="18" l="1"/>
  <c r="B12" i="18" s="1"/>
  <c r="B14" i="18" s="1"/>
  <c r="B16" i="18" l="1"/>
  <c r="B18" i="18"/>
  <c r="B20" i="18" s="1"/>
  <c r="B22" i="18" s="1"/>
  <c r="B24" i="18" s="1"/>
  <c r="B26" i="18" s="1"/>
  <c r="B28" i="18" s="1"/>
  <c r="B30" i="18" s="1"/>
  <c r="B32" i="18" s="1"/>
  <c r="B34" i="18" s="1"/>
  <c r="B36" i="18" s="1"/>
  <c r="B38" i="18" s="1"/>
  <c r="B40" i="18" s="1"/>
  <c r="B42" i="18" s="1"/>
  <c r="B44" i="18" s="1"/>
  <c r="B46" i="18" s="1"/>
  <c r="B48" i="18" s="1"/>
  <c r="B50" i="18" s="1"/>
  <c r="B52" i="18" s="1"/>
  <c r="A6" i="17" l="1"/>
  <c r="A7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榎本google</author>
  </authors>
  <commentList>
    <comment ref="T2" authorId="0" shapeId="0" xr:uid="{779D274B-D1B9-46FA-9D1F-F5B262E3433C}">
      <text>
        <r>
          <rPr>
            <sz val="9"/>
            <color indexed="81"/>
            <rFont val="MS P ゴシック"/>
            <family val="3"/>
            <charset val="128"/>
          </rPr>
          <t>8/22 一時納品</t>
        </r>
      </text>
    </comment>
  </commentList>
</comments>
</file>

<file path=xl/sharedStrings.xml><?xml version="1.0" encoding="utf-8"?>
<sst xmlns="http://schemas.openxmlformats.org/spreadsheetml/2006/main" count="251" uniqueCount="109">
  <si>
    <t>工程</t>
    <rPh sb="0" eb="2">
      <t>コウテイ</t>
    </rPh>
    <phoneticPr fontId="3"/>
  </si>
  <si>
    <t>タスク</t>
    <phoneticPr fontId="3"/>
  </si>
  <si>
    <t>ステータス</t>
    <phoneticPr fontId="3"/>
  </si>
  <si>
    <t>完了</t>
  </si>
  <si>
    <t>予定
工数</t>
    <rPh sb="0" eb="2">
      <t>ヨテイ</t>
    </rPh>
    <rPh sb="3" eb="5">
      <t>コウスウ</t>
    </rPh>
    <phoneticPr fontId="3"/>
  </si>
  <si>
    <t>実績
工数</t>
    <rPh sb="0" eb="2">
      <t>ジッセキ</t>
    </rPh>
    <rPh sb="3" eb="5">
      <t>コウスウ</t>
    </rPh>
    <phoneticPr fontId="3"/>
  </si>
  <si>
    <t>中断</t>
  </si>
  <si>
    <t>取下</t>
  </si>
  <si>
    <t>受入中</t>
  </si>
  <si>
    <t>調査中</t>
  </si>
  <si>
    <t>ステータス説明</t>
    <rPh sb="5" eb="7">
      <t>セツメイ</t>
    </rPh>
    <phoneticPr fontId="3"/>
  </si>
  <si>
    <t>本番リリース完了</t>
    <rPh sb="0" eb="2">
      <t>ホンバン</t>
    </rPh>
    <rPh sb="6" eb="8">
      <t>カンリョウ</t>
    </rPh>
    <phoneticPr fontId="3"/>
  </si>
  <si>
    <t>本番リリース完了報告完了</t>
    <rPh sb="8" eb="10">
      <t>ホウコク</t>
    </rPh>
    <rPh sb="10" eb="12">
      <t>カンリョウ</t>
    </rPh>
    <phoneticPr fontId="3"/>
  </si>
  <si>
    <t>製造中</t>
    <rPh sb="0" eb="2">
      <t>セイゾウ</t>
    </rPh>
    <phoneticPr fontId="3"/>
  </si>
  <si>
    <t>テストの実施中</t>
    <rPh sb="4" eb="6">
      <t>ジッシ</t>
    </rPh>
    <rPh sb="6" eb="7">
      <t>チュウ</t>
    </rPh>
    <phoneticPr fontId="3"/>
  </si>
  <si>
    <t>テストが完了し、次フェーズの途中段階</t>
    <rPh sb="4" eb="6">
      <t>カンリョウ</t>
    </rPh>
    <rPh sb="8" eb="9">
      <t>ツギ</t>
    </rPh>
    <rPh sb="14" eb="16">
      <t>トチュウ</t>
    </rPh>
    <rPh sb="16" eb="18">
      <t>ダンカイ</t>
    </rPh>
    <phoneticPr fontId="3"/>
  </si>
  <si>
    <t>予定</t>
    <rPh sb="0" eb="2">
      <t>ヨテイ</t>
    </rPh>
    <phoneticPr fontId="3"/>
  </si>
  <si>
    <t>実績</t>
    <rPh sb="0" eb="2">
      <t>ジッセキ</t>
    </rPh>
    <phoneticPr fontId="3"/>
  </si>
  <si>
    <t>作業
担当者</t>
    <rPh sb="0" eb="2">
      <t>サギョウ</t>
    </rPh>
    <rPh sb="3" eb="5">
      <t>タントウ</t>
    </rPh>
    <rPh sb="5" eb="6">
      <t>シャ</t>
    </rPh>
    <phoneticPr fontId="3"/>
  </si>
  <si>
    <t>保留</t>
    <rPh sb="0" eb="2">
      <t>ホリュウ</t>
    </rPh>
    <phoneticPr fontId="3"/>
  </si>
  <si>
    <t>進捗</t>
    <rPh sb="0" eb="2">
      <t>シンチョク</t>
    </rPh>
    <phoneticPr fontId="3"/>
  </si>
  <si>
    <t>工程</t>
    <rPh sb="0" eb="2">
      <t>コウテイ</t>
    </rPh>
    <phoneticPr fontId="3"/>
  </si>
  <si>
    <t>榎本</t>
    <rPh sb="0" eb="2">
      <t>エノモト</t>
    </rPh>
    <phoneticPr fontId="3"/>
  </si>
  <si>
    <t>詳細</t>
    <rPh sb="0" eb="2">
      <t>ショウサイ</t>
    </rPh>
    <phoneticPr fontId="3"/>
  </si>
  <si>
    <t>未</t>
    <rPh sb="0" eb="1">
      <t>ミ</t>
    </rPh>
    <phoneticPr fontId="3"/>
  </si>
  <si>
    <t>予実</t>
    <rPh sb="0" eb="2">
      <t>ヨジツ</t>
    </rPh>
    <phoneticPr fontId="3"/>
  </si>
  <si>
    <t>CLOSE</t>
    <phoneticPr fontId="3"/>
  </si>
  <si>
    <t>No</t>
    <phoneticPr fontId="3"/>
  </si>
  <si>
    <t>受入準備中</t>
    <rPh sb="0" eb="2">
      <t>ウケイ</t>
    </rPh>
    <rPh sb="2" eb="5">
      <t>ジュンビチュウ</t>
    </rPh>
    <phoneticPr fontId="3"/>
  </si>
  <si>
    <t>仕様調整中</t>
    <rPh sb="0" eb="2">
      <t>シヨウ</t>
    </rPh>
    <rPh sb="2" eb="5">
      <t>チョウセイチュウ</t>
    </rPh>
    <phoneticPr fontId="3"/>
  </si>
  <si>
    <t>設計中</t>
    <rPh sb="0" eb="3">
      <t>セッケイチュウ</t>
    </rPh>
    <phoneticPr fontId="3"/>
  </si>
  <si>
    <t>1月</t>
    <rPh sb="1" eb="2">
      <t>ゲツ</t>
    </rPh>
    <phoneticPr fontId="3"/>
  </si>
  <si>
    <t>完了
予定日</t>
    <rPh sb="0" eb="2">
      <t>カンリョウ</t>
    </rPh>
    <rPh sb="3" eb="6">
      <t>ヨテイビ</t>
    </rPh>
    <phoneticPr fontId="3"/>
  </si>
  <si>
    <t>受入中</t>
    <rPh sb="2" eb="3">
      <t>チュウ</t>
    </rPh>
    <phoneticPr fontId="3"/>
  </si>
  <si>
    <t>完了待ち</t>
    <rPh sb="0" eb="2">
      <t>カンリョウ</t>
    </rPh>
    <phoneticPr fontId="3"/>
  </si>
  <si>
    <t>受入完了（他タスクと関連している場合に使用)</t>
    <rPh sb="0" eb="2">
      <t>ウケイレ</t>
    </rPh>
    <rPh sb="2" eb="4">
      <t>カンリョウ</t>
    </rPh>
    <rPh sb="5" eb="6">
      <t>ホカ</t>
    </rPh>
    <rPh sb="10" eb="12">
      <t>カンレン</t>
    </rPh>
    <rPh sb="16" eb="18">
      <t>バアイ</t>
    </rPh>
    <rPh sb="19" eb="21">
      <t>シヨウ</t>
    </rPh>
    <phoneticPr fontId="3"/>
  </si>
  <si>
    <t>2月</t>
    <rPh sb="1" eb="2">
      <t>ゲツ</t>
    </rPh>
    <phoneticPr fontId="3"/>
  </si>
  <si>
    <t>3月</t>
    <rPh sb="1" eb="2">
      <t>ゲツ</t>
    </rPh>
    <phoneticPr fontId="3"/>
  </si>
  <si>
    <t>EAI連携</t>
    <rPh sb="3" eb="5">
      <t>レンケイ</t>
    </rPh>
    <phoneticPr fontId="3"/>
  </si>
  <si>
    <t>WF開発</t>
    <rPh sb="2" eb="4">
      <t>カイハツ</t>
    </rPh>
    <phoneticPr fontId="3"/>
  </si>
  <si>
    <t>WF設定</t>
    <rPh sb="2" eb="4">
      <t>セッテイ</t>
    </rPh>
    <phoneticPr fontId="3"/>
  </si>
  <si>
    <t>環境構築</t>
    <rPh sb="0" eb="2">
      <t>カンキョウ</t>
    </rPh>
    <rPh sb="2" eb="4">
      <t>コウチク</t>
    </rPh>
    <phoneticPr fontId="3"/>
  </si>
  <si>
    <t>性能試験</t>
    <rPh sb="0" eb="2">
      <t>セイノウ</t>
    </rPh>
    <rPh sb="2" eb="4">
      <t>シケン</t>
    </rPh>
    <phoneticPr fontId="3"/>
  </si>
  <si>
    <t>共通申請画面の作成</t>
    <rPh sb="0" eb="2">
      <t>キョウツウ</t>
    </rPh>
    <rPh sb="2" eb="4">
      <t>シンセイ</t>
    </rPh>
    <rPh sb="4" eb="6">
      <t>ガメン</t>
    </rPh>
    <rPh sb="7" eb="9">
      <t>サクセイ</t>
    </rPh>
    <phoneticPr fontId="3"/>
  </si>
  <si>
    <t>WF処理者プラグインの作成</t>
    <rPh sb="2" eb="5">
      <t>ショリシャ</t>
    </rPh>
    <rPh sb="11" eb="13">
      <t>サクセイ</t>
    </rPh>
    <phoneticPr fontId="3"/>
  </si>
  <si>
    <t>共通申請参照画面の作成</t>
    <rPh sb="0" eb="2">
      <t>キョウツウ</t>
    </rPh>
    <rPh sb="2" eb="4">
      <t>シンセイ</t>
    </rPh>
    <rPh sb="4" eb="6">
      <t>サンショウ</t>
    </rPh>
    <rPh sb="6" eb="8">
      <t>ガメン</t>
    </rPh>
    <rPh sb="9" eb="11">
      <t>サクセイ</t>
    </rPh>
    <phoneticPr fontId="3"/>
  </si>
  <si>
    <t>外部マスタ画面の作成</t>
    <rPh sb="0" eb="2">
      <t>ガイブ</t>
    </rPh>
    <rPh sb="5" eb="7">
      <t>ガメン</t>
    </rPh>
    <rPh sb="8" eb="10">
      <t>サクセイ</t>
    </rPh>
    <phoneticPr fontId="3"/>
  </si>
  <si>
    <t>申請まとめ処理の作成</t>
    <rPh sb="0" eb="2">
      <t>シンセイ</t>
    </rPh>
    <rPh sb="5" eb="7">
      <t>ショリ</t>
    </rPh>
    <rPh sb="8" eb="10">
      <t>サクセイ</t>
    </rPh>
    <phoneticPr fontId="3"/>
  </si>
  <si>
    <t>組織基盤情報取込みジョブの作成</t>
    <rPh sb="0" eb="2">
      <t>ソシキ</t>
    </rPh>
    <rPh sb="2" eb="4">
      <t>キバン</t>
    </rPh>
    <rPh sb="4" eb="6">
      <t>ジョウホウ</t>
    </rPh>
    <rPh sb="6" eb="8">
      <t>トリコ</t>
    </rPh>
    <rPh sb="13" eb="15">
      <t>サクセイ</t>
    </rPh>
    <phoneticPr fontId="3"/>
  </si>
  <si>
    <t>コンテンツ、ルート定義の作成</t>
    <rPh sb="9" eb="11">
      <t>テイギ</t>
    </rPh>
    <rPh sb="12" eb="14">
      <t>サクセイ</t>
    </rPh>
    <phoneticPr fontId="3"/>
  </si>
  <si>
    <t>ルート数は65想定。</t>
    <rPh sb="3" eb="4">
      <t>スウ</t>
    </rPh>
    <rPh sb="7" eb="9">
      <t>ソウテイ</t>
    </rPh>
    <phoneticPr fontId="3"/>
  </si>
  <si>
    <t>コンテンツ、ルート定義の作成マニュアル</t>
    <rPh sb="9" eb="11">
      <t>テイギ</t>
    </rPh>
    <rPh sb="12" eb="14">
      <t>サクセイ</t>
    </rPh>
    <phoneticPr fontId="3"/>
  </si>
  <si>
    <t>定義作成教育用のマニュアル</t>
    <rPh sb="0" eb="2">
      <t>テイギ</t>
    </rPh>
    <rPh sb="2" eb="4">
      <t>サクセイ</t>
    </rPh>
    <rPh sb="4" eb="6">
      <t>キョウイク</t>
    </rPh>
    <rPh sb="6" eb="7">
      <t>ヨウ</t>
    </rPh>
    <phoneticPr fontId="3"/>
  </si>
  <si>
    <t>得意先マスタ取込み処理の作成</t>
    <rPh sb="0" eb="3">
      <t>トクイサキ</t>
    </rPh>
    <rPh sb="6" eb="8">
      <t>トリコ</t>
    </rPh>
    <rPh sb="9" eb="11">
      <t>ショリ</t>
    </rPh>
    <rPh sb="12" eb="14">
      <t>サクセイ</t>
    </rPh>
    <phoneticPr fontId="3"/>
  </si>
  <si>
    <t>仕入先マスタ取込み処理の作成</t>
    <rPh sb="0" eb="3">
      <t>シイレサキ</t>
    </rPh>
    <rPh sb="6" eb="8">
      <t>トリコ</t>
    </rPh>
    <rPh sb="9" eb="11">
      <t>ショリ</t>
    </rPh>
    <rPh sb="12" eb="14">
      <t>サクセイ</t>
    </rPh>
    <phoneticPr fontId="3"/>
  </si>
  <si>
    <t>プロジェクトマスタ取込み処理の作成</t>
    <rPh sb="9" eb="11">
      <t>トリコ</t>
    </rPh>
    <rPh sb="12" eb="14">
      <t>ショリ</t>
    </rPh>
    <rPh sb="15" eb="17">
      <t>サクセイ</t>
    </rPh>
    <phoneticPr fontId="3"/>
  </si>
  <si>
    <t>フローの作成</t>
    <rPh sb="4" eb="6">
      <t>サクセイ</t>
    </rPh>
    <phoneticPr fontId="3"/>
  </si>
  <si>
    <t>260フロー</t>
    <phoneticPr fontId="3"/>
  </si>
  <si>
    <t>動的項目マスタの作成</t>
    <rPh sb="0" eb="2">
      <t>ドウテキ</t>
    </rPh>
    <rPh sb="2" eb="4">
      <t>コウモク</t>
    </rPh>
    <rPh sb="8" eb="10">
      <t>サクセイ</t>
    </rPh>
    <phoneticPr fontId="3"/>
  </si>
  <si>
    <t>コンボマスタの作成</t>
    <rPh sb="7" eb="9">
      <t>サクセイ</t>
    </rPh>
    <phoneticPr fontId="3"/>
  </si>
  <si>
    <t>まとめ申請マスタの作成</t>
    <rPh sb="3" eb="5">
      <t>シンセイ</t>
    </rPh>
    <rPh sb="9" eb="11">
      <t>サクセイ</t>
    </rPh>
    <phoneticPr fontId="3"/>
  </si>
  <si>
    <t>メニュー・ポータル設定</t>
    <rPh sb="9" eb="11">
      <t>セッテイ</t>
    </rPh>
    <phoneticPr fontId="3"/>
  </si>
  <si>
    <t>2000レコード</t>
    <phoneticPr fontId="3"/>
  </si>
  <si>
    <t>200レコード</t>
    <phoneticPr fontId="3"/>
  </si>
  <si>
    <t>20レコード</t>
    <phoneticPr fontId="3"/>
  </si>
  <si>
    <t>手順書</t>
    <rPh sb="0" eb="3">
      <t>テジュンショ</t>
    </rPh>
    <phoneticPr fontId="3"/>
  </si>
  <si>
    <t>モジュール作成手順書</t>
    <rPh sb="5" eb="7">
      <t>サクセイ</t>
    </rPh>
    <rPh sb="7" eb="10">
      <t>テジュンショ</t>
    </rPh>
    <phoneticPr fontId="3"/>
  </si>
  <si>
    <t>Workflow資材作成手順書</t>
    <rPh sb="8" eb="10">
      <t>シザイ</t>
    </rPh>
    <rPh sb="10" eb="12">
      <t>サクセイ</t>
    </rPh>
    <rPh sb="12" eb="15">
      <t>テジュンショ</t>
    </rPh>
    <phoneticPr fontId="3"/>
  </si>
  <si>
    <t>ジョブ作成手順書</t>
    <rPh sb="3" eb="5">
      <t>サクセイ</t>
    </rPh>
    <rPh sb="5" eb="8">
      <t>テジュンショ</t>
    </rPh>
    <phoneticPr fontId="3"/>
  </si>
  <si>
    <t>テーブルリリース手順書</t>
    <rPh sb="8" eb="11">
      <t>テジュンショ</t>
    </rPh>
    <phoneticPr fontId="3"/>
  </si>
  <si>
    <t>開発環境構築</t>
    <rPh sb="0" eb="2">
      <t>カイハツ</t>
    </rPh>
    <rPh sb="2" eb="4">
      <t>カンキョウ</t>
    </rPh>
    <rPh sb="4" eb="6">
      <t>コウチク</t>
    </rPh>
    <phoneticPr fontId="3"/>
  </si>
  <si>
    <t>検証環境構築</t>
    <rPh sb="0" eb="2">
      <t>ケンショウ</t>
    </rPh>
    <rPh sb="2" eb="4">
      <t>カンキョウ</t>
    </rPh>
    <rPh sb="4" eb="6">
      <t>コウチク</t>
    </rPh>
    <phoneticPr fontId="3"/>
  </si>
  <si>
    <t>本番環境構築</t>
    <rPh sb="0" eb="2">
      <t>ホンバン</t>
    </rPh>
    <rPh sb="2" eb="4">
      <t>カンキョウ</t>
    </rPh>
    <rPh sb="4" eb="6">
      <t>コウチク</t>
    </rPh>
    <phoneticPr fontId="3"/>
  </si>
  <si>
    <t>性能試験計画</t>
    <rPh sb="0" eb="2">
      <t>セイノウ</t>
    </rPh>
    <rPh sb="2" eb="4">
      <t>シケン</t>
    </rPh>
    <rPh sb="4" eb="6">
      <t>ケイカク</t>
    </rPh>
    <phoneticPr fontId="3"/>
  </si>
  <si>
    <t>性能試験準備と実施</t>
    <rPh sb="0" eb="2">
      <t>セイノウ</t>
    </rPh>
    <rPh sb="2" eb="4">
      <t>シケン</t>
    </rPh>
    <rPh sb="4" eb="6">
      <t>ジュンビ</t>
    </rPh>
    <rPh sb="7" eb="9">
      <t>ジッシ</t>
    </rPh>
    <phoneticPr fontId="3"/>
  </si>
  <si>
    <t>8/15一次納品。一フローで確認する。</t>
    <rPh sb="4" eb="6">
      <t>イチジ</t>
    </rPh>
    <rPh sb="6" eb="8">
      <t>ノウヒン</t>
    </rPh>
    <rPh sb="9" eb="10">
      <t>イチ</t>
    </rPh>
    <rPh sb="14" eb="16">
      <t>カクニン</t>
    </rPh>
    <phoneticPr fontId="3"/>
  </si>
  <si>
    <t>テストデータで開発を進める。</t>
    <rPh sb="7" eb="9">
      <t>カイハツ</t>
    </rPh>
    <rPh sb="10" eb="11">
      <t>スス</t>
    </rPh>
    <phoneticPr fontId="3"/>
  </si>
  <si>
    <t>5月</t>
    <rPh sb="1" eb="2">
      <t>ゲツ</t>
    </rPh>
    <phoneticPr fontId="3"/>
  </si>
  <si>
    <t>6月</t>
    <rPh sb="1" eb="2">
      <t>ゲツ</t>
    </rPh>
    <phoneticPr fontId="3"/>
  </si>
  <si>
    <t>7月</t>
    <rPh sb="1" eb="2">
      <t>ゲツ</t>
    </rPh>
    <phoneticPr fontId="3"/>
  </si>
  <si>
    <t>8月</t>
    <rPh sb="1" eb="2">
      <t>ゲツ</t>
    </rPh>
    <phoneticPr fontId="3"/>
  </si>
  <si>
    <t>試験中</t>
    <rPh sb="0" eb="3">
      <t>シケンチュウ</t>
    </rPh>
    <phoneticPr fontId="3"/>
  </si>
  <si>
    <t>製造中</t>
    <rPh sb="0" eb="2">
      <t>セイゾウ</t>
    </rPh>
    <rPh sb="2" eb="3">
      <t>チュウ</t>
    </rPh>
    <phoneticPr fontId="3"/>
  </si>
  <si>
    <t>設計前調査中</t>
    <rPh sb="0" eb="2">
      <t>セッケイ</t>
    </rPh>
    <rPh sb="2" eb="3">
      <t>マエ</t>
    </rPh>
    <rPh sb="3" eb="6">
      <t>チョウサチュウ</t>
    </rPh>
    <phoneticPr fontId="3"/>
  </si>
  <si>
    <t>開発着手前</t>
    <rPh sb="0" eb="2">
      <t>カイハツ</t>
    </rPh>
    <rPh sb="2" eb="4">
      <t>チャクシュ</t>
    </rPh>
    <rPh sb="4" eb="5">
      <t>マエ</t>
    </rPh>
    <phoneticPr fontId="3"/>
  </si>
  <si>
    <t>結合試験</t>
    <rPh sb="0" eb="2">
      <t>ケツゴウ</t>
    </rPh>
    <rPh sb="2" eb="4">
      <t>シケン</t>
    </rPh>
    <phoneticPr fontId="3"/>
  </si>
  <si>
    <t>設計</t>
    <rPh sb="0" eb="2">
      <t>セッケイ</t>
    </rPh>
    <phoneticPr fontId="3"/>
  </si>
  <si>
    <t>4月</t>
    <rPh sb="1" eb="2">
      <t>ゲツ</t>
    </rPh>
    <phoneticPr fontId="3"/>
  </si>
  <si>
    <t>製造・単体試験</t>
    <rPh sb="0" eb="2">
      <t>セイゾウ</t>
    </rPh>
    <rPh sb="3" eb="5">
      <t>タンタイ</t>
    </rPh>
    <rPh sb="5" eb="7">
      <t>シケン</t>
    </rPh>
    <phoneticPr fontId="3"/>
  </si>
  <si>
    <t>作業</t>
    <rPh sb="0" eb="2">
      <t>サギョウ</t>
    </rPh>
    <phoneticPr fontId="3"/>
  </si>
  <si>
    <t>基本設計書に対して実装可能レベルな内容を追記</t>
    <rPh sb="0" eb="2">
      <t>キホン</t>
    </rPh>
    <rPh sb="2" eb="5">
      <t>セッケイショ</t>
    </rPh>
    <rPh sb="6" eb="7">
      <t>タイ</t>
    </rPh>
    <rPh sb="9" eb="11">
      <t>ジッソウ</t>
    </rPh>
    <rPh sb="11" eb="13">
      <t>カノウ</t>
    </rPh>
    <rPh sb="17" eb="19">
      <t>ナイヨウ</t>
    </rPh>
    <rPh sb="20" eb="22">
      <t>ツイキ</t>
    </rPh>
    <phoneticPr fontId="3"/>
  </si>
  <si>
    <t>AWS設定</t>
    <rPh sb="3" eb="5">
      <t>セッテイ</t>
    </rPh>
    <phoneticPr fontId="3"/>
  </si>
  <si>
    <t>データ移行</t>
    <rPh sb="3" eb="5">
      <t>イコウ</t>
    </rPh>
    <phoneticPr fontId="3"/>
  </si>
  <si>
    <t>画面、バッチ、帳票の実装とテスト</t>
    <rPh sb="0" eb="2">
      <t>ガメン</t>
    </rPh>
    <rPh sb="7" eb="9">
      <t>チョウヒョウ</t>
    </rPh>
    <rPh sb="10" eb="12">
      <t>ジッソウ</t>
    </rPh>
    <phoneticPr fontId="3"/>
  </si>
  <si>
    <t>機能を連携しての試験。関連システム部分はモックにて確認</t>
    <rPh sb="0" eb="2">
      <t>キノウ</t>
    </rPh>
    <rPh sb="3" eb="5">
      <t>レンケイ</t>
    </rPh>
    <rPh sb="8" eb="10">
      <t>シケン</t>
    </rPh>
    <rPh sb="11" eb="13">
      <t>カンレン</t>
    </rPh>
    <rPh sb="17" eb="19">
      <t>ブブン</t>
    </rPh>
    <rPh sb="25" eb="27">
      <t>カクニン</t>
    </rPh>
    <phoneticPr fontId="3"/>
  </si>
  <si>
    <t>ミドルウェア、ツールなどのインストール</t>
    <phoneticPr fontId="3"/>
  </si>
  <si>
    <t>既存データの移行</t>
    <rPh sb="0" eb="2">
      <t>キゾン</t>
    </rPh>
    <rPh sb="6" eb="8">
      <t>イコウ</t>
    </rPh>
    <phoneticPr fontId="3"/>
  </si>
  <si>
    <t>候・熊</t>
    <rPh sb="0" eb="1">
      <t>コウ</t>
    </rPh>
    <rPh sb="2" eb="3">
      <t>クマ</t>
    </rPh>
    <phoneticPr fontId="3"/>
  </si>
  <si>
    <t>受入対応、サポートなど</t>
    <rPh sb="0" eb="2">
      <t>ウケイ</t>
    </rPh>
    <rPh sb="2" eb="4">
      <t>タイオウ</t>
    </rPh>
    <phoneticPr fontId="3"/>
  </si>
  <si>
    <t>古竹・候</t>
    <rPh sb="0" eb="2">
      <t>フルタケ</t>
    </rPh>
    <rPh sb="3" eb="4">
      <t>コウ</t>
    </rPh>
    <phoneticPr fontId="3"/>
  </si>
  <si>
    <t>SKY</t>
    <phoneticPr fontId="3"/>
  </si>
  <si>
    <t>トップ画面</t>
    <rPh sb="3" eb="5">
      <t>ガメン</t>
    </rPh>
    <phoneticPr fontId="3"/>
  </si>
  <si>
    <t>申請画面</t>
    <rPh sb="0" eb="2">
      <t>シンセイ</t>
    </rPh>
    <rPh sb="2" eb="4">
      <t>ガメン</t>
    </rPh>
    <phoneticPr fontId="3"/>
  </si>
  <si>
    <t>申請確認画面</t>
    <rPh sb="0" eb="2">
      <t>シンセイ</t>
    </rPh>
    <rPh sb="2" eb="4">
      <t>カクニン</t>
    </rPh>
    <rPh sb="4" eb="6">
      <t>ガメン</t>
    </rPh>
    <phoneticPr fontId="3"/>
  </si>
  <si>
    <t>申請完了画面</t>
    <rPh sb="0" eb="2">
      <t>シンセイ</t>
    </rPh>
    <rPh sb="2" eb="4">
      <t>カンリョウ</t>
    </rPh>
    <rPh sb="4" eb="6">
      <t>ガメン</t>
    </rPh>
    <phoneticPr fontId="3"/>
  </si>
  <si>
    <t>申請可能製品連携ジョブ</t>
    <rPh sb="0" eb="4">
      <t>シンセイカノウ</t>
    </rPh>
    <rPh sb="4" eb="6">
      <t>セイヒン</t>
    </rPh>
    <rPh sb="6" eb="8">
      <t>レンケイ</t>
    </rPh>
    <phoneticPr fontId="3"/>
  </si>
  <si>
    <t>証明書連携ジョブ</t>
    <rPh sb="0" eb="3">
      <t>ショウメイショ</t>
    </rPh>
    <rPh sb="3" eb="5">
      <t>レンケイ</t>
    </rPh>
    <phoneticPr fontId="3"/>
  </si>
  <si>
    <t>候</t>
    <rPh sb="0" eb="1">
      <t>コウ</t>
    </rPh>
    <phoneticPr fontId="3"/>
  </si>
  <si>
    <t>熊</t>
    <rPh sb="0" eb="1">
      <t>クマ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</si>
</sst>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d"/>
    <numFmt numFmtId="177" formatCode="aaa"/>
    <numFmt numFmtId="178" formatCode="#,##0;\-#,##0;&quot;-&quot;"/>
    <numFmt numFmtId="179" formatCode="0.00_)"/>
    <numFmt numFmtId="180" formatCode="#,##0.00;[Red]\(#,##0.00\)"/>
    <numFmt numFmtId="181" formatCode="m/d;@"/>
    <numFmt numFmtId="182" formatCode="0.0&quot;日&quot;"/>
    <numFmt numFmtId="183" formatCode="0.0_ "/>
    <numFmt numFmtId="184" formatCode="yy/m/d"/>
  </numFmts>
  <fonts count="4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sz val="10"/>
      <name val="MS Sans Serif"/>
      <family val="2"/>
    </font>
    <font>
      <b/>
      <sz val="10"/>
      <name val="MS Sans Serif"/>
      <family val="2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sz val="10"/>
      <name val="Times New Roman"/>
      <family val="1"/>
    </font>
    <font>
      <sz val="10"/>
      <color indexed="8"/>
      <name val="ＭＳ Ｐゴシック"/>
      <family val="3"/>
      <charset val="128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0"/>
      <name val="Helv"/>
      <family val="2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color rgb="FFFFFF99"/>
      <name val="ＭＳ Ｐゴシック"/>
      <family val="3"/>
      <charset val="128"/>
    </font>
    <font>
      <sz val="9"/>
      <color indexed="81"/>
      <name val="MS P 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4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3"/>
      </left>
      <right style="hair">
        <color indexed="6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hair">
        <color indexed="64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hair">
        <color indexed="63"/>
      </right>
      <top style="thin">
        <color indexed="64"/>
      </top>
      <bottom/>
      <diagonal/>
    </border>
    <border>
      <left style="hair">
        <color indexed="63"/>
      </left>
      <right style="hair">
        <color indexed="63"/>
      </right>
      <top style="thin">
        <color indexed="64"/>
      </top>
      <bottom style="hair">
        <color indexed="64"/>
      </bottom>
      <diagonal/>
    </border>
    <border>
      <left/>
      <right style="hair">
        <color indexed="63"/>
      </right>
      <top/>
      <bottom style="thin">
        <color indexed="64"/>
      </bottom>
      <diagonal/>
    </border>
    <border>
      <left style="thin">
        <color indexed="63"/>
      </left>
      <right style="hair">
        <color indexed="63"/>
      </right>
      <top style="thin">
        <color indexed="64"/>
      </top>
      <bottom style="hair">
        <color indexed="64"/>
      </bottom>
      <diagonal/>
    </border>
    <border>
      <left style="thin">
        <color indexed="63"/>
      </left>
      <right style="hair">
        <color indexed="63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3"/>
      </right>
      <top style="thin">
        <color indexed="64"/>
      </top>
      <bottom style="hair">
        <color indexed="64"/>
      </bottom>
      <diagonal/>
    </border>
    <border>
      <left style="hair">
        <color indexed="6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3"/>
      </right>
      <top style="thin">
        <color indexed="64"/>
      </top>
      <bottom style="thin">
        <color indexed="64"/>
      </bottom>
      <diagonal/>
    </border>
    <border>
      <left style="hair">
        <color indexed="63"/>
      </left>
      <right style="hair">
        <color indexed="63"/>
      </right>
      <top style="thin">
        <color indexed="64"/>
      </top>
      <bottom style="thin">
        <color indexed="64"/>
      </bottom>
      <diagonal/>
    </border>
    <border>
      <left style="hair">
        <color indexed="63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>
      <alignment vertical="center"/>
    </xf>
    <xf numFmtId="0" fontId="6" fillId="0" borderId="0"/>
    <xf numFmtId="0" fontId="6" fillId="0" borderId="0"/>
    <xf numFmtId="178" fontId="7" fillId="0" borderId="0" applyFill="0" applyBorder="0" applyAlignment="0"/>
    <xf numFmtId="0" fontId="8" fillId="3" borderId="0">
      <alignment horizontal="left"/>
    </xf>
    <xf numFmtId="0" fontId="9" fillId="3" borderId="0">
      <alignment horizontal="right"/>
    </xf>
    <xf numFmtId="0" fontId="10" fillId="4" borderId="0">
      <alignment horizontal="center"/>
    </xf>
    <xf numFmtId="0" fontId="9" fillId="3" borderId="0">
      <alignment horizontal="right"/>
    </xf>
    <xf numFmtId="0" fontId="10" fillId="4" borderId="0">
      <alignment horizontal="left"/>
    </xf>
    <xf numFmtId="0" fontId="11" fillId="0" borderId="0">
      <alignment horizontal="left"/>
    </xf>
    <xf numFmtId="38" fontId="12" fillId="5" borderId="0" applyNumberFormat="0" applyBorder="0" applyAlignment="0" applyProtection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0" fontId="12" fillId="6" borderId="3" applyNumberFormat="0" applyBorder="0" applyAlignment="0" applyProtection="0"/>
    <xf numFmtId="0" fontId="8" fillId="3" borderId="0">
      <alignment horizontal="left"/>
    </xf>
    <xf numFmtId="0" fontId="14" fillId="4" borderId="0">
      <alignment horizontal="left"/>
    </xf>
    <xf numFmtId="179" fontId="15" fillId="0" borderId="0"/>
    <xf numFmtId="0" fontId="16" fillId="0" borderId="0"/>
    <xf numFmtId="180" fontId="17" fillId="4" borderId="0">
      <alignment horizontal="right"/>
    </xf>
    <xf numFmtId="0" fontId="18" fillId="7" borderId="0">
      <alignment horizontal="center"/>
    </xf>
    <xf numFmtId="0" fontId="19" fillId="8" borderId="0"/>
    <xf numFmtId="0" fontId="20" fillId="4" borderId="0" applyBorder="0">
      <alignment horizontal="centerContinuous"/>
    </xf>
    <xf numFmtId="0" fontId="21" fillId="8" borderId="0" applyBorder="0">
      <alignment horizontal="centerContinuous"/>
    </xf>
    <xf numFmtId="10" fontId="16" fillId="0" borderId="0" applyFont="0" applyFill="0" applyBorder="0" applyAlignment="0" applyProtection="0"/>
    <xf numFmtId="4" fontId="11" fillId="0" borderId="0">
      <alignment horizontal="right"/>
    </xf>
    <xf numFmtId="0" fontId="22" fillId="0" borderId="0" applyNumberFormat="0" applyFont="0" applyFill="0" applyBorder="0" applyAlignment="0" applyProtection="0">
      <alignment horizontal="left"/>
    </xf>
    <xf numFmtId="15" fontId="22" fillId="0" borderId="0" applyFont="0" applyFill="0" applyBorder="0" applyAlignment="0" applyProtection="0"/>
    <xf numFmtId="4" fontId="22" fillId="0" borderId="0" applyFont="0" applyFill="0" applyBorder="0" applyAlignment="0" applyProtection="0"/>
    <xf numFmtId="0" fontId="23" fillId="0" borderId="4">
      <alignment horizontal="center"/>
    </xf>
    <xf numFmtId="3" fontId="22" fillId="0" borderId="0" applyFont="0" applyFill="0" applyBorder="0" applyAlignment="0" applyProtection="0"/>
    <xf numFmtId="0" fontId="22" fillId="9" borderId="0" applyNumberFormat="0" applyFont="0" applyBorder="0" applyAlignment="0" applyProtection="0"/>
    <xf numFmtId="0" fontId="14" fillId="10" borderId="0">
      <alignment horizontal="center"/>
    </xf>
    <xf numFmtId="49" fontId="24" fillId="4" borderId="0">
      <alignment horizontal="center"/>
    </xf>
    <xf numFmtId="4" fontId="25" fillId="0" borderId="0">
      <alignment horizontal="right"/>
    </xf>
    <xf numFmtId="0" fontId="9" fillId="3" borderId="0">
      <alignment horizontal="center"/>
    </xf>
    <xf numFmtId="0" fontId="9" fillId="3" borderId="0">
      <alignment horizontal="centerContinuous"/>
    </xf>
    <xf numFmtId="0" fontId="26" fillId="4" borderId="0">
      <alignment horizontal="left"/>
    </xf>
    <xf numFmtId="49" fontId="26" fillId="4" borderId="0">
      <alignment horizontal="center"/>
    </xf>
    <xf numFmtId="0" fontId="8" fillId="3" borderId="0">
      <alignment horizontal="left"/>
    </xf>
    <xf numFmtId="49" fontId="26" fillId="4" borderId="0">
      <alignment horizontal="left"/>
    </xf>
    <xf numFmtId="0" fontId="8" fillId="3" borderId="0">
      <alignment horizontal="centerContinuous"/>
    </xf>
    <xf numFmtId="0" fontId="8" fillId="3" borderId="0">
      <alignment horizontal="right"/>
    </xf>
    <xf numFmtId="49" fontId="14" fillId="4" borderId="0">
      <alignment horizontal="left"/>
    </xf>
    <xf numFmtId="0" fontId="9" fillId="3" borderId="0">
      <alignment horizontal="right"/>
    </xf>
    <xf numFmtId="0" fontId="26" fillId="2" borderId="0">
      <alignment horizontal="center"/>
    </xf>
    <xf numFmtId="0" fontId="27" fillId="2" borderId="0">
      <alignment horizontal="center"/>
    </xf>
    <xf numFmtId="0" fontId="28" fillId="0" borderId="0">
      <alignment horizontal="left"/>
    </xf>
    <xf numFmtId="1" fontId="29" fillId="0" borderId="0" applyBorder="0">
      <alignment horizontal="left" vertical="top" wrapText="1"/>
    </xf>
    <xf numFmtId="0" fontId="30" fillId="11" borderId="0">
      <alignment horizontal="left" vertical="top"/>
    </xf>
    <xf numFmtId="0" fontId="31" fillId="0" borderId="0"/>
    <xf numFmtId="0" fontId="32" fillId="0" borderId="0">
      <alignment horizontal="center"/>
    </xf>
    <xf numFmtId="0" fontId="33" fillId="4" borderId="0">
      <alignment horizontal="center"/>
    </xf>
    <xf numFmtId="0" fontId="34" fillId="0" borderId="0"/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/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0" fontId="38" fillId="0" borderId="0" xfId="0" applyFont="1" applyAlignment="1">
      <alignment horizontal="left" vertical="center"/>
    </xf>
    <xf numFmtId="0" fontId="37" fillId="11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  <xf numFmtId="181" fontId="0" fillId="11" borderId="0" xfId="0" applyNumberForma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1" borderId="7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/>
    </xf>
    <xf numFmtId="181" fontId="0" fillId="11" borderId="7" xfId="0" applyNumberFormat="1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/>
    </xf>
    <xf numFmtId="181" fontId="0" fillId="11" borderId="6" xfId="0" applyNumberForma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1" fillId="12" borderId="6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181" fontId="0" fillId="0" borderId="7" xfId="0" applyNumberFormat="1" applyBorder="1" applyAlignment="1">
      <alignment horizontal="center" vertical="center" wrapText="1"/>
    </xf>
    <xf numFmtId="181" fontId="0" fillId="0" borderId="6" xfId="0" applyNumberFormat="1" applyBorder="1" applyAlignment="1">
      <alignment horizontal="center" vertical="center"/>
    </xf>
    <xf numFmtId="0" fontId="40" fillId="14" borderId="6" xfId="0" applyFont="1" applyFill="1" applyBorder="1" applyAlignment="1">
      <alignment horizontal="center" vertical="center" wrapText="1"/>
    </xf>
    <xf numFmtId="177" fontId="0" fillId="15" borderId="5" xfId="63" applyNumberFormat="1" applyFont="1" applyFill="1" applyBorder="1" applyAlignment="1">
      <alignment horizontal="center" vertical="center"/>
    </xf>
    <xf numFmtId="181" fontId="0" fillId="14" borderId="7" xfId="0" applyNumberFormat="1" applyFill="1" applyBorder="1" applyAlignment="1">
      <alignment horizontal="center" vertical="center"/>
    </xf>
    <xf numFmtId="181" fontId="0" fillId="14" borderId="9" xfId="0" applyNumberFormat="1" applyFill="1" applyBorder="1" applyAlignment="1">
      <alignment horizontal="center" vertical="center"/>
    </xf>
    <xf numFmtId="181" fontId="0" fillId="14" borderId="10" xfId="0" applyNumberFormat="1" applyFill="1" applyBorder="1" applyAlignment="1">
      <alignment horizontal="center" vertical="center"/>
    </xf>
    <xf numFmtId="183" fontId="0" fillId="15" borderId="8" xfId="0" applyNumberFormat="1" applyFill="1" applyBorder="1" applyAlignment="1">
      <alignment horizontal="center" vertical="center"/>
    </xf>
    <xf numFmtId="177" fontId="0" fillId="0" borderId="5" xfId="63" applyNumberFormat="1" applyFont="1" applyBorder="1" applyAlignment="1">
      <alignment horizontal="center" vertical="center"/>
    </xf>
    <xf numFmtId="183" fontId="0" fillId="0" borderId="8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15" borderId="11" xfId="0" applyNumberForma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184" fontId="39" fillId="14" borderId="6" xfId="0" applyNumberFormat="1" applyFont="1" applyFill="1" applyBorder="1" applyAlignment="1">
      <alignment horizontal="center" vertical="center" shrinkToFit="1"/>
    </xf>
    <xf numFmtId="0" fontId="0" fillId="11" borderId="13" xfId="0" applyFill="1" applyBorder="1" applyAlignment="1">
      <alignment horizontal="center" vertical="center"/>
    </xf>
    <xf numFmtId="183" fontId="0" fillId="15" borderId="14" xfId="0" applyNumberFormat="1" applyFill="1" applyBorder="1" applyAlignment="1">
      <alignment horizontal="center" vertical="center"/>
    </xf>
    <xf numFmtId="183" fontId="0" fillId="0" borderId="14" xfId="0" applyNumberFormat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0" borderId="3" xfId="0" applyBorder="1">
      <alignment vertical="center"/>
    </xf>
    <xf numFmtId="183" fontId="0" fillId="15" borderId="17" xfId="0" applyNumberFormat="1" applyFill="1" applyBorder="1" applyAlignment="1">
      <alignment horizontal="center" vertical="center"/>
    </xf>
    <xf numFmtId="183" fontId="0" fillId="15" borderId="16" xfId="0" applyNumberFormat="1" applyFill="1" applyBorder="1" applyAlignment="1">
      <alignment horizontal="center" vertical="center"/>
    </xf>
    <xf numFmtId="182" fontId="0" fillId="13" borderId="7" xfId="0" applyNumberFormat="1" applyFill="1" applyBorder="1" applyAlignment="1">
      <alignment horizontal="center" vertical="center"/>
    </xf>
    <xf numFmtId="182" fontId="0" fillId="13" borderId="6" xfId="0" applyNumberFormat="1" applyFill="1" applyBorder="1" applyAlignment="1">
      <alignment horizontal="center" vertical="center"/>
    </xf>
    <xf numFmtId="0" fontId="39" fillId="0" borderId="3" xfId="0" applyFont="1" applyBorder="1">
      <alignment vertical="center"/>
    </xf>
    <xf numFmtId="0" fontId="39" fillId="11" borderId="6" xfId="0" applyFont="1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9" xfId="0" applyBorder="1">
      <alignment vertical="center"/>
    </xf>
    <xf numFmtId="0" fontId="0" fillId="11" borderId="20" xfId="0" applyFill="1" applyBorder="1" applyAlignment="1">
      <alignment horizontal="center" vertical="center"/>
    </xf>
    <xf numFmtId="183" fontId="0" fillId="0" borderId="21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7" xfId="0" applyFill="1" applyBorder="1" applyAlignment="1">
      <alignment horizontal="left" vertical="top" wrapText="1"/>
    </xf>
    <xf numFmtId="14" fontId="0" fillId="0" borderId="7" xfId="0" applyNumberFormat="1" applyBorder="1" applyAlignment="1">
      <alignment horizontal="left" vertical="top" wrapText="1"/>
    </xf>
    <xf numFmtId="0" fontId="0" fillId="11" borderId="3" xfId="0" applyFill="1" applyBorder="1" applyAlignment="1">
      <alignment horizontal="left" vertical="top" wrapText="1"/>
    </xf>
    <xf numFmtId="14" fontId="0" fillId="0" borderId="3" xfId="0" applyNumberFormat="1" applyBorder="1" applyAlignment="1">
      <alignment horizontal="left" vertical="top" wrapText="1"/>
    </xf>
    <xf numFmtId="0" fontId="0" fillId="12" borderId="3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4" xfId="0" applyNumberFormat="1" applyBorder="1" applyAlignment="1">
      <alignment horizontal="center" vertical="center"/>
    </xf>
    <xf numFmtId="183" fontId="0" fillId="0" borderId="2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7" xfId="0" applyFill="1" applyBorder="1" applyAlignment="1">
      <alignment horizontal="left" vertical="top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1" borderId="7" xfId="0" applyFill="1" applyBorder="1" applyAlignment="1">
      <alignment horizontal="left" vertical="top" wrapText="1"/>
    </xf>
    <xf numFmtId="0" fontId="0" fillId="11" borderId="6" xfId="0" applyFill="1" applyBorder="1" applyAlignment="1">
      <alignment horizontal="left" vertical="top" wrapText="1"/>
    </xf>
    <xf numFmtId="14" fontId="0" fillId="0" borderId="7" xfId="0" applyNumberFormat="1" applyBorder="1" applyAlignment="1">
      <alignment horizontal="left" vertical="top" wrapText="1"/>
    </xf>
    <xf numFmtId="14" fontId="0" fillId="0" borderId="6" xfId="0" applyNumberFormat="1" applyBorder="1" applyAlignment="1">
      <alignment horizontal="left" vertical="top" wrapText="1"/>
    </xf>
  </cellXfs>
  <cellStyles count="68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PSChar" xfId="25" xr:uid="{00000000-0005-0000-0000-000018000000}"/>
    <cellStyle name="PSDate" xfId="26" xr:uid="{00000000-0005-0000-0000-000019000000}"/>
    <cellStyle name="PSDec" xfId="27" xr:uid="{00000000-0005-0000-0000-00001A000000}"/>
    <cellStyle name="PSHeading" xfId="28" xr:uid="{00000000-0005-0000-0000-00001B000000}"/>
    <cellStyle name="PSInt" xfId="29" xr:uid="{00000000-0005-0000-0000-00001C000000}"/>
    <cellStyle name="PSSpacer" xfId="30" xr:uid="{00000000-0005-0000-0000-00001D000000}"/>
    <cellStyle name="ReportTitlePrompt" xfId="31" xr:uid="{00000000-0005-0000-0000-00001E000000}"/>
    <cellStyle name="ReportTitleValue" xfId="32" xr:uid="{00000000-0005-0000-0000-00001F000000}"/>
    <cellStyle name="revised" xfId="33" xr:uid="{00000000-0005-0000-0000-000020000000}"/>
    <cellStyle name="RowAcctAbovePrompt" xfId="34" xr:uid="{00000000-0005-0000-0000-000021000000}"/>
    <cellStyle name="RowAcctSOBAbovePrompt" xfId="35" xr:uid="{00000000-0005-0000-0000-000022000000}"/>
    <cellStyle name="RowAcctSOBValue" xfId="36" xr:uid="{00000000-0005-0000-0000-000023000000}"/>
    <cellStyle name="RowAcctValue" xfId="37" xr:uid="{00000000-0005-0000-0000-000024000000}"/>
    <cellStyle name="RowAttrAbovePrompt" xfId="38" xr:uid="{00000000-0005-0000-0000-000025000000}"/>
    <cellStyle name="RowAttrValue" xfId="39" xr:uid="{00000000-0005-0000-0000-000026000000}"/>
    <cellStyle name="RowColSetAbovePrompt" xfId="40" xr:uid="{00000000-0005-0000-0000-000027000000}"/>
    <cellStyle name="RowColSetLeftPrompt" xfId="41" xr:uid="{00000000-0005-0000-0000-000028000000}"/>
    <cellStyle name="RowColSetValue" xfId="42" xr:uid="{00000000-0005-0000-0000-000029000000}"/>
    <cellStyle name="RowLeftPrompt" xfId="43" xr:uid="{00000000-0005-0000-0000-00002A000000}"/>
    <cellStyle name="SampleUsingFormatMask" xfId="44" xr:uid="{00000000-0005-0000-0000-00002B000000}"/>
    <cellStyle name="SampleWithNoFormatMask" xfId="45" xr:uid="{00000000-0005-0000-0000-00002C000000}"/>
    <cellStyle name="section" xfId="46" xr:uid="{00000000-0005-0000-0000-00002D000000}"/>
    <cellStyle name="SPOl" xfId="47" xr:uid="{00000000-0005-0000-0000-00002E000000}"/>
    <cellStyle name="standard" xfId="48" xr:uid="{00000000-0005-0000-0000-00002F000000}"/>
    <cellStyle name="subhead" xfId="49" xr:uid="{00000000-0005-0000-0000-000030000000}"/>
    <cellStyle name="title" xfId="50" xr:uid="{00000000-0005-0000-0000-000031000000}"/>
    <cellStyle name="UploadThisRowValue" xfId="51" xr:uid="{00000000-0005-0000-0000-000032000000}"/>
    <cellStyle name="スタイル 1" xfId="52" xr:uid="{00000000-0005-0000-0000-000033000000}"/>
    <cellStyle name="_x001d__x000c_K_x0014__x000d_&gt;V_x0001_&gt;_x0014_n_x001e__x0007__x0001__x0001_" xfId="53" xr:uid="{00000000-0005-0000-0000-000034000000}"/>
    <cellStyle name="標準" xfId="0" builtinId="0"/>
    <cellStyle name="標準 2" xfId="54" xr:uid="{00000000-0005-0000-0000-000036000000}"/>
    <cellStyle name="標準 2 2" xfId="55" xr:uid="{00000000-0005-0000-0000-000037000000}"/>
    <cellStyle name="標準 2 2 2" xfId="56" xr:uid="{00000000-0005-0000-0000-000038000000}"/>
    <cellStyle name="標準 2 2 2 2" xfId="65" xr:uid="{00000000-0005-0000-0000-000039000000}"/>
    <cellStyle name="標準 2 3" xfId="57" xr:uid="{00000000-0005-0000-0000-00003A000000}"/>
    <cellStyle name="標準 2 3 2" xfId="66" xr:uid="{00000000-0005-0000-0000-00003B000000}"/>
    <cellStyle name="標準 2_スケジュール_HST" xfId="58" xr:uid="{00000000-0005-0000-0000-00003C000000}"/>
    <cellStyle name="標準 3" xfId="59" xr:uid="{00000000-0005-0000-0000-00003D000000}"/>
    <cellStyle name="標準 3 2" xfId="60" xr:uid="{00000000-0005-0000-0000-00003E000000}"/>
    <cellStyle name="標準 3 2 2" xfId="67" xr:uid="{00000000-0005-0000-0000-00003F000000}"/>
    <cellStyle name="標準 4" xfId="61" xr:uid="{00000000-0005-0000-0000-000040000000}"/>
    <cellStyle name="標準 5" xfId="62" xr:uid="{00000000-0005-0000-0000-000041000000}"/>
    <cellStyle name="標準_AX017_進捗管理計画書_rd02" xfId="63" xr:uid="{00000000-0005-0000-0000-000042000000}"/>
    <cellStyle name="未定義" xfId="64" xr:uid="{00000000-0005-0000-0000-000043000000}"/>
  </cellStyles>
  <dxfs count="52"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</dxfs>
  <tableStyles count="0" defaultTableStyle="TableStyleMedium9" defaultPivotStyle="PivotStyleLight16"/>
  <colors>
    <mruColors>
      <color rgb="FFFFCC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11204</xdr:colOff>
      <xdr:row>2</xdr:row>
      <xdr:rowOff>44823</xdr:rowOff>
    </xdr:from>
    <xdr:to>
      <xdr:col>12</xdr:col>
      <xdr:colOff>338910</xdr:colOff>
      <xdr:row>2</xdr:row>
      <xdr:rowOff>268941</xdr:rowOff>
    </xdr:to>
    <xdr:sp macro="" textlink="">
      <xdr:nvSpPr>
        <xdr:cNvPr id="7" name="矢印: 五方向 6">
          <a:extLst>
            <a:ext uri="{FF2B5EF4-FFF2-40B4-BE49-F238E27FC236}">
              <a16:creationId xmlns:a16="http://schemas.microsoft.com/office/drawing/2014/main" id="{73AB4DE7-9A75-7C5B-A911-8FA2867483FC}"/>
            </a:ext>
          </a:extLst>
        </xdr:cNvPr>
        <xdr:cNvSpPr/>
      </xdr:nvSpPr>
      <xdr:spPr>
        <a:xfrm>
          <a:off x="6790763" y="537882"/>
          <a:ext cx="2412000" cy="224118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0</xdr:colOff>
      <xdr:row>4</xdr:row>
      <xdr:rowOff>56031</xdr:rowOff>
    </xdr:from>
    <xdr:to>
      <xdr:col>22</xdr:col>
      <xdr:colOff>313765</xdr:colOff>
      <xdr:row>4</xdr:row>
      <xdr:rowOff>279231</xdr:rowOff>
    </xdr:to>
    <xdr:sp macro="" textlink="">
      <xdr:nvSpPr>
        <xdr:cNvPr id="48" name="矢印: 五方向 47">
          <a:extLst>
            <a:ext uri="{FF2B5EF4-FFF2-40B4-BE49-F238E27FC236}">
              <a16:creationId xmlns:a16="http://schemas.microsoft.com/office/drawing/2014/main" id="{222B2D68-D3C6-BED6-5FF1-328061F78C90}"/>
            </a:ext>
          </a:extLst>
        </xdr:cNvPr>
        <xdr:cNvSpPr/>
      </xdr:nvSpPr>
      <xdr:spPr>
        <a:xfrm>
          <a:off x="11990294" y="1176619"/>
          <a:ext cx="661147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343233</xdr:colOff>
      <xdr:row>3</xdr:row>
      <xdr:rowOff>56029</xdr:rowOff>
    </xdr:from>
    <xdr:to>
      <xdr:col>21</xdr:col>
      <xdr:colOff>24792</xdr:colOff>
      <xdr:row>3</xdr:row>
      <xdr:rowOff>279229</xdr:rowOff>
    </xdr:to>
    <xdr:sp macro="" textlink="">
      <xdr:nvSpPr>
        <xdr:cNvPr id="12" name="矢印: 五方向 11">
          <a:extLst>
            <a:ext uri="{FF2B5EF4-FFF2-40B4-BE49-F238E27FC236}">
              <a16:creationId xmlns:a16="http://schemas.microsoft.com/office/drawing/2014/main" id="{6D77A0D7-30CD-49BB-9175-A242034C1AA9}"/>
            </a:ext>
          </a:extLst>
        </xdr:cNvPr>
        <xdr:cNvSpPr/>
      </xdr:nvSpPr>
      <xdr:spPr>
        <a:xfrm>
          <a:off x="9207086" y="862853"/>
          <a:ext cx="2808000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5</xdr:row>
      <xdr:rowOff>44824</xdr:rowOff>
    </xdr:from>
    <xdr:to>
      <xdr:col>14</xdr:col>
      <xdr:colOff>313764</xdr:colOff>
      <xdr:row>5</xdr:row>
      <xdr:rowOff>268024</xdr:rowOff>
    </xdr:to>
    <xdr:sp macro="" textlink="">
      <xdr:nvSpPr>
        <xdr:cNvPr id="2" name="矢印: 五方向 1">
          <a:extLst>
            <a:ext uri="{FF2B5EF4-FFF2-40B4-BE49-F238E27FC236}">
              <a16:creationId xmlns:a16="http://schemas.microsoft.com/office/drawing/2014/main" id="{12EFDA55-E7D9-FE4E-F3B7-69FC3158B0DB}"/>
            </a:ext>
          </a:extLst>
        </xdr:cNvPr>
        <xdr:cNvSpPr/>
      </xdr:nvSpPr>
      <xdr:spPr>
        <a:xfrm>
          <a:off x="9211235" y="1479177"/>
          <a:ext cx="661147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347381</xdr:colOff>
      <xdr:row>6</xdr:row>
      <xdr:rowOff>44824</xdr:rowOff>
    </xdr:from>
    <xdr:to>
      <xdr:col>16</xdr:col>
      <xdr:colOff>313764</xdr:colOff>
      <xdr:row>6</xdr:row>
      <xdr:rowOff>268024</xdr:rowOff>
    </xdr:to>
    <xdr:sp macro="" textlink="">
      <xdr:nvSpPr>
        <xdr:cNvPr id="23" name="矢印: 五方向 22">
          <a:extLst>
            <a:ext uri="{FF2B5EF4-FFF2-40B4-BE49-F238E27FC236}">
              <a16:creationId xmlns:a16="http://schemas.microsoft.com/office/drawing/2014/main" id="{096C9A63-7BDD-90C9-F64B-BF9AA0C9FFB5}"/>
            </a:ext>
          </a:extLst>
        </xdr:cNvPr>
        <xdr:cNvSpPr/>
      </xdr:nvSpPr>
      <xdr:spPr>
        <a:xfrm>
          <a:off x="9905999" y="1781736"/>
          <a:ext cx="661147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11205</xdr:colOff>
      <xdr:row>7</xdr:row>
      <xdr:rowOff>44824</xdr:rowOff>
    </xdr:from>
    <xdr:to>
      <xdr:col>22</xdr:col>
      <xdr:colOff>324970</xdr:colOff>
      <xdr:row>7</xdr:row>
      <xdr:rowOff>268024</xdr:rowOff>
    </xdr:to>
    <xdr:sp macro="" textlink="">
      <xdr:nvSpPr>
        <xdr:cNvPr id="24" name="矢印: 五方向 23">
          <a:extLst>
            <a:ext uri="{FF2B5EF4-FFF2-40B4-BE49-F238E27FC236}">
              <a16:creationId xmlns:a16="http://schemas.microsoft.com/office/drawing/2014/main" id="{0EFB1B31-25CC-486C-8555-336ECAED8CC6}"/>
            </a:ext>
          </a:extLst>
        </xdr:cNvPr>
        <xdr:cNvSpPr/>
      </xdr:nvSpPr>
      <xdr:spPr>
        <a:xfrm>
          <a:off x="12001499" y="2084295"/>
          <a:ext cx="661147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190503</xdr:colOff>
      <xdr:row>2</xdr:row>
      <xdr:rowOff>0</xdr:rowOff>
    </xdr:from>
    <xdr:to>
      <xdr:col>7</xdr:col>
      <xdr:colOff>190503</xdr:colOff>
      <xdr:row>8</xdr:row>
      <xdr:rowOff>56030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8C8E0591-1B0F-6B3D-47E3-FB7633BDCF1F}"/>
            </a:ext>
          </a:extLst>
        </xdr:cNvPr>
        <xdr:cNvCxnSpPr/>
      </xdr:nvCxnSpPr>
      <xdr:spPr>
        <a:xfrm>
          <a:off x="7317444" y="493059"/>
          <a:ext cx="0" cy="190500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-1</xdr:colOff>
      <xdr:row>3</xdr:row>
      <xdr:rowOff>56030</xdr:rowOff>
    </xdr:from>
    <xdr:to>
      <xdr:col>11</xdr:col>
      <xdr:colOff>313763</xdr:colOff>
      <xdr:row>3</xdr:row>
      <xdr:rowOff>279230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9F83B67E-1427-4D26-A0B0-37160547062E}"/>
            </a:ext>
          </a:extLst>
        </xdr:cNvPr>
        <xdr:cNvSpPr/>
      </xdr:nvSpPr>
      <xdr:spPr>
        <a:xfrm>
          <a:off x="8516470" y="862854"/>
          <a:ext cx="661146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11205</xdr:colOff>
      <xdr:row>2</xdr:row>
      <xdr:rowOff>67235</xdr:rowOff>
    </xdr:from>
    <xdr:to>
      <xdr:col>9</xdr:col>
      <xdr:colOff>324441</xdr:colOff>
      <xdr:row>2</xdr:row>
      <xdr:rowOff>290435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52EFEAF4-6E3A-4F4D-B4B7-AC3901BBD075}"/>
            </a:ext>
          </a:extLst>
        </xdr:cNvPr>
        <xdr:cNvSpPr/>
      </xdr:nvSpPr>
      <xdr:spPr>
        <a:xfrm>
          <a:off x="7485529" y="560294"/>
          <a:ext cx="1008000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11203</xdr:colOff>
      <xdr:row>6</xdr:row>
      <xdr:rowOff>44824</xdr:rowOff>
    </xdr:from>
    <xdr:to>
      <xdr:col>9</xdr:col>
      <xdr:colOff>324969</xdr:colOff>
      <xdr:row>6</xdr:row>
      <xdr:rowOff>268024</xdr:rowOff>
    </xdr:to>
    <xdr:sp macro="" textlink="">
      <xdr:nvSpPr>
        <xdr:cNvPr id="6" name="矢印: 五方向 5">
          <a:extLst>
            <a:ext uri="{FF2B5EF4-FFF2-40B4-BE49-F238E27FC236}">
              <a16:creationId xmlns:a16="http://schemas.microsoft.com/office/drawing/2014/main" id="{39DF4077-0343-45F6-B001-445A5F8ED7E1}"/>
            </a:ext>
          </a:extLst>
        </xdr:cNvPr>
        <xdr:cNvSpPr/>
      </xdr:nvSpPr>
      <xdr:spPr>
        <a:xfrm>
          <a:off x="7832909" y="1781736"/>
          <a:ext cx="661148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11204</xdr:colOff>
      <xdr:row>7</xdr:row>
      <xdr:rowOff>44824</xdr:rowOff>
    </xdr:from>
    <xdr:to>
      <xdr:col>11</xdr:col>
      <xdr:colOff>324969</xdr:colOff>
      <xdr:row>7</xdr:row>
      <xdr:rowOff>268024</xdr:rowOff>
    </xdr:to>
    <xdr:sp macro="" textlink="">
      <xdr:nvSpPr>
        <xdr:cNvPr id="7" name="矢印: 五方向 6">
          <a:extLst>
            <a:ext uri="{FF2B5EF4-FFF2-40B4-BE49-F238E27FC236}">
              <a16:creationId xmlns:a16="http://schemas.microsoft.com/office/drawing/2014/main" id="{022D8B08-EFDA-4BA6-8FE3-D3577A213859}"/>
            </a:ext>
          </a:extLst>
        </xdr:cNvPr>
        <xdr:cNvSpPr/>
      </xdr:nvSpPr>
      <xdr:spPr>
        <a:xfrm>
          <a:off x="8527675" y="2084295"/>
          <a:ext cx="661147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156884</xdr:colOff>
      <xdr:row>2</xdr:row>
      <xdr:rowOff>0</xdr:rowOff>
    </xdr:from>
    <xdr:to>
      <xdr:col>13</xdr:col>
      <xdr:colOff>156884</xdr:colOff>
      <xdr:row>8</xdr:row>
      <xdr:rowOff>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1D117A4D-26AD-400D-83C7-D5DACBCB71AD}"/>
            </a:ext>
          </a:extLst>
        </xdr:cNvPr>
        <xdr:cNvCxnSpPr/>
      </xdr:nvCxnSpPr>
      <xdr:spPr>
        <a:xfrm>
          <a:off x="6353737" y="493059"/>
          <a:ext cx="0" cy="184897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11205</xdr:colOff>
      <xdr:row>4</xdr:row>
      <xdr:rowOff>56031</xdr:rowOff>
    </xdr:from>
    <xdr:to>
      <xdr:col>13</xdr:col>
      <xdr:colOff>324968</xdr:colOff>
      <xdr:row>4</xdr:row>
      <xdr:rowOff>279231</xdr:rowOff>
    </xdr:to>
    <xdr:sp macro="" textlink="">
      <xdr:nvSpPr>
        <xdr:cNvPr id="12" name="矢印: 五方向 11">
          <a:extLst>
            <a:ext uri="{FF2B5EF4-FFF2-40B4-BE49-F238E27FC236}">
              <a16:creationId xmlns:a16="http://schemas.microsoft.com/office/drawing/2014/main" id="{CA8F8511-28C3-0273-2791-E97E1BA5E81A}"/>
            </a:ext>
          </a:extLst>
        </xdr:cNvPr>
        <xdr:cNvSpPr/>
      </xdr:nvSpPr>
      <xdr:spPr>
        <a:xfrm>
          <a:off x="9222440" y="1176619"/>
          <a:ext cx="661146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11204</xdr:colOff>
      <xdr:row>5</xdr:row>
      <xdr:rowOff>44825</xdr:rowOff>
    </xdr:from>
    <xdr:to>
      <xdr:col>15</xdr:col>
      <xdr:colOff>324968</xdr:colOff>
      <xdr:row>5</xdr:row>
      <xdr:rowOff>268025</xdr:rowOff>
    </xdr:to>
    <xdr:sp macro="" textlink="">
      <xdr:nvSpPr>
        <xdr:cNvPr id="13" name="矢印: 五方向 12">
          <a:extLst>
            <a:ext uri="{FF2B5EF4-FFF2-40B4-BE49-F238E27FC236}">
              <a16:creationId xmlns:a16="http://schemas.microsoft.com/office/drawing/2014/main" id="{20E2F64F-1F0E-24EF-A7F0-AC67314CEC2B}"/>
            </a:ext>
          </a:extLst>
        </xdr:cNvPr>
        <xdr:cNvSpPr/>
      </xdr:nvSpPr>
      <xdr:spPr>
        <a:xfrm>
          <a:off x="9917204" y="1479178"/>
          <a:ext cx="661146" cy="223200"/>
        </a:xfrm>
        <a:prstGeom prst="homePlate">
          <a:avLst/>
        </a:prstGeom>
        <a:solidFill>
          <a:schemeClr val="accent6"/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181196</xdr:colOff>
      <xdr:row>2</xdr:row>
      <xdr:rowOff>156882</xdr:rowOff>
    </xdr:from>
    <xdr:to>
      <xdr:col>57</xdr:col>
      <xdr:colOff>181196</xdr:colOff>
      <xdr:row>21</xdr:row>
      <xdr:rowOff>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517611AA-14FB-48B5-891D-0986395F6BB2}"/>
            </a:ext>
          </a:extLst>
        </xdr:cNvPr>
        <xdr:cNvCxnSpPr/>
      </xdr:nvCxnSpPr>
      <xdr:spPr>
        <a:xfrm flipV="1">
          <a:off x="24384221" y="652182"/>
          <a:ext cx="0" cy="521521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0.201\it_data\project\AA&#32076;&#24120;-doc\91_&#24341;&#32153;&#12366;\&#20181;&#27096;&#35469;&#35672;&#21512;&#12431;&#123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1 (2)"/>
      <sheetName val="仕様認識合わせ"/>
    </sheetNames>
    <definedNames>
      <definedName name="_1Module1_.MARU"/>
      <definedName name="D"/>
      <definedName name="E"/>
      <definedName name="er"/>
      <definedName name="help"/>
      <definedName name="j"/>
      <definedName name="k"/>
      <definedName name="kurikoshi"/>
      <definedName name="ll"/>
      <definedName name="MARA"/>
      <definedName name="MARU"/>
      <definedName name="mi"/>
      <definedName name="mi_blue"/>
      <definedName name="Module1.MARU"/>
      <definedName name="Question1"/>
      <definedName name="SANKAKU"/>
      <definedName name="w"/>
      <definedName name="ｗｑｗｑ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solidFill>
          <a:srgbClr val="FFFF99"/>
        </a:solidFill>
        <a:ln w="9525">
          <a:solidFill>
            <a:schemeClr val="tx1"/>
          </a:solidFill>
          <a:prstDash val="solid"/>
        </a:ln>
      </a:spPr>
      <a:bodyPr vertOverflow="clip" horzOverflow="clip" vert="horz" wrap="square" rtlCol="0" anchor="ctr">
        <a:spAutoFit/>
      </a:bodyPr>
      <a:lstStyle>
        <a:defPPr algn="ctr"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6">
    <pageSetUpPr fitToPage="1"/>
  </sheetPr>
  <dimension ref="A1:Y8"/>
  <sheetViews>
    <sheetView showGridLines="0" zoomScale="85" zoomScaleNormal="85" zoomScaleSheetLayoutView="85" workbookViewId="0">
      <pane xSplit="5" ySplit="2" topLeftCell="F3" activePane="bottomRight" state="frozen"/>
      <selection pane="topRight" activeCell="K1" sqref="K1"/>
      <selection pane="bottomLeft" activeCell="A3" sqref="A3"/>
      <selection pane="bottomRight" activeCell="O16" sqref="O16"/>
    </sheetView>
  </sheetViews>
  <sheetFormatPr defaultColWidth="3.25" defaultRowHeight="13.5"/>
  <cols>
    <col min="1" max="1" width="6" customWidth="1"/>
    <col min="2" max="2" width="25.625" customWidth="1"/>
    <col min="3" max="3" width="44.125" customWidth="1"/>
    <col min="4" max="4" width="7.625" style="16" customWidth="1"/>
    <col min="5" max="5" width="1" customWidth="1"/>
    <col min="6" max="25" width="4.5" customWidth="1"/>
  </cols>
  <sheetData>
    <row r="1" spans="1:25" ht="10.5" customHeight="1">
      <c r="A1" s="5"/>
      <c r="B1" s="4"/>
      <c r="C1" s="5"/>
      <c r="D1" s="5"/>
      <c r="E1" s="5"/>
      <c r="F1" s="46" t="s">
        <v>87</v>
      </c>
      <c r="G1" s="47"/>
      <c r="H1" s="47"/>
      <c r="I1" s="48"/>
      <c r="J1" s="46" t="s">
        <v>77</v>
      </c>
      <c r="K1" s="47"/>
      <c r="L1" s="47"/>
      <c r="M1" s="48"/>
      <c r="N1" s="46" t="s">
        <v>78</v>
      </c>
      <c r="O1" s="47"/>
      <c r="P1" s="47"/>
      <c r="Q1" s="48"/>
      <c r="R1" s="46" t="s">
        <v>79</v>
      </c>
      <c r="S1" s="47"/>
      <c r="T1" s="47"/>
      <c r="U1" s="48"/>
      <c r="V1" s="46" t="s">
        <v>80</v>
      </c>
      <c r="W1" s="47"/>
      <c r="X1" s="47"/>
      <c r="Y1" s="48"/>
    </row>
    <row r="2" spans="1:25" ht="28.5" customHeight="1">
      <c r="A2" s="8" t="s">
        <v>27</v>
      </c>
      <c r="B2" s="9" t="s">
        <v>89</v>
      </c>
      <c r="C2" s="9" t="s">
        <v>23</v>
      </c>
      <c r="D2" s="11" t="s">
        <v>18</v>
      </c>
      <c r="E2" s="5"/>
      <c r="F2" s="52">
        <v>1</v>
      </c>
      <c r="G2" s="52">
        <v>2</v>
      </c>
      <c r="H2" s="52">
        <v>3</v>
      </c>
      <c r="I2" s="52">
        <v>4</v>
      </c>
      <c r="J2" s="52">
        <v>1</v>
      </c>
      <c r="K2" s="52">
        <v>2</v>
      </c>
      <c r="L2" s="52">
        <v>3</v>
      </c>
      <c r="M2" s="52">
        <v>4</v>
      </c>
      <c r="N2" s="52">
        <v>1</v>
      </c>
      <c r="O2" s="52">
        <v>2</v>
      </c>
      <c r="P2" s="52">
        <v>3</v>
      </c>
      <c r="Q2" s="52">
        <v>4</v>
      </c>
      <c r="R2" s="52">
        <v>1</v>
      </c>
      <c r="S2" s="52">
        <v>2</v>
      </c>
      <c r="T2" s="52">
        <v>3</v>
      </c>
      <c r="U2" s="52">
        <v>4</v>
      </c>
      <c r="V2" s="52">
        <v>1</v>
      </c>
      <c r="W2" s="52">
        <v>2</v>
      </c>
      <c r="X2" s="52">
        <v>3</v>
      </c>
      <c r="Y2" s="52">
        <v>4</v>
      </c>
    </row>
    <row r="3" spans="1:25" ht="24.75" customHeight="1">
      <c r="A3" s="53">
        <v>1</v>
      </c>
      <c r="B3" s="54" t="s">
        <v>86</v>
      </c>
      <c r="C3" s="55" t="s">
        <v>90</v>
      </c>
      <c r="D3" s="32" t="s">
        <v>99</v>
      </c>
      <c r="E3" s="49"/>
      <c r="F3" s="50"/>
      <c r="G3" s="36"/>
      <c r="H3" s="36"/>
      <c r="I3" s="51"/>
      <c r="J3" s="50"/>
      <c r="K3" s="36"/>
      <c r="L3" s="36"/>
      <c r="M3" s="51"/>
      <c r="N3" s="50"/>
      <c r="O3" s="36"/>
      <c r="P3" s="36"/>
      <c r="Q3" s="51"/>
      <c r="R3" s="50"/>
      <c r="S3" s="36"/>
      <c r="T3" s="36"/>
      <c r="U3" s="51"/>
      <c r="V3" s="50"/>
      <c r="W3" s="36"/>
      <c r="X3" s="36"/>
      <c r="Y3" s="51"/>
    </row>
    <row r="4" spans="1:25" ht="24.75" customHeight="1">
      <c r="A4" s="53">
        <f>A3+1</f>
        <v>2</v>
      </c>
      <c r="B4" s="54" t="s">
        <v>88</v>
      </c>
      <c r="C4" s="55" t="s">
        <v>93</v>
      </c>
      <c r="D4" s="32" t="s">
        <v>97</v>
      </c>
      <c r="E4" s="49"/>
      <c r="F4" s="50"/>
      <c r="G4" s="36"/>
      <c r="H4" s="36"/>
      <c r="I4" s="51"/>
      <c r="J4" s="50"/>
      <c r="K4" s="36"/>
      <c r="L4" s="36"/>
      <c r="M4" s="51"/>
      <c r="N4" s="50"/>
      <c r="O4" s="36"/>
      <c r="P4" s="36"/>
      <c r="Q4" s="51"/>
      <c r="R4" s="50"/>
      <c r="S4" s="36"/>
      <c r="T4" s="36"/>
      <c r="U4" s="51"/>
      <c r="V4" s="50"/>
      <c r="W4" s="36"/>
      <c r="X4" s="36"/>
      <c r="Y4" s="51"/>
    </row>
    <row r="5" spans="1:25" ht="24.75" customHeight="1">
      <c r="A5" s="53">
        <f>A4+1</f>
        <v>3</v>
      </c>
      <c r="B5" s="54" t="s">
        <v>85</v>
      </c>
      <c r="C5" s="55" t="s">
        <v>94</v>
      </c>
      <c r="D5" s="32" t="s">
        <v>97</v>
      </c>
      <c r="E5" s="49"/>
      <c r="F5" s="50"/>
      <c r="G5" s="36"/>
      <c r="H5" s="36"/>
      <c r="I5" s="51"/>
      <c r="J5" s="50"/>
      <c r="K5" s="36"/>
      <c r="L5" s="36"/>
      <c r="M5" s="51"/>
      <c r="N5" s="50"/>
      <c r="O5" s="36"/>
      <c r="P5" s="36"/>
      <c r="Q5" s="51"/>
      <c r="R5" s="50"/>
      <c r="S5" s="36"/>
      <c r="T5" s="36"/>
      <c r="U5" s="51"/>
      <c r="V5" s="50"/>
      <c r="W5" s="36"/>
      <c r="X5" s="36"/>
      <c r="Y5" s="51"/>
    </row>
    <row r="6" spans="1:25" ht="24.2" customHeight="1">
      <c r="A6" s="53">
        <f>A5+1</f>
        <v>4</v>
      </c>
      <c r="B6" s="54" t="s">
        <v>91</v>
      </c>
      <c r="C6" s="55" t="s">
        <v>95</v>
      </c>
      <c r="D6" s="32" t="s">
        <v>100</v>
      </c>
      <c r="E6" s="49"/>
      <c r="F6" s="50"/>
      <c r="G6" s="36"/>
      <c r="H6" s="36"/>
      <c r="I6" s="51"/>
      <c r="J6" s="50"/>
      <c r="K6" s="36"/>
      <c r="L6" s="36"/>
      <c r="M6" s="51"/>
      <c r="N6" s="50"/>
      <c r="O6" s="36"/>
      <c r="P6" s="36"/>
      <c r="Q6" s="51"/>
      <c r="R6" s="50"/>
      <c r="S6" s="36"/>
      <c r="T6" s="36"/>
      <c r="U6" s="51"/>
      <c r="V6" s="50"/>
      <c r="W6" s="36"/>
      <c r="X6" s="36"/>
      <c r="Y6" s="51"/>
    </row>
    <row r="7" spans="1:25" ht="24.2" customHeight="1">
      <c r="A7" s="52">
        <f>A6+1</f>
        <v>5</v>
      </c>
      <c r="B7" s="56" t="s">
        <v>92</v>
      </c>
      <c r="C7" s="57" t="s">
        <v>96</v>
      </c>
      <c r="D7" s="58" t="s">
        <v>100</v>
      </c>
      <c r="E7" s="59"/>
      <c r="F7" s="60"/>
      <c r="G7" s="61"/>
      <c r="H7" s="61"/>
      <c r="I7" s="62"/>
      <c r="J7" s="60"/>
      <c r="K7" s="61"/>
      <c r="L7" s="61"/>
      <c r="M7" s="62"/>
      <c r="N7" s="60"/>
      <c r="O7" s="61"/>
      <c r="P7" s="61"/>
      <c r="Q7" s="62"/>
      <c r="R7" s="60"/>
      <c r="S7" s="61"/>
      <c r="T7" s="61"/>
      <c r="U7" s="62"/>
      <c r="V7" s="60"/>
      <c r="W7" s="61"/>
      <c r="X7" s="61"/>
      <c r="Y7" s="62"/>
    </row>
    <row r="8" spans="1:25" ht="24.2" customHeight="1">
      <c r="A8" s="52">
        <f>A7+1</f>
        <v>6</v>
      </c>
      <c r="B8" s="56" t="s">
        <v>98</v>
      </c>
      <c r="C8" s="57"/>
      <c r="D8" s="58" t="s">
        <v>100</v>
      </c>
      <c r="E8" s="59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/>
      <c r="S8" s="61"/>
      <c r="T8" s="61"/>
      <c r="U8" s="62"/>
      <c r="V8" s="60"/>
      <c r="W8" s="61"/>
      <c r="X8" s="61"/>
      <c r="Y8" s="62"/>
    </row>
  </sheetData>
  <phoneticPr fontId="3"/>
  <pageMargins left="0.23622047244094491" right="0.23622047244094491" top="0.19685039370078741" bottom="0.19685039370078741" header="0.31496062992125984" footer="0.31496062992125984"/>
  <pageSetup paperSize="8" fitToHeight="0" orientation="landscape" r:id="rId1"/>
  <headerFooter>
    <oddFooter>&amp;L&amp;D 印刷&amp;R&amp;12( &amp;P / &amp;N )　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0171-6980-4D03-948B-7D5B3E8C8A63}">
  <sheetPr>
    <pageSetUpPr fitToPage="1"/>
  </sheetPr>
  <dimension ref="A1:T8"/>
  <sheetViews>
    <sheetView showGridLines="0" tabSelected="1" zoomScale="85" zoomScaleNormal="85" zoomScaleSheetLayoutView="85" workbookViewId="0">
      <pane xSplit="4" ySplit="2" topLeftCell="E3" activePane="bottomRight" state="frozen"/>
      <selection pane="topRight" activeCell="K1" sqref="K1"/>
      <selection pane="bottomLeft" activeCell="A3" sqref="A3"/>
      <selection pane="bottomRight" activeCell="AD6" sqref="AD6"/>
    </sheetView>
  </sheetViews>
  <sheetFormatPr defaultColWidth="3.25" defaultRowHeight="13.5"/>
  <cols>
    <col min="1" max="1" width="6" customWidth="1"/>
    <col min="2" max="2" width="25.625" customWidth="1"/>
    <col min="3" max="3" width="7.625" style="16" customWidth="1"/>
    <col min="4" max="4" width="1" customWidth="1"/>
    <col min="5" max="20" width="4.5" customWidth="1"/>
  </cols>
  <sheetData>
    <row r="1" spans="1:20" ht="10.5" customHeight="1">
      <c r="A1" s="5"/>
      <c r="B1" s="4"/>
      <c r="C1" s="5"/>
      <c r="D1" s="5"/>
      <c r="E1" s="46" t="s">
        <v>77</v>
      </c>
      <c r="F1" s="47"/>
      <c r="G1" s="47"/>
      <c r="H1" s="48"/>
      <c r="I1" s="46" t="s">
        <v>78</v>
      </c>
      <c r="J1" s="47"/>
      <c r="K1" s="47"/>
      <c r="L1" s="48"/>
      <c r="M1" s="46" t="s">
        <v>79</v>
      </c>
      <c r="N1" s="47"/>
      <c r="O1" s="47"/>
      <c r="P1" s="48"/>
      <c r="Q1" s="46" t="s">
        <v>80</v>
      </c>
      <c r="R1" s="47"/>
      <c r="S1" s="47"/>
      <c r="T1" s="48"/>
    </row>
    <row r="2" spans="1:20" ht="28.5" customHeight="1">
      <c r="A2" s="8" t="s">
        <v>27</v>
      </c>
      <c r="B2" s="9" t="s">
        <v>89</v>
      </c>
      <c r="C2" s="11" t="s">
        <v>18</v>
      </c>
      <c r="D2" s="5"/>
      <c r="E2" s="52">
        <v>1</v>
      </c>
      <c r="F2" s="52">
        <v>2</v>
      </c>
      <c r="G2" s="52">
        <v>3</v>
      </c>
      <c r="H2" s="52">
        <v>4</v>
      </c>
      <c r="I2" s="52">
        <v>1</v>
      </c>
      <c r="J2" s="52">
        <v>2</v>
      </c>
      <c r="K2" s="52">
        <v>3</v>
      </c>
      <c r="L2" s="52">
        <v>4</v>
      </c>
      <c r="M2" s="52">
        <v>1</v>
      </c>
      <c r="N2" s="52">
        <v>2</v>
      </c>
      <c r="O2" s="52">
        <v>3</v>
      </c>
      <c r="P2" s="52">
        <v>4</v>
      </c>
      <c r="Q2" s="52">
        <v>1</v>
      </c>
      <c r="R2" s="52">
        <v>2</v>
      </c>
      <c r="S2" s="52">
        <v>3</v>
      </c>
      <c r="T2" s="52">
        <v>4</v>
      </c>
    </row>
    <row r="3" spans="1:20" ht="24.75" customHeight="1">
      <c r="A3" s="63">
        <v>1</v>
      </c>
      <c r="B3" s="64" t="s">
        <v>101</v>
      </c>
      <c r="C3" s="32" t="s">
        <v>108</v>
      </c>
      <c r="D3" s="49"/>
      <c r="E3" s="50"/>
      <c r="F3" s="36"/>
      <c r="G3" s="36"/>
      <c r="H3" s="51"/>
      <c r="I3" s="50"/>
      <c r="J3" s="36"/>
      <c r="K3" s="36"/>
      <c r="L3" s="51"/>
      <c r="M3" s="50"/>
      <c r="N3" s="36"/>
      <c r="O3" s="36"/>
      <c r="P3" s="51"/>
      <c r="Q3" s="50"/>
      <c r="R3" s="36"/>
      <c r="S3" s="36"/>
      <c r="T3" s="51"/>
    </row>
    <row r="4" spans="1:20" ht="24.75" customHeight="1">
      <c r="A4" s="63">
        <f>A3+1</f>
        <v>2</v>
      </c>
      <c r="B4" s="64" t="s">
        <v>102</v>
      </c>
      <c r="C4" s="32" t="s">
        <v>108</v>
      </c>
      <c r="D4" s="49"/>
      <c r="E4" s="50"/>
      <c r="F4" s="36"/>
      <c r="G4" s="36"/>
      <c r="H4" s="51"/>
      <c r="I4" s="50"/>
      <c r="J4" s="36"/>
      <c r="K4" s="36"/>
      <c r="L4" s="51"/>
      <c r="M4" s="50"/>
      <c r="N4" s="36"/>
      <c r="O4" s="36"/>
      <c r="P4" s="51"/>
      <c r="Q4" s="50"/>
      <c r="R4" s="36"/>
      <c r="S4" s="36"/>
      <c r="T4" s="51"/>
    </row>
    <row r="5" spans="1:20" ht="24.75" customHeight="1">
      <c r="A5" s="63">
        <f>A4+1</f>
        <v>3</v>
      </c>
      <c r="B5" s="64" t="s">
        <v>103</v>
      </c>
      <c r="C5" s="32" t="s">
        <v>108</v>
      </c>
      <c r="D5" s="49"/>
      <c r="E5" s="50"/>
      <c r="F5" s="36"/>
      <c r="G5" s="36"/>
      <c r="H5" s="51"/>
      <c r="I5" s="50"/>
      <c r="J5" s="36"/>
      <c r="K5" s="36"/>
      <c r="L5" s="51"/>
      <c r="M5" s="50"/>
      <c r="N5" s="36"/>
      <c r="O5" s="36"/>
      <c r="P5" s="51"/>
      <c r="Q5" s="50"/>
      <c r="R5" s="36"/>
      <c r="S5" s="36"/>
      <c r="T5" s="51"/>
    </row>
    <row r="6" spans="1:20" ht="24.2" customHeight="1">
      <c r="A6" s="63">
        <f>A5+1</f>
        <v>4</v>
      </c>
      <c r="B6" s="64" t="s">
        <v>104</v>
      </c>
      <c r="C6" s="32" t="s">
        <v>108</v>
      </c>
      <c r="D6" s="49"/>
      <c r="E6" s="50"/>
      <c r="F6" s="36"/>
      <c r="G6" s="36"/>
      <c r="H6" s="51"/>
      <c r="I6" s="50"/>
      <c r="J6" s="36"/>
      <c r="K6" s="36"/>
      <c r="L6" s="51"/>
      <c r="M6" s="50"/>
      <c r="N6" s="36"/>
      <c r="O6" s="36"/>
      <c r="P6" s="51"/>
      <c r="Q6" s="50"/>
      <c r="R6" s="36"/>
      <c r="S6" s="36"/>
      <c r="T6" s="51"/>
    </row>
    <row r="7" spans="1:20" ht="24.2" customHeight="1">
      <c r="A7" s="52">
        <f>A6+1</f>
        <v>5</v>
      </c>
      <c r="B7" s="56" t="s">
        <v>105</v>
      </c>
      <c r="C7" s="32" t="s">
        <v>107</v>
      </c>
      <c r="D7" s="59"/>
      <c r="E7" s="60"/>
      <c r="F7" s="61"/>
      <c r="G7" s="61"/>
      <c r="H7" s="62"/>
      <c r="I7" s="60"/>
      <c r="J7" s="61"/>
      <c r="K7" s="61"/>
      <c r="L7" s="62"/>
      <c r="M7" s="60"/>
      <c r="N7" s="61"/>
      <c r="O7" s="61"/>
      <c r="P7" s="62"/>
      <c r="Q7" s="60"/>
      <c r="R7" s="61"/>
      <c r="S7" s="61"/>
      <c r="T7" s="62"/>
    </row>
    <row r="8" spans="1:20" ht="24.2" customHeight="1">
      <c r="A8" s="52">
        <f>A7+1</f>
        <v>6</v>
      </c>
      <c r="B8" s="56" t="s">
        <v>106</v>
      </c>
      <c r="C8" s="58" t="s">
        <v>107</v>
      </c>
      <c r="D8" s="59"/>
      <c r="E8" s="60"/>
      <c r="F8" s="61"/>
      <c r="G8" s="61"/>
      <c r="H8" s="62"/>
      <c r="I8" s="60"/>
      <c r="J8" s="61"/>
      <c r="K8" s="61"/>
      <c r="L8" s="62"/>
      <c r="M8" s="60"/>
      <c r="N8" s="61"/>
      <c r="O8" s="61"/>
      <c r="P8" s="62"/>
      <c r="Q8" s="60"/>
      <c r="R8" s="61"/>
      <c r="S8" s="61"/>
      <c r="T8" s="62"/>
    </row>
  </sheetData>
  <phoneticPr fontId="3"/>
  <pageMargins left="0.23622047244094491" right="0.23622047244094491" top="0.19685039370078741" bottom="0.19685039370078741" header="0.31496062992125984" footer="0.31496062992125984"/>
  <pageSetup paperSize="8" fitToHeight="0" orientation="landscape" r:id="rId1"/>
  <headerFooter>
    <oddFooter>&amp;L&amp;D 印刷&amp;R&amp;12( &amp;P / &amp;N )　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71A9-642E-4EA6-A2C5-B57A393C2D99}">
  <sheetPr>
    <pageSetUpPr fitToPage="1"/>
  </sheetPr>
  <dimension ref="A1:CY53"/>
  <sheetViews>
    <sheetView showGridLines="0" zoomScale="85" zoomScaleNormal="85" zoomScaleSheetLayoutView="85" workbookViewId="0">
      <pane xSplit="13" topLeftCell="AS1" activePane="topRight" state="frozen"/>
      <selection pane="topRight" activeCell="F16" sqref="F16:F17"/>
    </sheetView>
  </sheetViews>
  <sheetFormatPr defaultColWidth="3.25" defaultRowHeight="13.5"/>
  <cols>
    <col min="1" max="1" width="0.625" style="3" customWidth="1"/>
    <col min="2" max="2" width="6" customWidth="1"/>
    <col min="3" max="3" width="7.75" customWidth="1"/>
    <col min="4" max="4" width="25.625" customWidth="1"/>
    <col min="5" max="5" width="8.5" style="15" bestFit="1" customWidth="1"/>
    <col min="6" max="6" width="33.875" customWidth="1"/>
    <col min="7" max="7" width="7.625" style="16" hidden="1" customWidth="1"/>
    <col min="8" max="8" width="6.125" customWidth="1"/>
    <col min="9" max="9" width="6.75" customWidth="1"/>
    <col min="10" max="10" width="7.375" customWidth="1"/>
    <col min="11" max="11" width="8.75" customWidth="1"/>
    <col min="12" max="12" width="7.25" style="15" customWidth="1"/>
    <col min="13" max="13" width="1" customWidth="1"/>
    <col min="14" max="103" width="4.5" customWidth="1"/>
  </cols>
  <sheetData>
    <row r="1" spans="1:103" ht="10.5" customHeight="1">
      <c r="A1" s="2"/>
      <c r="B1" s="5"/>
      <c r="C1" s="4"/>
      <c r="D1" s="4"/>
      <c r="E1" s="6"/>
      <c r="F1" s="5"/>
      <c r="G1" s="5"/>
      <c r="H1" s="5"/>
      <c r="I1" s="5"/>
      <c r="J1" s="5"/>
      <c r="K1" s="7"/>
      <c r="L1" s="6"/>
      <c r="M1" s="5"/>
      <c r="N1" s="38" t="s">
        <v>31</v>
      </c>
      <c r="AS1" s="38" t="s">
        <v>36</v>
      </c>
      <c r="BU1" s="38" t="s">
        <v>37</v>
      </c>
    </row>
    <row r="2" spans="1:103" ht="28.5" customHeight="1">
      <c r="A2" s="2"/>
      <c r="B2" s="8" t="s">
        <v>27</v>
      </c>
      <c r="C2" s="9" t="s">
        <v>0</v>
      </c>
      <c r="D2" s="9" t="s">
        <v>1</v>
      </c>
      <c r="E2" s="10" t="s">
        <v>32</v>
      </c>
      <c r="F2" s="9" t="s">
        <v>23</v>
      </c>
      <c r="G2" s="11" t="s">
        <v>18</v>
      </c>
      <c r="H2" s="11" t="s">
        <v>4</v>
      </c>
      <c r="I2" s="11" t="s">
        <v>5</v>
      </c>
      <c r="J2" s="8" t="s">
        <v>20</v>
      </c>
      <c r="K2" s="8" t="s">
        <v>2</v>
      </c>
      <c r="L2" s="20" t="s">
        <v>25</v>
      </c>
      <c r="M2" s="5"/>
      <c r="N2" s="31">
        <v>45658</v>
      </c>
      <c r="O2" s="31">
        <v>45659</v>
      </c>
      <c r="P2" s="31">
        <v>45660</v>
      </c>
      <c r="Q2" s="31">
        <v>45661</v>
      </c>
      <c r="R2" s="31">
        <v>45662</v>
      </c>
      <c r="S2" s="30">
        <v>45663</v>
      </c>
      <c r="T2" s="30">
        <v>45664</v>
      </c>
      <c r="U2" s="30">
        <v>45665</v>
      </c>
      <c r="V2" s="30">
        <v>45666</v>
      </c>
      <c r="W2" s="30">
        <v>45667</v>
      </c>
      <c r="X2" s="31">
        <v>45668</v>
      </c>
      <c r="Y2" s="31">
        <v>45669</v>
      </c>
      <c r="Z2" s="31">
        <v>45670</v>
      </c>
      <c r="AA2" s="30">
        <v>45671</v>
      </c>
      <c r="AB2" s="30">
        <v>45672</v>
      </c>
      <c r="AC2" s="30">
        <v>45673</v>
      </c>
      <c r="AD2" s="30">
        <v>45674</v>
      </c>
      <c r="AE2" s="31">
        <v>45675</v>
      </c>
      <c r="AF2" s="31">
        <v>45676</v>
      </c>
      <c r="AG2" s="30">
        <v>45677</v>
      </c>
      <c r="AH2" s="30">
        <v>45678</v>
      </c>
      <c r="AI2" s="30">
        <v>45679</v>
      </c>
      <c r="AJ2" s="30">
        <v>45680</v>
      </c>
      <c r="AK2" s="30">
        <v>45681</v>
      </c>
      <c r="AL2" s="31">
        <v>45682</v>
      </c>
      <c r="AM2" s="31">
        <v>45683</v>
      </c>
      <c r="AN2" s="30">
        <v>45684</v>
      </c>
      <c r="AO2" s="30">
        <v>45685</v>
      </c>
      <c r="AP2" s="30">
        <v>45686</v>
      </c>
      <c r="AQ2" s="30">
        <v>45687</v>
      </c>
      <c r="AR2" s="30">
        <v>45688</v>
      </c>
      <c r="AS2" s="31">
        <v>45689</v>
      </c>
      <c r="AT2" s="31">
        <v>45690</v>
      </c>
      <c r="AU2" s="30">
        <v>45691</v>
      </c>
      <c r="AV2" s="30">
        <v>45692</v>
      </c>
      <c r="AW2" s="30">
        <v>45693</v>
      </c>
      <c r="AX2" s="30">
        <v>45694</v>
      </c>
      <c r="AY2" s="30">
        <v>45695</v>
      </c>
      <c r="AZ2" s="31">
        <v>45696</v>
      </c>
      <c r="BA2" s="31">
        <v>45697</v>
      </c>
      <c r="BB2" s="30">
        <v>45698</v>
      </c>
      <c r="BC2" s="31">
        <v>45699</v>
      </c>
      <c r="BD2" s="30">
        <v>45700</v>
      </c>
      <c r="BE2" s="30">
        <v>45701</v>
      </c>
      <c r="BF2" s="30">
        <v>45702</v>
      </c>
      <c r="BG2" s="31">
        <v>45703</v>
      </c>
      <c r="BH2" s="31">
        <v>45704</v>
      </c>
      <c r="BI2" s="30">
        <v>45705</v>
      </c>
      <c r="BJ2" s="30">
        <v>45706</v>
      </c>
      <c r="BK2" s="30">
        <v>45707</v>
      </c>
      <c r="BL2" s="30">
        <v>45708</v>
      </c>
      <c r="BM2" s="30">
        <v>45709</v>
      </c>
      <c r="BN2" s="31">
        <v>45710</v>
      </c>
      <c r="BO2" s="31">
        <v>45711</v>
      </c>
      <c r="BP2" s="31">
        <v>45712</v>
      </c>
      <c r="BQ2" s="30">
        <v>45713</v>
      </c>
      <c r="BR2" s="30">
        <v>45714</v>
      </c>
      <c r="BS2" s="30">
        <v>45715</v>
      </c>
      <c r="BT2" s="30">
        <v>45716</v>
      </c>
      <c r="BU2" s="31">
        <v>45717</v>
      </c>
      <c r="BV2" s="31">
        <v>45718</v>
      </c>
      <c r="BW2" s="30">
        <v>45719</v>
      </c>
      <c r="BX2" s="30">
        <v>45720</v>
      </c>
      <c r="BY2" s="30">
        <v>45721</v>
      </c>
      <c r="BZ2" s="30">
        <v>45722</v>
      </c>
      <c r="CA2" s="30">
        <v>45723</v>
      </c>
      <c r="CB2" s="31">
        <v>45724</v>
      </c>
      <c r="CC2" s="31">
        <v>45725</v>
      </c>
      <c r="CD2" s="30">
        <v>45726</v>
      </c>
      <c r="CE2" s="30">
        <v>45727</v>
      </c>
      <c r="CF2" s="30">
        <v>45728</v>
      </c>
      <c r="CG2" s="30">
        <v>45729</v>
      </c>
      <c r="CH2" s="30">
        <v>45730</v>
      </c>
      <c r="CI2" s="31">
        <v>45731</v>
      </c>
      <c r="CJ2" s="31">
        <v>45732</v>
      </c>
      <c r="CK2" s="30">
        <v>45733</v>
      </c>
      <c r="CL2" s="30">
        <v>45734</v>
      </c>
      <c r="CM2" s="30">
        <v>45735</v>
      </c>
      <c r="CN2" s="31">
        <v>45736</v>
      </c>
      <c r="CO2" s="30">
        <v>45737</v>
      </c>
      <c r="CP2" s="31">
        <v>45738</v>
      </c>
      <c r="CQ2" s="31">
        <v>45739</v>
      </c>
      <c r="CR2" s="30">
        <v>45740</v>
      </c>
      <c r="CS2" s="30">
        <v>45741</v>
      </c>
      <c r="CT2" s="30">
        <v>45742</v>
      </c>
      <c r="CU2" s="30">
        <v>45743</v>
      </c>
      <c r="CV2" s="30">
        <v>45744</v>
      </c>
      <c r="CW2" s="30">
        <v>45745</v>
      </c>
      <c r="CX2" s="30">
        <v>45746</v>
      </c>
      <c r="CY2" s="30">
        <v>45747</v>
      </c>
    </row>
    <row r="3" spans="1:103">
      <c r="A3" s="2"/>
      <c r="B3" s="18"/>
      <c r="C3" s="12"/>
      <c r="D3" s="12"/>
      <c r="E3" s="13"/>
      <c r="F3" s="12"/>
      <c r="G3" s="14"/>
      <c r="H3" s="14"/>
      <c r="I3" s="14"/>
      <c r="J3" s="12"/>
      <c r="K3" s="12"/>
      <c r="L3" s="21"/>
      <c r="M3" s="5"/>
      <c r="N3" s="23" t="str">
        <f>TEXT(N2,"aaa")</f>
        <v>水</v>
      </c>
      <c r="O3" s="23" t="str">
        <f>TEXT(O2,"aaa")</f>
        <v>木</v>
      </c>
      <c r="P3" s="23" t="str">
        <f t="shared" ref="P3:AR3" si="0">TEXT(P2,"aaa")</f>
        <v>金</v>
      </c>
      <c r="Q3" s="23" t="str">
        <f t="shared" si="0"/>
        <v>土</v>
      </c>
      <c r="R3" s="23" t="str">
        <f t="shared" si="0"/>
        <v>日</v>
      </c>
      <c r="S3" s="28" t="str">
        <f t="shared" si="0"/>
        <v>月</v>
      </c>
      <c r="T3" s="28" t="str">
        <f t="shared" si="0"/>
        <v>火</v>
      </c>
      <c r="U3" s="28" t="str">
        <f t="shared" si="0"/>
        <v>水</v>
      </c>
      <c r="V3" s="28" t="str">
        <f t="shared" si="0"/>
        <v>木</v>
      </c>
      <c r="W3" s="28" t="str">
        <f t="shared" si="0"/>
        <v>金</v>
      </c>
      <c r="X3" s="23" t="str">
        <f t="shared" si="0"/>
        <v>土</v>
      </c>
      <c r="Y3" s="23" t="str">
        <f t="shared" si="0"/>
        <v>日</v>
      </c>
      <c r="Z3" s="23" t="str">
        <f t="shared" si="0"/>
        <v>月</v>
      </c>
      <c r="AA3" s="28" t="str">
        <f t="shared" si="0"/>
        <v>火</v>
      </c>
      <c r="AB3" s="28" t="str">
        <f t="shared" si="0"/>
        <v>水</v>
      </c>
      <c r="AC3" s="28" t="str">
        <f t="shared" si="0"/>
        <v>木</v>
      </c>
      <c r="AD3" s="28" t="str">
        <f t="shared" si="0"/>
        <v>金</v>
      </c>
      <c r="AE3" s="23" t="str">
        <f t="shared" si="0"/>
        <v>土</v>
      </c>
      <c r="AF3" s="23" t="str">
        <f t="shared" si="0"/>
        <v>日</v>
      </c>
      <c r="AG3" s="28" t="str">
        <f t="shared" si="0"/>
        <v>月</v>
      </c>
      <c r="AH3" s="28" t="str">
        <f t="shared" si="0"/>
        <v>火</v>
      </c>
      <c r="AI3" s="28" t="str">
        <f t="shared" si="0"/>
        <v>水</v>
      </c>
      <c r="AJ3" s="28" t="str">
        <f t="shared" si="0"/>
        <v>木</v>
      </c>
      <c r="AK3" s="28" t="str">
        <f t="shared" si="0"/>
        <v>金</v>
      </c>
      <c r="AL3" s="23" t="str">
        <f t="shared" si="0"/>
        <v>土</v>
      </c>
      <c r="AM3" s="23" t="str">
        <f t="shared" si="0"/>
        <v>日</v>
      </c>
      <c r="AN3" s="28" t="str">
        <f t="shared" si="0"/>
        <v>月</v>
      </c>
      <c r="AO3" s="28" t="str">
        <f t="shared" si="0"/>
        <v>火</v>
      </c>
      <c r="AP3" s="28" t="str">
        <f t="shared" si="0"/>
        <v>水</v>
      </c>
      <c r="AQ3" s="28" t="str">
        <f t="shared" si="0"/>
        <v>木</v>
      </c>
      <c r="AR3" s="28" t="str">
        <f t="shared" si="0"/>
        <v>金</v>
      </c>
      <c r="AS3" s="23" t="str">
        <f>TEXT(AS2,"aaa")</f>
        <v>土</v>
      </c>
      <c r="AT3" s="23" t="str">
        <f>TEXT(AT2,"aaa")</f>
        <v>日</v>
      </c>
      <c r="AU3" s="28" t="str">
        <f t="shared" ref="AU3:BT3" si="1">TEXT(AU2,"aaa")</f>
        <v>月</v>
      </c>
      <c r="AV3" s="28" t="str">
        <f t="shared" si="1"/>
        <v>火</v>
      </c>
      <c r="AW3" s="28" t="str">
        <f t="shared" si="1"/>
        <v>水</v>
      </c>
      <c r="AX3" s="28" t="str">
        <f t="shared" si="1"/>
        <v>木</v>
      </c>
      <c r="AY3" s="28" t="str">
        <f t="shared" si="1"/>
        <v>金</v>
      </c>
      <c r="AZ3" s="23" t="str">
        <f t="shared" si="1"/>
        <v>土</v>
      </c>
      <c r="BA3" s="23" t="str">
        <f t="shared" si="1"/>
        <v>日</v>
      </c>
      <c r="BB3" s="28" t="str">
        <f t="shared" si="1"/>
        <v>月</v>
      </c>
      <c r="BC3" s="23" t="str">
        <f t="shared" si="1"/>
        <v>火</v>
      </c>
      <c r="BD3" s="28" t="str">
        <f t="shared" si="1"/>
        <v>水</v>
      </c>
      <c r="BE3" s="28" t="str">
        <f t="shared" si="1"/>
        <v>木</v>
      </c>
      <c r="BF3" s="28" t="str">
        <f t="shared" si="1"/>
        <v>金</v>
      </c>
      <c r="BG3" s="23" t="str">
        <f t="shared" si="1"/>
        <v>土</v>
      </c>
      <c r="BH3" s="23" t="str">
        <f t="shared" si="1"/>
        <v>日</v>
      </c>
      <c r="BI3" s="28" t="str">
        <f t="shared" si="1"/>
        <v>月</v>
      </c>
      <c r="BJ3" s="28" t="str">
        <f t="shared" si="1"/>
        <v>火</v>
      </c>
      <c r="BK3" s="28" t="str">
        <f t="shared" si="1"/>
        <v>水</v>
      </c>
      <c r="BL3" s="28" t="str">
        <f t="shared" si="1"/>
        <v>木</v>
      </c>
      <c r="BM3" s="28" t="str">
        <f t="shared" si="1"/>
        <v>金</v>
      </c>
      <c r="BN3" s="23" t="str">
        <f t="shared" si="1"/>
        <v>土</v>
      </c>
      <c r="BO3" s="23" t="str">
        <f t="shared" si="1"/>
        <v>日</v>
      </c>
      <c r="BP3" s="23" t="str">
        <f t="shared" si="1"/>
        <v>月</v>
      </c>
      <c r="BQ3" s="28" t="str">
        <f t="shared" si="1"/>
        <v>火</v>
      </c>
      <c r="BR3" s="28" t="str">
        <f t="shared" si="1"/>
        <v>水</v>
      </c>
      <c r="BS3" s="28" t="str">
        <f t="shared" si="1"/>
        <v>木</v>
      </c>
      <c r="BT3" s="28" t="str">
        <f t="shared" si="1"/>
        <v>金</v>
      </c>
      <c r="BU3" s="23" t="str">
        <f>TEXT(BU2,"aaa")</f>
        <v>土</v>
      </c>
      <c r="BV3" s="23" t="str">
        <f>TEXT(BV2,"aaa")</f>
        <v>日</v>
      </c>
      <c r="BW3" s="28" t="str">
        <f t="shared" ref="BW3:CY3" si="2">TEXT(BW2,"aaa")</f>
        <v>月</v>
      </c>
      <c r="BX3" s="28" t="str">
        <f t="shared" si="2"/>
        <v>火</v>
      </c>
      <c r="BY3" s="28" t="str">
        <f t="shared" si="2"/>
        <v>水</v>
      </c>
      <c r="BZ3" s="28" t="str">
        <f t="shared" si="2"/>
        <v>木</v>
      </c>
      <c r="CA3" s="28" t="str">
        <f t="shared" si="2"/>
        <v>金</v>
      </c>
      <c r="CB3" s="23" t="str">
        <f t="shared" si="2"/>
        <v>土</v>
      </c>
      <c r="CC3" s="23" t="str">
        <f t="shared" si="2"/>
        <v>日</v>
      </c>
      <c r="CD3" s="28" t="str">
        <f t="shared" si="2"/>
        <v>月</v>
      </c>
      <c r="CE3" s="28" t="str">
        <f t="shared" si="2"/>
        <v>火</v>
      </c>
      <c r="CF3" s="28" t="str">
        <f t="shared" si="2"/>
        <v>水</v>
      </c>
      <c r="CG3" s="28" t="str">
        <f t="shared" si="2"/>
        <v>木</v>
      </c>
      <c r="CH3" s="28" t="str">
        <f t="shared" si="2"/>
        <v>金</v>
      </c>
      <c r="CI3" s="23" t="str">
        <f t="shared" si="2"/>
        <v>土</v>
      </c>
      <c r="CJ3" s="23" t="str">
        <f t="shared" si="2"/>
        <v>日</v>
      </c>
      <c r="CK3" s="28" t="str">
        <f t="shared" si="2"/>
        <v>月</v>
      </c>
      <c r="CL3" s="28" t="str">
        <f t="shared" si="2"/>
        <v>火</v>
      </c>
      <c r="CM3" s="28" t="str">
        <f t="shared" si="2"/>
        <v>水</v>
      </c>
      <c r="CN3" s="23" t="str">
        <f t="shared" si="2"/>
        <v>木</v>
      </c>
      <c r="CO3" s="28" t="str">
        <f t="shared" si="2"/>
        <v>金</v>
      </c>
      <c r="CP3" s="23" t="str">
        <f t="shared" si="2"/>
        <v>土</v>
      </c>
      <c r="CQ3" s="23" t="str">
        <f t="shared" si="2"/>
        <v>日</v>
      </c>
      <c r="CR3" s="28" t="str">
        <f t="shared" si="2"/>
        <v>月</v>
      </c>
      <c r="CS3" s="28" t="str">
        <f t="shared" si="2"/>
        <v>火</v>
      </c>
      <c r="CT3" s="28" t="str">
        <f t="shared" si="2"/>
        <v>水</v>
      </c>
      <c r="CU3" s="28" t="str">
        <f t="shared" si="2"/>
        <v>木</v>
      </c>
      <c r="CV3" s="28" t="str">
        <f t="shared" si="2"/>
        <v>金</v>
      </c>
      <c r="CW3" s="28" t="str">
        <f t="shared" si="2"/>
        <v>土</v>
      </c>
      <c r="CX3" s="28" t="str">
        <f t="shared" si="2"/>
        <v>日</v>
      </c>
      <c r="CY3" s="28" t="str">
        <f t="shared" si="2"/>
        <v>月</v>
      </c>
    </row>
    <row r="4" spans="1:103" ht="24.75" customHeight="1">
      <c r="A4" s="1"/>
      <c r="B4" s="65">
        <v>1</v>
      </c>
      <c r="C4" s="8" t="s">
        <v>39</v>
      </c>
      <c r="D4" s="67" t="s">
        <v>43</v>
      </c>
      <c r="E4" s="24">
        <v>45961</v>
      </c>
      <c r="F4" s="69" t="s">
        <v>75</v>
      </c>
      <c r="G4" s="32" t="s">
        <v>22</v>
      </c>
      <c r="H4" s="42">
        <f>SUM(N4:CY4)</f>
        <v>3</v>
      </c>
      <c r="I4" s="42">
        <f>SUM(N5:CY5)</f>
        <v>3</v>
      </c>
      <c r="J4" s="32"/>
      <c r="K4" s="19" t="s">
        <v>24</v>
      </c>
      <c r="L4" s="25" t="s">
        <v>16</v>
      </c>
      <c r="M4" s="34"/>
      <c r="N4" s="41"/>
      <c r="O4" s="35"/>
      <c r="P4" s="35"/>
      <c r="Q4" s="35"/>
      <c r="R4" s="35"/>
      <c r="S4" s="36"/>
      <c r="T4" s="36"/>
      <c r="U4" s="36"/>
      <c r="V4" s="36">
        <v>1</v>
      </c>
      <c r="W4" s="36">
        <v>1</v>
      </c>
      <c r="X4" s="35"/>
      <c r="Y4" s="35"/>
      <c r="Z4" s="35"/>
      <c r="AA4" s="36">
        <v>1</v>
      </c>
      <c r="AB4" s="36"/>
      <c r="AC4" s="36"/>
      <c r="AD4" s="36"/>
      <c r="AE4" s="35"/>
      <c r="AF4" s="35"/>
      <c r="AG4" s="36"/>
      <c r="AH4" s="36"/>
      <c r="AI4" s="36"/>
      <c r="AJ4" s="36"/>
      <c r="AK4" s="36"/>
      <c r="AL4" s="35"/>
      <c r="AM4" s="35"/>
      <c r="AN4" s="36"/>
      <c r="AO4" s="36"/>
      <c r="AP4" s="36"/>
      <c r="AQ4" s="36"/>
      <c r="AR4" s="36"/>
      <c r="AS4" s="41"/>
      <c r="AT4" s="35"/>
      <c r="AU4" s="36"/>
      <c r="AV4" s="36"/>
      <c r="AW4" s="36"/>
      <c r="AX4" s="36"/>
      <c r="AY4" s="36"/>
      <c r="AZ4" s="35"/>
      <c r="BA4" s="35"/>
      <c r="BB4" s="36"/>
      <c r="BC4" s="35"/>
      <c r="BD4" s="36"/>
      <c r="BE4" s="36"/>
      <c r="BF4" s="36"/>
      <c r="BG4" s="35"/>
      <c r="BH4" s="35"/>
      <c r="BI4" s="36"/>
      <c r="BJ4" s="36"/>
      <c r="BK4" s="36"/>
      <c r="BL4" s="36"/>
      <c r="BM4" s="36"/>
      <c r="BN4" s="35"/>
      <c r="BO4" s="35"/>
      <c r="BP4" s="35"/>
      <c r="BQ4" s="36"/>
      <c r="BR4" s="36"/>
      <c r="BS4" s="36"/>
      <c r="BT4" s="36"/>
      <c r="BU4" s="41"/>
      <c r="BV4" s="35"/>
      <c r="BW4" s="36"/>
      <c r="BX4" s="36"/>
      <c r="BY4" s="36"/>
      <c r="BZ4" s="36"/>
      <c r="CA4" s="36"/>
      <c r="CB4" s="35"/>
      <c r="CC4" s="35"/>
      <c r="CD4" s="36"/>
      <c r="CE4" s="36"/>
      <c r="CF4" s="36"/>
      <c r="CG4" s="36"/>
      <c r="CH4" s="36"/>
      <c r="CI4" s="35"/>
      <c r="CJ4" s="35"/>
      <c r="CK4" s="36"/>
      <c r="CL4" s="36"/>
      <c r="CM4" s="36"/>
      <c r="CN4" s="35"/>
      <c r="CO4" s="36"/>
      <c r="CP4" s="35"/>
      <c r="CQ4" s="35"/>
      <c r="CR4" s="36"/>
      <c r="CS4" s="36"/>
      <c r="CT4" s="36"/>
      <c r="CU4" s="36"/>
      <c r="CV4" s="36"/>
      <c r="CW4" s="36"/>
      <c r="CX4" s="36"/>
      <c r="CY4" s="36"/>
    </row>
    <row r="5" spans="1:103" ht="24.75" customHeight="1">
      <c r="A5" s="1"/>
      <c r="B5" s="66"/>
      <c r="C5" s="45" t="str">
        <f>C4</f>
        <v>WF開発</v>
      </c>
      <c r="D5" s="68"/>
      <c r="E5" s="33">
        <f>IF(ISBLANK(E4),"",E4)</f>
        <v>45961</v>
      </c>
      <c r="F5" s="70"/>
      <c r="G5" s="17" t="str">
        <f>G4</f>
        <v>榎本</v>
      </c>
      <c r="H5" s="43"/>
      <c r="I5" s="43"/>
      <c r="J5" s="17"/>
      <c r="K5" s="22" t="str">
        <f>K4</f>
        <v>未</v>
      </c>
      <c r="L5" s="26" t="s">
        <v>17</v>
      </c>
      <c r="M5" s="37"/>
      <c r="N5" s="40"/>
      <c r="O5" s="27"/>
      <c r="P5" s="27"/>
      <c r="Q5" s="27"/>
      <c r="R5" s="27"/>
      <c r="S5" s="29"/>
      <c r="T5" s="29"/>
      <c r="U5" s="29"/>
      <c r="V5" s="29">
        <v>1</v>
      </c>
      <c r="W5" s="29">
        <v>1</v>
      </c>
      <c r="X5" s="27"/>
      <c r="Y5" s="27"/>
      <c r="Z5" s="27"/>
      <c r="AA5" s="29">
        <v>1</v>
      </c>
      <c r="AB5" s="29"/>
      <c r="AC5" s="29"/>
      <c r="AD5" s="29"/>
      <c r="AE5" s="27"/>
      <c r="AF5" s="27"/>
      <c r="AG5" s="29"/>
      <c r="AH5" s="29"/>
      <c r="AI5" s="29"/>
      <c r="AJ5" s="29"/>
      <c r="AK5" s="29"/>
      <c r="AL5" s="27"/>
      <c r="AM5" s="27"/>
      <c r="AN5" s="29"/>
      <c r="AO5" s="29"/>
      <c r="AP5" s="29"/>
      <c r="AQ5" s="29"/>
      <c r="AR5" s="29"/>
      <c r="AS5" s="40"/>
      <c r="AT5" s="27"/>
      <c r="AU5" s="29"/>
      <c r="AV5" s="29"/>
      <c r="AW5" s="29"/>
      <c r="AX5" s="29"/>
      <c r="AY5" s="29"/>
      <c r="AZ5" s="27"/>
      <c r="BA5" s="27"/>
      <c r="BB5" s="29"/>
      <c r="BC5" s="27"/>
      <c r="BD5" s="29"/>
      <c r="BE5" s="29"/>
      <c r="BF5" s="29"/>
      <c r="BG5" s="27"/>
      <c r="BH5" s="27"/>
      <c r="BI5" s="29"/>
      <c r="BJ5" s="29"/>
      <c r="BK5" s="29"/>
      <c r="BL5" s="29"/>
      <c r="BM5" s="29"/>
      <c r="BN5" s="27"/>
      <c r="BO5" s="27"/>
      <c r="BP5" s="27"/>
      <c r="BQ5" s="29"/>
      <c r="BR5" s="29"/>
      <c r="BS5" s="29"/>
      <c r="BT5" s="29"/>
      <c r="BU5" s="40"/>
      <c r="BV5" s="27"/>
      <c r="BW5" s="29"/>
      <c r="BX5" s="29"/>
      <c r="BY5" s="29"/>
      <c r="BZ5" s="29"/>
      <c r="CA5" s="29"/>
      <c r="CB5" s="27"/>
      <c r="CC5" s="27"/>
      <c r="CD5" s="29"/>
      <c r="CE5" s="29"/>
      <c r="CF5" s="29"/>
      <c r="CG5" s="29"/>
      <c r="CH5" s="29"/>
      <c r="CI5" s="27"/>
      <c r="CJ5" s="27"/>
      <c r="CK5" s="29"/>
      <c r="CL5" s="29"/>
      <c r="CM5" s="29"/>
      <c r="CN5" s="27"/>
      <c r="CO5" s="29"/>
      <c r="CP5" s="27"/>
      <c r="CQ5" s="27"/>
      <c r="CR5" s="29"/>
      <c r="CS5" s="29"/>
      <c r="CT5" s="29"/>
      <c r="CU5" s="29"/>
      <c r="CV5" s="29"/>
      <c r="CW5" s="29"/>
      <c r="CX5" s="29"/>
      <c r="CY5" s="29"/>
    </row>
    <row r="6" spans="1:103" ht="24.75" customHeight="1">
      <c r="A6" s="1"/>
      <c r="B6" s="65">
        <f>B4+1</f>
        <v>2</v>
      </c>
      <c r="C6" s="8" t="s">
        <v>39</v>
      </c>
      <c r="D6" s="67" t="s">
        <v>45</v>
      </c>
      <c r="E6" s="24">
        <v>45961</v>
      </c>
      <c r="F6" s="69" t="s">
        <v>75</v>
      </c>
      <c r="G6" s="32" t="s">
        <v>22</v>
      </c>
      <c r="H6" s="42">
        <f>SUM(N6:CY6)</f>
        <v>2</v>
      </c>
      <c r="I6" s="42">
        <f>SUM(N7:CY7)</f>
        <v>1</v>
      </c>
      <c r="J6" s="32"/>
      <c r="K6" s="19" t="s">
        <v>24</v>
      </c>
      <c r="L6" s="25" t="s">
        <v>16</v>
      </c>
      <c r="M6" s="34"/>
      <c r="N6" s="41"/>
      <c r="O6" s="35"/>
      <c r="P6" s="35"/>
      <c r="Q6" s="35"/>
      <c r="R6" s="35"/>
      <c r="S6" s="36"/>
      <c r="T6" s="36"/>
      <c r="U6" s="36"/>
      <c r="V6" s="36"/>
      <c r="W6" s="36"/>
      <c r="X6" s="35"/>
      <c r="Y6" s="35"/>
      <c r="Z6" s="35"/>
      <c r="AA6" s="36"/>
      <c r="AB6" s="36"/>
      <c r="AC6" s="36">
        <v>1</v>
      </c>
      <c r="AD6" s="36">
        <v>1</v>
      </c>
      <c r="AE6" s="35"/>
      <c r="AF6" s="35"/>
      <c r="AG6" s="36"/>
      <c r="AH6" s="36"/>
      <c r="AI6" s="36"/>
      <c r="AJ6" s="36"/>
      <c r="AK6" s="36"/>
      <c r="AL6" s="35"/>
      <c r="AM6" s="35"/>
      <c r="AN6" s="36"/>
      <c r="AO6" s="36"/>
      <c r="AP6" s="36"/>
      <c r="AQ6" s="36"/>
      <c r="AR6" s="36"/>
      <c r="AS6" s="41"/>
      <c r="AT6" s="35"/>
      <c r="AU6" s="36"/>
      <c r="AV6" s="36"/>
      <c r="AW6" s="36"/>
      <c r="AX6" s="36"/>
      <c r="AY6" s="36"/>
      <c r="AZ6" s="35"/>
      <c r="BA6" s="35"/>
      <c r="BB6" s="36"/>
      <c r="BC6" s="35"/>
      <c r="BD6" s="36"/>
      <c r="BE6" s="36"/>
      <c r="BF6" s="36"/>
      <c r="BG6" s="35"/>
      <c r="BH6" s="35"/>
      <c r="BI6" s="36"/>
      <c r="BJ6" s="36"/>
      <c r="BK6" s="36"/>
      <c r="BL6" s="36"/>
      <c r="BM6" s="36"/>
      <c r="BN6" s="35"/>
      <c r="BO6" s="35"/>
      <c r="BP6" s="35"/>
      <c r="BQ6" s="36"/>
      <c r="BR6" s="36"/>
      <c r="BS6" s="36"/>
      <c r="BT6" s="36"/>
      <c r="BU6" s="41"/>
      <c r="BV6" s="35"/>
      <c r="BW6" s="36"/>
      <c r="BX6" s="36"/>
      <c r="BY6" s="36"/>
      <c r="BZ6" s="36"/>
      <c r="CA6" s="36"/>
      <c r="CB6" s="35"/>
      <c r="CC6" s="35"/>
      <c r="CD6" s="36"/>
      <c r="CE6" s="36"/>
      <c r="CF6" s="36"/>
      <c r="CG6" s="36"/>
      <c r="CH6" s="36"/>
      <c r="CI6" s="35"/>
      <c r="CJ6" s="35"/>
      <c r="CK6" s="36"/>
      <c r="CL6" s="36"/>
      <c r="CM6" s="36"/>
      <c r="CN6" s="35"/>
      <c r="CO6" s="36"/>
      <c r="CP6" s="35"/>
      <c r="CQ6" s="35"/>
      <c r="CR6" s="36"/>
      <c r="CS6" s="36"/>
      <c r="CT6" s="36"/>
      <c r="CU6" s="36"/>
      <c r="CV6" s="36"/>
      <c r="CW6" s="36"/>
      <c r="CX6" s="36"/>
      <c r="CY6" s="36"/>
    </row>
    <row r="7" spans="1:103" ht="20.25" customHeight="1">
      <c r="A7" s="1"/>
      <c r="B7" s="66"/>
      <c r="C7" s="45" t="str">
        <f>C6</f>
        <v>WF開発</v>
      </c>
      <c r="D7" s="68"/>
      <c r="E7" s="33">
        <f>IF(ISBLANK(E6),"",E6)</f>
        <v>45961</v>
      </c>
      <c r="F7" s="70"/>
      <c r="G7" s="17" t="str">
        <f>G6</f>
        <v>榎本</v>
      </c>
      <c r="H7" s="43"/>
      <c r="I7" s="43"/>
      <c r="J7" s="17"/>
      <c r="K7" s="22" t="str">
        <f>K6</f>
        <v>未</v>
      </c>
      <c r="L7" s="26" t="s">
        <v>17</v>
      </c>
      <c r="M7" s="37"/>
      <c r="N7" s="40"/>
      <c r="O7" s="27"/>
      <c r="P7" s="27"/>
      <c r="Q7" s="27"/>
      <c r="R7" s="27"/>
      <c r="S7" s="29"/>
      <c r="T7" s="29"/>
      <c r="U7" s="29"/>
      <c r="V7" s="29"/>
      <c r="W7" s="29"/>
      <c r="X7" s="27"/>
      <c r="Y7" s="27"/>
      <c r="Z7" s="27"/>
      <c r="AA7" s="29"/>
      <c r="AB7" s="29"/>
      <c r="AC7" s="29">
        <v>0.5</v>
      </c>
      <c r="AD7" s="29">
        <v>0.5</v>
      </c>
      <c r="AE7" s="27"/>
      <c r="AF7" s="27"/>
      <c r="AG7" s="29"/>
      <c r="AH7" s="29"/>
      <c r="AI7" s="29"/>
      <c r="AJ7" s="29"/>
      <c r="AK7" s="29"/>
      <c r="AL7" s="27"/>
      <c r="AM7" s="27"/>
      <c r="AN7" s="29"/>
      <c r="AO7" s="29"/>
      <c r="AP7" s="29"/>
      <c r="AQ7" s="29"/>
      <c r="AR7" s="29"/>
      <c r="AS7" s="40"/>
      <c r="AT7" s="27"/>
      <c r="AU7" s="29"/>
      <c r="AV7" s="29"/>
      <c r="AW7" s="29"/>
      <c r="AX7" s="29"/>
      <c r="AY7" s="29"/>
      <c r="AZ7" s="27"/>
      <c r="BA7" s="27"/>
      <c r="BB7" s="29"/>
      <c r="BC7" s="27"/>
      <c r="BD7" s="29"/>
      <c r="BE7" s="29"/>
      <c r="BF7" s="29"/>
      <c r="BG7" s="27"/>
      <c r="BH7" s="27"/>
      <c r="BI7" s="29"/>
      <c r="BJ7" s="29"/>
      <c r="BK7" s="29"/>
      <c r="BL7" s="29"/>
      <c r="BM7" s="29"/>
      <c r="BN7" s="27"/>
      <c r="BO7" s="27"/>
      <c r="BP7" s="27"/>
      <c r="BQ7" s="29"/>
      <c r="BR7" s="29"/>
      <c r="BS7" s="29"/>
      <c r="BT7" s="29"/>
      <c r="BU7" s="40"/>
      <c r="BV7" s="27"/>
      <c r="BW7" s="29"/>
      <c r="BX7" s="29"/>
      <c r="BY7" s="29"/>
      <c r="BZ7" s="29"/>
      <c r="CA7" s="29"/>
      <c r="CB7" s="27"/>
      <c r="CC7" s="27"/>
      <c r="CD7" s="29"/>
      <c r="CE7" s="29"/>
      <c r="CF7" s="29"/>
      <c r="CG7" s="29"/>
      <c r="CH7" s="29"/>
      <c r="CI7" s="27"/>
      <c r="CJ7" s="27"/>
      <c r="CK7" s="29"/>
      <c r="CL7" s="29"/>
      <c r="CM7" s="29"/>
      <c r="CN7" s="27"/>
      <c r="CO7" s="29"/>
      <c r="CP7" s="27"/>
      <c r="CQ7" s="27"/>
      <c r="CR7" s="29"/>
      <c r="CS7" s="29"/>
      <c r="CT7" s="29"/>
      <c r="CU7" s="29"/>
      <c r="CV7" s="29"/>
      <c r="CW7" s="29"/>
      <c r="CX7" s="29"/>
      <c r="CY7" s="29"/>
    </row>
    <row r="8" spans="1:103" ht="24.75" customHeight="1">
      <c r="A8" s="1"/>
      <c r="B8" s="65">
        <f>B6+1</f>
        <v>3</v>
      </c>
      <c r="C8" s="8" t="s">
        <v>39</v>
      </c>
      <c r="D8" s="67" t="s">
        <v>46</v>
      </c>
      <c r="E8" s="24">
        <v>45961</v>
      </c>
      <c r="F8" s="69" t="s">
        <v>76</v>
      </c>
      <c r="G8" s="32" t="s">
        <v>22</v>
      </c>
      <c r="H8" s="42">
        <f>SUM(N8:CY8)</f>
        <v>0.5</v>
      </c>
      <c r="I8" s="42">
        <f>SUM(N9:CY9)</f>
        <v>0.5</v>
      </c>
      <c r="J8" s="32"/>
      <c r="K8" s="19" t="s">
        <v>24</v>
      </c>
      <c r="L8" s="25" t="s">
        <v>16</v>
      </c>
      <c r="M8" s="34"/>
      <c r="N8" s="41"/>
      <c r="O8" s="35"/>
      <c r="P8" s="35"/>
      <c r="Q8" s="35"/>
      <c r="R8" s="35"/>
      <c r="S8" s="36"/>
      <c r="T8" s="36"/>
      <c r="U8" s="36"/>
      <c r="V8" s="36"/>
      <c r="W8" s="36"/>
      <c r="X8" s="35"/>
      <c r="Y8" s="35"/>
      <c r="Z8" s="35"/>
      <c r="AA8" s="36"/>
      <c r="AB8" s="36"/>
      <c r="AC8" s="36">
        <v>0.5</v>
      </c>
      <c r="AD8" s="36"/>
      <c r="AE8" s="35"/>
      <c r="AF8" s="35"/>
      <c r="AG8" s="36"/>
      <c r="AH8" s="36"/>
      <c r="AI8" s="36"/>
      <c r="AJ8" s="36"/>
      <c r="AK8" s="36"/>
      <c r="AL8" s="35"/>
      <c r="AM8" s="35"/>
      <c r="AN8" s="36"/>
      <c r="AO8" s="36"/>
      <c r="AP8" s="36"/>
      <c r="AQ8" s="36"/>
      <c r="AR8" s="36"/>
      <c r="AS8" s="41"/>
      <c r="AT8" s="35"/>
      <c r="AU8" s="36"/>
      <c r="AV8" s="36"/>
      <c r="AW8" s="36"/>
      <c r="AX8" s="36"/>
      <c r="AY8" s="36"/>
      <c r="AZ8" s="35"/>
      <c r="BA8" s="35"/>
      <c r="BB8" s="36"/>
      <c r="BC8" s="35"/>
      <c r="BD8" s="36"/>
      <c r="BE8" s="36"/>
      <c r="BF8" s="36"/>
      <c r="BG8" s="35"/>
      <c r="BH8" s="35"/>
      <c r="BI8" s="36"/>
      <c r="BJ8" s="36"/>
      <c r="BK8" s="36"/>
      <c r="BL8" s="36"/>
      <c r="BM8" s="36"/>
      <c r="BN8" s="35"/>
      <c r="BO8" s="35"/>
      <c r="BP8" s="35"/>
      <c r="BQ8" s="36"/>
      <c r="BR8" s="36"/>
      <c r="BS8" s="36"/>
      <c r="BT8" s="36"/>
      <c r="BU8" s="41"/>
      <c r="BV8" s="35"/>
      <c r="BW8" s="36"/>
      <c r="BX8" s="36"/>
      <c r="BY8" s="36"/>
      <c r="BZ8" s="36"/>
      <c r="CA8" s="36"/>
      <c r="CB8" s="35"/>
      <c r="CC8" s="35"/>
      <c r="CD8" s="36"/>
      <c r="CE8" s="36"/>
      <c r="CF8" s="36"/>
      <c r="CG8" s="36"/>
      <c r="CH8" s="36"/>
      <c r="CI8" s="35"/>
      <c r="CJ8" s="35"/>
      <c r="CK8" s="36"/>
      <c r="CL8" s="36"/>
      <c r="CM8" s="36"/>
      <c r="CN8" s="35"/>
      <c r="CO8" s="36"/>
      <c r="CP8" s="35"/>
      <c r="CQ8" s="35"/>
      <c r="CR8" s="36"/>
      <c r="CS8" s="36"/>
      <c r="CT8" s="36"/>
      <c r="CU8" s="36"/>
      <c r="CV8" s="36"/>
      <c r="CW8" s="36"/>
      <c r="CX8" s="36"/>
      <c r="CY8" s="36"/>
    </row>
    <row r="9" spans="1:103" ht="20.25" customHeight="1">
      <c r="A9" s="1"/>
      <c r="B9" s="66"/>
      <c r="C9" s="45" t="str">
        <f>C8</f>
        <v>WF開発</v>
      </c>
      <c r="D9" s="68"/>
      <c r="E9" s="33">
        <f>IF(ISBLANK(E8),"",E8)</f>
        <v>45961</v>
      </c>
      <c r="F9" s="70"/>
      <c r="G9" s="17" t="str">
        <f>G8</f>
        <v>榎本</v>
      </c>
      <c r="H9" s="43"/>
      <c r="I9" s="43"/>
      <c r="J9" s="17"/>
      <c r="K9" s="22" t="str">
        <f>K8</f>
        <v>未</v>
      </c>
      <c r="L9" s="26" t="s">
        <v>17</v>
      </c>
      <c r="M9" s="37"/>
      <c r="N9" s="40"/>
      <c r="O9" s="27"/>
      <c r="P9" s="27"/>
      <c r="Q9" s="27"/>
      <c r="R9" s="27"/>
      <c r="S9" s="29"/>
      <c r="T9" s="29"/>
      <c r="U9" s="29"/>
      <c r="V9" s="29"/>
      <c r="W9" s="29"/>
      <c r="X9" s="27"/>
      <c r="Y9" s="27"/>
      <c r="Z9" s="27"/>
      <c r="AA9" s="29"/>
      <c r="AB9" s="29"/>
      <c r="AC9" s="29">
        <v>0.5</v>
      </c>
      <c r="AD9" s="29"/>
      <c r="AE9" s="27"/>
      <c r="AF9" s="27"/>
      <c r="AG9" s="29"/>
      <c r="AH9" s="29"/>
      <c r="AI9" s="29"/>
      <c r="AJ9" s="29"/>
      <c r="AK9" s="29"/>
      <c r="AL9" s="27"/>
      <c r="AM9" s="27"/>
      <c r="AN9" s="29"/>
      <c r="AO9" s="29"/>
      <c r="AP9" s="29"/>
      <c r="AQ9" s="29"/>
      <c r="AR9" s="29"/>
      <c r="AS9" s="40"/>
      <c r="AT9" s="27"/>
      <c r="AU9" s="29"/>
      <c r="AV9" s="29"/>
      <c r="AW9" s="29"/>
      <c r="AX9" s="29"/>
      <c r="AY9" s="29"/>
      <c r="AZ9" s="27"/>
      <c r="BA9" s="27"/>
      <c r="BB9" s="29"/>
      <c r="BC9" s="27"/>
      <c r="BD9" s="29"/>
      <c r="BE9" s="29"/>
      <c r="BF9" s="29"/>
      <c r="BG9" s="27"/>
      <c r="BH9" s="27"/>
      <c r="BI9" s="29"/>
      <c r="BJ9" s="29"/>
      <c r="BK9" s="29"/>
      <c r="BL9" s="29"/>
      <c r="BM9" s="29"/>
      <c r="BN9" s="27"/>
      <c r="BO9" s="27"/>
      <c r="BP9" s="27"/>
      <c r="BQ9" s="29"/>
      <c r="BR9" s="29"/>
      <c r="BS9" s="29"/>
      <c r="BT9" s="29"/>
      <c r="BU9" s="40"/>
      <c r="BV9" s="27"/>
      <c r="BW9" s="29"/>
      <c r="BX9" s="29"/>
      <c r="BY9" s="29"/>
      <c r="BZ9" s="29"/>
      <c r="CA9" s="29"/>
      <c r="CB9" s="27"/>
      <c r="CC9" s="27"/>
      <c r="CD9" s="29"/>
      <c r="CE9" s="29"/>
      <c r="CF9" s="29"/>
      <c r="CG9" s="29"/>
      <c r="CH9" s="29"/>
      <c r="CI9" s="27"/>
      <c r="CJ9" s="27"/>
      <c r="CK9" s="29"/>
      <c r="CL9" s="29"/>
      <c r="CM9" s="29"/>
      <c r="CN9" s="27"/>
      <c r="CO9" s="29"/>
      <c r="CP9" s="27"/>
      <c r="CQ9" s="27"/>
      <c r="CR9" s="29"/>
      <c r="CS9" s="29"/>
      <c r="CT9" s="29"/>
      <c r="CU9" s="29"/>
      <c r="CV9" s="29"/>
      <c r="CW9" s="29"/>
      <c r="CX9" s="29"/>
      <c r="CY9" s="29"/>
    </row>
    <row r="10" spans="1:103" ht="24.75" customHeight="1">
      <c r="A10" s="1"/>
      <c r="B10" s="65">
        <f>B6+1</f>
        <v>3</v>
      </c>
      <c r="C10" s="8" t="s">
        <v>39</v>
      </c>
      <c r="D10" s="67" t="s">
        <v>47</v>
      </c>
      <c r="E10" s="24">
        <v>45961</v>
      </c>
      <c r="F10" s="69"/>
      <c r="G10" s="32" t="s">
        <v>22</v>
      </c>
      <c r="H10" s="42">
        <f>SUM(N10:CY10)</f>
        <v>2</v>
      </c>
      <c r="I10" s="42">
        <f>SUM(N11:CY11)</f>
        <v>2</v>
      </c>
      <c r="J10" s="32"/>
      <c r="K10" s="19" t="s">
        <v>24</v>
      </c>
      <c r="L10" s="25" t="s">
        <v>16</v>
      </c>
      <c r="M10" s="34"/>
      <c r="N10" s="41"/>
      <c r="O10" s="35"/>
      <c r="P10" s="35"/>
      <c r="Q10" s="35"/>
      <c r="R10" s="35"/>
      <c r="S10" s="36"/>
      <c r="T10" s="36"/>
      <c r="U10" s="36"/>
      <c r="V10" s="36"/>
      <c r="W10" s="36"/>
      <c r="X10" s="35"/>
      <c r="Y10" s="35"/>
      <c r="Z10" s="35"/>
      <c r="AA10" s="36"/>
      <c r="AB10" s="36"/>
      <c r="AC10" s="36"/>
      <c r="AD10" s="36"/>
      <c r="AE10" s="35"/>
      <c r="AF10" s="35"/>
      <c r="AG10" s="36">
        <v>1</v>
      </c>
      <c r="AH10" s="36"/>
      <c r="AI10" s="36"/>
      <c r="AJ10" s="36"/>
      <c r="AK10" s="36">
        <v>1</v>
      </c>
      <c r="AL10" s="35"/>
      <c r="AM10" s="35"/>
      <c r="AN10" s="36"/>
      <c r="AO10" s="36"/>
      <c r="AP10" s="36"/>
      <c r="AQ10" s="36"/>
      <c r="AR10" s="36"/>
      <c r="AS10" s="41"/>
      <c r="AT10" s="35"/>
      <c r="AU10" s="36"/>
      <c r="AV10" s="36"/>
      <c r="AW10" s="36"/>
      <c r="AX10" s="36"/>
      <c r="AY10" s="36"/>
      <c r="AZ10" s="35"/>
      <c r="BA10" s="35"/>
      <c r="BB10" s="36"/>
      <c r="BC10" s="35"/>
      <c r="BD10" s="36"/>
      <c r="BE10" s="36"/>
      <c r="BF10" s="36"/>
      <c r="BG10" s="35"/>
      <c r="BH10" s="35"/>
      <c r="BI10" s="36"/>
      <c r="BJ10" s="36"/>
      <c r="BK10" s="36"/>
      <c r="BL10" s="36"/>
      <c r="BM10" s="36"/>
      <c r="BN10" s="35"/>
      <c r="BO10" s="35"/>
      <c r="BP10" s="35"/>
      <c r="BQ10" s="36"/>
      <c r="BR10" s="36"/>
      <c r="BS10" s="36"/>
      <c r="BT10" s="36"/>
      <c r="BU10" s="41"/>
      <c r="BV10" s="35"/>
      <c r="BW10" s="36"/>
      <c r="BX10" s="36"/>
      <c r="BY10" s="36"/>
      <c r="BZ10" s="36"/>
      <c r="CA10" s="36"/>
      <c r="CB10" s="35"/>
      <c r="CC10" s="35"/>
      <c r="CD10" s="36"/>
      <c r="CE10" s="36"/>
      <c r="CF10" s="36"/>
      <c r="CG10" s="36"/>
      <c r="CH10" s="36"/>
      <c r="CI10" s="35"/>
      <c r="CJ10" s="35"/>
      <c r="CK10" s="36"/>
      <c r="CL10" s="36"/>
      <c r="CM10" s="36"/>
      <c r="CN10" s="35"/>
      <c r="CO10" s="36"/>
      <c r="CP10" s="35"/>
      <c r="CQ10" s="35"/>
      <c r="CR10" s="36"/>
      <c r="CS10" s="36"/>
      <c r="CT10" s="36"/>
      <c r="CU10" s="36"/>
      <c r="CV10" s="36"/>
      <c r="CW10" s="36"/>
      <c r="CX10" s="36"/>
      <c r="CY10" s="36"/>
    </row>
    <row r="11" spans="1:103" ht="20.25" customHeight="1">
      <c r="A11" s="1"/>
      <c r="B11" s="66"/>
      <c r="C11" s="45" t="str">
        <f>C10</f>
        <v>WF開発</v>
      </c>
      <c r="D11" s="68"/>
      <c r="E11" s="33">
        <f>IF(ISBLANK(E10),"",E10)</f>
        <v>45961</v>
      </c>
      <c r="F11" s="70"/>
      <c r="G11" s="17" t="str">
        <f>G10</f>
        <v>榎本</v>
      </c>
      <c r="H11" s="43"/>
      <c r="I11" s="43"/>
      <c r="J11" s="17"/>
      <c r="K11" s="22" t="str">
        <f>K10</f>
        <v>未</v>
      </c>
      <c r="L11" s="26" t="s">
        <v>17</v>
      </c>
      <c r="M11" s="37"/>
      <c r="N11" s="40"/>
      <c r="O11" s="27"/>
      <c r="P11" s="27"/>
      <c r="Q11" s="27"/>
      <c r="R11" s="27"/>
      <c r="S11" s="29"/>
      <c r="T11" s="29"/>
      <c r="U11" s="29"/>
      <c r="V11" s="29"/>
      <c r="W11" s="29"/>
      <c r="X11" s="27"/>
      <c r="Y11" s="27"/>
      <c r="Z11" s="27"/>
      <c r="AA11" s="29"/>
      <c r="AB11" s="29"/>
      <c r="AC11" s="29"/>
      <c r="AD11" s="29"/>
      <c r="AE11" s="27"/>
      <c r="AF11" s="27"/>
      <c r="AG11" s="29">
        <v>1</v>
      </c>
      <c r="AH11" s="29"/>
      <c r="AI11" s="29"/>
      <c r="AJ11" s="29">
        <v>1</v>
      </c>
      <c r="AK11" s="29"/>
      <c r="AL11" s="27"/>
      <c r="AM11" s="27"/>
      <c r="AN11" s="29"/>
      <c r="AO11" s="29"/>
      <c r="AP11" s="29"/>
      <c r="AQ11" s="29"/>
      <c r="AR11" s="29"/>
      <c r="AS11" s="40"/>
      <c r="AT11" s="27"/>
      <c r="AU11" s="29"/>
      <c r="AV11" s="29"/>
      <c r="AW11" s="29"/>
      <c r="AX11" s="29"/>
      <c r="AY11" s="29"/>
      <c r="AZ11" s="27"/>
      <c r="BA11" s="27"/>
      <c r="BB11" s="29"/>
      <c r="BC11" s="27"/>
      <c r="BD11" s="29"/>
      <c r="BE11" s="29"/>
      <c r="BF11" s="29"/>
      <c r="BG11" s="27"/>
      <c r="BH11" s="27"/>
      <c r="BI11" s="29"/>
      <c r="BJ11" s="29"/>
      <c r="BK11" s="29"/>
      <c r="BL11" s="29"/>
      <c r="BM11" s="29"/>
      <c r="BN11" s="27"/>
      <c r="BO11" s="27"/>
      <c r="BP11" s="27"/>
      <c r="BQ11" s="29"/>
      <c r="BR11" s="29"/>
      <c r="BS11" s="29"/>
      <c r="BT11" s="29"/>
      <c r="BU11" s="40"/>
      <c r="BV11" s="27"/>
      <c r="BW11" s="29"/>
      <c r="BX11" s="29"/>
      <c r="BY11" s="29"/>
      <c r="BZ11" s="29"/>
      <c r="CA11" s="29"/>
      <c r="CB11" s="27"/>
      <c r="CC11" s="27"/>
      <c r="CD11" s="29"/>
      <c r="CE11" s="29"/>
      <c r="CF11" s="29"/>
      <c r="CG11" s="29"/>
      <c r="CH11" s="29"/>
      <c r="CI11" s="27"/>
      <c r="CJ11" s="27"/>
      <c r="CK11" s="29"/>
      <c r="CL11" s="29"/>
      <c r="CM11" s="29"/>
      <c r="CN11" s="27"/>
      <c r="CO11" s="29"/>
      <c r="CP11" s="27"/>
      <c r="CQ11" s="27"/>
      <c r="CR11" s="29"/>
      <c r="CS11" s="29"/>
      <c r="CT11" s="29"/>
      <c r="CU11" s="29"/>
      <c r="CV11" s="29"/>
      <c r="CW11" s="29"/>
      <c r="CX11" s="29"/>
      <c r="CY11" s="29"/>
    </row>
    <row r="12" spans="1:103" ht="24.75" customHeight="1">
      <c r="A12" s="1"/>
      <c r="B12" s="65">
        <f t="shared" ref="B12:B52" si="3">B10+1</f>
        <v>4</v>
      </c>
      <c r="C12" s="8" t="s">
        <v>39</v>
      </c>
      <c r="D12" s="67" t="s">
        <v>44</v>
      </c>
      <c r="E12" s="24">
        <v>45961</v>
      </c>
      <c r="F12" s="69"/>
      <c r="G12" s="32" t="s">
        <v>22</v>
      </c>
      <c r="H12" s="42">
        <f>SUM(N12:CY12)</f>
        <v>2</v>
      </c>
      <c r="I12" s="42">
        <f>SUM(N13:CY13)</f>
        <v>2</v>
      </c>
      <c r="J12" s="32"/>
      <c r="K12" s="19" t="s">
        <v>24</v>
      </c>
      <c r="L12" s="25" t="s">
        <v>16</v>
      </c>
      <c r="M12" s="34"/>
      <c r="N12" s="41"/>
      <c r="O12" s="35"/>
      <c r="P12" s="35"/>
      <c r="Q12" s="35"/>
      <c r="R12" s="35"/>
      <c r="S12" s="36"/>
      <c r="T12" s="36"/>
      <c r="U12" s="36"/>
      <c r="V12" s="36"/>
      <c r="W12" s="36"/>
      <c r="X12" s="35"/>
      <c r="Y12" s="35"/>
      <c r="Z12" s="35"/>
      <c r="AA12" s="36"/>
      <c r="AB12" s="36"/>
      <c r="AC12" s="36"/>
      <c r="AD12" s="36"/>
      <c r="AE12" s="35"/>
      <c r="AF12" s="35"/>
      <c r="AG12" s="36"/>
      <c r="AH12" s="36"/>
      <c r="AI12" s="36"/>
      <c r="AJ12" s="36"/>
      <c r="AK12" s="36"/>
      <c r="AL12" s="35"/>
      <c r="AM12" s="35"/>
      <c r="AN12" s="36">
        <v>1</v>
      </c>
      <c r="AO12" s="36"/>
      <c r="AP12" s="36"/>
      <c r="AQ12" s="36">
        <v>1</v>
      </c>
      <c r="AR12" s="36"/>
      <c r="AS12" s="41"/>
      <c r="AT12" s="35"/>
      <c r="AU12" s="36"/>
      <c r="AV12" s="36"/>
      <c r="AW12" s="36"/>
      <c r="AX12" s="36"/>
      <c r="AY12" s="36"/>
      <c r="AZ12" s="35"/>
      <c r="BA12" s="35"/>
      <c r="BB12" s="36"/>
      <c r="BC12" s="35"/>
      <c r="BD12" s="36"/>
      <c r="BE12" s="36"/>
      <c r="BF12" s="36"/>
      <c r="BG12" s="35"/>
      <c r="BH12" s="35"/>
      <c r="BI12" s="36"/>
      <c r="BJ12" s="36"/>
      <c r="BK12" s="36"/>
      <c r="BL12" s="36"/>
      <c r="BM12" s="36"/>
      <c r="BN12" s="35"/>
      <c r="BO12" s="35"/>
      <c r="BP12" s="35"/>
      <c r="BQ12" s="36"/>
      <c r="BR12" s="36"/>
      <c r="BS12" s="36"/>
      <c r="BT12" s="36"/>
      <c r="BU12" s="41"/>
      <c r="BV12" s="35"/>
      <c r="BW12" s="36"/>
      <c r="BX12" s="36"/>
      <c r="BY12" s="36"/>
      <c r="BZ12" s="36"/>
      <c r="CA12" s="36"/>
      <c r="CB12" s="35"/>
      <c r="CC12" s="35"/>
      <c r="CD12" s="36"/>
      <c r="CE12" s="36"/>
      <c r="CF12" s="36"/>
      <c r="CG12" s="36"/>
      <c r="CH12" s="36"/>
      <c r="CI12" s="35"/>
      <c r="CJ12" s="35"/>
      <c r="CK12" s="36"/>
      <c r="CL12" s="36"/>
      <c r="CM12" s="36"/>
      <c r="CN12" s="35"/>
      <c r="CO12" s="36"/>
      <c r="CP12" s="35"/>
      <c r="CQ12" s="35"/>
      <c r="CR12" s="36"/>
      <c r="CS12" s="36"/>
      <c r="CT12" s="36"/>
      <c r="CU12" s="36"/>
      <c r="CV12" s="36"/>
      <c r="CW12" s="36"/>
      <c r="CX12" s="36"/>
      <c r="CY12" s="36"/>
    </row>
    <row r="13" spans="1:103" ht="20.25" customHeight="1">
      <c r="A13" s="1"/>
      <c r="B13" s="66"/>
      <c r="C13" s="45" t="str">
        <f>C12</f>
        <v>WF開発</v>
      </c>
      <c r="D13" s="68"/>
      <c r="E13" s="33">
        <f>IF(ISBLANK(E12),"",E12)</f>
        <v>45961</v>
      </c>
      <c r="F13" s="70"/>
      <c r="G13" s="17" t="str">
        <f>G12</f>
        <v>榎本</v>
      </c>
      <c r="H13" s="43"/>
      <c r="I13" s="43"/>
      <c r="J13" s="17"/>
      <c r="K13" s="22" t="str">
        <f>K12</f>
        <v>未</v>
      </c>
      <c r="L13" s="26" t="s">
        <v>17</v>
      </c>
      <c r="M13" s="37"/>
      <c r="N13" s="40"/>
      <c r="O13" s="27"/>
      <c r="P13" s="27"/>
      <c r="Q13" s="27"/>
      <c r="R13" s="27"/>
      <c r="S13" s="29"/>
      <c r="T13" s="29"/>
      <c r="U13" s="29"/>
      <c r="V13" s="29"/>
      <c r="W13" s="29"/>
      <c r="X13" s="27"/>
      <c r="Y13" s="27"/>
      <c r="Z13" s="27"/>
      <c r="AA13" s="29"/>
      <c r="AB13" s="29"/>
      <c r="AC13" s="29"/>
      <c r="AD13" s="29"/>
      <c r="AE13" s="27"/>
      <c r="AF13" s="27"/>
      <c r="AG13" s="29"/>
      <c r="AH13" s="29"/>
      <c r="AI13" s="29"/>
      <c r="AJ13" s="29"/>
      <c r="AK13" s="29"/>
      <c r="AL13" s="27"/>
      <c r="AM13" s="27"/>
      <c r="AN13" s="29">
        <v>1</v>
      </c>
      <c r="AO13" s="29"/>
      <c r="AP13" s="29"/>
      <c r="AQ13" s="29">
        <v>1</v>
      </c>
      <c r="AR13" s="29"/>
      <c r="AS13" s="40"/>
      <c r="AT13" s="27"/>
      <c r="AU13" s="29"/>
      <c r="AV13" s="29"/>
      <c r="AW13" s="29"/>
      <c r="AX13" s="29"/>
      <c r="AY13" s="29"/>
      <c r="AZ13" s="27"/>
      <c r="BA13" s="27"/>
      <c r="BB13" s="29"/>
      <c r="BC13" s="27"/>
      <c r="BD13" s="29"/>
      <c r="BE13" s="29"/>
      <c r="BF13" s="29"/>
      <c r="BG13" s="27"/>
      <c r="BH13" s="27"/>
      <c r="BI13" s="29"/>
      <c r="BJ13" s="29"/>
      <c r="BK13" s="29"/>
      <c r="BL13" s="29"/>
      <c r="BM13" s="29"/>
      <c r="BN13" s="27"/>
      <c r="BO13" s="27"/>
      <c r="BP13" s="27"/>
      <c r="BQ13" s="29"/>
      <c r="BR13" s="29"/>
      <c r="BS13" s="29"/>
      <c r="BT13" s="29"/>
      <c r="BU13" s="40"/>
      <c r="BV13" s="27"/>
      <c r="BW13" s="29"/>
      <c r="BX13" s="29"/>
      <c r="BY13" s="29"/>
      <c r="BZ13" s="29"/>
      <c r="CA13" s="29"/>
      <c r="CB13" s="27"/>
      <c r="CC13" s="27"/>
      <c r="CD13" s="29"/>
      <c r="CE13" s="29"/>
      <c r="CF13" s="29"/>
      <c r="CG13" s="29"/>
      <c r="CH13" s="29"/>
      <c r="CI13" s="27"/>
      <c r="CJ13" s="27"/>
      <c r="CK13" s="29"/>
      <c r="CL13" s="29"/>
      <c r="CM13" s="29"/>
      <c r="CN13" s="27"/>
      <c r="CO13" s="29"/>
      <c r="CP13" s="27"/>
      <c r="CQ13" s="27"/>
      <c r="CR13" s="29"/>
      <c r="CS13" s="29"/>
      <c r="CT13" s="29"/>
      <c r="CU13" s="29"/>
      <c r="CV13" s="29"/>
      <c r="CW13" s="29"/>
      <c r="CX13" s="29"/>
      <c r="CY13" s="29"/>
    </row>
    <row r="14" spans="1:103" ht="24.75" customHeight="1">
      <c r="A14" s="1"/>
      <c r="B14" s="65">
        <f t="shared" si="3"/>
        <v>5</v>
      </c>
      <c r="C14" s="8" t="s">
        <v>39</v>
      </c>
      <c r="D14" s="67" t="s">
        <v>48</v>
      </c>
      <c r="E14" s="24">
        <v>45961</v>
      </c>
      <c r="F14" s="69"/>
      <c r="G14" s="32" t="s">
        <v>22</v>
      </c>
      <c r="H14" s="42">
        <f>SUM(N14:CY14)</f>
        <v>2</v>
      </c>
      <c r="I14" s="42">
        <f>SUM(N15:CY15)</f>
        <v>2.5</v>
      </c>
      <c r="J14" s="32"/>
      <c r="K14" s="19" t="s">
        <v>24</v>
      </c>
      <c r="L14" s="25" t="s">
        <v>16</v>
      </c>
      <c r="M14" s="34"/>
      <c r="N14" s="41"/>
      <c r="O14" s="35"/>
      <c r="P14" s="35"/>
      <c r="Q14" s="35"/>
      <c r="R14" s="35"/>
      <c r="S14" s="36"/>
      <c r="T14" s="36"/>
      <c r="U14" s="36"/>
      <c r="V14" s="36"/>
      <c r="W14" s="36"/>
      <c r="X14" s="35"/>
      <c r="Y14" s="35"/>
      <c r="Z14" s="35"/>
      <c r="AA14" s="36"/>
      <c r="AB14" s="36"/>
      <c r="AC14" s="36"/>
      <c r="AD14" s="36"/>
      <c r="AE14" s="35"/>
      <c r="AF14" s="35"/>
      <c r="AG14" s="36"/>
      <c r="AH14" s="36"/>
      <c r="AI14" s="36"/>
      <c r="AJ14" s="36"/>
      <c r="AK14" s="36"/>
      <c r="AL14" s="35"/>
      <c r="AM14" s="35"/>
      <c r="AN14" s="36"/>
      <c r="AO14" s="36"/>
      <c r="AP14" s="36"/>
      <c r="AQ14" s="36"/>
      <c r="AR14" s="36"/>
      <c r="AS14" s="41"/>
      <c r="AT14" s="35"/>
      <c r="AU14" s="36">
        <v>1</v>
      </c>
      <c r="AV14" s="36"/>
      <c r="AW14" s="36"/>
      <c r="AX14" s="36"/>
      <c r="AY14" s="36">
        <v>1</v>
      </c>
      <c r="AZ14" s="35"/>
      <c r="BA14" s="35"/>
      <c r="BB14" s="36"/>
      <c r="BC14" s="35"/>
      <c r="BD14" s="36"/>
      <c r="BE14" s="36"/>
      <c r="BF14" s="36"/>
      <c r="BG14" s="35"/>
      <c r="BH14" s="35"/>
      <c r="BI14" s="36"/>
      <c r="BJ14" s="36"/>
      <c r="BK14" s="36"/>
      <c r="BL14" s="36"/>
      <c r="BM14" s="36"/>
      <c r="BN14" s="35"/>
      <c r="BO14" s="35"/>
      <c r="BP14" s="35"/>
      <c r="BQ14" s="36"/>
      <c r="BR14" s="36"/>
      <c r="BS14" s="36"/>
      <c r="BT14" s="36"/>
      <c r="BU14" s="41"/>
      <c r="BV14" s="35"/>
      <c r="BW14" s="36"/>
      <c r="BX14" s="36"/>
      <c r="BY14" s="36"/>
      <c r="BZ14" s="36"/>
      <c r="CA14" s="36"/>
      <c r="CB14" s="35"/>
      <c r="CC14" s="35"/>
      <c r="CD14" s="36"/>
      <c r="CE14" s="36"/>
      <c r="CF14" s="36"/>
      <c r="CG14" s="36"/>
      <c r="CH14" s="36"/>
      <c r="CI14" s="35"/>
      <c r="CJ14" s="35"/>
      <c r="CK14" s="36"/>
      <c r="CL14" s="36"/>
      <c r="CM14" s="36"/>
      <c r="CN14" s="35"/>
      <c r="CO14" s="36"/>
      <c r="CP14" s="35"/>
      <c r="CQ14" s="35"/>
      <c r="CR14" s="36"/>
      <c r="CS14" s="36"/>
      <c r="CT14" s="36"/>
      <c r="CU14" s="36"/>
      <c r="CV14" s="36"/>
      <c r="CW14" s="36"/>
      <c r="CX14" s="36"/>
      <c r="CY14" s="36"/>
    </row>
    <row r="15" spans="1:103" ht="20.25" customHeight="1">
      <c r="A15" s="1"/>
      <c r="B15" s="66"/>
      <c r="C15" s="45" t="str">
        <f>C14</f>
        <v>WF開発</v>
      </c>
      <c r="D15" s="68"/>
      <c r="E15" s="33">
        <f>IF(ISBLANK(E14),"",E14)</f>
        <v>45961</v>
      </c>
      <c r="F15" s="70"/>
      <c r="G15" s="17" t="str">
        <f>G14</f>
        <v>榎本</v>
      </c>
      <c r="H15" s="43"/>
      <c r="I15" s="43"/>
      <c r="J15" s="17"/>
      <c r="K15" s="22" t="str">
        <f>K14</f>
        <v>未</v>
      </c>
      <c r="L15" s="26" t="s">
        <v>17</v>
      </c>
      <c r="M15" s="37"/>
      <c r="N15" s="40"/>
      <c r="O15" s="27"/>
      <c r="P15" s="27"/>
      <c r="Q15" s="27"/>
      <c r="R15" s="27"/>
      <c r="S15" s="29"/>
      <c r="T15" s="29"/>
      <c r="U15" s="29"/>
      <c r="V15" s="29"/>
      <c r="W15" s="29"/>
      <c r="X15" s="27"/>
      <c r="Y15" s="27"/>
      <c r="Z15" s="27"/>
      <c r="AA15" s="29"/>
      <c r="AB15" s="29"/>
      <c r="AC15" s="29"/>
      <c r="AD15" s="29"/>
      <c r="AE15" s="27"/>
      <c r="AF15" s="27"/>
      <c r="AG15" s="29"/>
      <c r="AH15" s="29"/>
      <c r="AI15" s="29"/>
      <c r="AJ15" s="29"/>
      <c r="AK15" s="29"/>
      <c r="AL15" s="27"/>
      <c r="AM15" s="27"/>
      <c r="AN15" s="29"/>
      <c r="AO15" s="29"/>
      <c r="AP15" s="29"/>
      <c r="AQ15" s="29"/>
      <c r="AR15" s="29">
        <v>0.5</v>
      </c>
      <c r="AS15" s="40"/>
      <c r="AT15" s="27"/>
      <c r="AU15" s="29">
        <v>1</v>
      </c>
      <c r="AV15" s="29"/>
      <c r="AW15" s="29"/>
      <c r="AX15" s="29"/>
      <c r="AY15" s="29">
        <v>1</v>
      </c>
      <c r="AZ15" s="27"/>
      <c r="BA15" s="27"/>
      <c r="BB15" s="29"/>
      <c r="BC15" s="27"/>
      <c r="BD15" s="29"/>
      <c r="BE15" s="29"/>
      <c r="BF15" s="29"/>
      <c r="BG15" s="27"/>
      <c r="BH15" s="27"/>
      <c r="BI15" s="29"/>
      <c r="BJ15" s="29"/>
      <c r="BK15" s="29"/>
      <c r="BL15" s="29"/>
      <c r="BM15" s="29"/>
      <c r="BN15" s="27"/>
      <c r="BO15" s="27"/>
      <c r="BP15" s="27"/>
      <c r="BQ15" s="29"/>
      <c r="BR15" s="29"/>
      <c r="BS15" s="29"/>
      <c r="BT15" s="29"/>
      <c r="BU15" s="40"/>
      <c r="BV15" s="27"/>
      <c r="BW15" s="29"/>
      <c r="BX15" s="29"/>
      <c r="BY15" s="29"/>
      <c r="BZ15" s="29"/>
      <c r="CA15" s="29"/>
      <c r="CB15" s="27"/>
      <c r="CC15" s="27"/>
      <c r="CD15" s="29"/>
      <c r="CE15" s="29"/>
      <c r="CF15" s="29"/>
      <c r="CG15" s="29"/>
      <c r="CH15" s="29"/>
      <c r="CI15" s="27"/>
      <c r="CJ15" s="27"/>
      <c r="CK15" s="29"/>
      <c r="CL15" s="29"/>
      <c r="CM15" s="29"/>
      <c r="CN15" s="27"/>
      <c r="CO15" s="29"/>
      <c r="CP15" s="27"/>
      <c r="CQ15" s="27"/>
      <c r="CR15" s="29"/>
      <c r="CS15" s="29"/>
      <c r="CT15" s="29"/>
      <c r="CU15" s="29"/>
      <c r="CV15" s="29"/>
      <c r="CW15" s="29"/>
      <c r="CX15" s="29"/>
      <c r="CY15" s="29"/>
    </row>
    <row r="16" spans="1:103" ht="24.75" customHeight="1">
      <c r="A16" s="1"/>
      <c r="B16" s="65">
        <f>B14+1</f>
        <v>6</v>
      </c>
      <c r="C16" s="8" t="s">
        <v>40</v>
      </c>
      <c r="D16" s="67" t="s">
        <v>49</v>
      </c>
      <c r="E16" s="24">
        <v>45961</v>
      </c>
      <c r="F16" s="69" t="s">
        <v>50</v>
      </c>
      <c r="G16" s="32" t="s">
        <v>22</v>
      </c>
      <c r="H16" s="42">
        <f>SUM(N16:CY16)</f>
        <v>3</v>
      </c>
      <c r="I16" s="42">
        <f>SUM(N17:CY17)</f>
        <v>2</v>
      </c>
      <c r="J16" s="32"/>
      <c r="K16" s="19" t="s">
        <v>24</v>
      </c>
      <c r="L16" s="25" t="s">
        <v>16</v>
      </c>
      <c r="M16" s="34"/>
      <c r="N16" s="41"/>
      <c r="O16" s="35"/>
      <c r="P16" s="35"/>
      <c r="Q16" s="35"/>
      <c r="R16" s="35"/>
      <c r="S16" s="36"/>
      <c r="T16" s="36"/>
      <c r="U16" s="36"/>
      <c r="V16" s="36"/>
      <c r="W16" s="36"/>
      <c r="X16" s="35"/>
      <c r="Y16" s="35"/>
      <c r="Z16" s="35"/>
      <c r="AA16" s="36"/>
      <c r="AB16" s="36"/>
      <c r="AC16" s="36"/>
      <c r="AD16" s="36"/>
      <c r="AE16" s="35"/>
      <c r="AF16" s="35"/>
      <c r="AG16" s="36"/>
      <c r="AH16" s="36"/>
      <c r="AI16" s="36"/>
      <c r="AJ16" s="36"/>
      <c r="AK16" s="36"/>
      <c r="AL16" s="35"/>
      <c r="AM16" s="35"/>
      <c r="AN16" s="36"/>
      <c r="AO16" s="36"/>
      <c r="AP16" s="36"/>
      <c r="AQ16" s="36"/>
      <c r="AR16" s="36"/>
      <c r="AS16" s="41"/>
      <c r="AT16" s="35"/>
      <c r="AU16" s="36"/>
      <c r="AV16" s="36"/>
      <c r="AW16" s="36"/>
      <c r="AX16" s="36"/>
      <c r="AY16" s="36"/>
      <c r="AZ16" s="35"/>
      <c r="BA16" s="35"/>
      <c r="BB16" s="36"/>
      <c r="BC16" s="35"/>
      <c r="BD16" s="36">
        <v>1</v>
      </c>
      <c r="BE16" s="36">
        <v>1</v>
      </c>
      <c r="BF16" s="36"/>
      <c r="BG16" s="35"/>
      <c r="BH16" s="35"/>
      <c r="BI16" s="36"/>
      <c r="BJ16" s="36"/>
      <c r="BK16" s="36"/>
      <c r="BL16" s="36"/>
      <c r="BM16" s="36"/>
      <c r="BN16" s="35"/>
      <c r="BO16" s="35"/>
      <c r="BP16" s="35"/>
      <c r="BQ16" s="36"/>
      <c r="BR16" s="36"/>
      <c r="BS16" s="36"/>
      <c r="BT16" s="36">
        <v>1</v>
      </c>
      <c r="BU16" s="41"/>
      <c r="BV16" s="35"/>
      <c r="BW16" s="36"/>
      <c r="BX16" s="36"/>
      <c r="BY16" s="36"/>
      <c r="BZ16" s="36"/>
      <c r="CA16" s="36"/>
      <c r="CB16" s="35"/>
      <c r="CC16" s="35"/>
      <c r="CD16" s="36"/>
      <c r="CE16" s="36"/>
      <c r="CF16" s="36"/>
      <c r="CG16" s="36"/>
      <c r="CH16" s="36"/>
      <c r="CI16" s="35"/>
      <c r="CJ16" s="35"/>
      <c r="CK16" s="36"/>
      <c r="CL16" s="36"/>
      <c r="CM16" s="36"/>
      <c r="CN16" s="35"/>
      <c r="CO16" s="36"/>
      <c r="CP16" s="35"/>
      <c r="CQ16" s="35"/>
      <c r="CR16" s="36"/>
      <c r="CS16" s="36"/>
      <c r="CT16" s="36"/>
      <c r="CU16" s="36"/>
      <c r="CV16" s="36"/>
      <c r="CW16" s="36"/>
      <c r="CX16" s="36"/>
      <c r="CY16" s="36"/>
    </row>
    <row r="17" spans="1:103" ht="20.25" customHeight="1">
      <c r="A17" s="1"/>
      <c r="B17" s="66"/>
      <c r="C17" s="45" t="str">
        <f>C16</f>
        <v>WF設定</v>
      </c>
      <c r="D17" s="68"/>
      <c r="E17" s="33">
        <f>IF(ISBLANK(E16),"",E16)</f>
        <v>45961</v>
      </c>
      <c r="F17" s="70"/>
      <c r="G17" s="17" t="str">
        <f>G16</f>
        <v>榎本</v>
      </c>
      <c r="H17" s="43"/>
      <c r="I17" s="43"/>
      <c r="J17" s="17"/>
      <c r="K17" s="22" t="str">
        <f>K16</f>
        <v>未</v>
      </c>
      <c r="L17" s="26" t="s">
        <v>17</v>
      </c>
      <c r="M17" s="37"/>
      <c r="N17" s="40"/>
      <c r="O17" s="27"/>
      <c r="P17" s="27"/>
      <c r="Q17" s="27"/>
      <c r="R17" s="27"/>
      <c r="S17" s="29"/>
      <c r="T17" s="29"/>
      <c r="U17" s="29"/>
      <c r="V17" s="29"/>
      <c r="W17" s="29"/>
      <c r="X17" s="27"/>
      <c r="Y17" s="27"/>
      <c r="Z17" s="27"/>
      <c r="AA17" s="29"/>
      <c r="AB17" s="29"/>
      <c r="AC17" s="29"/>
      <c r="AD17" s="29"/>
      <c r="AE17" s="27"/>
      <c r="AF17" s="27"/>
      <c r="AG17" s="29"/>
      <c r="AH17" s="29"/>
      <c r="AI17" s="29"/>
      <c r="AJ17" s="29"/>
      <c r="AK17" s="29"/>
      <c r="AL17" s="27"/>
      <c r="AM17" s="27"/>
      <c r="AN17" s="29"/>
      <c r="AO17" s="29"/>
      <c r="AP17" s="29"/>
      <c r="AQ17" s="29"/>
      <c r="AR17" s="29"/>
      <c r="AS17" s="40"/>
      <c r="AT17" s="27"/>
      <c r="AU17" s="29"/>
      <c r="AV17" s="29"/>
      <c r="AW17" s="29"/>
      <c r="AX17" s="29"/>
      <c r="AY17" s="29"/>
      <c r="AZ17" s="27"/>
      <c r="BA17" s="27"/>
      <c r="BB17" s="29"/>
      <c r="BC17" s="27"/>
      <c r="BD17" s="29">
        <v>1</v>
      </c>
      <c r="BE17" s="29">
        <v>1</v>
      </c>
      <c r="BF17" s="29"/>
      <c r="BG17" s="27"/>
      <c r="BH17" s="27"/>
      <c r="BI17" s="29"/>
      <c r="BJ17" s="29"/>
      <c r="BK17" s="29"/>
      <c r="BL17" s="29"/>
      <c r="BM17" s="29"/>
      <c r="BN17" s="27"/>
      <c r="BO17" s="27"/>
      <c r="BP17" s="27"/>
      <c r="BQ17" s="29"/>
      <c r="BR17" s="29"/>
      <c r="BS17" s="29"/>
      <c r="BT17" s="29"/>
      <c r="BU17" s="40"/>
      <c r="BV17" s="27"/>
      <c r="BW17" s="29"/>
      <c r="BX17" s="29"/>
      <c r="BY17" s="29"/>
      <c r="BZ17" s="29"/>
      <c r="CA17" s="29"/>
      <c r="CB17" s="27"/>
      <c r="CC17" s="27"/>
      <c r="CD17" s="29"/>
      <c r="CE17" s="29"/>
      <c r="CF17" s="29"/>
      <c r="CG17" s="29"/>
      <c r="CH17" s="29"/>
      <c r="CI17" s="27"/>
      <c r="CJ17" s="27"/>
      <c r="CK17" s="29"/>
      <c r="CL17" s="29"/>
      <c r="CM17" s="29"/>
      <c r="CN17" s="27"/>
      <c r="CO17" s="29"/>
      <c r="CP17" s="27"/>
      <c r="CQ17" s="27"/>
      <c r="CR17" s="29"/>
      <c r="CS17" s="29"/>
      <c r="CT17" s="29"/>
      <c r="CU17" s="29"/>
      <c r="CV17" s="29"/>
      <c r="CW17" s="29"/>
      <c r="CX17" s="29"/>
      <c r="CY17" s="29"/>
    </row>
    <row r="18" spans="1:103" ht="24.75" customHeight="1">
      <c r="A18" s="1"/>
      <c r="B18" s="65">
        <f>B14+1</f>
        <v>6</v>
      </c>
      <c r="C18" s="8" t="s">
        <v>40</v>
      </c>
      <c r="D18" s="67" t="s">
        <v>51</v>
      </c>
      <c r="E18" s="24">
        <v>45961</v>
      </c>
      <c r="F18" s="69" t="s">
        <v>52</v>
      </c>
      <c r="G18" s="32" t="s">
        <v>22</v>
      </c>
      <c r="H18" s="42">
        <f>SUM(N18:CY18)</f>
        <v>0</v>
      </c>
      <c r="I18" s="42">
        <f>SUM(N19:CY19)</f>
        <v>0</v>
      </c>
      <c r="J18" s="32"/>
      <c r="K18" s="19" t="s">
        <v>24</v>
      </c>
      <c r="L18" s="25" t="s">
        <v>16</v>
      </c>
      <c r="M18" s="34"/>
      <c r="N18" s="41"/>
      <c r="O18" s="35"/>
      <c r="P18" s="35"/>
      <c r="Q18" s="35"/>
      <c r="R18" s="35"/>
      <c r="S18" s="36"/>
      <c r="T18" s="36"/>
      <c r="U18" s="36"/>
      <c r="V18" s="36"/>
      <c r="W18" s="36"/>
      <c r="X18" s="35"/>
      <c r="Y18" s="35"/>
      <c r="Z18" s="35"/>
      <c r="AA18" s="36"/>
      <c r="AB18" s="36"/>
      <c r="AC18" s="36"/>
      <c r="AD18" s="36"/>
      <c r="AE18" s="35"/>
      <c r="AF18" s="35"/>
      <c r="AG18" s="36"/>
      <c r="AH18" s="36"/>
      <c r="AI18" s="36"/>
      <c r="AJ18" s="36"/>
      <c r="AK18" s="36"/>
      <c r="AL18" s="35"/>
      <c r="AM18" s="35"/>
      <c r="AN18" s="36"/>
      <c r="AO18" s="36"/>
      <c r="AP18" s="36"/>
      <c r="AQ18" s="36"/>
      <c r="AR18" s="36"/>
      <c r="AS18" s="41"/>
      <c r="AT18" s="35"/>
      <c r="AU18" s="36"/>
      <c r="AV18" s="36"/>
      <c r="AW18" s="36"/>
      <c r="AX18" s="36"/>
      <c r="AY18" s="36"/>
      <c r="AZ18" s="35"/>
      <c r="BA18" s="35"/>
      <c r="BB18" s="36"/>
      <c r="BC18" s="35"/>
      <c r="BD18" s="36"/>
      <c r="BE18" s="36"/>
      <c r="BF18" s="36"/>
      <c r="BG18" s="35"/>
      <c r="BH18" s="35"/>
      <c r="BI18" s="36"/>
      <c r="BJ18" s="36"/>
      <c r="BK18" s="36"/>
      <c r="BL18" s="36"/>
      <c r="BM18" s="36"/>
      <c r="BN18" s="35"/>
      <c r="BO18" s="35"/>
      <c r="BP18" s="35"/>
      <c r="BQ18" s="36"/>
      <c r="BR18" s="36"/>
      <c r="BS18" s="36"/>
      <c r="BT18" s="36"/>
      <c r="BU18" s="41"/>
      <c r="BV18" s="35"/>
      <c r="BW18" s="36"/>
      <c r="BX18" s="36"/>
      <c r="BY18" s="36"/>
      <c r="BZ18" s="36"/>
      <c r="CA18" s="36"/>
      <c r="CB18" s="35"/>
      <c r="CC18" s="35"/>
      <c r="CD18" s="36"/>
      <c r="CE18" s="36"/>
      <c r="CF18" s="36"/>
      <c r="CG18" s="36"/>
      <c r="CH18" s="36"/>
      <c r="CI18" s="35"/>
      <c r="CJ18" s="35"/>
      <c r="CK18" s="36"/>
      <c r="CL18" s="36"/>
      <c r="CM18" s="36"/>
      <c r="CN18" s="35"/>
      <c r="CO18" s="36"/>
      <c r="CP18" s="35"/>
      <c r="CQ18" s="35"/>
      <c r="CR18" s="36"/>
      <c r="CS18" s="36"/>
      <c r="CT18" s="36"/>
      <c r="CU18" s="36"/>
      <c r="CV18" s="36"/>
      <c r="CW18" s="36"/>
      <c r="CX18" s="36"/>
      <c r="CY18" s="36"/>
    </row>
    <row r="19" spans="1:103" ht="20.25" customHeight="1">
      <c r="A19" s="1"/>
      <c r="B19" s="66"/>
      <c r="C19" s="45" t="str">
        <f>C18</f>
        <v>WF設定</v>
      </c>
      <c r="D19" s="68"/>
      <c r="E19" s="33">
        <f>IF(ISBLANK(E18),"",E18)</f>
        <v>45961</v>
      </c>
      <c r="F19" s="70"/>
      <c r="G19" s="17" t="str">
        <f>G18</f>
        <v>榎本</v>
      </c>
      <c r="H19" s="43"/>
      <c r="I19" s="43"/>
      <c r="J19" s="17"/>
      <c r="K19" s="22" t="str">
        <f>K18</f>
        <v>未</v>
      </c>
      <c r="L19" s="26" t="s">
        <v>17</v>
      </c>
      <c r="M19" s="37"/>
      <c r="N19" s="40"/>
      <c r="O19" s="27"/>
      <c r="P19" s="27"/>
      <c r="Q19" s="27"/>
      <c r="R19" s="27"/>
      <c r="S19" s="29"/>
      <c r="T19" s="29"/>
      <c r="U19" s="29"/>
      <c r="V19" s="29"/>
      <c r="W19" s="29"/>
      <c r="X19" s="27"/>
      <c r="Y19" s="27"/>
      <c r="Z19" s="27"/>
      <c r="AA19" s="29"/>
      <c r="AB19" s="29"/>
      <c r="AC19" s="29"/>
      <c r="AD19" s="29"/>
      <c r="AE19" s="27"/>
      <c r="AF19" s="27"/>
      <c r="AG19" s="29"/>
      <c r="AH19" s="29"/>
      <c r="AI19" s="29"/>
      <c r="AJ19" s="29"/>
      <c r="AK19" s="29"/>
      <c r="AL19" s="27"/>
      <c r="AM19" s="27"/>
      <c r="AN19" s="29"/>
      <c r="AO19" s="29"/>
      <c r="AP19" s="29"/>
      <c r="AQ19" s="29"/>
      <c r="AR19" s="29"/>
      <c r="AS19" s="40"/>
      <c r="AT19" s="27"/>
      <c r="AU19" s="29"/>
      <c r="AV19" s="29"/>
      <c r="AW19" s="29"/>
      <c r="AX19" s="29"/>
      <c r="AY19" s="29"/>
      <c r="AZ19" s="27"/>
      <c r="BA19" s="27"/>
      <c r="BB19" s="29"/>
      <c r="BC19" s="27"/>
      <c r="BD19" s="29"/>
      <c r="BE19" s="29"/>
      <c r="BF19" s="29"/>
      <c r="BG19" s="27"/>
      <c r="BH19" s="27"/>
      <c r="BI19" s="29"/>
      <c r="BJ19" s="29"/>
      <c r="BK19" s="29"/>
      <c r="BL19" s="29"/>
      <c r="BM19" s="29"/>
      <c r="BN19" s="27"/>
      <c r="BO19" s="27"/>
      <c r="BP19" s="27"/>
      <c r="BQ19" s="29"/>
      <c r="BR19" s="29"/>
      <c r="BS19" s="29"/>
      <c r="BT19" s="29"/>
      <c r="BU19" s="40"/>
      <c r="BV19" s="27"/>
      <c r="BW19" s="29"/>
      <c r="BX19" s="29"/>
      <c r="BY19" s="29"/>
      <c r="BZ19" s="29"/>
      <c r="CA19" s="29"/>
      <c r="CB19" s="27"/>
      <c r="CC19" s="27"/>
      <c r="CD19" s="29"/>
      <c r="CE19" s="29"/>
      <c r="CF19" s="29"/>
      <c r="CG19" s="29"/>
      <c r="CH19" s="29"/>
      <c r="CI19" s="27"/>
      <c r="CJ19" s="27"/>
      <c r="CK19" s="29"/>
      <c r="CL19" s="29"/>
      <c r="CM19" s="29"/>
      <c r="CN19" s="27"/>
      <c r="CO19" s="29"/>
      <c r="CP19" s="27"/>
      <c r="CQ19" s="27"/>
      <c r="CR19" s="29"/>
      <c r="CS19" s="29"/>
      <c r="CT19" s="29"/>
      <c r="CU19" s="29"/>
      <c r="CV19" s="29"/>
      <c r="CW19" s="29"/>
      <c r="CX19" s="29"/>
      <c r="CY19" s="29"/>
    </row>
    <row r="20" spans="1:103" ht="24.75" customHeight="1">
      <c r="A20" s="1"/>
      <c r="B20" s="65">
        <f t="shared" si="3"/>
        <v>7</v>
      </c>
      <c r="C20" s="8" t="s">
        <v>38</v>
      </c>
      <c r="D20" s="67" t="s">
        <v>53</v>
      </c>
      <c r="E20" s="24">
        <v>45961</v>
      </c>
      <c r="F20" s="69"/>
      <c r="G20" s="32" t="s">
        <v>22</v>
      </c>
      <c r="H20" s="42">
        <f>SUM(N20:CY20)</f>
        <v>0</v>
      </c>
      <c r="I20" s="42">
        <f>SUM(N21:CY21)</f>
        <v>0</v>
      </c>
      <c r="J20" s="32"/>
      <c r="K20" s="19" t="s">
        <v>24</v>
      </c>
      <c r="L20" s="25" t="s">
        <v>16</v>
      </c>
      <c r="M20" s="34"/>
      <c r="N20" s="41"/>
      <c r="O20" s="35"/>
      <c r="P20" s="35"/>
      <c r="Q20" s="35"/>
      <c r="R20" s="35"/>
      <c r="S20" s="36"/>
      <c r="T20" s="36"/>
      <c r="U20" s="36"/>
      <c r="V20" s="36"/>
      <c r="W20" s="36"/>
      <c r="X20" s="35"/>
      <c r="Y20" s="35"/>
      <c r="Z20" s="35"/>
      <c r="AA20" s="36"/>
      <c r="AB20" s="36"/>
      <c r="AC20" s="36"/>
      <c r="AD20" s="36"/>
      <c r="AE20" s="35"/>
      <c r="AF20" s="35"/>
      <c r="AG20" s="36"/>
      <c r="AH20" s="36"/>
      <c r="AI20" s="36"/>
      <c r="AJ20" s="36"/>
      <c r="AK20" s="36"/>
      <c r="AL20" s="35"/>
      <c r="AM20" s="35"/>
      <c r="AN20" s="36"/>
      <c r="AO20" s="36"/>
      <c r="AP20" s="36"/>
      <c r="AQ20" s="36"/>
      <c r="AR20" s="36"/>
      <c r="AS20" s="41"/>
      <c r="AT20" s="35"/>
      <c r="AU20" s="36"/>
      <c r="AV20" s="36"/>
      <c r="AW20" s="36"/>
      <c r="AX20" s="36"/>
      <c r="AY20" s="36"/>
      <c r="AZ20" s="35"/>
      <c r="BA20" s="35"/>
      <c r="BB20" s="36"/>
      <c r="BC20" s="35"/>
      <c r="BD20" s="36"/>
      <c r="BE20" s="36"/>
      <c r="BF20" s="36"/>
      <c r="BG20" s="35"/>
      <c r="BH20" s="35"/>
      <c r="BI20" s="36"/>
      <c r="BJ20" s="36"/>
      <c r="BK20" s="36"/>
      <c r="BL20" s="36"/>
      <c r="BM20" s="36"/>
      <c r="BN20" s="35"/>
      <c r="BO20" s="35"/>
      <c r="BP20" s="35"/>
      <c r="BQ20" s="36"/>
      <c r="BR20" s="36"/>
      <c r="BS20" s="36"/>
      <c r="BT20" s="36"/>
      <c r="BU20" s="41"/>
      <c r="BV20" s="35"/>
      <c r="BW20" s="36"/>
      <c r="BX20" s="36"/>
      <c r="BY20" s="36"/>
      <c r="BZ20" s="36"/>
      <c r="CA20" s="36"/>
      <c r="CB20" s="35"/>
      <c r="CC20" s="35"/>
      <c r="CD20" s="36"/>
      <c r="CE20" s="36"/>
      <c r="CF20" s="36"/>
      <c r="CG20" s="36"/>
      <c r="CH20" s="36"/>
      <c r="CI20" s="35"/>
      <c r="CJ20" s="35"/>
      <c r="CK20" s="36"/>
      <c r="CL20" s="36"/>
      <c r="CM20" s="36"/>
      <c r="CN20" s="35"/>
      <c r="CO20" s="36"/>
      <c r="CP20" s="35"/>
      <c r="CQ20" s="35"/>
      <c r="CR20" s="36"/>
      <c r="CS20" s="36"/>
      <c r="CT20" s="36"/>
      <c r="CU20" s="36"/>
      <c r="CV20" s="36"/>
      <c r="CW20" s="36"/>
      <c r="CX20" s="36"/>
      <c r="CY20" s="36"/>
    </row>
    <row r="21" spans="1:103" ht="20.25" customHeight="1">
      <c r="A21" s="1"/>
      <c r="B21" s="66"/>
      <c r="C21" s="45" t="str">
        <f>C20</f>
        <v>EAI連携</v>
      </c>
      <c r="D21" s="68"/>
      <c r="E21" s="33">
        <f>IF(ISBLANK(E20),"",E20)</f>
        <v>45961</v>
      </c>
      <c r="F21" s="70"/>
      <c r="G21" s="17" t="str">
        <f>G20</f>
        <v>榎本</v>
      </c>
      <c r="H21" s="43"/>
      <c r="I21" s="43"/>
      <c r="J21" s="17"/>
      <c r="K21" s="22" t="str">
        <f>K20</f>
        <v>未</v>
      </c>
      <c r="L21" s="26" t="s">
        <v>17</v>
      </c>
      <c r="M21" s="37"/>
      <c r="N21" s="40"/>
      <c r="O21" s="27"/>
      <c r="P21" s="27"/>
      <c r="Q21" s="27"/>
      <c r="R21" s="27"/>
      <c r="S21" s="29"/>
      <c r="T21" s="29"/>
      <c r="U21" s="29"/>
      <c r="V21" s="29"/>
      <c r="W21" s="29"/>
      <c r="X21" s="27"/>
      <c r="Y21" s="27"/>
      <c r="Z21" s="27"/>
      <c r="AA21" s="29"/>
      <c r="AB21" s="29"/>
      <c r="AC21" s="29"/>
      <c r="AD21" s="29"/>
      <c r="AE21" s="27"/>
      <c r="AF21" s="27"/>
      <c r="AG21" s="29"/>
      <c r="AH21" s="29"/>
      <c r="AI21" s="29"/>
      <c r="AJ21" s="29"/>
      <c r="AK21" s="29"/>
      <c r="AL21" s="27"/>
      <c r="AM21" s="27"/>
      <c r="AN21" s="29"/>
      <c r="AO21" s="29"/>
      <c r="AP21" s="29"/>
      <c r="AQ21" s="29"/>
      <c r="AR21" s="29"/>
      <c r="AS21" s="40"/>
      <c r="AT21" s="27"/>
      <c r="AU21" s="29"/>
      <c r="AV21" s="29"/>
      <c r="AW21" s="29"/>
      <c r="AX21" s="29"/>
      <c r="AY21" s="29"/>
      <c r="AZ21" s="27"/>
      <c r="BA21" s="27"/>
      <c r="BB21" s="29"/>
      <c r="BC21" s="27"/>
      <c r="BD21" s="29"/>
      <c r="BE21" s="29"/>
      <c r="BF21" s="29"/>
      <c r="BG21" s="27"/>
      <c r="BH21" s="27"/>
      <c r="BI21" s="29"/>
      <c r="BJ21" s="29"/>
      <c r="BK21" s="29"/>
      <c r="BL21" s="29"/>
      <c r="BM21" s="29"/>
      <c r="BN21" s="27"/>
      <c r="BO21" s="27"/>
      <c r="BP21" s="27"/>
      <c r="BQ21" s="29"/>
      <c r="BR21" s="29"/>
      <c r="BS21" s="29"/>
      <c r="BT21" s="29"/>
      <c r="BU21" s="40"/>
      <c r="BV21" s="27"/>
      <c r="BW21" s="29"/>
      <c r="BX21" s="29"/>
      <c r="BY21" s="29"/>
      <c r="BZ21" s="29"/>
      <c r="CA21" s="29"/>
      <c r="CB21" s="27"/>
      <c r="CC21" s="27"/>
      <c r="CD21" s="29"/>
      <c r="CE21" s="29"/>
      <c r="CF21" s="29"/>
      <c r="CG21" s="29"/>
      <c r="CH21" s="29"/>
      <c r="CI21" s="27"/>
      <c r="CJ21" s="27"/>
      <c r="CK21" s="29"/>
      <c r="CL21" s="29"/>
      <c r="CM21" s="29"/>
      <c r="CN21" s="27"/>
      <c r="CO21" s="29"/>
      <c r="CP21" s="27"/>
      <c r="CQ21" s="27"/>
      <c r="CR21" s="29"/>
      <c r="CS21" s="29"/>
      <c r="CT21" s="29"/>
      <c r="CU21" s="29"/>
      <c r="CV21" s="29"/>
      <c r="CW21" s="29"/>
      <c r="CX21" s="29"/>
      <c r="CY21" s="29"/>
    </row>
    <row r="22" spans="1:103" ht="24.75" customHeight="1">
      <c r="A22" s="1"/>
      <c r="B22" s="65">
        <f t="shared" si="3"/>
        <v>8</v>
      </c>
      <c r="C22" s="8" t="s">
        <v>38</v>
      </c>
      <c r="D22" s="67" t="s">
        <v>54</v>
      </c>
      <c r="E22" s="24">
        <v>45961</v>
      </c>
      <c r="F22" s="69"/>
      <c r="G22" s="32" t="s">
        <v>22</v>
      </c>
      <c r="H22" s="42">
        <f>SUM(N22:CY22)</f>
        <v>0</v>
      </c>
      <c r="I22" s="42">
        <f>SUM(N23:CY23)</f>
        <v>0</v>
      </c>
      <c r="J22" s="32"/>
      <c r="K22" s="19" t="s">
        <v>24</v>
      </c>
      <c r="L22" s="25" t="s">
        <v>16</v>
      </c>
      <c r="M22" s="34"/>
      <c r="N22" s="41"/>
      <c r="O22" s="35"/>
      <c r="P22" s="35"/>
      <c r="Q22" s="35"/>
      <c r="R22" s="35"/>
      <c r="S22" s="36"/>
      <c r="T22" s="36"/>
      <c r="U22" s="36"/>
      <c r="V22" s="36"/>
      <c r="W22" s="36"/>
      <c r="X22" s="35"/>
      <c r="Y22" s="35"/>
      <c r="Z22" s="35"/>
      <c r="AA22" s="36"/>
      <c r="AB22" s="36"/>
      <c r="AC22" s="36"/>
      <c r="AD22" s="36"/>
      <c r="AE22" s="35"/>
      <c r="AF22" s="35"/>
      <c r="AG22" s="36"/>
      <c r="AH22" s="36"/>
      <c r="AI22" s="36"/>
      <c r="AJ22" s="36"/>
      <c r="AK22" s="36"/>
      <c r="AL22" s="35"/>
      <c r="AM22" s="35"/>
      <c r="AN22" s="36"/>
      <c r="AO22" s="36"/>
      <c r="AP22" s="36"/>
      <c r="AQ22" s="36"/>
      <c r="AR22" s="36"/>
      <c r="AS22" s="41"/>
      <c r="AT22" s="35"/>
      <c r="AU22" s="36"/>
      <c r="AV22" s="36"/>
      <c r="AW22" s="36"/>
      <c r="AX22" s="36"/>
      <c r="AY22" s="36"/>
      <c r="AZ22" s="35"/>
      <c r="BA22" s="35"/>
      <c r="BB22" s="36"/>
      <c r="BC22" s="35"/>
      <c r="BD22" s="36"/>
      <c r="BE22" s="36"/>
      <c r="BF22" s="36"/>
      <c r="BG22" s="35"/>
      <c r="BH22" s="35"/>
      <c r="BI22" s="36"/>
      <c r="BJ22" s="36"/>
      <c r="BK22" s="36"/>
      <c r="BL22" s="36"/>
      <c r="BM22" s="36"/>
      <c r="BN22" s="35"/>
      <c r="BO22" s="35"/>
      <c r="BP22" s="35"/>
      <c r="BQ22" s="36"/>
      <c r="BR22" s="36"/>
      <c r="BS22" s="36"/>
      <c r="BT22" s="36"/>
      <c r="BU22" s="41"/>
      <c r="BV22" s="35"/>
      <c r="BW22" s="36"/>
      <c r="BX22" s="36"/>
      <c r="BY22" s="36"/>
      <c r="BZ22" s="36"/>
      <c r="CA22" s="36"/>
      <c r="CB22" s="35"/>
      <c r="CC22" s="35"/>
      <c r="CD22" s="36"/>
      <c r="CE22" s="36"/>
      <c r="CF22" s="36"/>
      <c r="CG22" s="36"/>
      <c r="CH22" s="36"/>
      <c r="CI22" s="35"/>
      <c r="CJ22" s="35"/>
      <c r="CK22" s="36"/>
      <c r="CL22" s="36"/>
      <c r="CM22" s="36"/>
      <c r="CN22" s="35"/>
      <c r="CO22" s="36"/>
      <c r="CP22" s="35"/>
      <c r="CQ22" s="35"/>
      <c r="CR22" s="36"/>
      <c r="CS22" s="36"/>
      <c r="CT22" s="36"/>
      <c r="CU22" s="36"/>
      <c r="CV22" s="36"/>
      <c r="CW22" s="36"/>
      <c r="CX22" s="36"/>
      <c r="CY22" s="36"/>
    </row>
    <row r="23" spans="1:103" ht="20.25" customHeight="1">
      <c r="A23" s="1"/>
      <c r="B23" s="66"/>
      <c r="C23" s="45" t="str">
        <f>C22</f>
        <v>EAI連携</v>
      </c>
      <c r="D23" s="68"/>
      <c r="E23" s="33">
        <f>IF(ISBLANK(E22),"",E22)</f>
        <v>45961</v>
      </c>
      <c r="F23" s="70"/>
      <c r="G23" s="17" t="str">
        <f>G22</f>
        <v>榎本</v>
      </c>
      <c r="H23" s="43"/>
      <c r="I23" s="43"/>
      <c r="J23" s="17"/>
      <c r="K23" s="22" t="str">
        <f>K22</f>
        <v>未</v>
      </c>
      <c r="L23" s="26" t="s">
        <v>17</v>
      </c>
      <c r="M23" s="37"/>
      <c r="N23" s="40"/>
      <c r="O23" s="27"/>
      <c r="P23" s="27"/>
      <c r="Q23" s="27"/>
      <c r="R23" s="27"/>
      <c r="S23" s="29"/>
      <c r="T23" s="29"/>
      <c r="U23" s="29"/>
      <c r="V23" s="29"/>
      <c r="W23" s="29"/>
      <c r="X23" s="27"/>
      <c r="Y23" s="27"/>
      <c r="Z23" s="27"/>
      <c r="AA23" s="29"/>
      <c r="AB23" s="29"/>
      <c r="AC23" s="29"/>
      <c r="AD23" s="29"/>
      <c r="AE23" s="27"/>
      <c r="AF23" s="27"/>
      <c r="AG23" s="29"/>
      <c r="AH23" s="29"/>
      <c r="AI23" s="29"/>
      <c r="AJ23" s="29"/>
      <c r="AK23" s="29"/>
      <c r="AL23" s="27"/>
      <c r="AM23" s="27"/>
      <c r="AN23" s="29"/>
      <c r="AO23" s="29"/>
      <c r="AP23" s="29"/>
      <c r="AQ23" s="29"/>
      <c r="AR23" s="29"/>
      <c r="AS23" s="40"/>
      <c r="AT23" s="27"/>
      <c r="AU23" s="29"/>
      <c r="AV23" s="29"/>
      <c r="AW23" s="29"/>
      <c r="AX23" s="29"/>
      <c r="AY23" s="29"/>
      <c r="AZ23" s="27"/>
      <c r="BA23" s="27"/>
      <c r="BB23" s="29"/>
      <c r="BC23" s="27"/>
      <c r="BD23" s="29"/>
      <c r="BE23" s="29"/>
      <c r="BF23" s="29"/>
      <c r="BG23" s="27"/>
      <c r="BH23" s="27"/>
      <c r="BI23" s="29"/>
      <c r="BJ23" s="29"/>
      <c r="BK23" s="29"/>
      <c r="BL23" s="29"/>
      <c r="BM23" s="29"/>
      <c r="BN23" s="27"/>
      <c r="BO23" s="27"/>
      <c r="BP23" s="27"/>
      <c r="BQ23" s="29"/>
      <c r="BR23" s="29"/>
      <c r="BS23" s="29"/>
      <c r="BT23" s="29"/>
      <c r="BU23" s="40"/>
      <c r="BV23" s="27"/>
      <c r="BW23" s="29"/>
      <c r="BX23" s="29"/>
      <c r="BY23" s="29"/>
      <c r="BZ23" s="29"/>
      <c r="CA23" s="29"/>
      <c r="CB23" s="27"/>
      <c r="CC23" s="27"/>
      <c r="CD23" s="29"/>
      <c r="CE23" s="29"/>
      <c r="CF23" s="29"/>
      <c r="CG23" s="29"/>
      <c r="CH23" s="29"/>
      <c r="CI23" s="27"/>
      <c r="CJ23" s="27"/>
      <c r="CK23" s="29"/>
      <c r="CL23" s="29"/>
      <c r="CM23" s="29"/>
      <c r="CN23" s="27"/>
      <c r="CO23" s="29"/>
      <c r="CP23" s="27"/>
      <c r="CQ23" s="27"/>
      <c r="CR23" s="29"/>
      <c r="CS23" s="29"/>
      <c r="CT23" s="29"/>
      <c r="CU23" s="29"/>
      <c r="CV23" s="29"/>
      <c r="CW23" s="29"/>
      <c r="CX23" s="29"/>
      <c r="CY23" s="29"/>
    </row>
    <row r="24" spans="1:103" ht="24.75" customHeight="1">
      <c r="A24" s="1"/>
      <c r="B24" s="65">
        <f t="shared" si="3"/>
        <v>9</v>
      </c>
      <c r="C24" s="8" t="s">
        <v>38</v>
      </c>
      <c r="D24" s="67" t="s">
        <v>55</v>
      </c>
      <c r="E24" s="24">
        <v>45961</v>
      </c>
      <c r="F24" s="69"/>
      <c r="G24" s="32" t="s">
        <v>22</v>
      </c>
      <c r="H24" s="42">
        <f>SUM(N24:CY24)</f>
        <v>0</v>
      </c>
      <c r="I24" s="42">
        <f>SUM(N25:CY25)</f>
        <v>0</v>
      </c>
      <c r="J24" s="32"/>
      <c r="K24" s="19" t="s">
        <v>24</v>
      </c>
      <c r="L24" s="25" t="s">
        <v>16</v>
      </c>
      <c r="M24" s="34"/>
      <c r="N24" s="41"/>
      <c r="O24" s="35"/>
      <c r="P24" s="35"/>
      <c r="Q24" s="35"/>
      <c r="R24" s="35"/>
      <c r="S24" s="36"/>
      <c r="T24" s="36"/>
      <c r="U24" s="36"/>
      <c r="V24" s="36"/>
      <c r="W24" s="36"/>
      <c r="X24" s="35"/>
      <c r="Y24" s="35"/>
      <c r="Z24" s="35"/>
      <c r="AA24" s="36"/>
      <c r="AB24" s="36"/>
      <c r="AC24" s="36"/>
      <c r="AD24" s="36"/>
      <c r="AE24" s="35"/>
      <c r="AF24" s="35"/>
      <c r="AG24" s="36"/>
      <c r="AH24" s="36"/>
      <c r="AI24" s="36"/>
      <c r="AJ24" s="36"/>
      <c r="AK24" s="36"/>
      <c r="AL24" s="35"/>
      <c r="AM24" s="35"/>
      <c r="AN24" s="36"/>
      <c r="AO24" s="36"/>
      <c r="AP24" s="36"/>
      <c r="AQ24" s="36"/>
      <c r="AR24" s="36"/>
      <c r="AS24" s="41"/>
      <c r="AT24" s="35"/>
      <c r="AU24" s="36"/>
      <c r="AV24" s="36"/>
      <c r="AW24" s="36"/>
      <c r="AX24" s="36"/>
      <c r="AY24" s="36"/>
      <c r="AZ24" s="35"/>
      <c r="BA24" s="35"/>
      <c r="BB24" s="36"/>
      <c r="BC24" s="35"/>
      <c r="BD24" s="36"/>
      <c r="BE24" s="36"/>
      <c r="BF24" s="36"/>
      <c r="BG24" s="35"/>
      <c r="BH24" s="35"/>
      <c r="BI24" s="36"/>
      <c r="BJ24" s="36"/>
      <c r="BK24" s="36"/>
      <c r="BL24" s="36"/>
      <c r="BM24" s="36"/>
      <c r="BN24" s="35"/>
      <c r="BO24" s="35"/>
      <c r="BP24" s="35"/>
      <c r="BQ24" s="36"/>
      <c r="BR24" s="36"/>
      <c r="BS24" s="36"/>
      <c r="BT24" s="36"/>
      <c r="BU24" s="41"/>
      <c r="BV24" s="35"/>
      <c r="BW24" s="36"/>
      <c r="BX24" s="36"/>
      <c r="BY24" s="36"/>
      <c r="BZ24" s="36"/>
      <c r="CA24" s="36"/>
      <c r="CB24" s="35"/>
      <c r="CC24" s="35"/>
      <c r="CD24" s="36"/>
      <c r="CE24" s="36"/>
      <c r="CF24" s="36"/>
      <c r="CG24" s="36"/>
      <c r="CH24" s="36"/>
      <c r="CI24" s="35"/>
      <c r="CJ24" s="35"/>
      <c r="CK24" s="36"/>
      <c r="CL24" s="36"/>
      <c r="CM24" s="36"/>
      <c r="CN24" s="35"/>
      <c r="CO24" s="36"/>
      <c r="CP24" s="35"/>
      <c r="CQ24" s="35"/>
      <c r="CR24" s="36"/>
      <c r="CS24" s="36"/>
      <c r="CT24" s="36"/>
      <c r="CU24" s="36"/>
      <c r="CV24" s="36"/>
      <c r="CW24" s="36"/>
      <c r="CX24" s="36"/>
      <c r="CY24" s="36"/>
    </row>
    <row r="25" spans="1:103" ht="20.25" customHeight="1">
      <c r="A25" s="1"/>
      <c r="B25" s="66"/>
      <c r="C25" s="45" t="str">
        <f>C24</f>
        <v>EAI連携</v>
      </c>
      <c r="D25" s="68"/>
      <c r="E25" s="33">
        <f>IF(ISBLANK(E24),"",E24)</f>
        <v>45961</v>
      </c>
      <c r="F25" s="70"/>
      <c r="G25" s="17" t="str">
        <f>G24</f>
        <v>榎本</v>
      </c>
      <c r="H25" s="43"/>
      <c r="I25" s="43"/>
      <c r="J25" s="17"/>
      <c r="K25" s="22" t="str">
        <f>K24</f>
        <v>未</v>
      </c>
      <c r="L25" s="26" t="s">
        <v>17</v>
      </c>
      <c r="M25" s="37"/>
      <c r="N25" s="40"/>
      <c r="O25" s="27"/>
      <c r="P25" s="27"/>
      <c r="Q25" s="27"/>
      <c r="R25" s="27"/>
      <c r="S25" s="29"/>
      <c r="T25" s="29"/>
      <c r="U25" s="29"/>
      <c r="V25" s="29"/>
      <c r="W25" s="29"/>
      <c r="X25" s="27"/>
      <c r="Y25" s="27"/>
      <c r="Z25" s="27"/>
      <c r="AA25" s="29"/>
      <c r="AB25" s="29"/>
      <c r="AC25" s="29"/>
      <c r="AD25" s="29"/>
      <c r="AE25" s="27"/>
      <c r="AF25" s="27"/>
      <c r="AG25" s="29"/>
      <c r="AH25" s="29"/>
      <c r="AI25" s="29"/>
      <c r="AJ25" s="29"/>
      <c r="AK25" s="29"/>
      <c r="AL25" s="27"/>
      <c r="AM25" s="27"/>
      <c r="AN25" s="29"/>
      <c r="AO25" s="29"/>
      <c r="AP25" s="29"/>
      <c r="AQ25" s="29"/>
      <c r="AR25" s="29"/>
      <c r="AS25" s="40"/>
      <c r="AT25" s="27"/>
      <c r="AU25" s="29"/>
      <c r="AV25" s="29"/>
      <c r="AW25" s="29"/>
      <c r="AX25" s="29"/>
      <c r="AY25" s="29"/>
      <c r="AZ25" s="27"/>
      <c r="BA25" s="27"/>
      <c r="BB25" s="29"/>
      <c r="BC25" s="27"/>
      <c r="BD25" s="29"/>
      <c r="BE25" s="29"/>
      <c r="BF25" s="29"/>
      <c r="BG25" s="27"/>
      <c r="BH25" s="27"/>
      <c r="BI25" s="29"/>
      <c r="BJ25" s="29"/>
      <c r="BK25" s="29"/>
      <c r="BL25" s="29"/>
      <c r="BM25" s="29"/>
      <c r="BN25" s="27"/>
      <c r="BO25" s="27"/>
      <c r="BP25" s="27"/>
      <c r="BQ25" s="29"/>
      <c r="BR25" s="29"/>
      <c r="BS25" s="29"/>
      <c r="BT25" s="29"/>
      <c r="BU25" s="40"/>
      <c r="BV25" s="27"/>
      <c r="BW25" s="29"/>
      <c r="BX25" s="29"/>
      <c r="BY25" s="29"/>
      <c r="BZ25" s="29"/>
      <c r="CA25" s="29"/>
      <c r="CB25" s="27"/>
      <c r="CC25" s="27"/>
      <c r="CD25" s="29"/>
      <c r="CE25" s="29"/>
      <c r="CF25" s="29"/>
      <c r="CG25" s="29"/>
      <c r="CH25" s="29"/>
      <c r="CI25" s="27"/>
      <c r="CJ25" s="27"/>
      <c r="CK25" s="29"/>
      <c r="CL25" s="29"/>
      <c r="CM25" s="29"/>
      <c r="CN25" s="27"/>
      <c r="CO25" s="29"/>
      <c r="CP25" s="27"/>
      <c r="CQ25" s="27"/>
      <c r="CR25" s="29"/>
      <c r="CS25" s="29"/>
      <c r="CT25" s="29"/>
      <c r="CU25" s="29"/>
      <c r="CV25" s="29"/>
      <c r="CW25" s="29"/>
      <c r="CX25" s="29"/>
      <c r="CY25" s="29"/>
    </row>
    <row r="26" spans="1:103" ht="24.75" customHeight="1">
      <c r="A26" s="1"/>
      <c r="B26" s="65">
        <f t="shared" si="3"/>
        <v>10</v>
      </c>
      <c r="C26" s="8" t="s">
        <v>40</v>
      </c>
      <c r="D26" s="67" t="s">
        <v>56</v>
      </c>
      <c r="E26" s="24">
        <v>45961</v>
      </c>
      <c r="F26" s="69" t="s">
        <v>57</v>
      </c>
      <c r="G26" s="32" t="s">
        <v>22</v>
      </c>
      <c r="H26" s="42">
        <f>SUM(N26:CY26)</f>
        <v>0</v>
      </c>
      <c r="I26" s="42">
        <f>SUM(N27:CY27)</f>
        <v>0</v>
      </c>
      <c r="J26" s="32"/>
      <c r="K26" s="19" t="s">
        <v>24</v>
      </c>
      <c r="L26" s="25" t="s">
        <v>16</v>
      </c>
      <c r="M26" s="34"/>
      <c r="N26" s="41"/>
      <c r="O26" s="35"/>
      <c r="P26" s="35"/>
      <c r="Q26" s="35"/>
      <c r="R26" s="35"/>
      <c r="S26" s="36"/>
      <c r="T26" s="36"/>
      <c r="U26" s="36"/>
      <c r="V26" s="36"/>
      <c r="W26" s="36"/>
      <c r="X26" s="35"/>
      <c r="Y26" s="35"/>
      <c r="Z26" s="35"/>
      <c r="AA26" s="36"/>
      <c r="AB26" s="36"/>
      <c r="AC26" s="36"/>
      <c r="AD26" s="36"/>
      <c r="AE26" s="35"/>
      <c r="AF26" s="35"/>
      <c r="AG26" s="36"/>
      <c r="AH26" s="36"/>
      <c r="AI26" s="36"/>
      <c r="AJ26" s="36"/>
      <c r="AK26" s="36"/>
      <c r="AL26" s="35"/>
      <c r="AM26" s="35"/>
      <c r="AN26" s="36"/>
      <c r="AO26" s="36"/>
      <c r="AP26" s="36"/>
      <c r="AQ26" s="36"/>
      <c r="AR26" s="36"/>
      <c r="AS26" s="41"/>
      <c r="AT26" s="35"/>
      <c r="AU26" s="36"/>
      <c r="AV26" s="36"/>
      <c r="AW26" s="36"/>
      <c r="AX26" s="36"/>
      <c r="AY26" s="36"/>
      <c r="AZ26" s="35"/>
      <c r="BA26" s="35"/>
      <c r="BB26" s="36"/>
      <c r="BC26" s="35"/>
      <c r="BD26" s="36"/>
      <c r="BE26" s="36"/>
      <c r="BF26" s="36"/>
      <c r="BG26" s="35"/>
      <c r="BH26" s="35"/>
      <c r="BI26" s="36"/>
      <c r="BJ26" s="36"/>
      <c r="BK26" s="36"/>
      <c r="BL26" s="36"/>
      <c r="BM26" s="36"/>
      <c r="BN26" s="35"/>
      <c r="BO26" s="35"/>
      <c r="BP26" s="35"/>
      <c r="BQ26" s="36"/>
      <c r="BR26" s="36"/>
      <c r="BS26" s="36"/>
      <c r="BT26" s="36"/>
      <c r="BU26" s="41"/>
      <c r="BV26" s="35"/>
      <c r="BW26" s="36"/>
      <c r="BX26" s="36"/>
      <c r="BY26" s="36"/>
      <c r="BZ26" s="36"/>
      <c r="CA26" s="36"/>
      <c r="CB26" s="35"/>
      <c r="CC26" s="35"/>
      <c r="CD26" s="36"/>
      <c r="CE26" s="36"/>
      <c r="CF26" s="36"/>
      <c r="CG26" s="36"/>
      <c r="CH26" s="36"/>
      <c r="CI26" s="35"/>
      <c r="CJ26" s="35"/>
      <c r="CK26" s="36"/>
      <c r="CL26" s="36"/>
      <c r="CM26" s="36"/>
      <c r="CN26" s="35"/>
      <c r="CO26" s="36"/>
      <c r="CP26" s="35"/>
      <c r="CQ26" s="35"/>
      <c r="CR26" s="36"/>
      <c r="CS26" s="36"/>
      <c r="CT26" s="36"/>
      <c r="CU26" s="36"/>
      <c r="CV26" s="36"/>
      <c r="CW26" s="36"/>
      <c r="CX26" s="36"/>
      <c r="CY26" s="36"/>
    </row>
    <row r="27" spans="1:103" ht="20.25" customHeight="1">
      <c r="A27" s="1"/>
      <c r="B27" s="66"/>
      <c r="C27" s="45" t="str">
        <f>C26</f>
        <v>WF設定</v>
      </c>
      <c r="D27" s="68"/>
      <c r="E27" s="33">
        <f>IF(ISBLANK(E26),"",E26)</f>
        <v>45961</v>
      </c>
      <c r="F27" s="70"/>
      <c r="G27" s="17" t="str">
        <f>G26</f>
        <v>榎本</v>
      </c>
      <c r="H27" s="43"/>
      <c r="I27" s="43"/>
      <c r="J27" s="17"/>
      <c r="K27" s="22" t="str">
        <f>K26</f>
        <v>未</v>
      </c>
      <c r="L27" s="26" t="s">
        <v>17</v>
      </c>
      <c r="M27" s="37"/>
      <c r="N27" s="40"/>
      <c r="O27" s="27"/>
      <c r="P27" s="27"/>
      <c r="Q27" s="27"/>
      <c r="R27" s="27"/>
      <c r="S27" s="29"/>
      <c r="T27" s="29"/>
      <c r="U27" s="29"/>
      <c r="V27" s="29"/>
      <c r="W27" s="29"/>
      <c r="X27" s="27"/>
      <c r="Y27" s="27"/>
      <c r="Z27" s="27"/>
      <c r="AA27" s="29"/>
      <c r="AB27" s="29"/>
      <c r="AC27" s="29"/>
      <c r="AD27" s="29"/>
      <c r="AE27" s="27"/>
      <c r="AF27" s="27"/>
      <c r="AG27" s="29"/>
      <c r="AH27" s="29"/>
      <c r="AI27" s="29"/>
      <c r="AJ27" s="29"/>
      <c r="AK27" s="29"/>
      <c r="AL27" s="27"/>
      <c r="AM27" s="27"/>
      <c r="AN27" s="29"/>
      <c r="AO27" s="29"/>
      <c r="AP27" s="29"/>
      <c r="AQ27" s="29"/>
      <c r="AR27" s="29"/>
      <c r="AS27" s="40"/>
      <c r="AT27" s="27"/>
      <c r="AU27" s="29"/>
      <c r="AV27" s="29"/>
      <c r="AW27" s="29"/>
      <c r="AX27" s="29"/>
      <c r="AY27" s="29"/>
      <c r="AZ27" s="27"/>
      <c r="BA27" s="27"/>
      <c r="BB27" s="29"/>
      <c r="BC27" s="27"/>
      <c r="BD27" s="29"/>
      <c r="BE27" s="29"/>
      <c r="BF27" s="29"/>
      <c r="BG27" s="27"/>
      <c r="BH27" s="27"/>
      <c r="BI27" s="29"/>
      <c r="BJ27" s="29"/>
      <c r="BK27" s="29"/>
      <c r="BL27" s="29"/>
      <c r="BM27" s="29"/>
      <c r="BN27" s="27"/>
      <c r="BO27" s="27"/>
      <c r="BP27" s="27"/>
      <c r="BQ27" s="29"/>
      <c r="BR27" s="29"/>
      <c r="BS27" s="29"/>
      <c r="BT27" s="29"/>
      <c r="BU27" s="40"/>
      <c r="BV27" s="27"/>
      <c r="BW27" s="29"/>
      <c r="BX27" s="29"/>
      <c r="BY27" s="29"/>
      <c r="BZ27" s="29"/>
      <c r="CA27" s="29"/>
      <c r="CB27" s="27"/>
      <c r="CC27" s="27"/>
      <c r="CD27" s="29"/>
      <c r="CE27" s="29"/>
      <c r="CF27" s="29"/>
      <c r="CG27" s="29"/>
      <c r="CH27" s="29"/>
      <c r="CI27" s="27"/>
      <c r="CJ27" s="27"/>
      <c r="CK27" s="29"/>
      <c r="CL27" s="29"/>
      <c r="CM27" s="29"/>
      <c r="CN27" s="27"/>
      <c r="CO27" s="29"/>
      <c r="CP27" s="27"/>
      <c r="CQ27" s="27"/>
      <c r="CR27" s="29"/>
      <c r="CS27" s="29"/>
      <c r="CT27" s="29"/>
      <c r="CU27" s="29"/>
      <c r="CV27" s="29"/>
      <c r="CW27" s="29"/>
      <c r="CX27" s="29"/>
      <c r="CY27" s="29"/>
    </row>
    <row r="28" spans="1:103" ht="24.75" customHeight="1">
      <c r="A28" s="1"/>
      <c r="B28" s="65">
        <f t="shared" si="3"/>
        <v>11</v>
      </c>
      <c r="C28" s="8" t="s">
        <v>40</v>
      </c>
      <c r="D28" s="67" t="s">
        <v>58</v>
      </c>
      <c r="E28" s="24">
        <v>45961</v>
      </c>
      <c r="F28" s="69" t="s">
        <v>62</v>
      </c>
      <c r="G28" s="32" t="s">
        <v>22</v>
      </c>
      <c r="H28" s="42">
        <f>SUM(N28:CY28)</f>
        <v>0</v>
      </c>
      <c r="I28" s="42">
        <f>SUM(N29:CY29)</f>
        <v>0</v>
      </c>
      <c r="J28" s="32"/>
      <c r="K28" s="19" t="s">
        <v>24</v>
      </c>
      <c r="L28" s="25" t="s">
        <v>16</v>
      </c>
      <c r="M28" s="34"/>
      <c r="N28" s="41"/>
      <c r="O28" s="35"/>
      <c r="P28" s="35"/>
      <c r="Q28" s="35"/>
      <c r="R28" s="35"/>
      <c r="S28" s="36"/>
      <c r="T28" s="36"/>
      <c r="U28" s="36"/>
      <c r="V28" s="36"/>
      <c r="W28" s="36"/>
      <c r="X28" s="35"/>
      <c r="Y28" s="35"/>
      <c r="Z28" s="35"/>
      <c r="AA28" s="36"/>
      <c r="AB28" s="36"/>
      <c r="AC28" s="36"/>
      <c r="AD28" s="36"/>
      <c r="AE28" s="35"/>
      <c r="AF28" s="35"/>
      <c r="AG28" s="36"/>
      <c r="AH28" s="36"/>
      <c r="AI28" s="36"/>
      <c r="AJ28" s="36"/>
      <c r="AK28" s="36"/>
      <c r="AL28" s="35"/>
      <c r="AM28" s="35"/>
      <c r="AN28" s="36"/>
      <c r="AO28" s="36"/>
      <c r="AP28" s="36"/>
      <c r="AQ28" s="36"/>
      <c r="AR28" s="36"/>
      <c r="AS28" s="41"/>
      <c r="AT28" s="35"/>
      <c r="AU28" s="36"/>
      <c r="AV28" s="36"/>
      <c r="AW28" s="36"/>
      <c r="AX28" s="36"/>
      <c r="AY28" s="36"/>
      <c r="AZ28" s="35"/>
      <c r="BA28" s="35"/>
      <c r="BB28" s="36"/>
      <c r="BC28" s="35"/>
      <c r="BD28" s="36"/>
      <c r="BE28" s="36"/>
      <c r="BF28" s="36"/>
      <c r="BG28" s="35"/>
      <c r="BH28" s="35"/>
      <c r="BI28" s="36"/>
      <c r="BJ28" s="36"/>
      <c r="BK28" s="36"/>
      <c r="BL28" s="36"/>
      <c r="BM28" s="36"/>
      <c r="BN28" s="35"/>
      <c r="BO28" s="35"/>
      <c r="BP28" s="35"/>
      <c r="BQ28" s="36"/>
      <c r="BR28" s="36"/>
      <c r="BS28" s="36"/>
      <c r="BT28" s="36"/>
      <c r="BU28" s="41"/>
      <c r="BV28" s="35"/>
      <c r="BW28" s="36"/>
      <c r="BX28" s="36"/>
      <c r="BY28" s="36"/>
      <c r="BZ28" s="36"/>
      <c r="CA28" s="36"/>
      <c r="CB28" s="35"/>
      <c r="CC28" s="35"/>
      <c r="CD28" s="36"/>
      <c r="CE28" s="36"/>
      <c r="CF28" s="36"/>
      <c r="CG28" s="36"/>
      <c r="CH28" s="36"/>
      <c r="CI28" s="35"/>
      <c r="CJ28" s="35"/>
      <c r="CK28" s="36"/>
      <c r="CL28" s="36"/>
      <c r="CM28" s="36"/>
      <c r="CN28" s="35"/>
      <c r="CO28" s="36"/>
      <c r="CP28" s="35"/>
      <c r="CQ28" s="35"/>
      <c r="CR28" s="36"/>
      <c r="CS28" s="36"/>
      <c r="CT28" s="36"/>
      <c r="CU28" s="36"/>
      <c r="CV28" s="36"/>
      <c r="CW28" s="36"/>
      <c r="CX28" s="36"/>
      <c r="CY28" s="36"/>
    </row>
    <row r="29" spans="1:103" ht="20.25" customHeight="1">
      <c r="A29" s="1"/>
      <c r="B29" s="66"/>
      <c r="C29" s="45" t="str">
        <f>C28</f>
        <v>WF設定</v>
      </c>
      <c r="D29" s="68"/>
      <c r="E29" s="33">
        <f>IF(ISBLANK(E28),"",E28)</f>
        <v>45961</v>
      </c>
      <c r="F29" s="70"/>
      <c r="G29" s="17" t="str">
        <f>G28</f>
        <v>榎本</v>
      </c>
      <c r="H29" s="43"/>
      <c r="I29" s="43"/>
      <c r="J29" s="17"/>
      <c r="K29" s="22" t="str">
        <f>K28</f>
        <v>未</v>
      </c>
      <c r="L29" s="26" t="s">
        <v>17</v>
      </c>
      <c r="M29" s="37"/>
      <c r="N29" s="40"/>
      <c r="O29" s="27"/>
      <c r="P29" s="27"/>
      <c r="Q29" s="27"/>
      <c r="R29" s="27"/>
      <c r="S29" s="29"/>
      <c r="T29" s="29"/>
      <c r="U29" s="29"/>
      <c r="V29" s="29"/>
      <c r="W29" s="29"/>
      <c r="X29" s="27"/>
      <c r="Y29" s="27"/>
      <c r="Z29" s="27"/>
      <c r="AA29" s="29"/>
      <c r="AB29" s="29"/>
      <c r="AC29" s="29"/>
      <c r="AD29" s="29"/>
      <c r="AE29" s="27"/>
      <c r="AF29" s="27"/>
      <c r="AG29" s="29"/>
      <c r="AH29" s="29"/>
      <c r="AI29" s="29"/>
      <c r="AJ29" s="29"/>
      <c r="AK29" s="29"/>
      <c r="AL29" s="27"/>
      <c r="AM29" s="27"/>
      <c r="AN29" s="29"/>
      <c r="AO29" s="29"/>
      <c r="AP29" s="29"/>
      <c r="AQ29" s="29"/>
      <c r="AR29" s="29"/>
      <c r="AS29" s="40"/>
      <c r="AT29" s="27"/>
      <c r="AU29" s="29"/>
      <c r="AV29" s="29"/>
      <c r="AW29" s="29"/>
      <c r="AX29" s="29"/>
      <c r="AY29" s="29"/>
      <c r="AZ29" s="27"/>
      <c r="BA29" s="27"/>
      <c r="BB29" s="29"/>
      <c r="BC29" s="27"/>
      <c r="BD29" s="29"/>
      <c r="BE29" s="29"/>
      <c r="BF29" s="29"/>
      <c r="BG29" s="27"/>
      <c r="BH29" s="27"/>
      <c r="BI29" s="29"/>
      <c r="BJ29" s="29"/>
      <c r="BK29" s="29"/>
      <c r="BL29" s="29"/>
      <c r="BM29" s="29"/>
      <c r="BN29" s="27"/>
      <c r="BO29" s="27"/>
      <c r="BP29" s="27"/>
      <c r="BQ29" s="29"/>
      <c r="BR29" s="29"/>
      <c r="BS29" s="29"/>
      <c r="BT29" s="29"/>
      <c r="BU29" s="40"/>
      <c r="BV29" s="27"/>
      <c r="BW29" s="29"/>
      <c r="BX29" s="29"/>
      <c r="BY29" s="29"/>
      <c r="BZ29" s="29"/>
      <c r="CA29" s="29"/>
      <c r="CB29" s="27"/>
      <c r="CC29" s="27"/>
      <c r="CD29" s="29"/>
      <c r="CE29" s="29"/>
      <c r="CF29" s="29"/>
      <c r="CG29" s="29"/>
      <c r="CH29" s="29"/>
      <c r="CI29" s="27"/>
      <c r="CJ29" s="27"/>
      <c r="CK29" s="29"/>
      <c r="CL29" s="29"/>
      <c r="CM29" s="29"/>
      <c r="CN29" s="27"/>
      <c r="CO29" s="29"/>
      <c r="CP29" s="27"/>
      <c r="CQ29" s="27"/>
      <c r="CR29" s="29"/>
      <c r="CS29" s="29"/>
      <c r="CT29" s="29"/>
      <c r="CU29" s="29"/>
      <c r="CV29" s="29"/>
      <c r="CW29" s="29"/>
      <c r="CX29" s="29"/>
      <c r="CY29" s="29"/>
    </row>
    <row r="30" spans="1:103" ht="24.75" customHeight="1">
      <c r="A30" s="1"/>
      <c r="B30" s="65">
        <f t="shared" si="3"/>
        <v>12</v>
      </c>
      <c r="C30" s="8" t="s">
        <v>40</v>
      </c>
      <c r="D30" s="67" t="s">
        <v>59</v>
      </c>
      <c r="E30" s="24">
        <v>45961</v>
      </c>
      <c r="F30" s="69" t="s">
        <v>63</v>
      </c>
      <c r="G30" s="32" t="s">
        <v>22</v>
      </c>
      <c r="H30" s="42">
        <f>SUM(N30:CY30)</f>
        <v>0</v>
      </c>
      <c r="I30" s="42">
        <f>SUM(N31:CY31)</f>
        <v>0</v>
      </c>
      <c r="J30" s="32"/>
      <c r="K30" s="19" t="s">
        <v>24</v>
      </c>
      <c r="L30" s="25" t="s">
        <v>16</v>
      </c>
      <c r="M30" s="34"/>
      <c r="N30" s="41"/>
      <c r="O30" s="35"/>
      <c r="P30" s="35"/>
      <c r="Q30" s="35"/>
      <c r="R30" s="35"/>
      <c r="S30" s="36"/>
      <c r="T30" s="36"/>
      <c r="U30" s="36"/>
      <c r="V30" s="36"/>
      <c r="W30" s="36"/>
      <c r="X30" s="35"/>
      <c r="Y30" s="35"/>
      <c r="Z30" s="35"/>
      <c r="AA30" s="36"/>
      <c r="AB30" s="36"/>
      <c r="AC30" s="36"/>
      <c r="AD30" s="36"/>
      <c r="AE30" s="35"/>
      <c r="AF30" s="35"/>
      <c r="AG30" s="36"/>
      <c r="AH30" s="36"/>
      <c r="AI30" s="36"/>
      <c r="AJ30" s="36"/>
      <c r="AK30" s="36"/>
      <c r="AL30" s="35"/>
      <c r="AM30" s="35"/>
      <c r="AN30" s="36"/>
      <c r="AO30" s="36"/>
      <c r="AP30" s="36"/>
      <c r="AQ30" s="36"/>
      <c r="AR30" s="36"/>
      <c r="AS30" s="41"/>
      <c r="AT30" s="35"/>
      <c r="AU30" s="36"/>
      <c r="AV30" s="36"/>
      <c r="AW30" s="36"/>
      <c r="AX30" s="36"/>
      <c r="AY30" s="36"/>
      <c r="AZ30" s="35"/>
      <c r="BA30" s="35"/>
      <c r="BB30" s="36"/>
      <c r="BC30" s="35"/>
      <c r="BD30" s="36"/>
      <c r="BE30" s="36"/>
      <c r="BF30" s="36"/>
      <c r="BG30" s="35"/>
      <c r="BH30" s="35"/>
      <c r="BI30" s="36"/>
      <c r="BJ30" s="36"/>
      <c r="BK30" s="36"/>
      <c r="BL30" s="36"/>
      <c r="BM30" s="36"/>
      <c r="BN30" s="35"/>
      <c r="BO30" s="35"/>
      <c r="BP30" s="35"/>
      <c r="BQ30" s="36"/>
      <c r="BR30" s="36"/>
      <c r="BS30" s="36"/>
      <c r="BT30" s="36"/>
      <c r="BU30" s="41"/>
      <c r="BV30" s="35"/>
      <c r="BW30" s="36"/>
      <c r="BX30" s="36"/>
      <c r="BY30" s="36"/>
      <c r="BZ30" s="36"/>
      <c r="CA30" s="36"/>
      <c r="CB30" s="35"/>
      <c r="CC30" s="35"/>
      <c r="CD30" s="36"/>
      <c r="CE30" s="36"/>
      <c r="CF30" s="36"/>
      <c r="CG30" s="36"/>
      <c r="CH30" s="36"/>
      <c r="CI30" s="35"/>
      <c r="CJ30" s="35"/>
      <c r="CK30" s="36"/>
      <c r="CL30" s="36"/>
      <c r="CM30" s="36"/>
      <c r="CN30" s="35"/>
      <c r="CO30" s="36"/>
      <c r="CP30" s="35"/>
      <c r="CQ30" s="35"/>
      <c r="CR30" s="36"/>
      <c r="CS30" s="36"/>
      <c r="CT30" s="36"/>
      <c r="CU30" s="36"/>
      <c r="CV30" s="36"/>
      <c r="CW30" s="36"/>
      <c r="CX30" s="36"/>
      <c r="CY30" s="36"/>
    </row>
    <row r="31" spans="1:103" ht="20.25" customHeight="1">
      <c r="A31" s="1"/>
      <c r="B31" s="66"/>
      <c r="C31" s="45" t="str">
        <f>C30</f>
        <v>WF設定</v>
      </c>
      <c r="D31" s="68"/>
      <c r="E31" s="33">
        <f>IF(ISBLANK(E30),"",E30)</f>
        <v>45961</v>
      </c>
      <c r="F31" s="70"/>
      <c r="G31" s="17" t="str">
        <f>G30</f>
        <v>榎本</v>
      </c>
      <c r="H31" s="43"/>
      <c r="I31" s="43"/>
      <c r="J31" s="17"/>
      <c r="K31" s="22" t="str">
        <f>K30</f>
        <v>未</v>
      </c>
      <c r="L31" s="26" t="s">
        <v>17</v>
      </c>
      <c r="M31" s="37"/>
      <c r="N31" s="40"/>
      <c r="O31" s="27"/>
      <c r="P31" s="27"/>
      <c r="Q31" s="27"/>
      <c r="R31" s="27"/>
      <c r="S31" s="29"/>
      <c r="T31" s="29"/>
      <c r="U31" s="29"/>
      <c r="V31" s="29"/>
      <c r="W31" s="29"/>
      <c r="X31" s="27"/>
      <c r="Y31" s="27"/>
      <c r="Z31" s="27"/>
      <c r="AA31" s="29"/>
      <c r="AB31" s="29"/>
      <c r="AC31" s="29"/>
      <c r="AD31" s="29"/>
      <c r="AE31" s="27"/>
      <c r="AF31" s="27"/>
      <c r="AG31" s="29"/>
      <c r="AH31" s="29"/>
      <c r="AI31" s="29"/>
      <c r="AJ31" s="29"/>
      <c r="AK31" s="29"/>
      <c r="AL31" s="27"/>
      <c r="AM31" s="27"/>
      <c r="AN31" s="29"/>
      <c r="AO31" s="29"/>
      <c r="AP31" s="29"/>
      <c r="AQ31" s="29"/>
      <c r="AR31" s="29"/>
      <c r="AS31" s="40"/>
      <c r="AT31" s="27"/>
      <c r="AU31" s="29"/>
      <c r="AV31" s="29"/>
      <c r="AW31" s="29"/>
      <c r="AX31" s="29"/>
      <c r="AY31" s="29"/>
      <c r="AZ31" s="27"/>
      <c r="BA31" s="27"/>
      <c r="BB31" s="29"/>
      <c r="BC31" s="27"/>
      <c r="BD31" s="29"/>
      <c r="BE31" s="29"/>
      <c r="BF31" s="29"/>
      <c r="BG31" s="27"/>
      <c r="BH31" s="27"/>
      <c r="BI31" s="29"/>
      <c r="BJ31" s="29"/>
      <c r="BK31" s="29"/>
      <c r="BL31" s="29"/>
      <c r="BM31" s="29"/>
      <c r="BN31" s="27"/>
      <c r="BO31" s="27"/>
      <c r="BP31" s="27"/>
      <c r="BQ31" s="29"/>
      <c r="BR31" s="29"/>
      <c r="BS31" s="29"/>
      <c r="BT31" s="29"/>
      <c r="BU31" s="40"/>
      <c r="BV31" s="27"/>
      <c r="BW31" s="29"/>
      <c r="BX31" s="29"/>
      <c r="BY31" s="29"/>
      <c r="BZ31" s="29"/>
      <c r="CA31" s="29"/>
      <c r="CB31" s="27"/>
      <c r="CC31" s="27"/>
      <c r="CD31" s="29"/>
      <c r="CE31" s="29"/>
      <c r="CF31" s="29"/>
      <c r="CG31" s="29"/>
      <c r="CH31" s="29"/>
      <c r="CI31" s="27"/>
      <c r="CJ31" s="27"/>
      <c r="CK31" s="29"/>
      <c r="CL31" s="29"/>
      <c r="CM31" s="29"/>
      <c r="CN31" s="27"/>
      <c r="CO31" s="29"/>
      <c r="CP31" s="27"/>
      <c r="CQ31" s="27"/>
      <c r="CR31" s="29"/>
      <c r="CS31" s="29"/>
      <c r="CT31" s="29"/>
      <c r="CU31" s="29"/>
      <c r="CV31" s="29"/>
      <c r="CW31" s="29"/>
      <c r="CX31" s="29"/>
      <c r="CY31" s="29"/>
    </row>
    <row r="32" spans="1:103" ht="24.75" customHeight="1">
      <c r="A32" s="1"/>
      <c r="B32" s="65">
        <f t="shared" si="3"/>
        <v>13</v>
      </c>
      <c r="C32" s="8" t="s">
        <v>40</v>
      </c>
      <c r="D32" s="67" t="s">
        <v>60</v>
      </c>
      <c r="E32" s="24">
        <v>45961</v>
      </c>
      <c r="F32" s="69" t="s">
        <v>64</v>
      </c>
      <c r="G32" s="32" t="s">
        <v>22</v>
      </c>
      <c r="H32" s="42">
        <f>SUM(N32:CY32)</f>
        <v>0</v>
      </c>
      <c r="I32" s="42">
        <f>SUM(N33:CY33)</f>
        <v>0</v>
      </c>
      <c r="J32" s="32"/>
      <c r="K32" s="19" t="s">
        <v>24</v>
      </c>
      <c r="L32" s="25" t="s">
        <v>16</v>
      </c>
      <c r="M32" s="34"/>
      <c r="N32" s="41"/>
      <c r="O32" s="35"/>
      <c r="P32" s="35"/>
      <c r="Q32" s="35"/>
      <c r="R32" s="35"/>
      <c r="S32" s="36"/>
      <c r="T32" s="36"/>
      <c r="U32" s="36"/>
      <c r="V32" s="36"/>
      <c r="W32" s="36"/>
      <c r="X32" s="35"/>
      <c r="Y32" s="35"/>
      <c r="Z32" s="35"/>
      <c r="AA32" s="36"/>
      <c r="AB32" s="36"/>
      <c r="AC32" s="36"/>
      <c r="AD32" s="36"/>
      <c r="AE32" s="35"/>
      <c r="AF32" s="35"/>
      <c r="AG32" s="36"/>
      <c r="AH32" s="36"/>
      <c r="AI32" s="36"/>
      <c r="AJ32" s="36"/>
      <c r="AK32" s="36"/>
      <c r="AL32" s="35"/>
      <c r="AM32" s="35"/>
      <c r="AN32" s="36"/>
      <c r="AO32" s="36"/>
      <c r="AP32" s="36"/>
      <c r="AQ32" s="36"/>
      <c r="AR32" s="36"/>
      <c r="AS32" s="41"/>
      <c r="AT32" s="35"/>
      <c r="AU32" s="36"/>
      <c r="AV32" s="36"/>
      <c r="AW32" s="36"/>
      <c r="AX32" s="36"/>
      <c r="AY32" s="36"/>
      <c r="AZ32" s="35"/>
      <c r="BA32" s="35"/>
      <c r="BB32" s="36"/>
      <c r="BC32" s="35"/>
      <c r="BD32" s="36"/>
      <c r="BE32" s="36"/>
      <c r="BF32" s="36"/>
      <c r="BG32" s="35"/>
      <c r="BH32" s="35"/>
      <c r="BI32" s="36"/>
      <c r="BJ32" s="36"/>
      <c r="BK32" s="36"/>
      <c r="BL32" s="36"/>
      <c r="BM32" s="36"/>
      <c r="BN32" s="35"/>
      <c r="BO32" s="35"/>
      <c r="BP32" s="35"/>
      <c r="BQ32" s="36"/>
      <c r="BR32" s="36"/>
      <c r="BS32" s="36"/>
      <c r="BT32" s="36"/>
      <c r="BU32" s="41"/>
      <c r="BV32" s="35"/>
      <c r="BW32" s="36"/>
      <c r="BX32" s="36"/>
      <c r="BY32" s="36"/>
      <c r="BZ32" s="36"/>
      <c r="CA32" s="36"/>
      <c r="CB32" s="35"/>
      <c r="CC32" s="35"/>
      <c r="CD32" s="36"/>
      <c r="CE32" s="36"/>
      <c r="CF32" s="36"/>
      <c r="CG32" s="36"/>
      <c r="CH32" s="36"/>
      <c r="CI32" s="35"/>
      <c r="CJ32" s="35"/>
      <c r="CK32" s="36"/>
      <c r="CL32" s="36"/>
      <c r="CM32" s="36"/>
      <c r="CN32" s="35"/>
      <c r="CO32" s="36"/>
      <c r="CP32" s="35"/>
      <c r="CQ32" s="35"/>
      <c r="CR32" s="36"/>
      <c r="CS32" s="36"/>
      <c r="CT32" s="36"/>
      <c r="CU32" s="36"/>
      <c r="CV32" s="36"/>
      <c r="CW32" s="36"/>
      <c r="CX32" s="36"/>
      <c r="CY32" s="36"/>
    </row>
    <row r="33" spans="1:103" ht="20.25" customHeight="1">
      <c r="A33" s="1"/>
      <c r="B33" s="66"/>
      <c r="C33" s="45" t="str">
        <f>C32</f>
        <v>WF設定</v>
      </c>
      <c r="D33" s="68"/>
      <c r="E33" s="33">
        <f>IF(ISBLANK(E32),"",E32)</f>
        <v>45961</v>
      </c>
      <c r="F33" s="70"/>
      <c r="G33" s="17" t="str">
        <f>G32</f>
        <v>榎本</v>
      </c>
      <c r="H33" s="43"/>
      <c r="I33" s="43"/>
      <c r="J33" s="17"/>
      <c r="K33" s="22" t="str">
        <f>K32</f>
        <v>未</v>
      </c>
      <c r="L33" s="26" t="s">
        <v>17</v>
      </c>
      <c r="M33" s="37"/>
      <c r="N33" s="40"/>
      <c r="O33" s="27"/>
      <c r="P33" s="27"/>
      <c r="Q33" s="27"/>
      <c r="R33" s="27"/>
      <c r="S33" s="29"/>
      <c r="T33" s="29"/>
      <c r="U33" s="29"/>
      <c r="V33" s="29"/>
      <c r="W33" s="29"/>
      <c r="X33" s="27"/>
      <c r="Y33" s="27"/>
      <c r="Z33" s="27"/>
      <c r="AA33" s="29"/>
      <c r="AB33" s="29"/>
      <c r="AC33" s="29"/>
      <c r="AD33" s="29"/>
      <c r="AE33" s="27"/>
      <c r="AF33" s="27"/>
      <c r="AG33" s="29"/>
      <c r="AH33" s="29"/>
      <c r="AI33" s="29"/>
      <c r="AJ33" s="29"/>
      <c r="AK33" s="29"/>
      <c r="AL33" s="27"/>
      <c r="AM33" s="27"/>
      <c r="AN33" s="29"/>
      <c r="AO33" s="29"/>
      <c r="AP33" s="29"/>
      <c r="AQ33" s="29"/>
      <c r="AR33" s="29"/>
      <c r="AS33" s="40"/>
      <c r="AT33" s="27"/>
      <c r="AU33" s="29"/>
      <c r="AV33" s="29"/>
      <c r="AW33" s="29"/>
      <c r="AX33" s="29"/>
      <c r="AY33" s="29"/>
      <c r="AZ33" s="27"/>
      <c r="BA33" s="27"/>
      <c r="BB33" s="29"/>
      <c r="BC33" s="27"/>
      <c r="BD33" s="29"/>
      <c r="BE33" s="29"/>
      <c r="BF33" s="29"/>
      <c r="BG33" s="27"/>
      <c r="BH33" s="27"/>
      <c r="BI33" s="29"/>
      <c r="BJ33" s="29"/>
      <c r="BK33" s="29"/>
      <c r="BL33" s="29"/>
      <c r="BM33" s="29"/>
      <c r="BN33" s="27"/>
      <c r="BO33" s="27"/>
      <c r="BP33" s="27"/>
      <c r="BQ33" s="29"/>
      <c r="BR33" s="29"/>
      <c r="BS33" s="29"/>
      <c r="BT33" s="29"/>
      <c r="BU33" s="40"/>
      <c r="BV33" s="27"/>
      <c r="BW33" s="29"/>
      <c r="BX33" s="29"/>
      <c r="BY33" s="29"/>
      <c r="BZ33" s="29"/>
      <c r="CA33" s="29"/>
      <c r="CB33" s="27"/>
      <c r="CC33" s="27"/>
      <c r="CD33" s="29"/>
      <c r="CE33" s="29"/>
      <c r="CF33" s="29"/>
      <c r="CG33" s="29"/>
      <c r="CH33" s="29"/>
      <c r="CI33" s="27"/>
      <c r="CJ33" s="27"/>
      <c r="CK33" s="29"/>
      <c r="CL33" s="29"/>
      <c r="CM33" s="29"/>
      <c r="CN33" s="27"/>
      <c r="CO33" s="29"/>
      <c r="CP33" s="27"/>
      <c r="CQ33" s="27"/>
      <c r="CR33" s="29"/>
      <c r="CS33" s="29"/>
      <c r="CT33" s="29"/>
      <c r="CU33" s="29"/>
      <c r="CV33" s="29"/>
      <c r="CW33" s="29"/>
      <c r="CX33" s="29"/>
      <c r="CY33" s="29"/>
    </row>
    <row r="34" spans="1:103" ht="24.75" customHeight="1">
      <c r="A34" s="1"/>
      <c r="B34" s="65">
        <f t="shared" si="3"/>
        <v>14</v>
      </c>
      <c r="C34" s="8" t="s">
        <v>65</v>
      </c>
      <c r="D34" s="67" t="s">
        <v>61</v>
      </c>
      <c r="E34" s="24">
        <v>45961</v>
      </c>
      <c r="F34" s="69"/>
      <c r="G34" s="32" t="s">
        <v>22</v>
      </c>
      <c r="H34" s="42">
        <f>SUM(N34:CY34)</f>
        <v>0</v>
      </c>
      <c r="I34" s="42">
        <f>SUM(N35:CY35)</f>
        <v>0</v>
      </c>
      <c r="J34" s="32"/>
      <c r="K34" s="19" t="s">
        <v>24</v>
      </c>
      <c r="L34" s="25" t="s">
        <v>16</v>
      </c>
      <c r="M34" s="34"/>
      <c r="N34" s="41"/>
      <c r="O34" s="35"/>
      <c r="P34" s="35"/>
      <c r="Q34" s="35"/>
      <c r="R34" s="35"/>
      <c r="S34" s="36"/>
      <c r="T34" s="36"/>
      <c r="U34" s="36"/>
      <c r="V34" s="36"/>
      <c r="W34" s="36"/>
      <c r="X34" s="35"/>
      <c r="Y34" s="35"/>
      <c r="Z34" s="35"/>
      <c r="AA34" s="36"/>
      <c r="AB34" s="36"/>
      <c r="AC34" s="36"/>
      <c r="AD34" s="36"/>
      <c r="AE34" s="35"/>
      <c r="AF34" s="35"/>
      <c r="AG34" s="36"/>
      <c r="AH34" s="36"/>
      <c r="AI34" s="36"/>
      <c r="AJ34" s="36"/>
      <c r="AK34" s="36"/>
      <c r="AL34" s="35"/>
      <c r="AM34" s="35"/>
      <c r="AN34" s="36"/>
      <c r="AO34" s="36"/>
      <c r="AP34" s="36"/>
      <c r="AQ34" s="36"/>
      <c r="AR34" s="36"/>
      <c r="AS34" s="41"/>
      <c r="AT34" s="35"/>
      <c r="AU34" s="36"/>
      <c r="AV34" s="36"/>
      <c r="AW34" s="36"/>
      <c r="AX34" s="36"/>
      <c r="AY34" s="36"/>
      <c r="AZ34" s="35"/>
      <c r="BA34" s="35"/>
      <c r="BB34" s="36"/>
      <c r="BC34" s="35"/>
      <c r="BD34" s="36"/>
      <c r="BE34" s="36"/>
      <c r="BF34" s="36"/>
      <c r="BG34" s="35"/>
      <c r="BH34" s="35"/>
      <c r="BI34" s="36"/>
      <c r="BJ34" s="36"/>
      <c r="BK34" s="36"/>
      <c r="BL34" s="36"/>
      <c r="BM34" s="36"/>
      <c r="BN34" s="35"/>
      <c r="BO34" s="35"/>
      <c r="BP34" s="35"/>
      <c r="BQ34" s="36"/>
      <c r="BR34" s="36"/>
      <c r="BS34" s="36"/>
      <c r="BT34" s="36"/>
      <c r="BU34" s="41"/>
      <c r="BV34" s="35"/>
      <c r="BW34" s="36"/>
      <c r="BX34" s="36"/>
      <c r="BY34" s="36"/>
      <c r="BZ34" s="36"/>
      <c r="CA34" s="36"/>
      <c r="CB34" s="35"/>
      <c r="CC34" s="35"/>
      <c r="CD34" s="36"/>
      <c r="CE34" s="36"/>
      <c r="CF34" s="36"/>
      <c r="CG34" s="36"/>
      <c r="CH34" s="36"/>
      <c r="CI34" s="35"/>
      <c r="CJ34" s="35"/>
      <c r="CK34" s="36"/>
      <c r="CL34" s="36"/>
      <c r="CM34" s="36"/>
      <c r="CN34" s="35"/>
      <c r="CO34" s="36"/>
      <c r="CP34" s="35"/>
      <c r="CQ34" s="35"/>
      <c r="CR34" s="36"/>
      <c r="CS34" s="36"/>
      <c r="CT34" s="36"/>
      <c r="CU34" s="36"/>
      <c r="CV34" s="36"/>
      <c r="CW34" s="36"/>
      <c r="CX34" s="36"/>
      <c r="CY34" s="36"/>
    </row>
    <row r="35" spans="1:103" ht="20.25" customHeight="1">
      <c r="A35" s="1"/>
      <c r="B35" s="66"/>
      <c r="C35" s="45" t="str">
        <f>C34</f>
        <v>手順書</v>
      </c>
      <c r="D35" s="68"/>
      <c r="E35" s="33">
        <f>IF(ISBLANK(E34),"",E34)</f>
        <v>45961</v>
      </c>
      <c r="F35" s="70"/>
      <c r="G35" s="17" t="str">
        <f>G34</f>
        <v>榎本</v>
      </c>
      <c r="H35" s="43"/>
      <c r="I35" s="43"/>
      <c r="J35" s="17"/>
      <c r="K35" s="22" t="str">
        <f>K34</f>
        <v>未</v>
      </c>
      <c r="L35" s="26" t="s">
        <v>17</v>
      </c>
      <c r="M35" s="37"/>
      <c r="N35" s="40"/>
      <c r="O35" s="27"/>
      <c r="P35" s="27"/>
      <c r="Q35" s="27"/>
      <c r="R35" s="27"/>
      <c r="S35" s="29"/>
      <c r="T35" s="29"/>
      <c r="U35" s="29"/>
      <c r="V35" s="29"/>
      <c r="W35" s="29"/>
      <c r="X35" s="27"/>
      <c r="Y35" s="27"/>
      <c r="Z35" s="27"/>
      <c r="AA35" s="29"/>
      <c r="AB35" s="29"/>
      <c r="AC35" s="29"/>
      <c r="AD35" s="29"/>
      <c r="AE35" s="27"/>
      <c r="AF35" s="27"/>
      <c r="AG35" s="29"/>
      <c r="AH35" s="29"/>
      <c r="AI35" s="29"/>
      <c r="AJ35" s="29"/>
      <c r="AK35" s="29"/>
      <c r="AL35" s="27"/>
      <c r="AM35" s="27"/>
      <c r="AN35" s="29"/>
      <c r="AO35" s="29"/>
      <c r="AP35" s="29"/>
      <c r="AQ35" s="29"/>
      <c r="AR35" s="29"/>
      <c r="AS35" s="40"/>
      <c r="AT35" s="27"/>
      <c r="AU35" s="29"/>
      <c r="AV35" s="29"/>
      <c r="AW35" s="29"/>
      <c r="AX35" s="29"/>
      <c r="AY35" s="29"/>
      <c r="AZ35" s="27"/>
      <c r="BA35" s="27"/>
      <c r="BB35" s="29"/>
      <c r="BC35" s="27"/>
      <c r="BD35" s="29"/>
      <c r="BE35" s="29"/>
      <c r="BF35" s="29"/>
      <c r="BG35" s="27"/>
      <c r="BH35" s="27"/>
      <c r="BI35" s="29"/>
      <c r="BJ35" s="29"/>
      <c r="BK35" s="29"/>
      <c r="BL35" s="29"/>
      <c r="BM35" s="29"/>
      <c r="BN35" s="27"/>
      <c r="BO35" s="27"/>
      <c r="BP35" s="27"/>
      <c r="BQ35" s="29"/>
      <c r="BR35" s="29"/>
      <c r="BS35" s="29"/>
      <c r="BT35" s="29"/>
      <c r="BU35" s="40"/>
      <c r="BV35" s="27"/>
      <c r="BW35" s="29"/>
      <c r="BX35" s="29"/>
      <c r="BY35" s="29"/>
      <c r="BZ35" s="29"/>
      <c r="CA35" s="29"/>
      <c r="CB35" s="27"/>
      <c r="CC35" s="27"/>
      <c r="CD35" s="29"/>
      <c r="CE35" s="29"/>
      <c r="CF35" s="29"/>
      <c r="CG35" s="29"/>
      <c r="CH35" s="29"/>
      <c r="CI35" s="27"/>
      <c r="CJ35" s="27"/>
      <c r="CK35" s="29"/>
      <c r="CL35" s="29"/>
      <c r="CM35" s="29"/>
      <c r="CN35" s="27"/>
      <c r="CO35" s="29"/>
      <c r="CP35" s="27"/>
      <c r="CQ35" s="27"/>
      <c r="CR35" s="29"/>
      <c r="CS35" s="29"/>
      <c r="CT35" s="29"/>
      <c r="CU35" s="29"/>
      <c r="CV35" s="29"/>
      <c r="CW35" s="29"/>
      <c r="CX35" s="29"/>
      <c r="CY35" s="29"/>
    </row>
    <row r="36" spans="1:103" ht="24.75" customHeight="1">
      <c r="A36" s="1"/>
      <c r="B36" s="65">
        <f t="shared" si="3"/>
        <v>15</v>
      </c>
      <c r="C36" s="8" t="s">
        <v>65</v>
      </c>
      <c r="D36" s="67" t="s">
        <v>66</v>
      </c>
      <c r="E36" s="24">
        <v>45961</v>
      </c>
      <c r="F36" s="69"/>
      <c r="G36" s="32" t="s">
        <v>22</v>
      </c>
      <c r="H36" s="42">
        <f>SUM(N36:CY36)</f>
        <v>0</v>
      </c>
      <c r="I36" s="42">
        <f>SUM(N37:CY37)</f>
        <v>0</v>
      </c>
      <c r="J36" s="32"/>
      <c r="K36" s="19" t="s">
        <v>24</v>
      </c>
      <c r="L36" s="25" t="s">
        <v>16</v>
      </c>
      <c r="M36" s="34"/>
      <c r="N36" s="41"/>
      <c r="O36" s="35"/>
      <c r="P36" s="35"/>
      <c r="Q36" s="35"/>
      <c r="R36" s="35"/>
      <c r="S36" s="36"/>
      <c r="T36" s="36"/>
      <c r="U36" s="36"/>
      <c r="V36" s="36"/>
      <c r="W36" s="36"/>
      <c r="X36" s="35"/>
      <c r="Y36" s="35"/>
      <c r="Z36" s="35"/>
      <c r="AA36" s="36"/>
      <c r="AB36" s="36"/>
      <c r="AC36" s="36"/>
      <c r="AD36" s="36"/>
      <c r="AE36" s="35"/>
      <c r="AF36" s="35"/>
      <c r="AG36" s="36"/>
      <c r="AH36" s="36"/>
      <c r="AI36" s="36"/>
      <c r="AJ36" s="36"/>
      <c r="AK36" s="36"/>
      <c r="AL36" s="35"/>
      <c r="AM36" s="35"/>
      <c r="AN36" s="36"/>
      <c r="AO36" s="36"/>
      <c r="AP36" s="36"/>
      <c r="AQ36" s="36"/>
      <c r="AR36" s="36"/>
      <c r="AS36" s="41"/>
      <c r="AT36" s="35"/>
      <c r="AU36" s="36"/>
      <c r="AV36" s="36"/>
      <c r="AW36" s="36"/>
      <c r="AX36" s="36"/>
      <c r="AY36" s="36"/>
      <c r="AZ36" s="35"/>
      <c r="BA36" s="35"/>
      <c r="BB36" s="36"/>
      <c r="BC36" s="35"/>
      <c r="BD36" s="36"/>
      <c r="BE36" s="36"/>
      <c r="BF36" s="36"/>
      <c r="BG36" s="35"/>
      <c r="BH36" s="35"/>
      <c r="BI36" s="36"/>
      <c r="BJ36" s="36"/>
      <c r="BK36" s="36"/>
      <c r="BL36" s="36"/>
      <c r="BM36" s="36"/>
      <c r="BN36" s="35"/>
      <c r="BO36" s="35"/>
      <c r="BP36" s="35"/>
      <c r="BQ36" s="36"/>
      <c r="BR36" s="36"/>
      <c r="BS36" s="36"/>
      <c r="BT36" s="36"/>
      <c r="BU36" s="41"/>
      <c r="BV36" s="35"/>
      <c r="BW36" s="36"/>
      <c r="BX36" s="36"/>
      <c r="BY36" s="36"/>
      <c r="BZ36" s="36"/>
      <c r="CA36" s="36"/>
      <c r="CB36" s="35"/>
      <c r="CC36" s="35"/>
      <c r="CD36" s="36"/>
      <c r="CE36" s="36"/>
      <c r="CF36" s="36"/>
      <c r="CG36" s="36"/>
      <c r="CH36" s="36"/>
      <c r="CI36" s="35"/>
      <c r="CJ36" s="35"/>
      <c r="CK36" s="36"/>
      <c r="CL36" s="36"/>
      <c r="CM36" s="36"/>
      <c r="CN36" s="35"/>
      <c r="CO36" s="36"/>
      <c r="CP36" s="35"/>
      <c r="CQ36" s="35"/>
      <c r="CR36" s="36"/>
      <c r="CS36" s="36"/>
      <c r="CT36" s="36"/>
      <c r="CU36" s="36"/>
      <c r="CV36" s="36"/>
      <c r="CW36" s="36"/>
      <c r="CX36" s="36"/>
      <c r="CY36" s="36"/>
    </row>
    <row r="37" spans="1:103" ht="20.25" customHeight="1">
      <c r="A37" s="1"/>
      <c r="B37" s="66"/>
      <c r="C37" s="45" t="str">
        <f>C36</f>
        <v>手順書</v>
      </c>
      <c r="D37" s="68"/>
      <c r="E37" s="33">
        <f>IF(ISBLANK(E36),"",E36)</f>
        <v>45961</v>
      </c>
      <c r="F37" s="70"/>
      <c r="G37" s="17" t="str">
        <f>G36</f>
        <v>榎本</v>
      </c>
      <c r="H37" s="43"/>
      <c r="I37" s="43"/>
      <c r="J37" s="17"/>
      <c r="K37" s="22" t="str">
        <f>K36</f>
        <v>未</v>
      </c>
      <c r="L37" s="26" t="s">
        <v>17</v>
      </c>
      <c r="M37" s="37"/>
      <c r="N37" s="40"/>
      <c r="O37" s="27"/>
      <c r="P37" s="27"/>
      <c r="Q37" s="27"/>
      <c r="R37" s="27"/>
      <c r="S37" s="29"/>
      <c r="T37" s="29"/>
      <c r="U37" s="29"/>
      <c r="V37" s="29"/>
      <c r="W37" s="29"/>
      <c r="X37" s="27"/>
      <c r="Y37" s="27"/>
      <c r="Z37" s="27"/>
      <c r="AA37" s="29"/>
      <c r="AB37" s="29"/>
      <c r="AC37" s="29"/>
      <c r="AD37" s="29"/>
      <c r="AE37" s="27"/>
      <c r="AF37" s="27"/>
      <c r="AG37" s="29"/>
      <c r="AH37" s="29"/>
      <c r="AI37" s="29"/>
      <c r="AJ37" s="29"/>
      <c r="AK37" s="29"/>
      <c r="AL37" s="27"/>
      <c r="AM37" s="27"/>
      <c r="AN37" s="29"/>
      <c r="AO37" s="29"/>
      <c r="AP37" s="29"/>
      <c r="AQ37" s="29"/>
      <c r="AR37" s="29"/>
      <c r="AS37" s="40"/>
      <c r="AT37" s="27"/>
      <c r="AU37" s="29"/>
      <c r="AV37" s="29"/>
      <c r="AW37" s="29"/>
      <c r="AX37" s="29"/>
      <c r="AY37" s="29"/>
      <c r="AZ37" s="27"/>
      <c r="BA37" s="27"/>
      <c r="BB37" s="29"/>
      <c r="BC37" s="27"/>
      <c r="BD37" s="29"/>
      <c r="BE37" s="29"/>
      <c r="BF37" s="29"/>
      <c r="BG37" s="27"/>
      <c r="BH37" s="27"/>
      <c r="BI37" s="29"/>
      <c r="BJ37" s="29"/>
      <c r="BK37" s="29"/>
      <c r="BL37" s="29"/>
      <c r="BM37" s="29"/>
      <c r="BN37" s="27"/>
      <c r="BO37" s="27"/>
      <c r="BP37" s="27"/>
      <c r="BQ37" s="29"/>
      <c r="BR37" s="29"/>
      <c r="BS37" s="29"/>
      <c r="BT37" s="29"/>
      <c r="BU37" s="40"/>
      <c r="BV37" s="27"/>
      <c r="BW37" s="29"/>
      <c r="BX37" s="29"/>
      <c r="BY37" s="29"/>
      <c r="BZ37" s="29"/>
      <c r="CA37" s="29"/>
      <c r="CB37" s="27"/>
      <c r="CC37" s="27"/>
      <c r="CD37" s="29"/>
      <c r="CE37" s="29"/>
      <c r="CF37" s="29"/>
      <c r="CG37" s="29"/>
      <c r="CH37" s="29"/>
      <c r="CI37" s="27"/>
      <c r="CJ37" s="27"/>
      <c r="CK37" s="29"/>
      <c r="CL37" s="29"/>
      <c r="CM37" s="29"/>
      <c r="CN37" s="27"/>
      <c r="CO37" s="29"/>
      <c r="CP37" s="27"/>
      <c r="CQ37" s="27"/>
      <c r="CR37" s="29"/>
      <c r="CS37" s="29"/>
      <c r="CT37" s="29"/>
      <c r="CU37" s="29"/>
      <c r="CV37" s="29"/>
      <c r="CW37" s="29"/>
      <c r="CX37" s="29"/>
      <c r="CY37" s="29"/>
    </row>
    <row r="38" spans="1:103" ht="24.75" customHeight="1">
      <c r="A38" s="1"/>
      <c r="B38" s="65">
        <f t="shared" si="3"/>
        <v>16</v>
      </c>
      <c r="C38" s="8" t="s">
        <v>65</v>
      </c>
      <c r="D38" s="67" t="s">
        <v>67</v>
      </c>
      <c r="E38" s="24">
        <v>45961</v>
      </c>
      <c r="F38" s="69"/>
      <c r="G38" s="32" t="s">
        <v>22</v>
      </c>
      <c r="H38" s="42">
        <f>SUM(N38:CY38)</f>
        <v>0</v>
      </c>
      <c r="I38" s="42">
        <f>SUM(N39:CY39)</f>
        <v>0</v>
      </c>
      <c r="J38" s="32"/>
      <c r="K38" s="19" t="s">
        <v>24</v>
      </c>
      <c r="L38" s="25" t="s">
        <v>16</v>
      </c>
      <c r="M38" s="34"/>
      <c r="N38" s="41"/>
      <c r="O38" s="35"/>
      <c r="P38" s="35"/>
      <c r="Q38" s="35"/>
      <c r="R38" s="35"/>
      <c r="S38" s="36"/>
      <c r="T38" s="36"/>
      <c r="U38" s="36"/>
      <c r="V38" s="36"/>
      <c r="W38" s="36"/>
      <c r="X38" s="35"/>
      <c r="Y38" s="35"/>
      <c r="Z38" s="35"/>
      <c r="AA38" s="36"/>
      <c r="AB38" s="36"/>
      <c r="AC38" s="36"/>
      <c r="AD38" s="36"/>
      <c r="AE38" s="35"/>
      <c r="AF38" s="35"/>
      <c r="AG38" s="36"/>
      <c r="AH38" s="36"/>
      <c r="AI38" s="36"/>
      <c r="AJ38" s="36"/>
      <c r="AK38" s="36"/>
      <c r="AL38" s="35"/>
      <c r="AM38" s="35"/>
      <c r="AN38" s="36"/>
      <c r="AO38" s="36"/>
      <c r="AP38" s="36"/>
      <c r="AQ38" s="36"/>
      <c r="AR38" s="36"/>
      <c r="AS38" s="41"/>
      <c r="AT38" s="35"/>
      <c r="AU38" s="36"/>
      <c r="AV38" s="36"/>
      <c r="AW38" s="36"/>
      <c r="AX38" s="36"/>
      <c r="AY38" s="36"/>
      <c r="AZ38" s="35"/>
      <c r="BA38" s="35"/>
      <c r="BB38" s="36"/>
      <c r="BC38" s="35"/>
      <c r="BD38" s="36"/>
      <c r="BE38" s="36"/>
      <c r="BF38" s="36"/>
      <c r="BG38" s="35"/>
      <c r="BH38" s="35"/>
      <c r="BI38" s="36"/>
      <c r="BJ38" s="36"/>
      <c r="BK38" s="36"/>
      <c r="BL38" s="36"/>
      <c r="BM38" s="36"/>
      <c r="BN38" s="35"/>
      <c r="BO38" s="35"/>
      <c r="BP38" s="35"/>
      <c r="BQ38" s="36"/>
      <c r="BR38" s="36"/>
      <c r="BS38" s="36"/>
      <c r="BT38" s="36"/>
      <c r="BU38" s="41"/>
      <c r="BV38" s="35"/>
      <c r="BW38" s="36"/>
      <c r="BX38" s="36"/>
      <c r="BY38" s="36"/>
      <c r="BZ38" s="36"/>
      <c r="CA38" s="36"/>
      <c r="CB38" s="35"/>
      <c r="CC38" s="35"/>
      <c r="CD38" s="36"/>
      <c r="CE38" s="36"/>
      <c r="CF38" s="36"/>
      <c r="CG38" s="36"/>
      <c r="CH38" s="36"/>
      <c r="CI38" s="35"/>
      <c r="CJ38" s="35"/>
      <c r="CK38" s="36"/>
      <c r="CL38" s="36"/>
      <c r="CM38" s="36"/>
      <c r="CN38" s="35"/>
      <c r="CO38" s="36"/>
      <c r="CP38" s="35"/>
      <c r="CQ38" s="35"/>
      <c r="CR38" s="36"/>
      <c r="CS38" s="36"/>
      <c r="CT38" s="36"/>
      <c r="CU38" s="36"/>
      <c r="CV38" s="36"/>
      <c r="CW38" s="36"/>
      <c r="CX38" s="36"/>
      <c r="CY38" s="36"/>
    </row>
    <row r="39" spans="1:103" ht="20.25" customHeight="1">
      <c r="A39" s="1"/>
      <c r="B39" s="66"/>
      <c r="C39" s="45" t="str">
        <f>C38</f>
        <v>手順書</v>
      </c>
      <c r="D39" s="68"/>
      <c r="E39" s="33">
        <f>IF(ISBLANK(E38),"",E38)</f>
        <v>45961</v>
      </c>
      <c r="F39" s="70"/>
      <c r="G39" s="17" t="str">
        <f>G38</f>
        <v>榎本</v>
      </c>
      <c r="H39" s="43"/>
      <c r="I39" s="43"/>
      <c r="J39" s="17"/>
      <c r="K39" s="22" t="str">
        <f>K38</f>
        <v>未</v>
      </c>
      <c r="L39" s="26" t="s">
        <v>17</v>
      </c>
      <c r="M39" s="37"/>
      <c r="N39" s="40"/>
      <c r="O39" s="27"/>
      <c r="P39" s="27"/>
      <c r="Q39" s="27"/>
      <c r="R39" s="27"/>
      <c r="S39" s="29"/>
      <c r="T39" s="29"/>
      <c r="U39" s="29"/>
      <c r="V39" s="29"/>
      <c r="W39" s="29"/>
      <c r="X39" s="27"/>
      <c r="Y39" s="27"/>
      <c r="Z39" s="27"/>
      <c r="AA39" s="29"/>
      <c r="AB39" s="29"/>
      <c r="AC39" s="29"/>
      <c r="AD39" s="29"/>
      <c r="AE39" s="27"/>
      <c r="AF39" s="27"/>
      <c r="AG39" s="29"/>
      <c r="AH39" s="29"/>
      <c r="AI39" s="29"/>
      <c r="AJ39" s="29"/>
      <c r="AK39" s="29"/>
      <c r="AL39" s="27"/>
      <c r="AM39" s="27"/>
      <c r="AN39" s="29"/>
      <c r="AO39" s="29"/>
      <c r="AP39" s="29"/>
      <c r="AQ39" s="29"/>
      <c r="AR39" s="29"/>
      <c r="AS39" s="40"/>
      <c r="AT39" s="27"/>
      <c r="AU39" s="29"/>
      <c r="AV39" s="29"/>
      <c r="AW39" s="29"/>
      <c r="AX39" s="29"/>
      <c r="AY39" s="29"/>
      <c r="AZ39" s="27"/>
      <c r="BA39" s="27"/>
      <c r="BB39" s="29"/>
      <c r="BC39" s="27"/>
      <c r="BD39" s="29"/>
      <c r="BE39" s="29"/>
      <c r="BF39" s="29"/>
      <c r="BG39" s="27"/>
      <c r="BH39" s="27"/>
      <c r="BI39" s="29"/>
      <c r="BJ39" s="29"/>
      <c r="BK39" s="29"/>
      <c r="BL39" s="29"/>
      <c r="BM39" s="29"/>
      <c r="BN39" s="27"/>
      <c r="BO39" s="27"/>
      <c r="BP39" s="27"/>
      <c r="BQ39" s="29"/>
      <c r="BR39" s="29"/>
      <c r="BS39" s="29"/>
      <c r="BT39" s="29"/>
      <c r="BU39" s="40"/>
      <c r="BV39" s="27"/>
      <c r="BW39" s="29"/>
      <c r="BX39" s="29"/>
      <c r="BY39" s="29"/>
      <c r="BZ39" s="29"/>
      <c r="CA39" s="29"/>
      <c r="CB39" s="27"/>
      <c r="CC39" s="27"/>
      <c r="CD39" s="29"/>
      <c r="CE39" s="29"/>
      <c r="CF39" s="29"/>
      <c r="CG39" s="29"/>
      <c r="CH39" s="29"/>
      <c r="CI39" s="27"/>
      <c r="CJ39" s="27"/>
      <c r="CK39" s="29"/>
      <c r="CL39" s="29"/>
      <c r="CM39" s="29"/>
      <c r="CN39" s="27"/>
      <c r="CO39" s="29"/>
      <c r="CP39" s="27"/>
      <c r="CQ39" s="27"/>
      <c r="CR39" s="29"/>
      <c r="CS39" s="29"/>
      <c r="CT39" s="29"/>
      <c r="CU39" s="29"/>
      <c r="CV39" s="29"/>
      <c r="CW39" s="29"/>
      <c r="CX39" s="29"/>
      <c r="CY39" s="29"/>
    </row>
    <row r="40" spans="1:103" ht="24.75" customHeight="1">
      <c r="A40" s="1"/>
      <c r="B40" s="65">
        <f t="shared" si="3"/>
        <v>17</v>
      </c>
      <c r="C40" s="8" t="s">
        <v>65</v>
      </c>
      <c r="D40" s="67" t="s">
        <v>68</v>
      </c>
      <c r="E40" s="24">
        <v>45961</v>
      </c>
      <c r="F40" s="69"/>
      <c r="G40" s="32" t="s">
        <v>22</v>
      </c>
      <c r="H40" s="42">
        <f>SUM(N40:CY40)</f>
        <v>0</v>
      </c>
      <c r="I40" s="42">
        <f>SUM(N41:CY41)</f>
        <v>0</v>
      </c>
      <c r="J40" s="32"/>
      <c r="K40" s="19" t="s">
        <v>24</v>
      </c>
      <c r="L40" s="25" t="s">
        <v>16</v>
      </c>
      <c r="M40" s="34"/>
      <c r="N40" s="41"/>
      <c r="O40" s="35"/>
      <c r="P40" s="35"/>
      <c r="Q40" s="35"/>
      <c r="R40" s="35"/>
      <c r="S40" s="36"/>
      <c r="T40" s="36"/>
      <c r="U40" s="36"/>
      <c r="V40" s="36"/>
      <c r="W40" s="36"/>
      <c r="X40" s="35"/>
      <c r="Y40" s="35"/>
      <c r="Z40" s="35"/>
      <c r="AA40" s="36"/>
      <c r="AB40" s="36"/>
      <c r="AC40" s="36"/>
      <c r="AD40" s="36"/>
      <c r="AE40" s="35"/>
      <c r="AF40" s="35"/>
      <c r="AG40" s="36"/>
      <c r="AH40" s="36"/>
      <c r="AI40" s="36"/>
      <c r="AJ40" s="36"/>
      <c r="AK40" s="36"/>
      <c r="AL40" s="35"/>
      <c r="AM40" s="35"/>
      <c r="AN40" s="36"/>
      <c r="AO40" s="36"/>
      <c r="AP40" s="36"/>
      <c r="AQ40" s="36"/>
      <c r="AR40" s="36"/>
      <c r="AS40" s="41"/>
      <c r="AT40" s="35"/>
      <c r="AU40" s="36"/>
      <c r="AV40" s="36"/>
      <c r="AW40" s="36"/>
      <c r="AX40" s="36"/>
      <c r="AY40" s="36"/>
      <c r="AZ40" s="35"/>
      <c r="BA40" s="35"/>
      <c r="BB40" s="36"/>
      <c r="BC40" s="35"/>
      <c r="BD40" s="36"/>
      <c r="BE40" s="36"/>
      <c r="BF40" s="36"/>
      <c r="BG40" s="35"/>
      <c r="BH40" s="35"/>
      <c r="BI40" s="36"/>
      <c r="BJ40" s="36"/>
      <c r="BK40" s="36"/>
      <c r="BL40" s="36"/>
      <c r="BM40" s="36"/>
      <c r="BN40" s="35"/>
      <c r="BO40" s="35"/>
      <c r="BP40" s="35"/>
      <c r="BQ40" s="36"/>
      <c r="BR40" s="36"/>
      <c r="BS40" s="36"/>
      <c r="BT40" s="36"/>
      <c r="BU40" s="41"/>
      <c r="BV40" s="35"/>
      <c r="BW40" s="36"/>
      <c r="BX40" s="36"/>
      <c r="BY40" s="36"/>
      <c r="BZ40" s="36"/>
      <c r="CA40" s="36"/>
      <c r="CB40" s="35"/>
      <c r="CC40" s="35"/>
      <c r="CD40" s="36"/>
      <c r="CE40" s="36"/>
      <c r="CF40" s="36"/>
      <c r="CG40" s="36"/>
      <c r="CH40" s="36"/>
      <c r="CI40" s="35"/>
      <c r="CJ40" s="35"/>
      <c r="CK40" s="36"/>
      <c r="CL40" s="36"/>
      <c r="CM40" s="36"/>
      <c r="CN40" s="35"/>
      <c r="CO40" s="36"/>
      <c r="CP40" s="35"/>
      <c r="CQ40" s="35"/>
      <c r="CR40" s="36"/>
      <c r="CS40" s="36"/>
      <c r="CT40" s="36"/>
      <c r="CU40" s="36"/>
      <c r="CV40" s="36"/>
      <c r="CW40" s="36"/>
      <c r="CX40" s="36"/>
      <c r="CY40" s="36"/>
    </row>
    <row r="41" spans="1:103" ht="20.25" customHeight="1">
      <c r="A41" s="1"/>
      <c r="B41" s="66"/>
      <c r="C41" s="45" t="str">
        <f>C40</f>
        <v>手順書</v>
      </c>
      <c r="D41" s="68"/>
      <c r="E41" s="33">
        <f>IF(ISBLANK(E40),"",E40)</f>
        <v>45961</v>
      </c>
      <c r="F41" s="70"/>
      <c r="G41" s="17" t="str">
        <f>G40</f>
        <v>榎本</v>
      </c>
      <c r="H41" s="43"/>
      <c r="I41" s="43"/>
      <c r="J41" s="17"/>
      <c r="K41" s="22" t="str">
        <f>K40</f>
        <v>未</v>
      </c>
      <c r="L41" s="26" t="s">
        <v>17</v>
      </c>
      <c r="M41" s="37"/>
      <c r="N41" s="40"/>
      <c r="O41" s="27"/>
      <c r="P41" s="27"/>
      <c r="Q41" s="27"/>
      <c r="R41" s="27"/>
      <c r="S41" s="29"/>
      <c r="T41" s="29"/>
      <c r="U41" s="29"/>
      <c r="V41" s="29"/>
      <c r="W41" s="29"/>
      <c r="X41" s="27"/>
      <c r="Y41" s="27"/>
      <c r="Z41" s="27"/>
      <c r="AA41" s="29"/>
      <c r="AB41" s="29"/>
      <c r="AC41" s="29"/>
      <c r="AD41" s="29"/>
      <c r="AE41" s="27"/>
      <c r="AF41" s="27"/>
      <c r="AG41" s="29"/>
      <c r="AH41" s="29"/>
      <c r="AI41" s="29"/>
      <c r="AJ41" s="29"/>
      <c r="AK41" s="29"/>
      <c r="AL41" s="27"/>
      <c r="AM41" s="27"/>
      <c r="AN41" s="29"/>
      <c r="AO41" s="29"/>
      <c r="AP41" s="29"/>
      <c r="AQ41" s="29"/>
      <c r="AR41" s="29"/>
      <c r="AS41" s="40"/>
      <c r="AT41" s="27"/>
      <c r="AU41" s="29"/>
      <c r="AV41" s="29"/>
      <c r="AW41" s="29"/>
      <c r="AX41" s="29"/>
      <c r="AY41" s="29"/>
      <c r="AZ41" s="27"/>
      <c r="BA41" s="27"/>
      <c r="BB41" s="29"/>
      <c r="BC41" s="27"/>
      <c r="BD41" s="29"/>
      <c r="BE41" s="29"/>
      <c r="BF41" s="29"/>
      <c r="BG41" s="27"/>
      <c r="BH41" s="27"/>
      <c r="BI41" s="29"/>
      <c r="BJ41" s="29"/>
      <c r="BK41" s="29"/>
      <c r="BL41" s="29"/>
      <c r="BM41" s="29"/>
      <c r="BN41" s="27"/>
      <c r="BO41" s="27"/>
      <c r="BP41" s="27"/>
      <c r="BQ41" s="29"/>
      <c r="BR41" s="29"/>
      <c r="BS41" s="29"/>
      <c r="BT41" s="29"/>
      <c r="BU41" s="40"/>
      <c r="BV41" s="27"/>
      <c r="BW41" s="29"/>
      <c r="BX41" s="29"/>
      <c r="BY41" s="29"/>
      <c r="BZ41" s="29"/>
      <c r="CA41" s="29"/>
      <c r="CB41" s="27"/>
      <c r="CC41" s="27"/>
      <c r="CD41" s="29"/>
      <c r="CE41" s="29"/>
      <c r="CF41" s="29"/>
      <c r="CG41" s="29"/>
      <c r="CH41" s="29"/>
      <c r="CI41" s="27"/>
      <c r="CJ41" s="27"/>
      <c r="CK41" s="29"/>
      <c r="CL41" s="29"/>
      <c r="CM41" s="29"/>
      <c r="CN41" s="27"/>
      <c r="CO41" s="29"/>
      <c r="CP41" s="27"/>
      <c r="CQ41" s="27"/>
      <c r="CR41" s="29"/>
      <c r="CS41" s="29"/>
      <c r="CT41" s="29"/>
      <c r="CU41" s="29"/>
      <c r="CV41" s="29"/>
      <c r="CW41" s="29"/>
      <c r="CX41" s="29"/>
      <c r="CY41" s="29"/>
    </row>
    <row r="42" spans="1:103" ht="24.75" customHeight="1">
      <c r="A42" s="1"/>
      <c r="B42" s="65">
        <f t="shared" si="3"/>
        <v>18</v>
      </c>
      <c r="C42" s="8" t="s">
        <v>65</v>
      </c>
      <c r="D42" s="67" t="s">
        <v>69</v>
      </c>
      <c r="E42" s="24">
        <v>45961</v>
      </c>
      <c r="F42" s="69"/>
      <c r="G42" s="32" t="s">
        <v>22</v>
      </c>
      <c r="H42" s="42">
        <f>SUM(N42:CY42)</f>
        <v>0</v>
      </c>
      <c r="I42" s="42">
        <f>SUM(N43:CY43)</f>
        <v>0</v>
      </c>
      <c r="J42" s="32"/>
      <c r="K42" s="19" t="s">
        <v>24</v>
      </c>
      <c r="L42" s="25" t="s">
        <v>16</v>
      </c>
      <c r="M42" s="34"/>
      <c r="N42" s="41"/>
      <c r="O42" s="35"/>
      <c r="P42" s="35"/>
      <c r="Q42" s="35"/>
      <c r="R42" s="35"/>
      <c r="S42" s="36"/>
      <c r="T42" s="36"/>
      <c r="U42" s="36"/>
      <c r="V42" s="36"/>
      <c r="W42" s="36"/>
      <c r="X42" s="35"/>
      <c r="Y42" s="35"/>
      <c r="Z42" s="35"/>
      <c r="AA42" s="36"/>
      <c r="AB42" s="36"/>
      <c r="AC42" s="36"/>
      <c r="AD42" s="36"/>
      <c r="AE42" s="35"/>
      <c r="AF42" s="35"/>
      <c r="AG42" s="36"/>
      <c r="AH42" s="36"/>
      <c r="AI42" s="36"/>
      <c r="AJ42" s="36"/>
      <c r="AK42" s="36"/>
      <c r="AL42" s="35"/>
      <c r="AM42" s="35"/>
      <c r="AN42" s="36"/>
      <c r="AO42" s="36"/>
      <c r="AP42" s="36"/>
      <c r="AQ42" s="36"/>
      <c r="AR42" s="36"/>
      <c r="AS42" s="41"/>
      <c r="AT42" s="35"/>
      <c r="AU42" s="36"/>
      <c r="AV42" s="36"/>
      <c r="AW42" s="36"/>
      <c r="AX42" s="36"/>
      <c r="AY42" s="36"/>
      <c r="AZ42" s="35"/>
      <c r="BA42" s="35"/>
      <c r="BB42" s="36"/>
      <c r="BC42" s="35"/>
      <c r="BD42" s="36"/>
      <c r="BE42" s="36"/>
      <c r="BF42" s="36"/>
      <c r="BG42" s="35"/>
      <c r="BH42" s="35"/>
      <c r="BI42" s="36"/>
      <c r="BJ42" s="36"/>
      <c r="BK42" s="36"/>
      <c r="BL42" s="36"/>
      <c r="BM42" s="36"/>
      <c r="BN42" s="35"/>
      <c r="BO42" s="35"/>
      <c r="BP42" s="35"/>
      <c r="BQ42" s="36"/>
      <c r="BR42" s="36"/>
      <c r="BS42" s="36"/>
      <c r="BT42" s="36"/>
      <c r="BU42" s="41"/>
      <c r="BV42" s="35"/>
      <c r="BW42" s="36"/>
      <c r="BX42" s="36"/>
      <c r="BY42" s="36"/>
      <c r="BZ42" s="36"/>
      <c r="CA42" s="36"/>
      <c r="CB42" s="35"/>
      <c r="CC42" s="35"/>
      <c r="CD42" s="36"/>
      <c r="CE42" s="36"/>
      <c r="CF42" s="36"/>
      <c r="CG42" s="36"/>
      <c r="CH42" s="36"/>
      <c r="CI42" s="35"/>
      <c r="CJ42" s="35"/>
      <c r="CK42" s="36"/>
      <c r="CL42" s="36"/>
      <c r="CM42" s="36"/>
      <c r="CN42" s="35"/>
      <c r="CO42" s="36"/>
      <c r="CP42" s="35"/>
      <c r="CQ42" s="35"/>
      <c r="CR42" s="36"/>
      <c r="CS42" s="36"/>
      <c r="CT42" s="36"/>
      <c r="CU42" s="36"/>
      <c r="CV42" s="36"/>
      <c r="CW42" s="36"/>
      <c r="CX42" s="36"/>
      <c r="CY42" s="36"/>
    </row>
    <row r="43" spans="1:103" ht="20.25" customHeight="1">
      <c r="A43" s="1"/>
      <c r="B43" s="66"/>
      <c r="C43" s="45" t="str">
        <f>C42</f>
        <v>手順書</v>
      </c>
      <c r="D43" s="68"/>
      <c r="E43" s="33">
        <f>IF(ISBLANK(E42),"",E42)</f>
        <v>45961</v>
      </c>
      <c r="F43" s="70"/>
      <c r="G43" s="17" t="str">
        <f>G42</f>
        <v>榎本</v>
      </c>
      <c r="H43" s="43"/>
      <c r="I43" s="43"/>
      <c r="J43" s="17"/>
      <c r="K43" s="22" t="str">
        <f>K42</f>
        <v>未</v>
      </c>
      <c r="L43" s="26" t="s">
        <v>17</v>
      </c>
      <c r="M43" s="37"/>
      <c r="N43" s="40"/>
      <c r="O43" s="27"/>
      <c r="P43" s="27"/>
      <c r="Q43" s="27"/>
      <c r="R43" s="27"/>
      <c r="S43" s="29"/>
      <c r="T43" s="29"/>
      <c r="U43" s="29"/>
      <c r="V43" s="29"/>
      <c r="W43" s="29"/>
      <c r="X43" s="27"/>
      <c r="Y43" s="27"/>
      <c r="Z43" s="27"/>
      <c r="AA43" s="29"/>
      <c r="AB43" s="29"/>
      <c r="AC43" s="29"/>
      <c r="AD43" s="29"/>
      <c r="AE43" s="27"/>
      <c r="AF43" s="27"/>
      <c r="AG43" s="29"/>
      <c r="AH43" s="29"/>
      <c r="AI43" s="29"/>
      <c r="AJ43" s="29"/>
      <c r="AK43" s="29"/>
      <c r="AL43" s="27"/>
      <c r="AM43" s="27"/>
      <c r="AN43" s="29"/>
      <c r="AO43" s="29"/>
      <c r="AP43" s="29"/>
      <c r="AQ43" s="29"/>
      <c r="AR43" s="29"/>
      <c r="AS43" s="40"/>
      <c r="AT43" s="27"/>
      <c r="AU43" s="29"/>
      <c r="AV43" s="29"/>
      <c r="AW43" s="29"/>
      <c r="AX43" s="29"/>
      <c r="AY43" s="29"/>
      <c r="AZ43" s="27"/>
      <c r="BA43" s="27"/>
      <c r="BB43" s="29"/>
      <c r="BC43" s="27"/>
      <c r="BD43" s="29"/>
      <c r="BE43" s="29"/>
      <c r="BF43" s="29"/>
      <c r="BG43" s="27"/>
      <c r="BH43" s="27"/>
      <c r="BI43" s="29"/>
      <c r="BJ43" s="29"/>
      <c r="BK43" s="29"/>
      <c r="BL43" s="29"/>
      <c r="BM43" s="29"/>
      <c r="BN43" s="27"/>
      <c r="BO43" s="27"/>
      <c r="BP43" s="27"/>
      <c r="BQ43" s="29"/>
      <c r="BR43" s="29"/>
      <c r="BS43" s="29"/>
      <c r="BT43" s="29"/>
      <c r="BU43" s="40"/>
      <c r="BV43" s="27"/>
      <c r="BW43" s="29"/>
      <c r="BX43" s="29"/>
      <c r="BY43" s="29"/>
      <c r="BZ43" s="29"/>
      <c r="CA43" s="29"/>
      <c r="CB43" s="27"/>
      <c r="CC43" s="27"/>
      <c r="CD43" s="29"/>
      <c r="CE43" s="29"/>
      <c r="CF43" s="29"/>
      <c r="CG43" s="29"/>
      <c r="CH43" s="29"/>
      <c r="CI43" s="27"/>
      <c r="CJ43" s="27"/>
      <c r="CK43" s="29"/>
      <c r="CL43" s="29"/>
      <c r="CM43" s="29"/>
      <c r="CN43" s="27"/>
      <c r="CO43" s="29"/>
      <c r="CP43" s="27"/>
      <c r="CQ43" s="27"/>
      <c r="CR43" s="29"/>
      <c r="CS43" s="29"/>
      <c r="CT43" s="29"/>
      <c r="CU43" s="29"/>
      <c r="CV43" s="29"/>
      <c r="CW43" s="29"/>
      <c r="CX43" s="29"/>
      <c r="CY43" s="29"/>
    </row>
    <row r="44" spans="1:103" ht="24.75" customHeight="1">
      <c r="A44" s="1"/>
      <c r="B44" s="65">
        <f t="shared" si="3"/>
        <v>19</v>
      </c>
      <c r="C44" s="8" t="s">
        <v>41</v>
      </c>
      <c r="D44" s="67" t="s">
        <v>70</v>
      </c>
      <c r="E44" s="24">
        <v>45884</v>
      </c>
      <c r="F44" s="69"/>
      <c r="G44" s="32" t="s">
        <v>22</v>
      </c>
      <c r="H44" s="42">
        <f>SUM(N44:CY44)</f>
        <v>0</v>
      </c>
      <c r="I44" s="42">
        <f>SUM(N45:CY45)</f>
        <v>0</v>
      </c>
      <c r="J44" s="32"/>
      <c r="K44" s="19" t="s">
        <v>24</v>
      </c>
      <c r="L44" s="25" t="s">
        <v>16</v>
      </c>
      <c r="M44" s="34"/>
      <c r="N44" s="41"/>
      <c r="O44" s="35"/>
      <c r="P44" s="35"/>
      <c r="Q44" s="35"/>
      <c r="R44" s="35"/>
      <c r="S44" s="36"/>
      <c r="T44" s="36"/>
      <c r="U44" s="36"/>
      <c r="V44" s="36"/>
      <c r="W44" s="36"/>
      <c r="X44" s="35"/>
      <c r="Y44" s="35"/>
      <c r="Z44" s="35"/>
      <c r="AA44" s="36"/>
      <c r="AB44" s="36"/>
      <c r="AC44" s="36"/>
      <c r="AD44" s="36"/>
      <c r="AE44" s="35"/>
      <c r="AF44" s="35"/>
      <c r="AG44" s="36"/>
      <c r="AH44" s="36"/>
      <c r="AI44" s="36"/>
      <c r="AJ44" s="36"/>
      <c r="AK44" s="36"/>
      <c r="AL44" s="35"/>
      <c r="AM44" s="35"/>
      <c r="AN44" s="36"/>
      <c r="AO44" s="36"/>
      <c r="AP44" s="36"/>
      <c r="AQ44" s="36"/>
      <c r="AR44" s="36"/>
      <c r="AS44" s="41"/>
      <c r="AT44" s="35"/>
      <c r="AU44" s="36"/>
      <c r="AV44" s="36"/>
      <c r="AW44" s="36"/>
      <c r="AX44" s="36"/>
      <c r="AY44" s="36"/>
      <c r="AZ44" s="35"/>
      <c r="BA44" s="35"/>
      <c r="BB44" s="36"/>
      <c r="BC44" s="35"/>
      <c r="BD44" s="36"/>
      <c r="BE44" s="36"/>
      <c r="BF44" s="36"/>
      <c r="BG44" s="35"/>
      <c r="BH44" s="35"/>
      <c r="BI44" s="36"/>
      <c r="BJ44" s="36"/>
      <c r="BK44" s="36"/>
      <c r="BL44" s="36"/>
      <c r="BM44" s="36"/>
      <c r="BN44" s="35"/>
      <c r="BO44" s="35"/>
      <c r="BP44" s="35"/>
      <c r="BQ44" s="36"/>
      <c r="BR44" s="36"/>
      <c r="BS44" s="36"/>
      <c r="BT44" s="36"/>
      <c r="BU44" s="41"/>
      <c r="BV44" s="35"/>
      <c r="BW44" s="36"/>
      <c r="BX44" s="36"/>
      <c r="BY44" s="36"/>
      <c r="BZ44" s="36"/>
      <c r="CA44" s="36"/>
      <c r="CB44" s="35"/>
      <c r="CC44" s="35"/>
      <c r="CD44" s="36"/>
      <c r="CE44" s="36"/>
      <c r="CF44" s="36"/>
      <c r="CG44" s="36"/>
      <c r="CH44" s="36"/>
      <c r="CI44" s="35"/>
      <c r="CJ44" s="35"/>
      <c r="CK44" s="36"/>
      <c r="CL44" s="36"/>
      <c r="CM44" s="36"/>
      <c r="CN44" s="35"/>
      <c r="CO44" s="36"/>
      <c r="CP44" s="35"/>
      <c r="CQ44" s="35"/>
      <c r="CR44" s="36"/>
      <c r="CS44" s="36"/>
      <c r="CT44" s="36"/>
      <c r="CU44" s="36"/>
      <c r="CV44" s="36"/>
      <c r="CW44" s="36"/>
      <c r="CX44" s="36"/>
      <c r="CY44" s="36"/>
    </row>
    <row r="45" spans="1:103" ht="20.25" customHeight="1">
      <c r="A45" s="1"/>
      <c r="B45" s="66"/>
      <c r="C45" s="45" t="str">
        <f>C44</f>
        <v>環境構築</v>
      </c>
      <c r="D45" s="68"/>
      <c r="E45" s="33">
        <f>IF(ISBLANK(E44),"",E44)</f>
        <v>45884</v>
      </c>
      <c r="F45" s="70"/>
      <c r="G45" s="17" t="str">
        <f>G44</f>
        <v>榎本</v>
      </c>
      <c r="H45" s="43"/>
      <c r="I45" s="43"/>
      <c r="J45" s="17"/>
      <c r="K45" s="22" t="str">
        <f>K44</f>
        <v>未</v>
      </c>
      <c r="L45" s="26" t="s">
        <v>17</v>
      </c>
      <c r="M45" s="37"/>
      <c r="N45" s="40"/>
      <c r="O45" s="27"/>
      <c r="P45" s="27"/>
      <c r="Q45" s="27"/>
      <c r="R45" s="27"/>
      <c r="S45" s="29"/>
      <c r="T45" s="29"/>
      <c r="U45" s="29"/>
      <c r="V45" s="29"/>
      <c r="W45" s="29"/>
      <c r="X45" s="27"/>
      <c r="Y45" s="27"/>
      <c r="Z45" s="27"/>
      <c r="AA45" s="29"/>
      <c r="AB45" s="29"/>
      <c r="AC45" s="29"/>
      <c r="AD45" s="29"/>
      <c r="AE45" s="27"/>
      <c r="AF45" s="27"/>
      <c r="AG45" s="29"/>
      <c r="AH45" s="29"/>
      <c r="AI45" s="29"/>
      <c r="AJ45" s="29"/>
      <c r="AK45" s="29"/>
      <c r="AL45" s="27"/>
      <c r="AM45" s="27"/>
      <c r="AN45" s="29"/>
      <c r="AO45" s="29"/>
      <c r="AP45" s="29"/>
      <c r="AQ45" s="29"/>
      <c r="AR45" s="29"/>
      <c r="AS45" s="40"/>
      <c r="AT45" s="27"/>
      <c r="AU45" s="29"/>
      <c r="AV45" s="29"/>
      <c r="AW45" s="29"/>
      <c r="AX45" s="29"/>
      <c r="AY45" s="29"/>
      <c r="AZ45" s="27"/>
      <c r="BA45" s="27"/>
      <c r="BB45" s="29"/>
      <c r="BC45" s="27"/>
      <c r="BD45" s="29"/>
      <c r="BE45" s="29"/>
      <c r="BF45" s="29"/>
      <c r="BG45" s="27"/>
      <c r="BH45" s="27"/>
      <c r="BI45" s="29"/>
      <c r="BJ45" s="29"/>
      <c r="BK45" s="29"/>
      <c r="BL45" s="29"/>
      <c r="BM45" s="29"/>
      <c r="BN45" s="27"/>
      <c r="BO45" s="27"/>
      <c r="BP45" s="27"/>
      <c r="BQ45" s="29"/>
      <c r="BR45" s="29"/>
      <c r="BS45" s="29"/>
      <c r="BT45" s="29"/>
      <c r="BU45" s="40"/>
      <c r="BV45" s="27"/>
      <c r="BW45" s="29"/>
      <c r="BX45" s="29"/>
      <c r="BY45" s="29"/>
      <c r="BZ45" s="29"/>
      <c r="CA45" s="29"/>
      <c r="CB45" s="27"/>
      <c r="CC45" s="27"/>
      <c r="CD45" s="29"/>
      <c r="CE45" s="29"/>
      <c r="CF45" s="29"/>
      <c r="CG45" s="29"/>
      <c r="CH45" s="29"/>
      <c r="CI45" s="27"/>
      <c r="CJ45" s="27"/>
      <c r="CK45" s="29"/>
      <c r="CL45" s="29"/>
      <c r="CM45" s="29"/>
      <c r="CN45" s="27"/>
      <c r="CO45" s="29"/>
      <c r="CP45" s="27"/>
      <c r="CQ45" s="27"/>
      <c r="CR45" s="29"/>
      <c r="CS45" s="29"/>
      <c r="CT45" s="29"/>
      <c r="CU45" s="29"/>
      <c r="CV45" s="29"/>
      <c r="CW45" s="29"/>
      <c r="CX45" s="29"/>
      <c r="CY45" s="29"/>
    </row>
    <row r="46" spans="1:103" ht="24.75" customHeight="1">
      <c r="A46" s="1"/>
      <c r="B46" s="65">
        <f t="shared" si="3"/>
        <v>20</v>
      </c>
      <c r="C46" s="8" t="s">
        <v>41</v>
      </c>
      <c r="D46" s="67" t="s">
        <v>71</v>
      </c>
      <c r="E46" s="24">
        <v>45975</v>
      </c>
      <c r="F46" s="69"/>
      <c r="G46" s="32" t="s">
        <v>22</v>
      </c>
      <c r="H46" s="42">
        <f>SUM(N46:CY46)</f>
        <v>0</v>
      </c>
      <c r="I46" s="42">
        <f>SUM(N47:CY47)</f>
        <v>0</v>
      </c>
      <c r="J46" s="32"/>
      <c r="K46" s="19" t="s">
        <v>24</v>
      </c>
      <c r="L46" s="25" t="s">
        <v>16</v>
      </c>
      <c r="M46" s="34"/>
      <c r="N46" s="41"/>
      <c r="O46" s="35"/>
      <c r="P46" s="35"/>
      <c r="Q46" s="35"/>
      <c r="R46" s="35"/>
      <c r="S46" s="36"/>
      <c r="T46" s="36"/>
      <c r="U46" s="36"/>
      <c r="V46" s="36"/>
      <c r="W46" s="36"/>
      <c r="X46" s="35"/>
      <c r="Y46" s="35"/>
      <c r="Z46" s="35"/>
      <c r="AA46" s="36"/>
      <c r="AB46" s="36"/>
      <c r="AC46" s="36"/>
      <c r="AD46" s="36"/>
      <c r="AE46" s="35"/>
      <c r="AF46" s="35"/>
      <c r="AG46" s="36"/>
      <c r="AH46" s="36"/>
      <c r="AI46" s="36"/>
      <c r="AJ46" s="36"/>
      <c r="AK46" s="36"/>
      <c r="AL46" s="35"/>
      <c r="AM46" s="35"/>
      <c r="AN46" s="36"/>
      <c r="AO46" s="36"/>
      <c r="AP46" s="36"/>
      <c r="AQ46" s="36"/>
      <c r="AR46" s="36"/>
      <c r="AS46" s="41"/>
      <c r="AT46" s="35"/>
      <c r="AU46" s="36"/>
      <c r="AV46" s="36"/>
      <c r="AW46" s="36"/>
      <c r="AX46" s="36"/>
      <c r="AY46" s="36"/>
      <c r="AZ46" s="35"/>
      <c r="BA46" s="35"/>
      <c r="BB46" s="36"/>
      <c r="BC46" s="35"/>
      <c r="BD46" s="36"/>
      <c r="BE46" s="36"/>
      <c r="BF46" s="36"/>
      <c r="BG46" s="35"/>
      <c r="BH46" s="35"/>
      <c r="BI46" s="36"/>
      <c r="BJ46" s="36"/>
      <c r="BK46" s="36"/>
      <c r="BL46" s="36"/>
      <c r="BM46" s="36"/>
      <c r="BN46" s="35"/>
      <c r="BO46" s="35"/>
      <c r="BP46" s="35"/>
      <c r="BQ46" s="36"/>
      <c r="BR46" s="36"/>
      <c r="BS46" s="36"/>
      <c r="BT46" s="36"/>
      <c r="BU46" s="41"/>
      <c r="BV46" s="35"/>
      <c r="BW46" s="36"/>
      <c r="BX46" s="36"/>
      <c r="BY46" s="36"/>
      <c r="BZ46" s="36"/>
      <c r="CA46" s="36"/>
      <c r="CB46" s="35"/>
      <c r="CC46" s="35"/>
      <c r="CD46" s="36"/>
      <c r="CE46" s="36"/>
      <c r="CF46" s="36"/>
      <c r="CG46" s="36"/>
      <c r="CH46" s="36"/>
      <c r="CI46" s="35"/>
      <c r="CJ46" s="35"/>
      <c r="CK46" s="36"/>
      <c r="CL46" s="36"/>
      <c r="CM46" s="36"/>
      <c r="CN46" s="35"/>
      <c r="CO46" s="36"/>
      <c r="CP46" s="35"/>
      <c r="CQ46" s="35"/>
      <c r="CR46" s="36"/>
      <c r="CS46" s="36"/>
      <c r="CT46" s="36"/>
      <c r="CU46" s="36"/>
      <c r="CV46" s="36"/>
      <c r="CW46" s="36"/>
      <c r="CX46" s="36"/>
      <c r="CY46" s="36"/>
    </row>
    <row r="47" spans="1:103" ht="20.25" customHeight="1">
      <c r="A47" s="1"/>
      <c r="B47" s="66"/>
      <c r="C47" s="45" t="str">
        <f>C46</f>
        <v>環境構築</v>
      </c>
      <c r="D47" s="68"/>
      <c r="E47" s="33">
        <f>IF(ISBLANK(E46),"",E46)</f>
        <v>45975</v>
      </c>
      <c r="F47" s="70"/>
      <c r="G47" s="17" t="str">
        <f>G46</f>
        <v>榎本</v>
      </c>
      <c r="H47" s="43"/>
      <c r="I47" s="43"/>
      <c r="J47" s="17"/>
      <c r="K47" s="22" t="str">
        <f>K46</f>
        <v>未</v>
      </c>
      <c r="L47" s="26" t="s">
        <v>17</v>
      </c>
      <c r="M47" s="37"/>
      <c r="N47" s="40"/>
      <c r="O47" s="27"/>
      <c r="P47" s="27"/>
      <c r="Q47" s="27"/>
      <c r="R47" s="27"/>
      <c r="S47" s="29"/>
      <c r="T47" s="29"/>
      <c r="U47" s="29"/>
      <c r="V47" s="29"/>
      <c r="W47" s="29"/>
      <c r="X47" s="27"/>
      <c r="Y47" s="27"/>
      <c r="Z47" s="27"/>
      <c r="AA47" s="29"/>
      <c r="AB47" s="29"/>
      <c r="AC47" s="29"/>
      <c r="AD47" s="29"/>
      <c r="AE47" s="27"/>
      <c r="AF47" s="27"/>
      <c r="AG47" s="29"/>
      <c r="AH47" s="29"/>
      <c r="AI47" s="29"/>
      <c r="AJ47" s="29"/>
      <c r="AK47" s="29"/>
      <c r="AL47" s="27"/>
      <c r="AM47" s="27"/>
      <c r="AN47" s="29"/>
      <c r="AO47" s="29"/>
      <c r="AP47" s="29"/>
      <c r="AQ47" s="29"/>
      <c r="AR47" s="29"/>
      <c r="AS47" s="40"/>
      <c r="AT47" s="27"/>
      <c r="AU47" s="29"/>
      <c r="AV47" s="29"/>
      <c r="AW47" s="29"/>
      <c r="AX47" s="29"/>
      <c r="AY47" s="29"/>
      <c r="AZ47" s="27"/>
      <c r="BA47" s="27"/>
      <c r="BB47" s="29"/>
      <c r="BC47" s="27"/>
      <c r="BD47" s="29"/>
      <c r="BE47" s="29"/>
      <c r="BF47" s="29"/>
      <c r="BG47" s="27"/>
      <c r="BH47" s="27"/>
      <c r="BI47" s="29"/>
      <c r="BJ47" s="29"/>
      <c r="BK47" s="29"/>
      <c r="BL47" s="29"/>
      <c r="BM47" s="29"/>
      <c r="BN47" s="27"/>
      <c r="BO47" s="27"/>
      <c r="BP47" s="27"/>
      <c r="BQ47" s="29"/>
      <c r="BR47" s="29"/>
      <c r="BS47" s="29"/>
      <c r="BT47" s="29"/>
      <c r="BU47" s="40"/>
      <c r="BV47" s="27"/>
      <c r="BW47" s="29"/>
      <c r="BX47" s="29"/>
      <c r="BY47" s="29"/>
      <c r="BZ47" s="29"/>
      <c r="CA47" s="29"/>
      <c r="CB47" s="27"/>
      <c r="CC47" s="27"/>
      <c r="CD47" s="29"/>
      <c r="CE47" s="29"/>
      <c r="CF47" s="29"/>
      <c r="CG47" s="29"/>
      <c r="CH47" s="29"/>
      <c r="CI47" s="27"/>
      <c r="CJ47" s="27"/>
      <c r="CK47" s="29"/>
      <c r="CL47" s="29"/>
      <c r="CM47" s="29"/>
      <c r="CN47" s="27"/>
      <c r="CO47" s="29"/>
      <c r="CP47" s="27"/>
      <c r="CQ47" s="27"/>
      <c r="CR47" s="29"/>
      <c r="CS47" s="29"/>
      <c r="CT47" s="29"/>
      <c r="CU47" s="29"/>
      <c r="CV47" s="29"/>
      <c r="CW47" s="29"/>
      <c r="CX47" s="29"/>
      <c r="CY47" s="29"/>
    </row>
    <row r="48" spans="1:103" ht="24.75" customHeight="1">
      <c r="A48" s="1"/>
      <c r="B48" s="65">
        <f t="shared" si="3"/>
        <v>21</v>
      </c>
      <c r="C48" s="8" t="s">
        <v>41</v>
      </c>
      <c r="D48" s="67" t="s">
        <v>72</v>
      </c>
      <c r="E48" s="24">
        <v>46003</v>
      </c>
      <c r="F48" s="69"/>
      <c r="G48" s="32" t="s">
        <v>22</v>
      </c>
      <c r="H48" s="42">
        <f>SUM(N48:CY48)</f>
        <v>0</v>
      </c>
      <c r="I48" s="42">
        <f>SUM(N49:CY49)</f>
        <v>0</v>
      </c>
      <c r="J48" s="32"/>
      <c r="K48" s="19" t="s">
        <v>24</v>
      </c>
      <c r="L48" s="25" t="s">
        <v>16</v>
      </c>
      <c r="M48" s="34"/>
      <c r="N48" s="41"/>
      <c r="O48" s="35"/>
      <c r="P48" s="35"/>
      <c r="Q48" s="35"/>
      <c r="R48" s="35"/>
      <c r="S48" s="36"/>
      <c r="T48" s="36"/>
      <c r="U48" s="36"/>
      <c r="V48" s="36"/>
      <c r="W48" s="36"/>
      <c r="X48" s="35"/>
      <c r="Y48" s="35"/>
      <c r="Z48" s="35"/>
      <c r="AA48" s="36"/>
      <c r="AB48" s="36"/>
      <c r="AC48" s="36"/>
      <c r="AD48" s="36"/>
      <c r="AE48" s="35"/>
      <c r="AF48" s="35"/>
      <c r="AG48" s="36"/>
      <c r="AH48" s="36"/>
      <c r="AI48" s="36"/>
      <c r="AJ48" s="36"/>
      <c r="AK48" s="36"/>
      <c r="AL48" s="35"/>
      <c r="AM48" s="35"/>
      <c r="AN48" s="36"/>
      <c r="AO48" s="36"/>
      <c r="AP48" s="36"/>
      <c r="AQ48" s="36"/>
      <c r="AR48" s="36"/>
      <c r="AS48" s="41"/>
      <c r="AT48" s="35"/>
      <c r="AU48" s="36"/>
      <c r="AV48" s="36"/>
      <c r="AW48" s="36"/>
      <c r="AX48" s="36"/>
      <c r="AY48" s="36"/>
      <c r="AZ48" s="35"/>
      <c r="BA48" s="35"/>
      <c r="BB48" s="36"/>
      <c r="BC48" s="35"/>
      <c r="BD48" s="36"/>
      <c r="BE48" s="36"/>
      <c r="BF48" s="36"/>
      <c r="BG48" s="35"/>
      <c r="BH48" s="35"/>
      <c r="BI48" s="36"/>
      <c r="BJ48" s="36"/>
      <c r="BK48" s="36"/>
      <c r="BL48" s="36"/>
      <c r="BM48" s="36"/>
      <c r="BN48" s="35"/>
      <c r="BO48" s="35"/>
      <c r="BP48" s="35"/>
      <c r="BQ48" s="36"/>
      <c r="BR48" s="36"/>
      <c r="BS48" s="36"/>
      <c r="BT48" s="36"/>
      <c r="BU48" s="41"/>
      <c r="BV48" s="35"/>
      <c r="BW48" s="36"/>
      <c r="BX48" s="36"/>
      <c r="BY48" s="36"/>
      <c r="BZ48" s="36"/>
      <c r="CA48" s="36"/>
      <c r="CB48" s="35"/>
      <c r="CC48" s="35"/>
      <c r="CD48" s="36"/>
      <c r="CE48" s="36"/>
      <c r="CF48" s="36"/>
      <c r="CG48" s="36"/>
      <c r="CH48" s="36"/>
      <c r="CI48" s="35"/>
      <c r="CJ48" s="35"/>
      <c r="CK48" s="36"/>
      <c r="CL48" s="36"/>
      <c r="CM48" s="36"/>
      <c r="CN48" s="35"/>
      <c r="CO48" s="36"/>
      <c r="CP48" s="35"/>
      <c r="CQ48" s="35"/>
      <c r="CR48" s="36"/>
      <c r="CS48" s="36"/>
      <c r="CT48" s="36"/>
      <c r="CU48" s="36"/>
      <c r="CV48" s="36"/>
      <c r="CW48" s="36"/>
      <c r="CX48" s="36"/>
      <c r="CY48" s="36"/>
    </row>
    <row r="49" spans="1:103" ht="20.25" customHeight="1">
      <c r="A49" s="1"/>
      <c r="B49" s="66"/>
      <c r="C49" s="45" t="str">
        <f>C48</f>
        <v>環境構築</v>
      </c>
      <c r="D49" s="68"/>
      <c r="E49" s="33">
        <f>IF(ISBLANK(E48),"",E48)</f>
        <v>46003</v>
      </c>
      <c r="F49" s="70"/>
      <c r="G49" s="17" t="str">
        <f>G48</f>
        <v>榎本</v>
      </c>
      <c r="H49" s="43"/>
      <c r="I49" s="43"/>
      <c r="J49" s="17"/>
      <c r="K49" s="22" t="str">
        <f>K48</f>
        <v>未</v>
      </c>
      <c r="L49" s="26" t="s">
        <v>17</v>
      </c>
      <c r="M49" s="37"/>
      <c r="N49" s="40"/>
      <c r="O49" s="27"/>
      <c r="P49" s="27"/>
      <c r="Q49" s="27"/>
      <c r="R49" s="27"/>
      <c r="S49" s="29"/>
      <c r="T49" s="29"/>
      <c r="U49" s="29"/>
      <c r="V49" s="29"/>
      <c r="W49" s="29"/>
      <c r="X49" s="27"/>
      <c r="Y49" s="27"/>
      <c r="Z49" s="27"/>
      <c r="AA49" s="29"/>
      <c r="AB49" s="29"/>
      <c r="AC49" s="29"/>
      <c r="AD49" s="29"/>
      <c r="AE49" s="27"/>
      <c r="AF49" s="27"/>
      <c r="AG49" s="29"/>
      <c r="AH49" s="29"/>
      <c r="AI49" s="29"/>
      <c r="AJ49" s="29"/>
      <c r="AK49" s="29"/>
      <c r="AL49" s="27"/>
      <c r="AM49" s="27"/>
      <c r="AN49" s="29"/>
      <c r="AO49" s="29"/>
      <c r="AP49" s="29"/>
      <c r="AQ49" s="29"/>
      <c r="AR49" s="29"/>
      <c r="AS49" s="40"/>
      <c r="AT49" s="27"/>
      <c r="AU49" s="29"/>
      <c r="AV49" s="29"/>
      <c r="AW49" s="29"/>
      <c r="AX49" s="29"/>
      <c r="AY49" s="29"/>
      <c r="AZ49" s="27"/>
      <c r="BA49" s="27"/>
      <c r="BB49" s="29"/>
      <c r="BC49" s="27"/>
      <c r="BD49" s="29"/>
      <c r="BE49" s="29"/>
      <c r="BF49" s="29"/>
      <c r="BG49" s="27"/>
      <c r="BH49" s="27"/>
      <c r="BI49" s="29"/>
      <c r="BJ49" s="29"/>
      <c r="BK49" s="29"/>
      <c r="BL49" s="29"/>
      <c r="BM49" s="29"/>
      <c r="BN49" s="27"/>
      <c r="BO49" s="27"/>
      <c r="BP49" s="27"/>
      <c r="BQ49" s="29"/>
      <c r="BR49" s="29"/>
      <c r="BS49" s="29"/>
      <c r="BT49" s="29"/>
      <c r="BU49" s="40"/>
      <c r="BV49" s="27"/>
      <c r="BW49" s="29"/>
      <c r="BX49" s="29"/>
      <c r="BY49" s="29"/>
      <c r="BZ49" s="29"/>
      <c r="CA49" s="29"/>
      <c r="CB49" s="27"/>
      <c r="CC49" s="27"/>
      <c r="CD49" s="29"/>
      <c r="CE49" s="29"/>
      <c r="CF49" s="29"/>
      <c r="CG49" s="29"/>
      <c r="CH49" s="29"/>
      <c r="CI49" s="27"/>
      <c r="CJ49" s="27"/>
      <c r="CK49" s="29"/>
      <c r="CL49" s="29"/>
      <c r="CM49" s="29"/>
      <c r="CN49" s="27"/>
      <c r="CO49" s="29"/>
      <c r="CP49" s="27"/>
      <c r="CQ49" s="27"/>
      <c r="CR49" s="29"/>
      <c r="CS49" s="29"/>
      <c r="CT49" s="29"/>
      <c r="CU49" s="29"/>
      <c r="CV49" s="29"/>
      <c r="CW49" s="29"/>
      <c r="CX49" s="29"/>
      <c r="CY49" s="29"/>
    </row>
    <row r="50" spans="1:103" ht="24.75" customHeight="1">
      <c r="A50" s="1"/>
      <c r="B50" s="65">
        <f t="shared" si="3"/>
        <v>22</v>
      </c>
      <c r="C50" s="8" t="s">
        <v>42</v>
      </c>
      <c r="D50" s="67" t="s">
        <v>73</v>
      </c>
      <c r="E50" s="24">
        <v>46003</v>
      </c>
      <c r="F50" s="69"/>
      <c r="G50" s="32" t="s">
        <v>22</v>
      </c>
      <c r="H50" s="42">
        <f>SUM(N50:CY50)</f>
        <v>0</v>
      </c>
      <c r="I50" s="42">
        <f>SUM(N51:CY51)</f>
        <v>0</v>
      </c>
      <c r="J50" s="32"/>
      <c r="K50" s="19" t="s">
        <v>24</v>
      </c>
      <c r="L50" s="25" t="s">
        <v>16</v>
      </c>
      <c r="M50" s="34"/>
      <c r="N50" s="41"/>
      <c r="O50" s="35"/>
      <c r="P50" s="35"/>
      <c r="Q50" s="35"/>
      <c r="R50" s="35"/>
      <c r="S50" s="36"/>
      <c r="T50" s="36"/>
      <c r="U50" s="36"/>
      <c r="V50" s="36"/>
      <c r="W50" s="36"/>
      <c r="X50" s="35"/>
      <c r="Y50" s="35"/>
      <c r="Z50" s="35"/>
      <c r="AA50" s="36"/>
      <c r="AB50" s="36"/>
      <c r="AC50" s="36"/>
      <c r="AD50" s="36"/>
      <c r="AE50" s="35"/>
      <c r="AF50" s="35"/>
      <c r="AG50" s="36"/>
      <c r="AH50" s="36"/>
      <c r="AI50" s="36"/>
      <c r="AJ50" s="36"/>
      <c r="AK50" s="36"/>
      <c r="AL50" s="35"/>
      <c r="AM50" s="35"/>
      <c r="AN50" s="36"/>
      <c r="AO50" s="36"/>
      <c r="AP50" s="36"/>
      <c r="AQ50" s="36"/>
      <c r="AR50" s="36"/>
      <c r="AS50" s="41"/>
      <c r="AT50" s="35"/>
      <c r="AU50" s="36"/>
      <c r="AV50" s="36"/>
      <c r="AW50" s="36"/>
      <c r="AX50" s="36"/>
      <c r="AY50" s="36"/>
      <c r="AZ50" s="35"/>
      <c r="BA50" s="35"/>
      <c r="BB50" s="36"/>
      <c r="BC50" s="35"/>
      <c r="BD50" s="36"/>
      <c r="BE50" s="36"/>
      <c r="BF50" s="36"/>
      <c r="BG50" s="35"/>
      <c r="BH50" s="35"/>
      <c r="BI50" s="36"/>
      <c r="BJ50" s="36"/>
      <c r="BK50" s="36"/>
      <c r="BL50" s="36"/>
      <c r="BM50" s="36"/>
      <c r="BN50" s="35"/>
      <c r="BO50" s="35"/>
      <c r="BP50" s="35"/>
      <c r="BQ50" s="36"/>
      <c r="BR50" s="36"/>
      <c r="BS50" s="36"/>
      <c r="BT50" s="36"/>
      <c r="BU50" s="41"/>
      <c r="BV50" s="35"/>
      <c r="BW50" s="36"/>
      <c r="BX50" s="36"/>
      <c r="BY50" s="36"/>
      <c r="BZ50" s="36"/>
      <c r="CA50" s="36"/>
      <c r="CB50" s="35"/>
      <c r="CC50" s="35"/>
      <c r="CD50" s="36"/>
      <c r="CE50" s="36"/>
      <c r="CF50" s="36"/>
      <c r="CG50" s="36"/>
      <c r="CH50" s="36"/>
      <c r="CI50" s="35"/>
      <c r="CJ50" s="35"/>
      <c r="CK50" s="36"/>
      <c r="CL50" s="36"/>
      <c r="CM50" s="36"/>
      <c r="CN50" s="35"/>
      <c r="CO50" s="36"/>
      <c r="CP50" s="35"/>
      <c r="CQ50" s="35"/>
      <c r="CR50" s="36"/>
      <c r="CS50" s="36"/>
      <c r="CT50" s="36"/>
      <c r="CU50" s="36"/>
      <c r="CV50" s="36"/>
      <c r="CW50" s="36"/>
      <c r="CX50" s="36"/>
      <c r="CY50" s="36"/>
    </row>
    <row r="51" spans="1:103" ht="20.25" customHeight="1">
      <c r="A51" s="1"/>
      <c r="B51" s="66"/>
      <c r="C51" s="45" t="str">
        <f>C50</f>
        <v>性能試験</v>
      </c>
      <c r="D51" s="68"/>
      <c r="E51" s="33">
        <f>IF(ISBLANK(E50),"",E50)</f>
        <v>46003</v>
      </c>
      <c r="F51" s="70"/>
      <c r="G51" s="17" t="str">
        <f>G50</f>
        <v>榎本</v>
      </c>
      <c r="H51" s="43"/>
      <c r="I51" s="43"/>
      <c r="J51" s="17"/>
      <c r="K51" s="22" t="str">
        <f>K50</f>
        <v>未</v>
      </c>
      <c r="L51" s="26" t="s">
        <v>17</v>
      </c>
      <c r="M51" s="37"/>
      <c r="N51" s="40"/>
      <c r="O51" s="27"/>
      <c r="P51" s="27"/>
      <c r="Q51" s="27"/>
      <c r="R51" s="27"/>
      <c r="S51" s="29"/>
      <c r="T51" s="29"/>
      <c r="U51" s="29"/>
      <c r="V51" s="29"/>
      <c r="W51" s="29"/>
      <c r="X51" s="27"/>
      <c r="Y51" s="27"/>
      <c r="Z51" s="27"/>
      <c r="AA51" s="29"/>
      <c r="AB51" s="29"/>
      <c r="AC51" s="29"/>
      <c r="AD51" s="29"/>
      <c r="AE51" s="27"/>
      <c r="AF51" s="27"/>
      <c r="AG51" s="29"/>
      <c r="AH51" s="29"/>
      <c r="AI51" s="29"/>
      <c r="AJ51" s="29"/>
      <c r="AK51" s="29"/>
      <c r="AL51" s="27"/>
      <c r="AM51" s="27"/>
      <c r="AN51" s="29"/>
      <c r="AO51" s="29"/>
      <c r="AP51" s="29"/>
      <c r="AQ51" s="29"/>
      <c r="AR51" s="29"/>
      <c r="AS51" s="40"/>
      <c r="AT51" s="27"/>
      <c r="AU51" s="29"/>
      <c r="AV51" s="29"/>
      <c r="AW51" s="29"/>
      <c r="AX51" s="29"/>
      <c r="AY51" s="29"/>
      <c r="AZ51" s="27"/>
      <c r="BA51" s="27"/>
      <c r="BB51" s="29"/>
      <c r="BC51" s="27"/>
      <c r="BD51" s="29"/>
      <c r="BE51" s="29"/>
      <c r="BF51" s="29"/>
      <c r="BG51" s="27"/>
      <c r="BH51" s="27"/>
      <c r="BI51" s="29"/>
      <c r="BJ51" s="29"/>
      <c r="BK51" s="29"/>
      <c r="BL51" s="29"/>
      <c r="BM51" s="29"/>
      <c r="BN51" s="27"/>
      <c r="BO51" s="27"/>
      <c r="BP51" s="27"/>
      <c r="BQ51" s="29"/>
      <c r="BR51" s="29"/>
      <c r="BS51" s="29"/>
      <c r="BT51" s="29"/>
      <c r="BU51" s="40"/>
      <c r="BV51" s="27"/>
      <c r="BW51" s="29"/>
      <c r="BX51" s="29"/>
      <c r="BY51" s="29"/>
      <c r="BZ51" s="29"/>
      <c r="CA51" s="29"/>
      <c r="CB51" s="27"/>
      <c r="CC51" s="27"/>
      <c r="CD51" s="29"/>
      <c r="CE51" s="29"/>
      <c r="CF51" s="29"/>
      <c r="CG51" s="29"/>
      <c r="CH51" s="29"/>
      <c r="CI51" s="27"/>
      <c r="CJ51" s="27"/>
      <c r="CK51" s="29"/>
      <c r="CL51" s="29"/>
      <c r="CM51" s="29"/>
      <c r="CN51" s="27"/>
      <c r="CO51" s="29"/>
      <c r="CP51" s="27"/>
      <c r="CQ51" s="27"/>
      <c r="CR51" s="29"/>
      <c r="CS51" s="29"/>
      <c r="CT51" s="29"/>
      <c r="CU51" s="29"/>
      <c r="CV51" s="29"/>
      <c r="CW51" s="29"/>
      <c r="CX51" s="29"/>
      <c r="CY51" s="29"/>
    </row>
    <row r="52" spans="1:103" ht="24.75" customHeight="1">
      <c r="A52" s="1"/>
      <c r="B52" s="65">
        <f t="shared" si="3"/>
        <v>23</v>
      </c>
      <c r="C52" s="8" t="s">
        <v>42</v>
      </c>
      <c r="D52" s="67" t="s">
        <v>74</v>
      </c>
      <c r="E52" s="24">
        <v>46022</v>
      </c>
      <c r="F52" s="69"/>
      <c r="G52" s="32" t="s">
        <v>22</v>
      </c>
      <c r="H52" s="42">
        <f>SUM(N52:CY52)</f>
        <v>0</v>
      </c>
      <c r="I52" s="42">
        <f>SUM(N53:CY53)</f>
        <v>0</v>
      </c>
      <c r="J52" s="32"/>
      <c r="K52" s="19" t="s">
        <v>24</v>
      </c>
      <c r="L52" s="25" t="s">
        <v>16</v>
      </c>
      <c r="M52" s="34"/>
      <c r="N52" s="41"/>
      <c r="O52" s="35"/>
      <c r="P52" s="35"/>
      <c r="Q52" s="35"/>
      <c r="R52" s="35"/>
      <c r="S52" s="36"/>
      <c r="T52" s="36"/>
      <c r="U52" s="36"/>
      <c r="V52" s="36"/>
      <c r="W52" s="36"/>
      <c r="X52" s="35"/>
      <c r="Y52" s="35"/>
      <c r="Z52" s="35"/>
      <c r="AA52" s="36"/>
      <c r="AB52" s="36"/>
      <c r="AC52" s="36"/>
      <c r="AD52" s="36"/>
      <c r="AE52" s="35"/>
      <c r="AF52" s="35"/>
      <c r="AG52" s="36"/>
      <c r="AH52" s="36"/>
      <c r="AI52" s="36"/>
      <c r="AJ52" s="36"/>
      <c r="AK52" s="36"/>
      <c r="AL52" s="35"/>
      <c r="AM52" s="35"/>
      <c r="AN52" s="36"/>
      <c r="AO52" s="36"/>
      <c r="AP52" s="36"/>
      <c r="AQ52" s="36"/>
      <c r="AR52" s="36"/>
      <c r="AS52" s="41"/>
      <c r="AT52" s="35"/>
      <c r="AU52" s="36"/>
      <c r="AV52" s="36"/>
      <c r="AW52" s="36"/>
      <c r="AX52" s="36"/>
      <c r="AY52" s="36"/>
      <c r="AZ52" s="35"/>
      <c r="BA52" s="35"/>
      <c r="BB52" s="36"/>
      <c r="BC52" s="35"/>
      <c r="BD52" s="36"/>
      <c r="BE52" s="36"/>
      <c r="BF52" s="36"/>
      <c r="BG52" s="35"/>
      <c r="BH52" s="35"/>
      <c r="BI52" s="36"/>
      <c r="BJ52" s="36"/>
      <c r="BK52" s="36"/>
      <c r="BL52" s="36"/>
      <c r="BM52" s="36"/>
      <c r="BN52" s="35"/>
      <c r="BO52" s="35"/>
      <c r="BP52" s="35"/>
      <c r="BQ52" s="36"/>
      <c r="BR52" s="36"/>
      <c r="BS52" s="36"/>
      <c r="BT52" s="36"/>
      <c r="BU52" s="41"/>
      <c r="BV52" s="35"/>
      <c r="BW52" s="36"/>
      <c r="BX52" s="36"/>
      <c r="BY52" s="36"/>
      <c r="BZ52" s="36"/>
      <c r="CA52" s="36"/>
      <c r="CB52" s="35"/>
      <c r="CC52" s="35"/>
      <c r="CD52" s="36"/>
      <c r="CE52" s="36"/>
      <c r="CF52" s="36"/>
      <c r="CG52" s="36"/>
      <c r="CH52" s="36"/>
      <c r="CI52" s="35"/>
      <c r="CJ52" s="35"/>
      <c r="CK52" s="36"/>
      <c r="CL52" s="36"/>
      <c r="CM52" s="36"/>
      <c r="CN52" s="35"/>
      <c r="CO52" s="36"/>
      <c r="CP52" s="35"/>
      <c r="CQ52" s="35"/>
      <c r="CR52" s="36"/>
      <c r="CS52" s="36"/>
      <c r="CT52" s="36"/>
      <c r="CU52" s="36"/>
      <c r="CV52" s="36"/>
      <c r="CW52" s="36"/>
      <c r="CX52" s="36"/>
      <c r="CY52" s="36"/>
    </row>
    <row r="53" spans="1:103" ht="20.25" customHeight="1">
      <c r="A53" s="1"/>
      <c r="B53" s="66"/>
      <c r="C53" s="45" t="str">
        <f>C52</f>
        <v>性能試験</v>
      </c>
      <c r="D53" s="68"/>
      <c r="E53" s="33">
        <f>IF(ISBLANK(E52),"",E52)</f>
        <v>46022</v>
      </c>
      <c r="F53" s="70"/>
      <c r="G53" s="17" t="str">
        <f>G52</f>
        <v>榎本</v>
      </c>
      <c r="H53" s="43"/>
      <c r="I53" s="43"/>
      <c r="J53" s="17"/>
      <c r="K53" s="22" t="str">
        <f>K52</f>
        <v>未</v>
      </c>
      <c r="L53" s="26" t="s">
        <v>17</v>
      </c>
      <c r="M53" s="37"/>
      <c r="N53" s="40"/>
      <c r="O53" s="27"/>
      <c r="P53" s="27"/>
      <c r="Q53" s="27"/>
      <c r="R53" s="27"/>
      <c r="S53" s="29"/>
      <c r="T53" s="29"/>
      <c r="U53" s="29"/>
      <c r="V53" s="29"/>
      <c r="W53" s="29"/>
      <c r="X53" s="27"/>
      <c r="Y53" s="27"/>
      <c r="Z53" s="27"/>
      <c r="AA53" s="29"/>
      <c r="AB53" s="29"/>
      <c r="AC53" s="29"/>
      <c r="AD53" s="29"/>
      <c r="AE53" s="27"/>
      <c r="AF53" s="27"/>
      <c r="AG53" s="29"/>
      <c r="AH53" s="29"/>
      <c r="AI53" s="29"/>
      <c r="AJ53" s="29"/>
      <c r="AK53" s="29"/>
      <c r="AL53" s="27"/>
      <c r="AM53" s="27"/>
      <c r="AN53" s="29"/>
      <c r="AO53" s="29"/>
      <c r="AP53" s="29"/>
      <c r="AQ53" s="29"/>
      <c r="AR53" s="29"/>
      <c r="AS53" s="40"/>
      <c r="AT53" s="27"/>
      <c r="AU53" s="29"/>
      <c r="AV53" s="29"/>
      <c r="AW53" s="29"/>
      <c r="AX53" s="29"/>
      <c r="AY53" s="29"/>
      <c r="AZ53" s="27"/>
      <c r="BA53" s="27"/>
      <c r="BB53" s="29"/>
      <c r="BC53" s="27"/>
      <c r="BD53" s="29"/>
      <c r="BE53" s="29"/>
      <c r="BF53" s="29"/>
      <c r="BG53" s="27"/>
      <c r="BH53" s="27"/>
      <c r="BI53" s="29"/>
      <c r="BJ53" s="29"/>
      <c r="BK53" s="29"/>
      <c r="BL53" s="29"/>
      <c r="BM53" s="29"/>
      <c r="BN53" s="27"/>
      <c r="BO53" s="27"/>
      <c r="BP53" s="27"/>
      <c r="BQ53" s="29"/>
      <c r="BR53" s="29"/>
      <c r="BS53" s="29"/>
      <c r="BT53" s="29"/>
      <c r="BU53" s="40"/>
      <c r="BV53" s="27"/>
      <c r="BW53" s="29"/>
      <c r="BX53" s="29"/>
      <c r="BY53" s="29"/>
      <c r="BZ53" s="29"/>
      <c r="CA53" s="29"/>
      <c r="CB53" s="27"/>
      <c r="CC53" s="27"/>
      <c r="CD53" s="29"/>
      <c r="CE53" s="29"/>
      <c r="CF53" s="29"/>
      <c r="CG53" s="29"/>
      <c r="CH53" s="29"/>
      <c r="CI53" s="27"/>
      <c r="CJ53" s="27"/>
      <c r="CK53" s="29"/>
      <c r="CL53" s="29"/>
      <c r="CM53" s="29"/>
      <c r="CN53" s="27"/>
      <c r="CO53" s="29"/>
      <c r="CP53" s="27"/>
      <c r="CQ53" s="27"/>
      <c r="CR53" s="29"/>
      <c r="CS53" s="29"/>
      <c r="CT53" s="29"/>
      <c r="CU53" s="29"/>
      <c r="CV53" s="29"/>
      <c r="CW53" s="29"/>
      <c r="CX53" s="29"/>
      <c r="CY53" s="29"/>
    </row>
  </sheetData>
  <autoFilter ref="A3:M21" xr:uid="{00000000-0009-0000-0000-000001000000}"/>
  <mergeCells count="75">
    <mergeCell ref="B4:B5"/>
    <mergeCell ref="D4:D5"/>
    <mergeCell ref="F4:F5"/>
    <mergeCell ref="B6:B7"/>
    <mergeCell ref="D6:D7"/>
    <mergeCell ref="F6:F7"/>
    <mergeCell ref="B8:B9"/>
    <mergeCell ref="D8:D9"/>
    <mergeCell ref="F8:F9"/>
    <mergeCell ref="B10:B11"/>
    <mergeCell ref="D10:D11"/>
    <mergeCell ref="F10:F11"/>
    <mergeCell ref="B12:B13"/>
    <mergeCell ref="D12:D13"/>
    <mergeCell ref="F12:F13"/>
    <mergeCell ref="B14:B15"/>
    <mergeCell ref="D14:D15"/>
    <mergeCell ref="F14:F15"/>
    <mergeCell ref="B16:B17"/>
    <mergeCell ref="D16:D17"/>
    <mergeCell ref="F16:F17"/>
    <mergeCell ref="B18:B19"/>
    <mergeCell ref="D18:D19"/>
    <mergeCell ref="F18:F19"/>
    <mergeCell ref="B20:B21"/>
    <mergeCell ref="D20:D21"/>
    <mergeCell ref="F20:F21"/>
    <mergeCell ref="B22:B23"/>
    <mergeCell ref="D22:D23"/>
    <mergeCell ref="F22:F23"/>
    <mergeCell ref="B24:B25"/>
    <mergeCell ref="D24:D25"/>
    <mergeCell ref="F24:F25"/>
    <mergeCell ref="B26:B27"/>
    <mergeCell ref="D26:D27"/>
    <mergeCell ref="F26:F27"/>
    <mergeCell ref="B28:B29"/>
    <mergeCell ref="D28:D29"/>
    <mergeCell ref="F28:F29"/>
    <mergeCell ref="B30:B31"/>
    <mergeCell ref="D30:D31"/>
    <mergeCell ref="F30:F31"/>
    <mergeCell ref="B32:B33"/>
    <mergeCell ref="D32:D33"/>
    <mergeCell ref="F32:F33"/>
    <mergeCell ref="B34:B35"/>
    <mergeCell ref="D34:D35"/>
    <mergeCell ref="F34:F35"/>
    <mergeCell ref="B36:B37"/>
    <mergeCell ref="D36:D37"/>
    <mergeCell ref="F36:F37"/>
    <mergeCell ref="B38:B39"/>
    <mergeCell ref="D38:D39"/>
    <mergeCell ref="F38:F39"/>
    <mergeCell ref="B40:B41"/>
    <mergeCell ref="D40:D41"/>
    <mergeCell ref="F40:F41"/>
    <mergeCell ref="B42:B43"/>
    <mergeCell ref="D42:D43"/>
    <mergeCell ref="F42:F43"/>
    <mergeCell ref="B44:B45"/>
    <mergeCell ref="D44:D45"/>
    <mergeCell ref="F44:F45"/>
    <mergeCell ref="B46:B47"/>
    <mergeCell ref="D46:D47"/>
    <mergeCell ref="F46:F47"/>
    <mergeCell ref="B52:B53"/>
    <mergeCell ref="D52:D53"/>
    <mergeCell ref="F52:F53"/>
    <mergeCell ref="B48:B49"/>
    <mergeCell ref="D48:D49"/>
    <mergeCell ref="F48:F49"/>
    <mergeCell ref="B50:B51"/>
    <mergeCell ref="D50:D51"/>
    <mergeCell ref="F50:F51"/>
  </mergeCells>
  <phoneticPr fontId="3"/>
  <conditionalFormatting sqref="E4">
    <cfRule type="timePeriod" dxfId="51" priority="26" timePeriod="thisWeek">
      <formula>AND(TODAY()-ROUNDDOWN(E4,0)&lt;=WEEKDAY(TODAY())-1,ROUNDDOWN(E4,0)-TODAY()&lt;=7-WEEKDAY(TODAY()))</formula>
    </cfRule>
  </conditionalFormatting>
  <conditionalFormatting sqref="E6">
    <cfRule type="timePeriod" dxfId="50" priority="25" timePeriod="thisWeek">
      <formula>AND(TODAY()-ROUNDDOWN(E6,0)&lt;=WEEKDAY(TODAY())-1,ROUNDDOWN(E6,0)-TODAY()&lt;=7-WEEKDAY(TODAY()))</formula>
    </cfRule>
  </conditionalFormatting>
  <conditionalFormatting sqref="E8">
    <cfRule type="timePeriod" dxfId="49" priority="6" timePeriod="thisWeek">
      <formula>AND(TODAY()-ROUNDDOWN(E8,0)&lt;=WEEKDAY(TODAY())-1,ROUNDDOWN(E8,0)-TODAY()&lt;=7-WEEKDAY(TODAY()))</formula>
    </cfRule>
  </conditionalFormatting>
  <conditionalFormatting sqref="E10">
    <cfRule type="timePeriod" dxfId="48" priority="5" timePeriod="thisWeek">
      <formula>AND(TODAY()-ROUNDDOWN(E10,0)&lt;=WEEKDAY(TODAY())-1,ROUNDDOWN(E10,0)-TODAY()&lt;=7-WEEKDAY(TODAY()))</formula>
    </cfRule>
  </conditionalFormatting>
  <conditionalFormatting sqref="E12">
    <cfRule type="timePeriod" dxfId="47" priority="4" timePeriod="thisWeek">
      <formula>AND(TODAY()-ROUNDDOWN(E12,0)&lt;=WEEKDAY(TODAY())-1,ROUNDDOWN(E12,0)-TODAY()&lt;=7-WEEKDAY(TODAY()))</formula>
    </cfRule>
  </conditionalFormatting>
  <conditionalFormatting sqref="E14">
    <cfRule type="timePeriod" dxfId="46" priority="3" timePeriod="thisWeek">
      <formula>AND(TODAY()-ROUNDDOWN(E14,0)&lt;=WEEKDAY(TODAY())-1,ROUNDDOWN(E14,0)-TODAY()&lt;=7-WEEKDAY(TODAY()))</formula>
    </cfRule>
  </conditionalFormatting>
  <conditionalFormatting sqref="E16">
    <cfRule type="timePeriod" dxfId="45" priority="2" timePeriod="thisWeek">
      <formula>AND(TODAY()-ROUNDDOWN(E16,0)&lt;=WEEKDAY(TODAY())-1,ROUNDDOWN(E16,0)-TODAY()&lt;=7-WEEKDAY(TODAY()))</formula>
    </cfRule>
  </conditionalFormatting>
  <conditionalFormatting sqref="E18">
    <cfRule type="timePeriod" dxfId="44" priority="1" timePeriod="thisWeek">
      <formula>AND(TODAY()-ROUNDDOWN(E18,0)&lt;=WEEKDAY(TODAY())-1,ROUNDDOWN(E18,0)-TODAY()&lt;=7-WEEKDAY(TODAY()))</formula>
    </cfRule>
  </conditionalFormatting>
  <conditionalFormatting sqref="E20">
    <cfRule type="timePeriod" dxfId="43" priority="33" timePeriod="thisWeek">
      <formula>AND(TODAY()-ROUNDDOWN(E20,0)&lt;=WEEKDAY(TODAY())-1,ROUNDDOWN(E20,0)-TODAY()&lt;=7-WEEKDAY(TODAY()))</formula>
    </cfRule>
  </conditionalFormatting>
  <conditionalFormatting sqref="E22">
    <cfRule type="timePeriod" dxfId="42" priority="32" timePeriod="thisWeek">
      <formula>AND(TODAY()-ROUNDDOWN(E22,0)&lt;=WEEKDAY(TODAY())-1,ROUNDDOWN(E22,0)-TODAY()&lt;=7-WEEKDAY(TODAY()))</formula>
    </cfRule>
  </conditionalFormatting>
  <conditionalFormatting sqref="E24">
    <cfRule type="timePeriod" dxfId="41" priority="31" timePeriod="thisWeek">
      <formula>AND(TODAY()-ROUNDDOWN(E24,0)&lt;=WEEKDAY(TODAY())-1,ROUNDDOWN(E24,0)-TODAY()&lt;=7-WEEKDAY(TODAY()))</formula>
    </cfRule>
  </conditionalFormatting>
  <conditionalFormatting sqref="E26">
    <cfRule type="timePeriod" dxfId="40" priority="36" timePeriod="thisWeek">
      <formula>AND(TODAY()-ROUNDDOWN(E26,0)&lt;=WEEKDAY(TODAY())-1,ROUNDDOWN(E26,0)-TODAY()&lt;=7-WEEKDAY(TODAY()))</formula>
    </cfRule>
  </conditionalFormatting>
  <conditionalFormatting sqref="E28">
    <cfRule type="timePeriod" dxfId="39" priority="35" timePeriod="thisWeek">
      <formula>AND(TODAY()-ROUNDDOWN(E28,0)&lt;=WEEKDAY(TODAY())-1,ROUNDDOWN(E28,0)-TODAY()&lt;=7-WEEKDAY(TODAY()))</formula>
    </cfRule>
  </conditionalFormatting>
  <conditionalFormatting sqref="E30">
    <cfRule type="timePeriod" dxfId="38" priority="34" timePeriod="thisWeek">
      <formula>AND(TODAY()-ROUNDDOWN(E30,0)&lt;=WEEKDAY(TODAY())-1,ROUNDDOWN(E30,0)-TODAY()&lt;=7-WEEKDAY(TODAY()))</formula>
    </cfRule>
  </conditionalFormatting>
  <conditionalFormatting sqref="E32">
    <cfRule type="timePeriod" dxfId="37" priority="29" timePeriod="thisWeek">
      <formula>AND(TODAY()-ROUNDDOWN(E32,0)&lt;=WEEKDAY(TODAY())-1,ROUNDDOWN(E32,0)-TODAY()&lt;=7-WEEKDAY(TODAY()))</formula>
    </cfRule>
  </conditionalFormatting>
  <conditionalFormatting sqref="E34">
    <cfRule type="timePeriod" dxfId="36" priority="27" timePeriod="thisWeek">
      <formula>AND(TODAY()-ROUNDDOWN(E34,0)&lt;=WEEKDAY(TODAY())-1,ROUNDDOWN(E34,0)-TODAY()&lt;=7-WEEKDAY(TODAY()))</formula>
    </cfRule>
  </conditionalFormatting>
  <conditionalFormatting sqref="E36">
    <cfRule type="timePeriod" dxfId="35" priority="23" timePeriod="thisWeek">
      <formula>AND(TODAY()-ROUNDDOWN(E36,0)&lt;=WEEKDAY(TODAY())-1,ROUNDDOWN(E36,0)-TODAY()&lt;=7-WEEKDAY(TODAY()))</formula>
    </cfRule>
  </conditionalFormatting>
  <conditionalFormatting sqref="E38">
    <cfRule type="timePeriod" dxfId="34" priority="21" timePeriod="thisWeek">
      <formula>AND(TODAY()-ROUNDDOWN(E38,0)&lt;=WEEKDAY(TODAY())-1,ROUNDDOWN(E38,0)-TODAY()&lt;=7-WEEKDAY(TODAY()))</formula>
    </cfRule>
  </conditionalFormatting>
  <conditionalFormatting sqref="E40">
    <cfRule type="timePeriod" dxfId="33" priority="19" timePeriod="thisWeek">
      <formula>AND(TODAY()-ROUNDDOWN(E40,0)&lt;=WEEKDAY(TODAY())-1,ROUNDDOWN(E40,0)-TODAY()&lt;=7-WEEKDAY(TODAY()))</formula>
    </cfRule>
  </conditionalFormatting>
  <conditionalFormatting sqref="E42">
    <cfRule type="timePeriod" dxfId="32" priority="17" timePeriod="thisWeek">
      <formula>AND(TODAY()-ROUNDDOWN(E42,0)&lt;=WEEKDAY(TODAY())-1,ROUNDDOWN(E42,0)-TODAY()&lt;=7-WEEKDAY(TODAY()))</formula>
    </cfRule>
  </conditionalFormatting>
  <conditionalFormatting sqref="E44">
    <cfRule type="timePeriod" dxfId="31" priority="15" timePeriod="thisWeek">
      <formula>AND(TODAY()-ROUNDDOWN(E44,0)&lt;=WEEKDAY(TODAY())-1,ROUNDDOWN(E44,0)-TODAY()&lt;=7-WEEKDAY(TODAY()))</formula>
    </cfRule>
  </conditionalFormatting>
  <conditionalFormatting sqref="E46">
    <cfRule type="timePeriod" dxfId="30" priority="13" timePeriod="thisWeek">
      <formula>AND(TODAY()-ROUNDDOWN(E46,0)&lt;=WEEKDAY(TODAY())-1,ROUNDDOWN(E46,0)-TODAY()&lt;=7-WEEKDAY(TODAY()))</formula>
    </cfRule>
  </conditionalFormatting>
  <conditionalFormatting sqref="E48">
    <cfRule type="timePeriod" dxfId="29" priority="11" timePeriod="thisWeek">
      <formula>AND(TODAY()-ROUNDDOWN(E48,0)&lt;=WEEKDAY(TODAY())-1,ROUNDDOWN(E48,0)-TODAY()&lt;=7-WEEKDAY(TODAY()))</formula>
    </cfRule>
  </conditionalFormatting>
  <conditionalFormatting sqref="E50">
    <cfRule type="timePeriod" dxfId="28" priority="9" timePeriod="thisWeek">
      <formula>AND(TODAY()-ROUNDDOWN(E50,0)&lt;=WEEKDAY(TODAY())-1,ROUNDDOWN(E50,0)-TODAY()&lt;=7-WEEKDAY(TODAY()))</formula>
    </cfRule>
  </conditionalFormatting>
  <conditionalFormatting sqref="E52">
    <cfRule type="timePeriod" dxfId="27" priority="7" timePeriod="thisWeek">
      <formula>AND(TODAY()-ROUNDDOWN(E52,0)&lt;=WEEKDAY(TODAY())-1,ROUNDDOWN(E52,0)-TODAY()&lt;=7-WEEKDAY(TODAY()))</formula>
    </cfRule>
  </conditionalFormatting>
  <conditionalFormatting sqref="L4:L53">
    <cfRule type="cellIs" dxfId="26" priority="52" stopIfTrue="1" operator="equal">
      <formula>"完了"</formula>
    </cfRule>
    <cfRule type="timePeriod" dxfId="25" priority="50" timePeriod="nextWeek">
      <formula>AND(ROUNDDOWN(L4,0)-TODAY()&gt;(7-WEEKDAY(TODAY())),ROUNDDOWN(L4,0)-TODAY()&lt;(15-WEEKDAY(TODAY())))</formula>
    </cfRule>
    <cfRule type="timePeriod" dxfId="24" priority="51" timePeriod="thisWeek">
      <formula>AND(TODAY()-ROUNDDOWN(L4,0)&lt;=WEEKDAY(TODAY())-1,ROUNDDOWN(L4,0)-TODAY()&lt;=7-WEEKDAY(TODAY()))</formula>
    </cfRule>
  </conditionalFormatting>
  <conditionalFormatting sqref="L5">
    <cfRule type="cellIs" dxfId="23" priority="49" stopIfTrue="1" operator="equal">
      <formula>"完了"</formula>
    </cfRule>
  </conditionalFormatting>
  <conditionalFormatting sqref="L7 L9">
    <cfRule type="cellIs" dxfId="22" priority="48" stopIfTrue="1" operator="equal">
      <formula>"完了"</formula>
    </cfRule>
  </conditionalFormatting>
  <conditionalFormatting sqref="L11">
    <cfRule type="cellIs" dxfId="21" priority="47" stopIfTrue="1" operator="equal">
      <formula>"完了"</formula>
    </cfRule>
  </conditionalFormatting>
  <conditionalFormatting sqref="L13">
    <cfRule type="cellIs" dxfId="20" priority="46" stopIfTrue="1" operator="equal">
      <formula>"完了"</formula>
    </cfRule>
  </conditionalFormatting>
  <conditionalFormatting sqref="L15">
    <cfRule type="cellIs" dxfId="19" priority="45" stopIfTrue="1" operator="equal">
      <formula>"完了"</formula>
    </cfRule>
  </conditionalFormatting>
  <conditionalFormatting sqref="L17">
    <cfRule type="cellIs" dxfId="18" priority="42" stopIfTrue="1" operator="equal">
      <formula>"完了"</formula>
    </cfRule>
  </conditionalFormatting>
  <conditionalFormatting sqref="L19">
    <cfRule type="cellIs" dxfId="17" priority="44" stopIfTrue="1" operator="equal">
      <formula>"完了"</formula>
    </cfRule>
  </conditionalFormatting>
  <conditionalFormatting sqref="L21">
    <cfRule type="cellIs" dxfId="16" priority="43" stopIfTrue="1" operator="equal">
      <formula>"完了"</formula>
    </cfRule>
  </conditionalFormatting>
  <conditionalFormatting sqref="L23">
    <cfRule type="cellIs" dxfId="15" priority="41" stopIfTrue="1" operator="equal">
      <formula>"完了"</formula>
    </cfRule>
  </conditionalFormatting>
  <conditionalFormatting sqref="L25">
    <cfRule type="cellIs" dxfId="14" priority="40" stopIfTrue="1" operator="equal">
      <formula>"完了"</formula>
    </cfRule>
  </conditionalFormatting>
  <conditionalFormatting sqref="L27">
    <cfRule type="cellIs" dxfId="13" priority="39" stopIfTrue="1" operator="equal">
      <formula>"完了"</formula>
    </cfRule>
  </conditionalFormatting>
  <conditionalFormatting sqref="L29">
    <cfRule type="cellIs" dxfId="12" priority="38" stopIfTrue="1" operator="equal">
      <formula>"完了"</formula>
    </cfRule>
  </conditionalFormatting>
  <conditionalFormatting sqref="L31">
    <cfRule type="cellIs" dxfId="11" priority="37" stopIfTrue="1" operator="equal">
      <formula>"完了"</formula>
    </cfRule>
  </conditionalFormatting>
  <conditionalFormatting sqref="L33">
    <cfRule type="cellIs" dxfId="10" priority="30" stopIfTrue="1" operator="equal">
      <formula>"完了"</formula>
    </cfRule>
  </conditionalFormatting>
  <conditionalFormatting sqref="L35">
    <cfRule type="cellIs" dxfId="9" priority="28" stopIfTrue="1" operator="equal">
      <formula>"完了"</formula>
    </cfRule>
  </conditionalFormatting>
  <conditionalFormatting sqref="L37">
    <cfRule type="cellIs" dxfId="8" priority="24" stopIfTrue="1" operator="equal">
      <formula>"完了"</formula>
    </cfRule>
  </conditionalFormatting>
  <conditionalFormatting sqref="L39">
    <cfRule type="cellIs" dxfId="7" priority="22" stopIfTrue="1" operator="equal">
      <formula>"完了"</formula>
    </cfRule>
  </conditionalFormatting>
  <conditionalFormatting sqref="L41">
    <cfRule type="cellIs" dxfId="6" priority="20" stopIfTrue="1" operator="equal">
      <formula>"完了"</formula>
    </cfRule>
  </conditionalFormatting>
  <conditionalFormatting sqref="L43">
    <cfRule type="cellIs" dxfId="5" priority="18" stopIfTrue="1" operator="equal">
      <formula>"完了"</formula>
    </cfRule>
  </conditionalFormatting>
  <conditionalFormatting sqref="L45">
    <cfRule type="cellIs" dxfId="4" priority="16" stopIfTrue="1" operator="equal">
      <formula>"完了"</formula>
    </cfRule>
  </conditionalFormatting>
  <conditionalFormatting sqref="L47">
    <cfRule type="cellIs" dxfId="3" priority="14" stopIfTrue="1" operator="equal">
      <formula>"完了"</formula>
    </cfRule>
  </conditionalFormatting>
  <conditionalFormatting sqref="L49">
    <cfRule type="cellIs" dxfId="2" priority="12" stopIfTrue="1" operator="equal">
      <formula>"完了"</formula>
    </cfRule>
  </conditionalFormatting>
  <conditionalFormatting sqref="L51">
    <cfRule type="cellIs" dxfId="1" priority="10" stopIfTrue="1" operator="equal">
      <formula>"完了"</formula>
    </cfRule>
  </conditionalFormatting>
  <conditionalFormatting sqref="L53">
    <cfRule type="cellIs" dxfId="0" priority="8" stopIfTrue="1" operator="equal">
      <formula>"完了"</formula>
    </cfRule>
  </conditionalFormatting>
  <dataValidations count="2">
    <dataValidation type="list" allowBlank="1" showInputMessage="1" showErrorMessage="1" sqref="C4:C53" xr:uid="{17FBC40C-624B-43FC-AD4D-1F136F899F48}">
      <formula1>工程</formula1>
    </dataValidation>
    <dataValidation type="list" allowBlank="1" showInputMessage="1" showErrorMessage="1" sqref="K6 K8 K18 K10 K12 K16 K20 K14 K4 K22 K24 K26 K28 K30 K32 K34 K36 K38 K40 K42 K44 K46 K48 K50 K52" xr:uid="{8889D807-99D8-4B94-BED9-B46EF0347987}">
      <formula1>ステータス</formula1>
    </dataValidation>
  </dataValidations>
  <pageMargins left="0.23622047244094491" right="0.23622047244094491" top="0.19685039370078741" bottom="0.19685039370078741" header="0.31496062992125984" footer="0.31496062992125984"/>
  <pageSetup paperSize="8" fitToHeight="0" orientation="landscape" r:id="rId1"/>
  <headerFooter>
    <oddFooter>&amp;L&amp;D 印刷&amp;R&amp;12( &amp;P / &amp;N )　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D16"/>
  <sheetViews>
    <sheetView zoomScale="85" zoomScaleNormal="85" workbookViewId="0">
      <selection activeCell="B34" sqref="B34"/>
    </sheetView>
  </sheetViews>
  <sheetFormatPr defaultRowHeight="13.5"/>
  <cols>
    <col min="1" max="1" width="16" bestFit="1" customWidth="1"/>
    <col min="2" max="2" width="37.625" customWidth="1"/>
    <col min="4" max="4" width="11.625" customWidth="1"/>
  </cols>
  <sheetData>
    <row r="1" spans="1:4">
      <c r="A1" t="s">
        <v>2</v>
      </c>
      <c r="B1" t="s">
        <v>10</v>
      </c>
      <c r="D1" t="s">
        <v>21</v>
      </c>
    </row>
    <row r="2" spans="1:4">
      <c r="A2" s="44"/>
      <c r="B2" s="39"/>
      <c r="D2" s="39"/>
    </row>
    <row r="3" spans="1:4">
      <c r="A3" s="39" t="s">
        <v>24</v>
      </c>
      <c r="B3" s="39" t="s">
        <v>84</v>
      </c>
      <c r="D3" s="39" t="s">
        <v>39</v>
      </c>
    </row>
    <row r="4" spans="1:4">
      <c r="A4" s="39" t="s">
        <v>9</v>
      </c>
      <c r="B4" s="39" t="s">
        <v>83</v>
      </c>
      <c r="D4" s="39" t="s">
        <v>40</v>
      </c>
    </row>
    <row r="5" spans="1:4">
      <c r="A5" s="39" t="s">
        <v>30</v>
      </c>
      <c r="B5" s="39" t="s">
        <v>30</v>
      </c>
      <c r="D5" s="39" t="s">
        <v>38</v>
      </c>
    </row>
    <row r="6" spans="1:4">
      <c r="A6" s="39" t="s">
        <v>13</v>
      </c>
      <c r="B6" s="39" t="s">
        <v>82</v>
      </c>
      <c r="D6" s="39" t="s">
        <v>65</v>
      </c>
    </row>
    <row r="7" spans="1:4">
      <c r="A7" s="39" t="s">
        <v>81</v>
      </c>
      <c r="B7" s="39" t="s">
        <v>14</v>
      </c>
      <c r="D7" s="39" t="s">
        <v>41</v>
      </c>
    </row>
    <row r="8" spans="1:4">
      <c r="A8" s="39" t="s">
        <v>28</v>
      </c>
      <c r="B8" s="39" t="s">
        <v>15</v>
      </c>
      <c r="D8" s="39" t="s">
        <v>42</v>
      </c>
    </row>
    <row r="9" spans="1:4">
      <c r="A9" s="39" t="s">
        <v>8</v>
      </c>
      <c r="B9" s="39" t="s">
        <v>33</v>
      </c>
    </row>
    <row r="10" spans="1:4">
      <c r="A10" s="39" t="s">
        <v>34</v>
      </c>
      <c r="B10" s="39" t="s">
        <v>35</v>
      </c>
    </row>
    <row r="11" spans="1:4">
      <c r="A11" s="39" t="s">
        <v>3</v>
      </c>
      <c r="B11" s="39" t="s">
        <v>11</v>
      </c>
    </row>
    <row r="12" spans="1:4">
      <c r="A12" s="39" t="s">
        <v>26</v>
      </c>
      <c r="B12" s="39" t="s">
        <v>12</v>
      </c>
    </row>
    <row r="13" spans="1:4">
      <c r="A13" s="39" t="s">
        <v>7</v>
      </c>
      <c r="B13" s="39"/>
    </row>
    <row r="14" spans="1:4">
      <c r="A14" s="39" t="s">
        <v>6</v>
      </c>
      <c r="B14" s="39"/>
    </row>
    <row r="15" spans="1:4">
      <c r="A15" s="39" t="s">
        <v>29</v>
      </c>
      <c r="B15" s="39"/>
    </row>
    <row r="16" spans="1:4">
      <c r="A16" s="39" t="s">
        <v>19</v>
      </c>
      <c r="B16" s="39"/>
    </row>
  </sheetData>
  <customSheetViews>
    <customSheetView guid="{123BCFAA-3B88-4ADD-B530-EFA4D0C8331A}">
      <selection activeCell="B6" sqref="B6"/>
      <pageMargins left="0.7" right="0.7" top="0.75" bottom="0.75" header="0.3" footer="0.3"/>
      <pageSetup paperSize="0" orientation="portrait" horizontalDpi="0" verticalDpi="0" copies="0" r:id="rId1"/>
    </customSheetView>
  </customSheetViews>
  <phoneticPr fontId="3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スケジュール</vt:lpstr>
      <vt:lpstr>実装・単体スケジュール</vt:lpstr>
      <vt:lpstr>進捗管理 (2)</vt:lpstr>
      <vt:lpstr>List</vt:lpstr>
      <vt:lpstr>スケジュール!Print_Area</vt:lpstr>
      <vt:lpstr>実装・単体スケジュール!Print_Area</vt:lpstr>
      <vt:lpstr>'進捗管理 (2)'!Print_Area</vt:lpstr>
      <vt:lpstr>スケジュール!Print_Titles</vt:lpstr>
      <vt:lpstr>実装・単体スケジュール!Print_Titles</vt:lpstr>
      <vt:lpstr>'進捗管理 (2)'!Print_Titles</vt:lpstr>
      <vt:lpstr>ステータス</vt:lpstr>
      <vt:lpstr>工程</vt:lpstr>
    </vt:vector>
  </TitlesOfParts>
  <Company>B-ENG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kitabayashi</dc:creator>
  <cp:lastModifiedBy>榎本亮二</cp:lastModifiedBy>
  <cp:lastPrinted>2025-01-10T00:02:23Z</cp:lastPrinted>
  <dcterms:created xsi:type="dcterms:W3CDTF">2012-03-26T10:35:16Z</dcterms:created>
  <dcterms:modified xsi:type="dcterms:W3CDTF">2026-07-13T00:02:27Z</dcterms:modified>
</cp:coreProperties>
</file>