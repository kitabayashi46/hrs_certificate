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C99DF3DA-0909-4360-B562-C506FA550CE1}" xr6:coauthVersionLast="47" xr6:coauthVersionMax="47" xr10:uidLastSave="{00000000-0000-0000-0000-000000000000}"/>
  <bookViews>
    <workbookView xWindow="4830" yWindow="255" windowWidth="22440" windowHeight="14475" tabRatio="760" activeTab="1" xr2:uid="{00000000-000D-0000-FFFF-FFFF00000000}"/>
  </bookViews>
  <sheets>
    <sheet name="スケジュール" sheetId="17" r:id="rId1"/>
    <sheet name="実装・単体スケジュール" sheetId="19" r:id="rId2"/>
    <sheet name="進捗管理 (2)" sheetId="18" state="hidden" r:id="rId3"/>
    <sheet name="List" sheetId="2" state="hidden" r:id="rId4"/>
  </sheets>
  <externalReferences>
    <externalReference r:id="rId5"/>
  </externalReferences>
  <definedNames>
    <definedName name="_1Module1_.MARU" localSheetId="0">[1]!_1Module1_.MARU</definedName>
    <definedName name="_1Module1_.MARU" localSheetId="1">[1]!_1Module1_.MARU</definedName>
    <definedName name="_1Module1_.MARU" localSheetId="2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実装・単体スケジュール!$A$3:$D$7</definedName>
    <definedName name="_xlnm._FilterDatabase" localSheetId="2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 localSheetId="2">[1]!D</definedName>
    <definedName name="D">[1]!D</definedName>
    <definedName name="E" localSheetId="0">[1]!E</definedName>
    <definedName name="E" localSheetId="1">[1]!E</definedName>
    <definedName name="E" localSheetId="2">[1]!E</definedName>
    <definedName name="E">[1]!E</definedName>
    <definedName name="er" localSheetId="0">[1]!er</definedName>
    <definedName name="er" localSheetId="1">[1]!er</definedName>
    <definedName name="er" localSheetId="2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 localSheetId="2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 localSheetId="2">[1]!j</definedName>
    <definedName name="j">[1]!j</definedName>
    <definedName name="k" localSheetId="0">[1]!k</definedName>
    <definedName name="k" localSheetId="1">[1]!k</definedName>
    <definedName name="k" localSheetId="2">[1]!k</definedName>
    <definedName name="k">[1]!k</definedName>
    <definedName name="kurikoshi" localSheetId="0">[1]!kurikoshi</definedName>
    <definedName name="kurikoshi" localSheetId="1">[1]!kurikoshi</definedName>
    <definedName name="kurikoshi" localSheetId="2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 localSheetId="2">[1]!ll</definedName>
    <definedName name="ll">[1]!ll</definedName>
    <definedName name="MARA" localSheetId="0">[1]!MARA</definedName>
    <definedName name="MARA" localSheetId="1">[1]!MARA</definedName>
    <definedName name="MARA" localSheetId="2">[1]!MARA</definedName>
    <definedName name="MARA">[1]!MARA</definedName>
    <definedName name="MARU" localSheetId="0">[1]!MARU</definedName>
    <definedName name="MARU" localSheetId="1">[1]!MARU</definedName>
    <definedName name="MARU" localSheetId="2">[1]!MARU</definedName>
    <definedName name="MARU">[1]!MARU</definedName>
    <definedName name="mi" localSheetId="0">[1]!mi</definedName>
    <definedName name="mi" localSheetId="1">[1]!mi</definedName>
    <definedName name="mi" localSheetId="2">[1]!mi</definedName>
    <definedName name="mi">[1]!mi</definedName>
    <definedName name="mi_blue" localSheetId="0">[1]!mi_blue</definedName>
    <definedName name="mi_blue" localSheetId="1">[1]!mi_blue</definedName>
    <definedName name="mi_blue" localSheetId="2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 localSheetId="2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実装・単体スケジュール!$A$1:$D$7</definedName>
    <definedName name="_xlnm.Print_Area" localSheetId="2">'進捗管理 (2)'!$A$1:$M$21</definedName>
    <definedName name="_xlnm.Print_Titles" localSheetId="0">スケジュール!$1:$2</definedName>
    <definedName name="_xlnm.Print_Titles" localSheetId="1">実装・単体スケジュール!$1:$2</definedName>
    <definedName name="_xlnm.Print_Titles" localSheetId="2">'進捗管理 (2)'!$1:$3</definedName>
    <definedName name="Question1" localSheetId="0">[1]!Question1</definedName>
    <definedName name="Question1" localSheetId="1">[1]!Question1</definedName>
    <definedName name="Question1" localSheetId="2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 localSheetId="2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localSheetId="2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 localSheetId="2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 localSheetId="2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9" l="1"/>
  <c r="A5" i="19" s="1"/>
  <c r="A6" i="19" s="1"/>
  <c r="A7" i="19" s="1"/>
  <c r="A8" i="19" s="1"/>
  <c r="A8" i="17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<sst xmlns="http://schemas.openxmlformats.org/spreadsheetml/2006/main" count="251" uniqueCount="109">
  <si>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</si>
  <si>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</si>
  <si>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</si>
  <si>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</si>
  <si>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</si>
  <si>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</si>
  <si>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</si>
  <si>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</si>
  <si>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</si>
  <si>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</si>
  <si>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</si>
  <si>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</si>
  <si>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</si>
  <si>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</si>
  <si>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</si>
  <si>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</si>
  <si>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</si>
  <si>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</si>
  <si>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</si>
  <si>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</si>
  <si>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</si>
  <si>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</si>
  <si>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</si>
  <si>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</si>
  <si>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</si>
  <si>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</si>
  <si>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</si>
  <si>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</si>
  <si>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</si>
  <si>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</si>
  <si>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</si>
  <si>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</si>
  <si>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</si>
  <si>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</si>
  <si>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</si>
  <si>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</si>
  <si>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</si>
  <si>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</si>
  <si>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</si>
  <si>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</si>
  <si>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</si>
  <si>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</si>
  <si>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</si>
  <si>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</si>
  <si>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</si>
  <si>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</si>
  <si>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</si>
  <si>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</si>
  <si>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</si>
  <si>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</si>
  <si>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</si>
  <si>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</si>
  <si>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</si>
  <si>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</si>
  <si>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</si>
  <si>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</si>
  <si>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</si>
  <si>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</si>
  <si>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</si>
  <si>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</si>
  <si>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</si>
  <si>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</si>
  <si>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</si>
  <si>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</si>
  <si>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</si>
  <si>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</si>
  <si>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</si>
  <si>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</si>
  <si>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</si>
  <si>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</si>
  <si>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</si>
  <si>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</si>
  <si>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</si>
  <si>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</si>
  <si>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</si>
  <si>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</si>
  <si>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</si>
  <si>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</si>
  <si>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</si>
  <si>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</si>
  <si>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</si>
  <si>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</si>
  <si>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</si>
  <si>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</si>
  <si>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</si>
  <si>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</si>
  <si>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</si>
  <si>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</si>
  <si>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</si>
  <si>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</si>
  <si>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</si>
  <si>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</si>
  <si>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</si>
  <si>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</si>
  <si>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</si>
  <si>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</si>
  <si>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</si>
  <si>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</si>
  <si>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</si>
  <si>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</si>
  <si>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</si>
  <si>
    <t>トップ画面</t>
    <rPh sb="3" eb="5">
      <t>ガメン</t>
    </rPh>
    <phoneticPr fontId="3"/>
  </si>
  <si>
    <t>申請画面</t>
    <rPh sb="0" eb="2">
      <t>シンセイ</t>
    </rPh>
    <rPh sb="2" eb="4">
      <t>ガメン</t>
    </rPh>
    <phoneticPr fontId="3"/>
  </si>
  <si>
    <t>申請確認画面</t>
    <rPh sb="0" eb="2">
      <t>シンセイ</t>
    </rPh>
    <rPh sb="2" eb="4">
      <t>カクニン</t>
    </rPh>
    <rPh sb="4" eb="6">
      <t>ガメン</t>
    </rPh>
    <phoneticPr fontId="3"/>
  </si>
  <si>
    <t>申請完了画面</t>
    <rPh sb="0" eb="2">
      <t>シンセイ</t>
    </rPh>
    <rPh sb="2" eb="4">
      <t>カンリョウ</t>
    </rPh>
    <rPh sb="4" eb="6">
      <t>ガメン</t>
    </rPh>
    <phoneticPr fontId="3"/>
  </si>
  <si>
    <t>申請可能製品連携ジョブ</t>
    <rPh sb="0" eb="4">
      <t>シンセイカノウ</t>
    </rPh>
    <rPh sb="4" eb="6">
      <t>セイヒン</t>
    </rPh>
    <rPh sb="6" eb="8">
      <t>レンケイ</t>
    </rPh>
    <phoneticPr fontId="3"/>
  </si>
  <si>
    <t>証明書連携ジョブ</t>
    <rPh sb="0" eb="3">
      <t>ショウメイショ</t>
    </rPh>
    <rPh sb="3" eb="5">
      <t>レンケイ</t>
    </rPh>
    <phoneticPr fontId="3"/>
  </si>
  <si>
    <t>候</t>
    <rPh sb="0" eb="1">
      <t>コウ</t>
    </rPh>
    <phoneticPr fontId="3"/>
  </si>
  <si>
    <t>熊</t>
    <rPh sb="0" eb="1">
      <t>クマ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</si>
</sst>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71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12</xdr:col>
      <xdr:colOff>338910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2412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0</xdr:colOff>
      <xdr:row>4</xdr:row>
      <xdr:rowOff>56031</xdr:rowOff>
    </xdr:from>
    <xdr:to>
      <xdr:col>22</xdr:col>
      <xdr:colOff>313765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990294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343233</xdr:colOff>
      <xdr:row>3</xdr:row>
      <xdr:rowOff>56029</xdr:rowOff>
    </xdr:from>
    <xdr:to>
      <xdr:col>21</xdr:col>
      <xdr:colOff>24792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9207086" y="862853"/>
          <a:ext cx="28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-1</xdr:colOff>
      <xdr:row>3</xdr:row>
      <xdr:rowOff>56030</xdr:rowOff>
    </xdr:from>
    <xdr:to>
      <xdr:col>11</xdr:col>
      <xdr:colOff>313763</xdr:colOff>
      <xdr:row>3</xdr:row>
      <xdr:rowOff>279230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9F83B67E-1427-4D26-A0B0-37160547062E}"/>
            </a:ext>
          </a:extLst>
        </xdr:cNvPr>
        <xdr:cNvSpPr/>
      </xdr:nvSpPr>
      <xdr:spPr>
        <a:xfrm>
          <a:off x="8516470" y="862854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11205</xdr:colOff>
      <xdr:row>2</xdr:row>
      <xdr:rowOff>67235</xdr:rowOff>
    </xdr:from>
    <xdr:to>
      <xdr:col>9</xdr:col>
      <xdr:colOff>324441</xdr:colOff>
      <xdr:row>2</xdr:row>
      <xdr:rowOff>290435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52EFEAF4-6E3A-4F4D-B4B7-AC3901BBD075}"/>
            </a:ext>
          </a:extLst>
        </xdr:cNvPr>
        <xdr:cNvSpPr/>
      </xdr:nvSpPr>
      <xdr:spPr>
        <a:xfrm>
          <a:off x="7485529" y="560294"/>
          <a:ext cx="10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11203</xdr:colOff>
      <xdr:row>6</xdr:row>
      <xdr:rowOff>44824</xdr:rowOff>
    </xdr:from>
    <xdr:to>
      <xdr:col>9</xdr:col>
      <xdr:colOff>324969</xdr:colOff>
      <xdr:row>6</xdr:row>
      <xdr:rowOff>268024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9DF4077-0343-45F6-B001-445A5F8ED7E1}"/>
            </a:ext>
          </a:extLst>
        </xdr:cNvPr>
        <xdr:cNvSpPr/>
      </xdr:nvSpPr>
      <xdr:spPr>
        <a:xfrm>
          <a:off x="7832909" y="1781736"/>
          <a:ext cx="661148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11204</xdr:colOff>
      <xdr:row>7</xdr:row>
      <xdr:rowOff>44824</xdr:rowOff>
    </xdr:from>
    <xdr:to>
      <xdr:col>11</xdr:col>
      <xdr:colOff>324969</xdr:colOff>
      <xdr:row>7</xdr:row>
      <xdr:rowOff>268024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022D8B08-EFDA-4BA6-8FE3-D3577A213859}"/>
            </a:ext>
          </a:extLst>
        </xdr:cNvPr>
        <xdr:cNvSpPr/>
      </xdr:nvSpPr>
      <xdr:spPr>
        <a:xfrm>
          <a:off x="8527675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190502</xdr:colOff>
      <xdr:row>2</xdr:row>
      <xdr:rowOff>0</xdr:rowOff>
    </xdr:from>
    <xdr:to>
      <xdr:col>14</xdr:col>
      <xdr:colOff>190502</xdr:colOff>
      <xdr:row>8</xdr:row>
      <xdr:rowOff>0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1D117A4D-26AD-400D-83C7-D5DACBCB71AD}"/>
            </a:ext>
          </a:extLst>
        </xdr:cNvPr>
        <xdr:cNvCxnSpPr/>
      </xdr:nvCxnSpPr>
      <xdr:spPr>
        <a:xfrm>
          <a:off x="6734737" y="493059"/>
          <a:ext cx="0" cy="184897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11205</xdr:colOff>
      <xdr:row>4</xdr:row>
      <xdr:rowOff>56031</xdr:rowOff>
    </xdr:from>
    <xdr:to>
      <xdr:col>13</xdr:col>
      <xdr:colOff>324968</xdr:colOff>
      <xdr:row>4</xdr:row>
      <xdr:rowOff>279231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A8F8511-28C3-0273-2791-E97E1BA5E81A}"/>
            </a:ext>
          </a:extLst>
        </xdr:cNvPr>
        <xdr:cNvSpPr/>
      </xdr:nvSpPr>
      <xdr:spPr>
        <a:xfrm>
          <a:off x="9222440" y="1176619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11204</xdr:colOff>
      <xdr:row>5</xdr:row>
      <xdr:rowOff>44825</xdr:rowOff>
    </xdr:from>
    <xdr:to>
      <xdr:col>15</xdr:col>
      <xdr:colOff>324968</xdr:colOff>
      <xdr:row>5</xdr:row>
      <xdr:rowOff>268025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20E2F64F-1F0E-24EF-A7F0-AC67314CEC2B}"/>
            </a:ext>
          </a:extLst>
        </xdr:cNvPr>
        <xdr:cNvSpPr/>
      </xdr:nvSpPr>
      <xdr:spPr>
        <a:xfrm>
          <a:off x="9917204" y="1479178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O16" sqref="O16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171-6980-4D03-948B-7D5B3E8C8A63}">
  <sheetPr>
    <pageSetUpPr fitToPage="1"/>
  </sheetPr>
  <dimension ref="A1:T8"/>
  <sheetViews>
    <sheetView showGridLines="0" tabSelected="1" zoomScale="85" zoomScaleNormal="85" zoomScaleSheetLayoutView="85" workbookViewId="0">
      <pane xSplit="4" ySplit="2" topLeftCell="E3" activePane="bottomRight" state="frozen"/>
      <selection pane="topRight" activeCell="K1" sqref="K1"/>
      <selection pane="bottomLeft" activeCell="A3" sqref="A3"/>
      <selection pane="bottomRight" activeCell="Z6" sqref="Z6"/>
    </sheetView>
  </sheetViews>
  <sheetFormatPr defaultColWidth="3.25" defaultRowHeight="13.5"/>
  <cols>
    <col min="1" max="1" width="6" customWidth="1"/>
    <col min="2" max="2" width="25.625" customWidth="1"/>
    <col min="3" max="3" width="7.625" style="16" customWidth="1"/>
    <col min="4" max="4" width="1" customWidth="1"/>
    <col min="5" max="20" width="4.5" customWidth="1"/>
  </cols>
  <sheetData>
    <row r="1" spans="1:20" ht="10.5" customHeight="1">
      <c r="A1" s="5"/>
      <c r="B1" s="4"/>
      <c r="C1" s="5"/>
      <c r="D1" s="5"/>
      <c r="E1" s="46" t="s">
        <v>77</v>
      </c>
      <c r="F1" s="47"/>
      <c r="G1" s="47"/>
      <c r="H1" s="48"/>
      <c r="I1" s="46" t="s">
        <v>78</v>
      </c>
      <c r="J1" s="47"/>
      <c r="K1" s="47"/>
      <c r="L1" s="48"/>
      <c r="M1" s="46" t="s">
        <v>79</v>
      </c>
      <c r="N1" s="47"/>
      <c r="O1" s="47"/>
      <c r="P1" s="48"/>
      <c r="Q1" s="46" t="s">
        <v>80</v>
      </c>
      <c r="R1" s="47"/>
      <c r="S1" s="47"/>
      <c r="T1" s="48"/>
    </row>
    <row r="2" spans="1:20" ht="28.5" customHeight="1">
      <c r="A2" s="8" t="s">
        <v>27</v>
      </c>
      <c r="B2" s="9" t="s">
        <v>89</v>
      </c>
      <c r="C2" s="11" t="s">
        <v>18</v>
      </c>
      <c r="D2" s="5"/>
      <c r="E2" s="52">
        <v>1</v>
      </c>
      <c r="F2" s="52">
        <v>2</v>
      </c>
      <c r="G2" s="52">
        <v>3</v>
      </c>
      <c r="H2" s="52">
        <v>4</v>
      </c>
      <c r="I2" s="52">
        <v>1</v>
      </c>
      <c r="J2" s="52">
        <v>2</v>
      </c>
      <c r="K2" s="52">
        <v>3</v>
      </c>
      <c r="L2" s="52">
        <v>4</v>
      </c>
      <c r="M2" s="52">
        <v>1</v>
      </c>
      <c r="N2" s="52">
        <v>2</v>
      </c>
      <c r="O2" s="52">
        <v>3</v>
      </c>
      <c r="P2" s="52">
        <v>4</v>
      </c>
      <c r="Q2" s="52">
        <v>1</v>
      </c>
      <c r="R2" s="52">
        <v>2</v>
      </c>
      <c r="S2" s="52">
        <v>3</v>
      </c>
      <c r="T2" s="52">
        <v>4</v>
      </c>
    </row>
    <row r="3" spans="1:20" ht="24.75" customHeight="1">
      <c r="A3" s="63">
        <v>1</v>
      </c>
      <c r="B3" s="64" t="s">
        <v>101</v>
      </c>
      <c r="C3" s="32" t="s">
        <v>108</v>
      </c>
      <c r="D3" s="49"/>
      <c r="E3" s="50"/>
      <c r="F3" s="36"/>
      <c r="G3" s="36"/>
      <c r="H3" s="51"/>
      <c r="I3" s="50"/>
      <c r="J3" s="36"/>
      <c r="K3" s="36"/>
      <c r="L3" s="51"/>
      <c r="M3" s="50"/>
      <c r="N3" s="36"/>
      <c r="O3" s="36"/>
      <c r="P3" s="51"/>
      <c r="Q3" s="50"/>
      <c r="R3" s="36"/>
      <c r="S3" s="36"/>
      <c r="T3" s="51"/>
    </row>
    <row r="4" spans="1:20" ht="24.75" customHeight="1">
      <c r="A4" s="63">
        <f>A3+1</f>
        <v>2</v>
      </c>
      <c r="B4" s="64" t="s">
        <v>102</v>
      </c>
      <c r="C4" s="32" t="s">
        <v>108</v>
      </c>
      <c r="D4" s="49"/>
      <c r="E4" s="50"/>
      <c r="F4" s="36"/>
      <c r="G4" s="36"/>
      <c r="H4" s="51"/>
      <c r="I4" s="50"/>
      <c r="J4" s="36"/>
      <c r="K4" s="36"/>
      <c r="L4" s="51"/>
      <c r="M4" s="50"/>
      <c r="N4" s="36"/>
      <c r="O4" s="36"/>
      <c r="P4" s="51"/>
      <c r="Q4" s="50"/>
      <c r="R4" s="36"/>
      <c r="S4" s="36"/>
      <c r="T4" s="51"/>
    </row>
    <row r="5" spans="1:20" ht="24.75" customHeight="1">
      <c r="A5" s="63">
        <f>A4+1</f>
        <v>3</v>
      </c>
      <c r="B5" s="64" t="s">
        <v>103</v>
      </c>
      <c r="C5" s="32" t="s">
        <v>108</v>
      </c>
      <c r="D5" s="49"/>
      <c r="E5" s="50"/>
      <c r="F5" s="36"/>
      <c r="G5" s="36"/>
      <c r="H5" s="51"/>
      <c r="I5" s="50"/>
      <c r="J5" s="36"/>
      <c r="K5" s="36"/>
      <c r="L5" s="51"/>
      <c r="M5" s="50"/>
      <c r="N5" s="36"/>
      <c r="O5" s="36"/>
      <c r="P5" s="51"/>
      <c r="Q5" s="50"/>
      <c r="R5" s="36"/>
      <c r="S5" s="36"/>
      <c r="T5" s="51"/>
    </row>
    <row r="6" spans="1:20" ht="24.2" customHeight="1">
      <c r="A6" s="63">
        <f>A5+1</f>
        <v>4</v>
      </c>
      <c r="B6" s="64" t="s">
        <v>104</v>
      </c>
      <c r="C6" s="32" t="s">
        <v>108</v>
      </c>
      <c r="D6" s="49"/>
      <c r="E6" s="50"/>
      <c r="F6" s="36"/>
      <c r="G6" s="36"/>
      <c r="H6" s="51"/>
      <c r="I6" s="50"/>
      <c r="J6" s="36"/>
      <c r="K6" s="36"/>
      <c r="L6" s="51"/>
      <c r="M6" s="50"/>
      <c r="N6" s="36"/>
      <c r="O6" s="36"/>
      <c r="P6" s="51"/>
      <c r="Q6" s="50"/>
      <c r="R6" s="36"/>
      <c r="S6" s="36"/>
      <c r="T6" s="51"/>
    </row>
    <row r="7" spans="1:20" ht="24.2" customHeight="1">
      <c r="A7" s="52">
        <f>A6+1</f>
        <v>5</v>
      </c>
      <c r="B7" s="56" t="s">
        <v>105</v>
      </c>
      <c r="C7" s="32" t="s">
        <v>107</v>
      </c>
      <c r="D7" s="59"/>
      <c r="E7" s="60"/>
      <c r="F7" s="61"/>
      <c r="G7" s="61"/>
      <c r="H7" s="62"/>
      <c r="I7" s="60"/>
      <c r="J7" s="61"/>
      <c r="K7" s="61"/>
      <c r="L7" s="62"/>
      <c r="M7" s="60"/>
      <c r="N7" s="61"/>
      <c r="O7" s="61"/>
      <c r="P7" s="62"/>
      <c r="Q7" s="60"/>
      <c r="R7" s="61"/>
      <c r="S7" s="61"/>
      <c r="T7" s="62"/>
    </row>
    <row r="8" spans="1:20" ht="24.2" customHeight="1">
      <c r="A8" s="52">
        <f>A7+1</f>
        <v>6</v>
      </c>
      <c r="B8" s="56" t="s">
        <v>106</v>
      </c>
      <c r="C8" s="58" t="s">
        <v>107</v>
      </c>
      <c r="D8" s="59"/>
      <c r="E8" s="60"/>
      <c r="F8" s="61"/>
      <c r="G8" s="61"/>
      <c r="H8" s="62"/>
      <c r="I8" s="60"/>
      <c r="J8" s="61"/>
      <c r="K8" s="61"/>
      <c r="L8" s="62"/>
      <c r="M8" s="60"/>
      <c r="N8" s="61"/>
      <c r="O8" s="61"/>
      <c r="P8" s="62"/>
      <c r="Q8" s="60"/>
      <c r="R8" s="61"/>
      <c r="S8" s="61"/>
      <c r="T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5">
        <v>1</v>
      </c>
      <c r="C4" s="8" t="s">
        <v>39</v>
      </c>
      <c r="D4" s="67" t="s">
        <v>43</v>
      </c>
      <c r="E4" s="24">
        <v>45961</v>
      </c>
      <c r="F4" s="69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6"/>
      <c r="C5" s="45" t="str">
        <f>C4</f>
        <v>WF開発</v>
      </c>
      <c r="D5" s="68"/>
      <c r="E5" s="33">
        <f>IF(ISBLANK(E4),"",E4)</f>
        <v>45961</v>
      </c>
      <c r="F5" s="70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5">
        <f>B4+1</f>
        <v>2</v>
      </c>
      <c r="C6" s="8" t="s">
        <v>39</v>
      </c>
      <c r="D6" s="67" t="s">
        <v>45</v>
      </c>
      <c r="E6" s="24">
        <v>45961</v>
      </c>
      <c r="F6" s="69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6"/>
      <c r="C7" s="45" t="str">
        <f>C6</f>
        <v>WF開発</v>
      </c>
      <c r="D7" s="68"/>
      <c r="E7" s="33">
        <f>IF(ISBLANK(E6),"",E6)</f>
        <v>45961</v>
      </c>
      <c r="F7" s="70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5">
        <f>B6+1</f>
        <v>3</v>
      </c>
      <c r="C8" s="8" t="s">
        <v>39</v>
      </c>
      <c r="D8" s="67" t="s">
        <v>46</v>
      </c>
      <c r="E8" s="24">
        <v>45961</v>
      </c>
      <c r="F8" s="69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6"/>
      <c r="C9" s="45" t="str">
        <f>C8</f>
        <v>WF開発</v>
      </c>
      <c r="D9" s="68"/>
      <c r="E9" s="33">
        <f>IF(ISBLANK(E8),"",E8)</f>
        <v>45961</v>
      </c>
      <c r="F9" s="70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5">
        <f>B6+1</f>
        <v>3</v>
      </c>
      <c r="C10" s="8" t="s">
        <v>39</v>
      </c>
      <c r="D10" s="67" t="s">
        <v>47</v>
      </c>
      <c r="E10" s="24">
        <v>45961</v>
      </c>
      <c r="F10" s="69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6"/>
      <c r="C11" s="45" t="str">
        <f>C10</f>
        <v>WF開発</v>
      </c>
      <c r="D11" s="68"/>
      <c r="E11" s="33">
        <f>IF(ISBLANK(E10),"",E10)</f>
        <v>45961</v>
      </c>
      <c r="F11" s="70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5">
        <f t="shared" ref="B12:B52" si="3">B10+1</f>
        <v>4</v>
      </c>
      <c r="C12" s="8" t="s">
        <v>39</v>
      </c>
      <c r="D12" s="67" t="s">
        <v>44</v>
      </c>
      <c r="E12" s="24">
        <v>45961</v>
      </c>
      <c r="F12" s="69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6"/>
      <c r="C13" s="45" t="str">
        <f>C12</f>
        <v>WF開発</v>
      </c>
      <c r="D13" s="68"/>
      <c r="E13" s="33">
        <f>IF(ISBLANK(E12),"",E12)</f>
        <v>45961</v>
      </c>
      <c r="F13" s="70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5">
        <f t="shared" si="3"/>
        <v>5</v>
      </c>
      <c r="C14" s="8" t="s">
        <v>39</v>
      </c>
      <c r="D14" s="67" t="s">
        <v>48</v>
      </c>
      <c r="E14" s="24">
        <v>45961</v>
      </c>
      <c r="F14" s="69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6"/>
      <c r="C15" s="45" t="str">
        <f>C14</f>
        <v>WF開発</v>
      </c>
      <c r="D15" s="68"/>
      <c r="E15" s="33">
        <f>IF(ISBLANK(E14),"",E14)</f>
        <v>45961</v>
      </c>
      <c r="F15" s="70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5">
        <f>B14+1</f>
        <v>6</v>
      </c>
      <c r="C16" s="8" t="s">
        <v>40</v>
      </c>
      <c r="D16" s="67" t="s">
        <v>49</v>
      </c>
      <c r="E16" s="24">
        <v>45961</v>
      </c>
      <c r="F16" s="69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6"/>
      <c r="C17" s="45" t="str">
        <f>C16</f>
        <v>WF設定</v>
      </c>
      <c r="D17" s="68"/>
      <c r="E17" s="33">
        <f>IF(ISBLANK(E16),"",E16)</f>
        <v>45961</v>
      </c>
      <c r="F17" s="70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5">
        <f>B14+1</f>
        <v>6</v>
      </c>
      <c r="C18" s="8" t="s">
        <v>40</v>
      </c>
      <c r="D18" s="67" t="s">
        <v>51</v>
      </c>
      <c r="E18" s="24">
        <v>45961</v>
      </c>
      <c r="F18" s="69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6"/>
      <c r="C19" s="45" t="str">
        <f>C18</f>
        <v>WF設定</v>
      </c>
      <c r="D19" s="68"/>
      <c r="E19" s="33">
        <f>IF(ISBLANK(E18),"",E18)</f>
        <v>45961</v>
      </c>
      <c r="F19" s="70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5">
        <f t="shared" si="3"/>
        <v>7</v>
      </c>
      <c r="C20" s="8" t="s">
        <v>38</v>
      </c>
      <c r="D20" s="67" t="s">
        <v>53</v>
      </c>
      <c r="E20" s="24">
        <v>45961</v>
      </c>
      <c r="F20" s="69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6"/>
      <c r="C21" s="45" t="str">
        <f>C20</f>
        <v>EAI連携</v>
      </c>
      <c r="D21" s="68"/>
      <c r="E21" s="33">
        <f>IF(ISBLANK(E20),"",E20)</f>
        <v>45961</v>
      </c>
      <c r="F21" s="70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5">
        <f t="shared" si="3"/>
        <v>8</v>
      </c>
      <c r="C22" s="8" t="s">
        <v>38</v>
      </c>
      <c r="D22" s="67" t="s">
        <v>54</v>
      </c>
      <c r="E22" s="24">
        <v>45961</v>
      </c>
      <c r="F22" s="69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6"/>
      <c r="C23" s="45" t="str">
        <f>C22</f>
        <v>EAI連携</v>
      </c>
      <c r="D23" s="68"/>
      <c r="E23" s="33">
        <f>IF(ISBLANK(E22),"",E22)</f>
        <v>45961</v>
      </c>
      <c r="F23" s="70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5">
        <f t="shared" si="3"/>
        <v>9</v>
      </c>
      <c r="C24" s="8" t="s">
        <v>38</v>
      </c>
      <c r="D24" s="67" t="s">
        <v>55</v>
      </c>
      <c r="E24" s="24">
        <v>45961</v>
      </c>
      <c r="F24" s="69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6"/>
      <c r="C25" s="45" t="str">
        <f>C24</f>
        <v>EAI連携</v>
      </c>
      <c r="D25" s="68"/>
      <c r="E25" s="33">
        <f>IF(ISBLANK(E24),"",E24)</f>
        <v>45961</v>
      </c>
      <c r="F25" s="70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5">
        <f t="shared" si="3"/>
        <v>10</v>
      </c>
      <c r="C26" s="8" t="s">
        <v>40</v>
      </c>
      <c r="D26" s="67" t="s">
        <v>56</v>
      </c>
      <c r="E26" s="24">
        <v>45961</v>
      </c>
      <c r="F26" s="69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6"/>
      <c r="C27" s="45" t="str">
        <f>C26</f>
        <v>WF設定</v>
      </c>
      <c r="D27" s="68"/>
      <c r="E27" s="33">
        <f>IF(ISBLANK(E26),"",E26)</f>
        <v>45961</v>
      </c>
      <c r="F27" s="70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5">
        <f t="shared" si="3"/>
        <v>11</v>
      </c>
      <c r="C28" s="8" t="s">
        <v>40</v>
      </c>
      <c r="D28" s="67" t="s">
        <v>58</v>
      </c>
      <c r="E28" s="24">
        <v>45961</v>
      </c>
      <c r="F28" s="69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6"/>
      <c r="C29" s="45" t="str">
        <f>C28</f>
        <v>WF設定</v>
      </c>
      <c r="D29" s="68"/>
      <c r="E29" s="33">
        <f>IF(ISBLANK(E28),"",E28)</f>
        <v>45961</v>
      </c>
      <c r="F29" s="70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5">
        <f t="shared" si="3"/>
        <v>12</v>
      </c>
      <c r="C30" s="8" t="s">
        <v>40</v>
      </c>
      <c r="D30" s="67" t="s">
        <v>59</v>
      </c>
      <c r="E30" s="24">
        <v>45961</v>
      </c>
      <c r="F30" s="69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6"/>
      <c r="C31" s="45" t="str">
        <f>C30</f>
        <v>WF設定</v>
      </c>
      <c r="D31" s="68"/>
      <c r="E31" s="33">
        <f>IF(ISBLANK(E30),"",E30)</f>
        <v>45961</v>
      </c>
      <c r="F31" s="70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5">
        <f t="shared" si="3"/>
        <v>13</v>
      </c>
      <c r="C32" s="8" t="s">
        <v>40</v>
      </c>
      <c r="D32" s="67" t="s">
        <v>60</v>
      </c>
      <c r="E32" s="24">
        <v>45961</v>
      </c>
      <c r="F32" s="69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6"/>
      <c r="C33" s="45" t="str">
        <f>C32</f>
        <v>WF設定</v>
      </c>
      <c r="D33" s="68"/>
      <c r="E33" s="33">
        <f>IF(ISBLANK(E32),"",E32)</f>
        <v>45961</v>
      </c>
      <c r="F33" s="70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5">
        <f t="shared" si="3"/>
        <v>14</v>
      </c>
      <c r="C34" s="8" t="s">
        <v>65</v>
      </c>
      <c r="D34" s="67" t="s">
        <v>61</v>
      </c>
      <c r="E34" s="24">
        <v>45961</v>
      </c>
      <c r="F34" s="69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6"/>
      <c r="C35" s="45" t="str">
        <f>C34</f>
        <v>手順書</v>
      </c>
      <c r="D35" s="68"/>
      <c r="E35" s="33">
        <f>IF(ISBLANK(E34),"",E34)</f>
        <v>45961</v>
      </c>
      <c r="F35" s="70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5">
        <f t="shared" si="3"/>
        <v>15</v>
      </c>
      <c r="C36" s="8" t="s">
        <v>65</v>
      </c>
      <c r="D36" s="67" t="s">
        <v>66</v>
      </c>
      <c r="E36" s="24">
        <v>45961</v>
      </c>
      <c r="F36" s="69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6"/>
      <c r="C37" s="45" t="str">
        <f>C36</f>
        <v>手順書</v>
      </c>
      <c r="D37" s="68"/>
      <c r="E37" s="33">
        <f>IF(ISBLANK(E36),"",E36)</f>
        <v>45961</v>
      </c>
      <c r="F37" s="70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5">
        <f t="shared" si="3"/>
        <v>16</v>
      </c>
      <c r="C38" s="8" t="s">
        <v>65</v>
      </c>
      <c r="D38" s="67" t="s">
        <v>67</v>
      </c>
      <c r="E38" s="24">
        <v>45961</v>
      </c>
      <c r="F38" s="69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6"/>
      <c r="C39" s="45" t="str">
        <f>C38</f>
        <v>手順書</v>
      </c>
      <c r="D39" s="68"/>
      <c r="E39" s="33">
        <f>IF(ISBLANK(E38),"",E38)</f>
        <v>45961</v>
      </c>
      <c r="F39" s="70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5">
        <f t="shared" si="3"/>
        <v>17</v>
      </c>
      <c r="C40" s="8" t="s">
        <v>65</v>
      </c>
      <c r="D40" s="67" t="s">
        <v>68</v>
      </c>
      <c r="E40" s="24">
        <v>45961</v>
      </c>
      <c r="F40" s="69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6"/>
      <c r="C41" s="45" t="str">
        <f>C40</f>
        <v>手順書</v>
      </c>
      <c r="D41" s="68"/>
      <c r="E41" s="33">
        <f>IF(ISBLANK(E40),"",E40)</f>
        <v>45961</v>
      </c>
      <c r="F41" s="70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5">
        <f t="shared" si="3"/>
        <v>18</v>
      </c>
      <c r="C42" s="8" t="s">
        <v>65</v>
      </c>
      <c r="D42" s="67" t="s">
        <v>69</v>
      </c>
      <c r="E42" s="24">
        <v>45961</v>
      </c>
      <c r="F42" s="69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6"/>
      <c r="C43" s="45" t="str">
        <f>C42</f>
        <v>手順書</v>
      </c>
      <c r="D43" s="68"/>
      <c r="E43" s="33">
        <f>IF(ISBLANK(E42),"",E42)</f>
        <v>45961</v>
      </c>
      <c r="F43" s="70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5">
        <f t="shared" si="3"/>
        <v>19</v>
      </c>
      <c r="C44" s="8" t="s">
        <v>41</v>
      </c>
      <c r="D44" s="67" t="s">
        <v>70</v>
      </c>
      <c r="E44" s="24">
        <v>45884</v>
      </c>
      <c r="F44" s="69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6"/>
      <c r="C45" s="45" t="str">
        <f>C44</f>
        <v>環境構築</v>
      </c>
      <c r="D45" s="68"/>
      <c r="E45" s="33">
        <f>IF(ISBLANK(E44),"",E44)</f>
        <v>45884</v>
      </c>
      <c r="F45" s="70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5">
        <f t="shared" si="3"/>
        <v>20</v>
      </c>
      <c r="C46" s="8" t="s">
        <v>41</v>
      </c>
      <c r="D46" s="67" t="s">
        <v>71</v>
      </c>
      <c r="E46" s="24">
        <v>45975</v>
      </c>
      <c r="F46" s="69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6"/>
      <c r="C47" s="45" t="str">
        <f>C46</f>
        <v>環境構築</v>
      </c>
      <c r="D47" s="68"/>
      <c r="E47" s="33">
        <f>IF(ISBLANK(E46),"",E46)</f>
        <v>45975</v>
      </c>
      <c r="F47" s="70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5">
        <f t="shared" si="3"/>
        <v>21</v>
      </c>
      <c r="C48" s="8" t="s">
        <v>41</v>
      </c>
      <c r="D48" s="67" t="s">
        <v>72</v>
      </c>
      <c r="E48" s="24">
        <v>46003</v>
      </c>
      <c r="F48" s="69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6"/>
      <c r="C49" s="45" t="str">
        <f>C48</f>
        <v>環境構築</v>
      </c>
      <c r="D49" s="68"/>
      <c r="E49" s="33">
        <f>IF(ISBLANK(E48),"",E48)</f>
        <v>46003</v>
      </c>
      <c r="F49" s="70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5">
        <f t="shared" si="3"/>
        <v>22</v>
      </c>
      <c r="C50" s="8" t="s">
        <v>42</v>
      </c>
      <c r="D50" s="67" t="s">
        <v>73</v>
      </c>
      <c r="E50" s="24">
        <v>46003</v>
      </c>
      <c r="F50" s="69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6"/>
      <c r="C51" s="45" t="str">
        <f>C50</f>
        <v>性能試験</v>
      </c>
      <c r="D51" s="68"/>
      <c r="E51" s="33">
        <f>IF(ISBLANK(E50),"",E50)</f>
        <v>46003</v>
      </c>
      <c r="F51" s="70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5">
        <f t="shared" si="3"/>
        <v>23</v>
      </c>
      <c r="C52" s="8" t="s">
        <v>42</v>
      </c>
      <c r="D52" s="67" t="s">
        <v>74</v>
      </c>
      <c r="E52" s="24">
        <v>46022</v>
      </c>
      <c r="F52" s="69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6"/>
      <c r="C53" s="45" t="str">
        <f>C52</f>
        <v>性能試験</v>
      </c>
      <c r="D53" s="68"/>
      <c r="E53" s="33">
        <f>IF(ISBLANK(E52),"",E52)</f>
        <v>46022</v>
      </c>
      <c r="F53" s="70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  <mergeCell ref="B44:B45"/>
    <mergeCell ref="D44:D45"/>
    <mergeCell ref="F44:F45"/>
    <mergeCell ref="B46:B47"/>
    <mergeCell ref="D46:D47"/>
    <mergeCell ref="F46:F47"/>
    <mergeCell ref="B40:B41"/>
    <mergeCell ref="D40:D41"/>
    <mergeCell ref="F40:F41"/>
    <mergeCell ref="B42:B43"/>
    <mergeCell ref="D42:D43"/>
    <mergeCell ref="F42:F43"/>
    <mergeCell ref="B36:B37"/>
    <mergeCell ref="D36:D37"/>
    <mergeCell ref="F36:F37"/>
    <mergeCell ref="B38:B39"/>
    <mergeCell ref="D38:D39"/>
    <mergeCell ref="F38:F39"/>
    <mergeCell ref="B32:B33"/>
    <mergeCell ref="D32:D33"/>
    <mergeCell ref="F32:F33"/>
    <mergeCell ref="B34:B35"/>
    <mergeCell ref="D34:D35"/>
    <mergeCell ref="F34:F35"/>
    <mergeCell ref="B28:B29"/>
    <mergeCell ref="D28:D29"/>
    <mergeCell ref="F28:F29"/>
    <mergeCell ref="B30:B31"/>
    <mergeCell ref="D30:D31"/>
    <mergeCell ref="F30:F31"/>
    <mergeCell ref="B24:B25"/>
    <mergeCell ref="D24:D25"/>
    <mergeCell ref="F24:F25"/>
    <mergeCell ref="B26:B27"/>
    <mergeCell ref="D26:D27"/>
    <mergeCell ref="F26:F27"/>
    <mergeCell ref="B20:B21"/>
    <mergeCell ref="D20:D21"/>
    <mergeCell ref="F20:F21"/>
    <mergeCell ref="B22:B23"/>
    <mergeCell ref="D22:D23"/>
    <mergeCell ref="F22:F23"/>
    <mergeCell ref="B16:B17"/>
    <mergeCell ref="D16:D17"/>
    <mergeCell ref="F16:F17"/>
    <mergeCell ref="B18:B19"/>
    <mergeCell ref="D18:D19"/>
    <mergeCell ref="F18:F19"/>
    <mergeCell ref="B12:B13"/>
    <mergeCell ref="D12:D13"/>
    <mergeCell ref="F12:F13"/>
    <mergeCell ref="B14:B15"/>
    <mergeCell ref="D14:D15"/>
    <mergeCell ref="F14:F15"/>
    <mergeCell ref="B8:B9"/>
    <mergeCell ref="D8:D9"/>
    <mergeCell ref="F8:F9"/>
    <mergeCell ref="B10:B11"/>
    <mergeCell ref="D10:D11"/>
    <mergeCell ref="F10:F11"/>
    <mergeCell ref="B4:B5"/>
    <mergeCell ref="D4:D5"/>
    <mergeCell ref="F4:F5"/>
    <mergeCell ref="B6:B7"/>
    <mergeCell ref="D6:D7"/>
    <mergeCell ref="F6:F7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cellIs" dxfId="26" priority="52" stopIfTrue="1" operator="equal">
      <formula>"完了"</formula>
    </cfRule>
    <cfRule type="timePeriod" dxfId="25" priority="50" timePeriod="nextWeek">
      <formula>AND(ROUNDDOWN(L4,0)-TODAY()&gt;(7-WEEKDAY(TODAY())),ROUNDDOWN(L4,0)-TODAY()&lt;(15-WEEKDAY(TODAY())))</formula>
    </cfRule>
    <cfRule type="timePeriod" dxfId="24" priority="51" timePeriod="thisWeek">
      <formula>AND(TODAY()-ROUNDDOWN(L4,0)&lt;=WEEKDAY(TODAY())-1,ROUNDDOWN(L4,0)-TODAY()&lt;=7-WEEKDAY(TODAY()))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8</vt:i4>
      </vt:variant>
    </vt:vector>
  </HeadingPairs>
  <TitlesOfParts>
    <vt:vector size="12" baseType="lpstr">
      <vt:lpstr>スケジュール</vt:lpstr>
      <vt:lpstr>実装・単体スケジュール</vt:lpstr>
      <vt:lpstr>進捗管理 (2)</vt:lpstr>
      <vt:lpstr>List</vt:lpstr>
      <vt:lpstr>スケジュール!Print_Area</vt:lpstr>
      <vt:lpstr>実装・単体スケジュール!Print_Area</vt:lpstr>
      <vt:lpstr>'進捗管理 (2)'!Print_Area</vt:lpstr>
      <vt:lpstr>スケジュール!Print_Titles</vt:lpstr>
      <vt:lpstr>実装・単体スケジュール!Print_Titles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2026-07-20T23:02:27Z</dcterms:modified>
</cp:coreProperties>
</file>