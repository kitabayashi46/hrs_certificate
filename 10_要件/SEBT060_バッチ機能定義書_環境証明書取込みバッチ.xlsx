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showInkAnnotation="0" codeName="ThisWorkbook"/>
  <xr:revisionPtr revIDLastSave="0" documentId="13_ncr:1_{2B06D592-7AF3-4AA8-BB57-B74AF3AF093D}" xr6:coauthVersionLast="47" xr6:coauthVersionMax="47" xr10:uidLastSave="{00000000-0000-0000-0000-000000000000}"/>
  <bookViews>
    <workbookView xWindow="390" yWindow="0" windowWidth="27030" windowHeight="15585" activeTab="2" xr2:uid="{00000000-000D-0000-FFFF-FFFF00000000}"/>
  </bookViews>
  <sheets>
    <sheet name="表紙" sheetId="9" r:id="rId1"/>
    <sheet name="改版履歴" sheetId="10" r:id="rId2"/>
    <sheet name="バッチ機能定義" sheetId="22" r:id="rId3"/>
    <sheet name="処理詳細" sheetId="23" r:id="rId4"/>
    <sheet name="出力編集仕様" sheetId="25" r:id="rId5"/>
    <sheet name="【参考】4S-2322_対応方法" sheetId="26" r:id="rId6"/>
  </sheets>
  <definedNames>
    <definedName name="_Order1" hidden="1">255</definedName>
    <definedName name="_Regression_X" localSheetId="2" hidden="1">#REF!</definedName>
    <definedName name="_Regression_X" localSheetId="4" hidden="1">#REF!</definedName>
    <definedName name="_Regression_X" hidden="1">#REF!</definedName>
    <definedName name="_xlnm.Print_Area" localSheetId="2">バッチ機能定義!$A$1:$CM$119</definedName>
    <definedName name="_xlnm.Print_Area" localSheetId="4">出力編集仕様!$A$1:$EV$48</definedName>
    <definedName name="txtDatabaseName">"テキスト 8"</definedName>
    <definedName name="txtTableName">"テキスト 2"</definedName>
    <definedName name="txtUserName">"テキスト 4"</definedName>
    <definedName name="画面遷移new" localSheetId="4" hidden="1">{"'画面仕様'!$C$22:$BY$40","'画面仕様'!$C$28:$BY$39"}</definedName>
    <definedName name="画面遷移new" hidden="1">{"'画面仕様'!$C$22:$BY$40","'画面仕様'!$C$28:$BY$39"}</definedName>
    <definedName name="関連表" localSheetId="2" hidden="1">#REF!</definedName>
    <definedName name="関連表" localSheetId="4" hidden="1">#REF!</definedName>
    <definedName name="関連表"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E2" i="25" l="1"/>
  <c r="AY2" i="25"/>
  <c r="AS2" i="25"/>
  <c r="AM2" i="25"/>
  <c r="L2" i="25"/>
  <c r="BE2" i="23"/>
  <c r="AY2" i="23"/>
  <c r="AS2" i="23"/>
  <c r="AM2" i="23"/>
  <c r="L2" i="23"/>
  <c r="AY2" i="22"/>
  <c r="BE2" i="22"/>
  <c r="AS2" i="22"/>
  <c r="AM2" i="22"/>
  <c r="L2" i="22"/>
  <c r="G12" i="9"/>
  <c r="AH31" i="9"/>
</calcChain>
</file>

<file path=xl/sharedStrings.xml><?xml version="1.0" encoding="utf-8"?>
<sst xmlns="http://schemas.openxmlformats.org/spreadsheetml/2006/main" count="300" uniqueCount="216">
  <si>
    <t>作成者</t>
    <rPh sb="0" eb="3">
      <t>サクセイシャ</t>
    </rPh>
    <phoneticPr fontId="6"/>
  </si>
  <si>
    <t>作成日</t>
    <rPh sb="0" eb="3">
      <t>サクセイビ</t>
    </rPh>
    <phoneticPr fontId="6"/>
  </si>
  <si>
    <t>更新者</t>
    <rPh sb="0" eb="2">
      <t>コウシン</t>
    </rPh>
    <rPh sb="2" eb="3">
      <t>シャ</t>
    </rPh>
    <phoneticPr fontId="6"/>
  </si>
  <si>
    <t>更新日</t>
    <rPh sb="0" eb="3">
      <t>コウシンビ</t>
    </rPh>
    <phoneticPr fontId="6"/>
  </si>
  <si>
    <t>システム名</t>
    <rPh sb="4" eb="5">
      <t>メイ</t>
    </rPh>
    <phoneticPr fontId="6"/>
  </si>
  <si>
    <t>備考</t>
    <rPh sb="0" eb="2">
      <t>ビコウ</t>
    </rPh>
    <phoneticPr fontId="6"/>
  </si>
  <si>
    <t>株式会社 ＪＳＯＬ</t>
  </si>
  <si>
    <t>改版履歴</t>
    <phoneticPr fontId="6"/>
  </si>
  <si>
    <t>版数</t>
  </si>
  <si>
    <t>改版者</t>
  </si>
  <si>
    <t>改版日</t>
  </si>
  <si>
    <t>改版頁</t>
  </si>
  <si>
    <t>改版履歴</t>
  </si>
  <si>
    <t>新規作成</t>
    <rPh sb="0" eb="2">
      <t>シンキ</t>
    </rPh>
    <rPh sb="2" eb="4">
      <t>サクセイ</t>
    </rPh>
    <phoneticPr fontId="6"/>
  </si>
  <si>
    <t>-</t>
    <phoneticPr fontId="6"/>
  </si>
  <si>
    <t>概要</t>
    <rPh sb="0" eb="2">
      <t>ガイヨウ</t>
    </rPh>
    <phoneticPr fontId="6"/>
  </si>
  <si>
    <t>基本情報</t>
    <rPh sb="0" eb="2">
      <t>キホン</t>
    </rPh>
    <rPh sb="2" eb="4">
      <t>ジョウホウ</t>
    </rPh>
    <phoneticPr fontId="6"/>
  </si>
  <si>
    <t>I/F元</t>
    <rPh sb="3" eb="4">
      <t>モト</t>
    </rPh>
    <phoneticPr fontId="6"/>
  </si>
  <si>
    <t>I/F先</t>
    <rPh sb="3" eb="4">
      <t>サキ</t>
    </rPh>
    <phoneticPr fontId="6"/>
  </si>
  <si>
    <t>連動タイミング</t>
    <rPh sb="0" eb="2">
      <t>レンドウ</t>
    </rPh>
    <phoneticPr fontId="6"/>
  </si>
  <si>
    <t>バッチ機能定義書</t>
    <rPh sb="3" eb="5">
      <t>キノウ</t>
    </rPh>
    <rPh sb="5" eb="8">
      <t>テイギショ</t>
    </rPh>
    <phoneticPr fontId="6"/>
  </si>
  <si>
    <t>バッチ機能定義</t>
    <rPh sb="3" eb="5">
      <t>キノウ</t>
    </rPh>
    <phoneticPr fontId="6"/>
  </si>
  <si>
    <t>フロー説明</t>
    <rPh sb="3" eb="5">
      <t>セツメイ</t>
    </rPh>
    <phoneticPr fontId="6"/>
  </si>
  <si>
    <t>バッチ名</t>
    <rPh sb="3" eb="4">
      <t>メイ</t>
    </rPh>
    <phoneticPr fontId="6"/>
  </si>
  <si>
    <t>バッチ名（物理）</t>
    <rPh sb="3" eb="4">
      <t>メイ</t>
    </rPh>
    <rPh sb="5" eb="7">
      <t>ブツリ</t>
    </rPh>
    <phoneticPr fontId="6"/>
  </si>
  <si>
    <t>バッチ方式</t>
    <rPh sb="3" eb="5">
      <t>ホウシキ</t>
    </rPh>
    <phoneticPr fontId="6"/>
  </si>
  <si>
    <t>ヒロセ電機株式会社</t>
    <rPh sb="3" eb="5">
      <t>デンキ</t>
    </rPh>
    <phoneticPr fontId="6"/>
  </si>
  <si>
    <t>4S　デジタルトランスフォーメーション・プラットフォーム構築</t>
  </si>
  <si>
    <t>JSOL後藤</t>
    <rPh sb="4" eb="6">
      <t>ゴトウ</t>
    </rPh>
    <phoneticPr fontId="6"/>
  </si>
  <si>
    <t>統合Web</t>
    <rPh sb="0" eb="2">
      <t>トウゴウ</t>
    </rPh>
    <phoneticPr fontId="6"/>
  </si>
  <si>
    <t>1-1</t>
    <phoneticPr fontId="6"/>
  </si>
  <si>
    <t>1-5</t>
    <phoneticPr fontId="6"/>
  </si>
  <si>
    <t>5分毎</t>
    <rPh sb="1" eb="2">
      <t>フン</t>
    </rPh>
    <rPh sb="2" eb="3">
      <t>ゴト</t>
    </rPh>
    <phoneticPr fontId="6"/>
  </si>
  <si>
    <t>並行処理可能数の確定</t>
    <rPh sb="0" eb="2">
      <t>ヘイコウ</t>
    </rPh>
    <rPh sb="2" eb="4">
      <t>ショリ</t>
    </rPh>
    <rPh sb="4" eb="6">
      <t>カノウ</t>
    </rPh>
    <rPh sb="6" eb="7">
      <t>スウ</t>
    </rPh>
    <rPh sb="8" eb="10">
      <t>カクテイ</t>
    </rPh>
    <phoneticPr fontId="6"/>
  </si>
  <si>
    <t>バッチ機能定義</t>
  </si>
  <si>
    <t>内部レビュー結果を反映</t>
    <rPh sb="0" eb="2">
      <t>ナイブ</t>
    </rPh>
    <rPh sb="6" eb="8">
      <t>ケッカ</t>
    </rPh>
    <rPh sb="9" eb="11">
      <t>ハンエイ</t>
    </rPh>
    <phoneticPr fontId="6"/>
  </si>
  <si>
    <t>バッチID</t>
    <phoneticPr fontId="6"/>
  </si>
  <si>
    <t>バッチ名称</t>
    <phoneticPr fontId="6"/>
  </si>
  <si>
    <t>CronJob</t>
    <phoneticPr fontId="6"/>
  </si>
  <si>
    <t>グリーンマイスター</t>
    <phoneticPr fontId="6"/>
  </si>
  <si>
    <t>フローチャート</t>
    <phoneticPr fontId="6"/>
  </si>
  <si>
    <t>ファイル存在確認</t>
    <phoneticPr fontId="6"/>
  </si>
  <si>
    <t>存在しない場合：終了する</t>
    <rPh sb="0" eb="2">
      <t>ソンザイ</t>
    </rPh>
    <rPh sb="5" eb="7">
      <t>バアイ</t>
    </rPh>
    <rPh sb="8" eb="10">
      <t>シュウリョウ</t>
    </rPh>
    <phoneticPr fontId="6"/>
  </si>
  <si>
    <t>1-2　</t>
    <phoneticPr fontId="6"/>
  </si>
  <si>
    <t>1-3</t>
    <phoneticPr fontId="6"/>
  </si>
  <si>
    <t>・</t>
    <phoneticPr fontId="6"/>
  </si>
  <si>
    <t>・</t>
    <phoneticPr fontId="6"/>
  </si>
  <si>
    <t>1-4</t>
    <phoneticPr fontId="6"/>
  </si>
  <si>
    <t>回答用制御ファイル取得</t>
    <rPh sb="9" eb="11">
      <t>シュトク</t>
    </rPh>
    <phoneticPr fontId="6"/>
  </si>
  <si>
    <t>フロー凡例</t>
    <phoneticPr fontId="6"/>
  </si>
  <si>
    <t>分科会レビュー結果を反映
・「処理中⇒取込み中(追加)⇒処理済」とせずに、現行システムのとおり「処理中⇒処理済」に戻す
・取得対象の帳票一式ZIPファイルの判定方法変更、およびこれに伴う処理フロー変更</t>
    <rPh sb="0" eb="3">
      <t>ブンカカイ</t>
    </rPh>
    <rPh sb="7" eb="9">
      <t>ケッカ</t>
    </rPh>
    <rPh sb="10" eb="12">
      <t>ハンエイ</t>
    </rPh>
    <rPh sb="37" eb="39">
      <t>ゲンコウ</t>
    </rPh>
    <rPh sb="57" eb="58">
      <t>モド</t>
    </rPh>
    <rPh sb="80" eb="82">
      <t>ホウホウ</t>
    </rPh>
    <rPh sb="82" eb="84">
      <t>ヘンコウ</t>
    </rPh>
    <rPh sb="91" eb="92">
      <t>トモナ</t>
    </rPh>
    <rPh sb="93" eb="95">
      <t>ショリ</t>
    </rPh>
    <phoneticPr fontId="6"/>
  </si>
  <si>
    <t>概要を記載</t>
    <rPh sb="0" eb="2">
      <t>ガイヨウ</t>
    </rPh>
    <rPh sb="3" eb="5">
      <t>キサイ</t>
    </rPh>
    <phoneticPr fontId="6"/>
  </si>
  <si>
    <t>SEBT060</t>
    <phoneticPr fontId="6"/>
  </si>
  <si>
    <t>存在する場合：存在するファイル名から受付番号をすべて取得し、次処理を行う。</t>
    <rPh sb="0" eb="2">
      <t>ソンザイ</t>
    </rPh>
    <rPh sb="4" eb="6">
      <t>バアイ</t>
    </rPh>
    <rPh sb="7" eb="9">
      <t>ソンザイ</t>
    </rPh>
    <rPh sb="15" eb="16">
      <t>メイ</t>
    </rPh>
    <rPh sb="18" eb="20">
      <t>ウケツケ</t>
    </rPh>
    <rPh sb="20" eb="22">
      <t>バンゴウ</t>
    </rPh>
    <rPh sb="26" eb="28">
      <t>シュトク</t>
    </rPh>
    <rPh sb="30" eb="31">
      <t>ジ</t>
    </rPh>
    <rPh sb="31" eb="33">
      <t>ショリ</t>
    </rPh>
    <rPh sb="34" eb="35">
      <t>オコナ</t>
    </rPh>
    <phoneticPr fontId="6"/>
  </si>
  <si>
    <t>環境証明書申請「処理中」件数取得</t>
    <rPh sb="0" eb="2">
      <t>カンキョウ</t>
    </rPh>
    <rPh sb="2" eb="5">
      <t>ショウメイショ</t>
    </rPh>
    <rPh sb="5" eb="7">
      <t>シンセイ</t>
    </rPh>
    <rPh sb="8" eb="11">
      <t>ショリチュウ</t>
    </rPh>
    <rPh sb="12" eb="14">
      <t>ケンスウ</t>
    </rPh>
    <rPh sb="14" eb="16">
      <t>シュトク</t>
    </rPh>
    <phoneticPr fontId="6"/>
  </si>
  <si>
    <t>環境証明書申請から申請ステータスが「処理中」の件数を取得する。</t>
    <rPh sb="9" eb="11">
      <t>シンセイ</t>
    </rPh>
    <rPh sb="18" eb="20">
      <t>ショリ</t>
    </rPh>
    <rPh sb="20" eb="21">
      <t>チュウ</t>
    </rPh>
    <rPh sb="23" eb="25">
      <t>ケンスウ</t>
    </rPh>
    <rPh sb="26" eb="28">
      <t>シュトク</t>
    </rPh>
    <phoneticPr fontId="6"/>
  </si>
  <si>
    <t>バッチ起動パラメータから並行処理上限数を取得する。</t>
    <rPh sb="3" eb="5">
      <t>キドウ</t>
    </rPh>
    <rPh sb="12" eb="14">
      <t>ヘイコウ</t>
    </rPh>
    <rPh sb="14" eb="16">
      <t>ショリ</t>
    </rPh>
    <rPh sb="16" eb="18">
      <t>ジョウゲン</t>
    </rPh>
    <rPh sb="18" eb="19">
      <t>スウ</t>
    </rPh>
    <rPh sb="20" eb="22">
      <t>シュトク</t>
    </rPh>
    <phoneticPr fontId="6"/>
  </si>
  <si>
    <t>並行処理上限数　－　処理中の件数　を計算し、並行処理可能数とする。</t>
    <rPh sb="10" eb="12">
      <t>ショリ</t>
    </rPh>
    <rPh sb="18" eb="20">
      <t>ケイサン</t>
    </rPh>
    <rPh sb="22" eb="24">
      <t>ヘイコウ</t>
    </rPh>
    <rPh sb="24" eb="26">
      <t>ショリ</t>
    </rPh>
    <rPh sb="26" eb="28">
      <t>カノウ</t>
    </rPh>
    <rPh sb="28" eb="29">
      <t>スウ</t>
    </rPh>
    <phoneticPr fontId="6"/>
  </si>
  <si>
    <t>実行可能な処理数を確定する。</t>
    <rPh sb="0" eb="2">
      <t>ジッコウ</t>
    </rPh>
    <rPh sb="2" eb="4">
      <t>カノウ</t>
    </rPh>
    <rPh sb="5" eb="8">
      <t>ショリスウ</t>
    </rPh>
    <rPh sb="9" eb="11">
      <t>カクテイ</t>
    </rPh>
    <phoneticPr fontId="6"/>
  </si>
  <si>
    <t>並行処理可能数&lt;=0の場合（並行処理不可の場合）：処理終了。</t>
    <rPh sb="0" eb="2">
      <t>ヘイコウ</t>
    </rPh>
    <rPh sb="2" eb="4">
      <t>ショリ</t>
    </rPh>
    <rPh sb="4" eb="6">
      <t>カノウ</t>
    </rPh>
    <rPh sb="6" eb="7">
      <t>スウ</t>
    </rPh>
    <rPh sb="11" eb="13">
      <t>バアイ</t>
    </rPh>
    <rPh sb="14" eb="16">
      <t>ヘイコウ</t>
    </rPh>
    <rPh sb="16" eb="18">
      <t>ショリ</t>
    </rPh>
    <rPh sb="18" eb="20">
      <t>フカ</t>
    </rPh>
    <rPh sb="21" eb="23">
      <t>バアイ</t>
    </rPh>
    <rPh sb="25" eb="27">
      <t>ショリ</t>
    </rPh>
    <rPh sb="27" eb="29">
      <t>シュウリョウ</t>
    </rPh>
    <phoneticPr fontId="6"/>
  </si>
  <si>
    <t>並行処理可能数&gt;0の場合（並行処理可能な場合）：次処理を行う。</t>
    <rPh sb="0" eb="2">
      <t>ヘイコウ</t>
    </rPh>
    <rPh sb="2" eb="4">
      <t>ショリ</t>
    </rPh>
    <rPh sb="4" eb="6">
      <t>カノウ</t>
    </rPh>
    <rPh sb="6" eb="7">
      <t>スウ</t>
    </rPh>
    <rPh sb="10" eb="12">
      <t>バアイ</t>
    </rPh>
    <rPh sb="13" eb="15">
      <t>ヘイコウ</t>
    </rPh>
    <rPh sb="15" eb="17">
      <t>ショリ</t>
    </rPh>
    <rPh sb="17" eb="19">
      <t>カノウ</t>
    </rPh>
    <rPh sb="20" eb="22">
      <t>バアイ</t>
    </rPh>
    <rPh sb="24" eb="25">
      <t>ジ</t>
    </rPh>
    <rPh sb="25" eb="27">
      <t>ショリ</t>
    </rPh>
    <rPh sb="28" eb="29">
      <t>オコナ</t>
    </rPh>
    <phoneticPr fontId="6"/>
  </si>
  <si>
    <t>※回答用制御ファイルを対象とし、受付番号はファイル名の以下の部分となる。</t>
    <rPh sb="1" eb="3">
      <t>カイトウ</t>
    </rPh>
    <rPh sb="3" eb="4">
      <t>ヨウ</t>
    </rPh>
    <rPh sb="4" eb="6">
      <t>セイギョ</t>
    </rPh>
    <rPh sb="11" eb="13">
      <t>タイショウ</t>
    </rPh>
    <rPh sb="16" eb="18">
      <t>ウケツケ</t>
    </rPh>
    <rPh sb="18" eb="20">
      <t>バンゴウ</t>
    </rPh>
    <rPh sb="25" eb="26">
      <t>メイ</t>
    </rPh>
    <rPh sb="27" eb="29">
      <t>イカ</t>
    </rPh>
    <rPh sb="30" eb="32">
      <t>ブブン</t>
    </rPh>
    <phoneticPr fontId="6"/>
  </si>
  <si>
    <t>「受付番号_ctrl.ok」というファイル名なので、12345_ctrl.okであれば「12345」が受付番号</t>
    <rPh sb="1" eb="3">
      <t>ウケツケ</t>
    </rPh>
    <rPh sb="3" eb="5">
      <t>バンゴウ</t>
    </rPh>
    <rPh sb="21" eb="22">
      <t>メイ</t>
    </rPh>
    <rPh sb="51" eb="53">
      <t>ウケツケ</t>
    </rPh>
    <rPh sb="53" eb="55">
      <t>バンゴウ</t>
    </rPh>
    <phoneticPr fontId="6"/>
  </si>
  <si>
    <t>「処理中」「処理済」以外（つまり未処理状態）の受付番号の昇順で取得する。</t>
    <rPh sb="1" eb="4">
      <t>ショリチュウ</t>
    </rPh>
    <rPh sb="6" eb="8">
      <t>ショリ</t>
    </rPh>
    <rPh sb="8" eb="9">
      <t>ズ</t>
    </rPh>
    <rPh sb="10" eb="12">
      <t>イガイ</t>
    </rPh>
    <rPh sb="16" eb="19">
      <t>ミショリ</t>
    </rPh>
    <rPh sb="19" eb="21">
      <t>ジョウタイ</t>
    </rPh>
    <rPh sb="23" eb="25">
      <t>ウケツケ</t>
    </rPh>
    <rPh sb="25" eb="27">
      <t>バンゴウ</t>
    </rPh>
    <rPh sb="28" eb="30">
      <t>ショウジュン</t>
    </rPh>
    <rPh sb="31" eb="33">
      <t>シュトク</t>
    </rPh>
    <phoneticPr fontId="6"/>
  </si>
  <si>
    <t>例）</t>
    <rPh sb="0" eb="1">
      <t>レイ</t>
    </rPh>
    <phoneticPr fontId="6"/>
  </si>
  <si>
    <t>01_ctrl.ok（処理済）、02_ctrl.ok（処理中）、03_ctrl.ok（未処理）、04_ctrl.ok（未処理）、</t>
    <rPh sb="11" eb="13">
      <t>ショリ</t>
    </rPh>
    <rPh sb="13" eb="14">
      <t>ズ</t>
    </rPh>
    <rPh sb="27" eb="29">
      <t>ショリ</t>
    </rPh>
    <rPh sb="29" eb="30">
      <t>チュウ</t>
    </rPh>
    <rPh sb="43" eb="46">
      <t>ミショリ</t>
    </rPh>
    <rPh sb="59" eb="62">
      <t>ミショリ</t>
    </rPh>
    <phoneticPr fontId="6"/>
  </si>
  <si>
    <t>05_ctrl.ok（未処理）というファイルが存在して、並行処理可能数が2の場合</t>
    <rPh sb="38" eb="40">
      <t>バアイ</t>
    </rPh>
    <phoneticPr fontId="6"/>
  </si>
  <si>
    <t>ZIPファイルのファイル名は「受付番号.zip」。</t>
    <rPh sb="12" eb="13">
      <t>メイ</t>
    </rPh>
    <rPh sb="15" eb="17">
      <t>ウケツケ</t>
    </rPh>
    <rPh sb="17" eb="19">
      <t>バンゴウ</t>
    </rPh>
    <phoneticPr fontId="6"/>
  </si>
  <si>
    <t>1-6</t>
    <phoneticPr fontId="6"/>
  </si>
  <si>
    <t>環境証明書申請の当該申請に対する申請ステータスを「処理中」から「処理済」に更新する。</t>
    <rPh sb="0" eb="2">
      <t>カンキョウ</t>
    </rPh>
    <rPh sb="2" eb="5">
      <t>ショウメイショ</t>
    </rPh>
    <rPh sb="5" eb="7">
      <t>シンセイ</t>
    </rPh>
    <rPh sb="10" eb="12">
      <t>シンセイ</t>
    </rPh>
    <rPh sb="13" eb="14">
      <t>タイ</t>
    </rPh>
    <rPh sb="16" eb="18">
      <t>シンセイ</t>
    </rPh>
    <rPh sb="25" eb="27">
      <t>ショリ</t>
    </rPh>
    <rPh sb="27" eb="28">
      <t>チュウ</t>
    </rPh>
    <rPh sb="32" eb="34">
      <t>ショリ</t>
    </rPh>
    <rPh sb="34" eb="35">
      <t>スミ</t>
    </rPh>
    <rPh sb="37" eb="39">
      <t>コウシン</t>
    </rPh>
    <phoneticPr fontId="6"/>
  </si>
  <si>
    <t>本処理以降は1-3で確定した並行処理可能数分、申請ごとに並行で実行する。</t>
    <rPh sb="0" eb="1">
      <t>ホン</t>
    </rPh>
    <rPh sb="1" eb="3">
      <t>ショリ</t>
    </rPh>
    <rPh sb="3" eb="5">
      <t>イコウ</t>
    </rPh>
    <rPh sb="10" eb="12">
      <t>カクテイ</t>
    </rPh>
    <rPh sb="14" eb="16">
      <t>ヘイコウ</t>
    </rPh>
    <rPh sb="16" eb="18">
      <t>ショリ</t>
    </rPh>
    <rPh sb="18" eb="20">
      <t>カノウ</t>
    </rPh>
    <rPh sb="20" eb="21">
      <t>スウ</t>
    </rPh>
    <rPh sb="21" eb="22">
      <t>ブン</t>
    </rPh>
    <rPh sb="23" eb="25">
      <t>シンセイ</t>
    </rPh>
    <rPh sb="28" eb="30">
      <t>ヘイコウ</t>
    </rPh>
    <rPh sb="31" eb="33">
      <t>ジッコウ</t>
    </rPh>
    <phoneticPr fontId="6"/>
  </si>
  <si>
    <t>申請者に対して証明書が完了した旨を、メール送信にて通知する。</t>
    <rPh sb="0" eb="3">
      <t>シンセイシャ</t>
    </rPh>
    <rPh sb="4" eb="5">
      <t>タイ</t>
    </rPh>
    <rPh sb="7" eb="10">
      <t>ショウメイショ</t>
    </rPh>
    <rPh sb="11" eb="13">
      <t>カンリョウ</t>
    </rPh>
    <rPh sb="15" eb="16">
      <t>ムネ</t>
    </rPh>
    <rPh sb="25" eb="27">
      <t>ツウチ</t>
    </rPh>
    <phoneticPr fontId="6"/>
  </si>
  <si>
    <t>送信するメールアドレスは環境証明書申請の申請者と会員を紐づけて取得する。</t>
    <rPh sb="0" eb="2">
      <t>ソウシン</t>
    </rPh>
    <rPh sb="12" eb="14">
      <t>カンキョウ</t>
    </rPh>
    <rPh sb="14" eb="17">
      <t>ショウメイショ</t>
    </rPh>
    <rPh sb="17" eb="19">
      <t>シンセイ</t>
    </rPh>
    <rPh sb="20" eb="23">
      <t>シンセイシャ</t>
    </rPh>
    <rPh sb="24" eb="26">
      <t>カイイン</t>
    </rPh>
    <rPh sb="27" eb="28">
      <t>ヒモ</t>
    </rPh>
    <rPh sb="31" eb="33">
      <t>シュトク</t>
    </rPh>
    <phoneticPr fontId="6"/>
  </si>
  <si>
    <t>・グリーンマイスターに申請した証明書を取り込む処理
・1処理内で取り込む証明書ファイルはバッチ起動時に与えたパラメータ数分並行して取込み処理を行う。
　バッチ起動時、処理中の件数を取得して並行処理上限数から減算してその数分の取込み処理を行う。</t>
    <rPh sb="83" eb="86">
      <t>ショリチュウ</t>
    </rPh>
    <rPh sb="90" eb="92">
      <t>シュトク</t>
    </rPh>
    <phoneticPr fontId="6"/>
  </si>
  <si>
    <t>JSOL鈴木</t>
    <rPh sb="4" eb="6">
      <t>スズキ</t>
    </rPh>
    <phoneticPr fontId="6"/>
  </si>
  <si>
    <t>全体的に見直し</t>
    <rPh sb="0" eb="3">
      <t>ゼンタイテキ</t>
    </rPh>
    <rPh sb="4" eb="6">
      <t>ミナオ</t>
    </rPh>
    <phoneticPr fontId="6"/>
  </si>
  <si>
    <t>申請のあった化学物質データ申請（環境証明書）を受付番号単位にグリーンマイスターから取得するバッチ処理</t>
    <rPh sb="0" eb="2">
      <t>シンセイ</t>
    </rPh>
    <rPh sb="16" eb="18">
      <t>カンキョウ</t>
    </rPh>
    <rPh sb="18" eb="21">
      <t>ショウメイショ</t>
    </rPh>
    <rPh sb="23" eb="25">
      <t>ウケツケ</t>
    </rPh>
    <rPh sb="25" eb="27">
      <t>バンゴウ</t>
    </rPh>
    <rPh sb="27" eb="29">
      <t>タンイ</t>
    </rPh>
    <rPh sb="41" eb="43">
      <t>シュトク</t>
    </rPh>
    <rPh sb="48" eb="50">
      <t>ショリ</t>
    </rPh>
    <phoneticPr fontId="6"/>
  </si>
  <si>
    <t>環境証明書取込みバッチ</t>
  </si>
  <si>
    <t>環境証明書取込みバッチ</t>
    <phoneticPr fontId="6"/>
  </si>
  <si>
    <t>環境証明書取込みバッチ</t>
    <phoneticPr fontId="6"/>
  </si>
  <si>
    <t>JSOL王</t>
    <rPh sb="4" eb="5">
      <t>オウ</t>
    </rPh>
    <phoneticPr fontId="6"/>
  </si>
  <si>
    <t>処理詳細</t>
    <rPh sb="0" eb="4">
      <t>ショリショウサイ</t>
    </rPh>
    <phoneticPr fontId="6"/>
  </si>
  <si>
    <t>処理詳細</t>
    <rPh sb="0" eb="2">
      <t>ショリ</t>
    </rPh>
    <rPh sb="2" eb="4">
      <t>ショウサイ</t>
    </rPh>
    <phoneticPr fontId="6"/>
  </si>
  <si>
    <t>Ａ－１．環境証明書申請「処理中」件数取得</t>
    <rPh sb="4" eb="6">
      <t>カンキョウ</t>
    </rPh>
    <rPh sb="6" eb="9">
      <t>ショウメイショ</t>
    </rPh>
    <rPh sb="9" eb="11">
      <t>シンセイ</t>
    </rPh>
    <rPh sb="12" eb="15">
      <t>ショリチュウ</t>
    </rPh>
    <rPh sb="16" eb="18">
      <t>ケンスウ</t>
    </rPh>
    <rPh sb="18" eb="20">
      <t>シュトク</t>
    </rPh>
    <phoneticPr fontId="6"/>
  </si>
  <si>
    <t>参照TYPE</t>
    <phoneticPr fontId="40"/>
  </si>
  <si>
    <t>抽出条件</t>
    <rPh sb="0" eb="2">
      <t>チュウシュツ</t>
    </rPh>
    <rPh sb="2" eb="4">
      <t>ジョウケン</t>
    </rPh>
    <phoneticPr fontId="40"/>
  </si>
  <si>
    <t>環境証明書申請「処理中」件数取得対象を以下から特定し、取得する。</t>
    <rPh sb="0" eb="2">
      <t>カンキョウ</t>
    </rPh>
    <rPh sb="2" eb="5">
      <t>ショウメイショ</t>
    </rPh>
    <rPh sb="5" eb="7">
      <t>シンセイ</t>
    </rPh>
    <rPh sb="8" eb="11">
      <t>ショリチュウ</t>
    </rPh>
    <rPh sb="12" eb="14">
      <t>ケンスウ</t>
    </rPh>
    <rPh sb="14" eb="16">
      <t>シュトク</t>
    </rPh>
    <rPh sb="16" eb="18">
      <t>タイショウ</t>
    </rPh>
    <rPh sb="19" eb="21">
      <t>イカ</t>
    </rPh>
    <rPh sb="23" eb="25">
      <t>トクテイ</t>
    </rPh>
    <rPh sb="27" eb="29">
      <t>シュトク</t>
    </rPh>
    <phoneticPr fontId="6"/>
  </si>
  <si>
    <t>HrsChemicalSubstance</t>
  </si>
  <si>
    <t>HrsChemicalSubstance.status＝Processing（処理中）</t>
    <phoneticPr fontId="6"/>
  </si>
  <si>
    <t>※詳細は「処理詳細」シートのＡ－１．環境証明書申請「処理中」件数取得　を参照する。</t>
    <rPh sb="1" eb="3">
      <t>ショウサイ</t>
    </rPh>
    <rPh sb="5" eb="7">
      <t>ショリ</t>
    </rPh>
    <rPh sb="7" eb="9">
      <t>ショウサイ</t>
    </rPh>
    <rPh sb="36" eb="38">
      <t>サンショウ</t>
    </rPh>
    <phoneticPr fontId="6"/>
  </si>
  <si>
    <t>上記の処理で取得した結果は処理中の件数となる。</t>
    <rPh sb="0" eb="2">
      <t>ジョウキ</t>
    </rPh>
    <rPh sb="3" eb="5">
      <t>ショリ</t>
    </rPh>
    <rPh sb="6" eb="8">
      <t>シュトク</t>
    </rPh>
    <rPh sb="10" eb="12">
      <t>ケッカ</t>
    </rPh>
    <rPh sb="13" eb="15">
      <t>ショリ</t>
    </rPh>
    <rPh sb="15" eb="16">
      <t>チュウ</t>
    </rPh>
    <rPh sb="17" eb="19">
      <t>ケンスウ</t>
    </rPh>
    <phoneticPr fontId="6"/>
  </si>
  <si>
    <t>入力元で、存在するファイル名から取得した受付番号を指定すること。</t>
    <phoneticPr fontId="6"/>
  </si>
  <si>
    <t>出力編集仕様</t>
    <rPh sb="0" eb="2">
      <t>シュツリョク</t>
    </rPh>
    <rPh sb="2" eb="4">
      <t>ヘンシュウ</t>
    </rPh>
    <rPh sb="4" eb="6">
      <t>シヨウ</t>
    </rPh>
    <phoneticPr fontId="6"/>
  </si>
  <si>
    <t>説明</t>
    <rPh sb="0" eb="2">
      <t>セツメイ</t>
    </rPh>
    <phoneticPr fontId="6"/>
  </si>
  <si>
    <t>修飾子</t>
    <rPh sb="0" eb="3">
      <t>シュウショクシ</t>
    </rPh>
    <phoneticPr fontId="40"/>
  </si>
  <si>
    <t>タイプ</t>
    <phoneticPr fontId="6"/>
  </si>
  <si>
    <t>No</t>
    <phoneticPr fontId="40"/>
  </si>
  <si>
    <t>UPDATE</t>
    <phoneticPr fontId="40"/>
  </si>
  <si>
    <t>HrsChemicalSubstance</t>
    <phoneticPr fontId="40"/>
  </si>
  <si>
    <t>status</t>
    <phoneticPr fontId="6"/>
  </si>
  <si>
    <t>処理済（ChemicalSubstanceStatus.Processed）</t>
    <phoneticPr fontId="6"/>
  </si>
  <si>
    <t>※詳細は「SEML020 環境証明書取込完了メール」　を参照する。</t>
    <rPh sb="1" eb="3">
      <t>ショウサイ</t>
    </rPh>
    <rPh sb="28" eb="30">
      <t>サンショウ</t>
    </rPh>
    <phoneticPr fontId="6"/>
  </si>
  <si>
    <t>環境証明書取込みバッチ</t>
    <phoneticPr fontId="6"/>
  </si>
  <si>
    <t>03_ctrl.okを取得する。（処理中のものは一つ存在するため）</t>
    <rPh sb="11" eb="13">
      <t>シュトク</t>
    </rPh>
    <rPh sb="17" eb="20">
      <t>ショリチュウ</t>
    </rPh>
    <rPh sb="24" eb="25">
      <t>ヒト</t>
    </rPh>
    <rPh sb="26" eb="28">
      <t>ソンザイ</t>
    </rPh>
    <phoneticPr fontId="6"/>
  </si>
  <si>
    <t>・</t>
  </si>
  <si>
    <t>・</t>
    <phoneticPr fontId="6"/>
  </si>
  <si>
    <t>・</t>
    <phoneticPr fontId="6"/>
  </si>
  <si>
    <t>◆取得した回答用制御ファイルに対応する申請番号のステータスを「未処理」から「処理中」に更新する。</t>
    <rPh sb="15" eb="17">
      <t>タイオウ</t>
    </rPh>
    <rPh sb="19" eb="21">
      <t>シンセイ</t>
    </rPh>
    <rPh sb="21" eb="23">
      <t>バンゴウ</t>
    </rPh>
    <rPh sb="31" eb="34">
      <t>ミショリ</t>
    </rPh>
    <rPh sb="38" eb="40">
      <t>ショリ</t>
    </rPh>
    <rPh sb="40" eb="41">
      <t>チュウ</t>
    </rPh>
    <rPh sb="43" eb="45">
      <t>コウシン</t>
    </rPh>
    <phoneticPr fontId="6"/>
  </si>
  <si>
    <t>※詳細は「処理詳細」シートのB－１．申請ステータス更新（未処理→処理中）　を参照する。</t>
    <rPh sb="1" eb="3">
      <t>ショウサイ</t>
    </rPh>
    <rPh sb="5" eb="7">
      <t>ショリ</t>
    </rPh>
    <rPh sb="7" eb="9">
      <t>ショウサイ</t>
    </rPh>
    <rPh sb="28" eb="31">
      <t>ミショリ</t>
    </rPh>
    <rPh sb="32" eb="35">
      <t>ショリチュウ</t>
    </rPh>
    <rPh sb="38" eb="40">
      <t>サンショウ</t>
    </rPh>
    <phoneticPr fontId="6"/>
  </si>
  <si>
    <t>バッチ起動パラメータから並行処理上限数を取得する。</t>
  </si>
  <si>
    <t>◆B－１－１．残りの並行処理可能数の確定</t>
    <rPh sb="7" eb="8">
      <t>ノコ</t>
    </rPh>
    <rPh sb="10" eb="14">
      <t>ヘイコウショリ</t>
    </rPh>
    <rPh sb="14" eb="16">
      <t>カノウ</t>
    </rPh>
    <rPh sb="16" eb="17">
      <t>スウ</t>
    </rPh>
    <rPh sb="18" eb="20">
      <t>カクテイ</t>
    </rPh>
    <phoneticPr fontId="6"/>
  </si>
  <si>
    <t>並行処理上限数　－　処理中の件数　を計算し、並行処理可能数とする。</t>
  </si>
  <si>
    <t>・</t>
    <phoneticPr fontId="6"/>
  </si>
  <si>
    <t>HrsChemicalSubstance.status＝Unprocessed（未処理）</t>
    <rPh sb="40" eb="41">
      <t>ミ</t>
    </rPh>
    <phoneticPr fontId="6"/>
  </si>
  <si>
    <t>AND　HrsChemicalSubstance.appNo＝【1-1】で取得した受付番号</t>
    <phoneticPr fontId="6"/>
  </si>
  <si>
    <t>◆B－１－２．申請ステータス更新対象の特定</t>
    <rPh sb="7" eb="9">
      <t>シンセイ</t>
    </rPh>
    <rPh sb="14" eb="16">
      <t>コウシン</t>
    </rPh>
    <rPh sb="16" eb="18">
      <t>タイショウ</t>
    </rPh>
    <rPh sb="19" eb="21">
      <t>トクテイ</t>
    </rPh>
    <phoneticPr fontId="6"/>
  </si>
  <si>
    <t>B－１－２－１．「バッチ機能定義」の【1-1】で取得した受付番号の内、「未処理」のものを対象として取得する。</t>
    <rPh sb="12" eb="14">
      <t>キノウ</t>
    </rPh>
    <rPh sb="14" eb="16">
      <t>テイギ</t>
    </rPh>
    <rPh sb="36" eb="39">
      <t>ミショリ</t>
    </rPh>
    <rPh sb="49" eb="51">
      <t>シュトク</t>
    </rPh>
    <phoneticPr fontId="6"/>
  </si>
  <si>
    <t>「B－１－２－１．」で取得した受付番号を昇順で取得する。また、取得する件数は「B－１－１．」で取得した可能数となる。</t>
    <rPh sb="11" eb="13">
      <t>シュトク</t>
    </rPh>
    <rPh sb="31" eb="33">
      <t>シュトク</t>
    </rPh>
    <rPh sb="35" eb="37">
      <t>ケンスウ</t>
    </rPh>
    <phoneticPr fontId="6"/>
  </si>
  <si>
    <t>◆B－１－３．申請ステータスの更新</t>
    <rPh sb="7" eb="9">
      <t>シンセイ</t>
    </rPh>
    <rPh sb="15" eb="17">
      <t>コウシン</t>
    </rPh>
    <phoneticPr fontId="6"/>
  </si>
  <si>
    <t>「B－１－２．申請ステータス更新対象の特定」で取得した受付番号を対象として更新する</t>
    <rPh sb="23" eb="25">
      <t>シュトク</t>
    </rPh>
    <rPh sb="27" eb="31">
      <t>ウケツケバンゴウ</t>
    </rPh>
    <rPh sb="32" eb="34">
      <t>タイショウ</t>
    </rPh>
    <rPh sb="37" eb="39">
      <t>コウシン</t>
    </rPh>
    <phoneticPr fontId="6"/>
  </si>
  <si>
    <t>出力編集仕様シート：申請ステータス更新（未処理→処理中）　を実施</t>
    <rPh sb="0" eb="2">
      <t>シュツリョク</t>
    </rPh>
    <rPh sb="2" eb="4">
      <t>ヘンシュウ</t>
    </rPh>
    <rPh sb="4" eb="6">
      <t>シヨウ</t>
    </rPh>
    <rPh sb="10" eb="12">
      <t>シンセイ</t>
    </rPh>
    <rPh sb="17" eb="19">
      <t>コウシン</t>
    </rPh>
    <rPh sb="20" eb="23">
      <t>ミショリ</t>
    </rPh>
    <rPh sb="24" eb="27">
      <t>ショリチュウ</t>
    </rPh>
    <rPh sb="30" eb="32">
      <t>ジッシ</t>
    </rPh>
    <phoneticPr fontId="6"/>
  </si>
  <si>
    <t>B－１．申請ステータス更新（未処理→処理中）</t>
    <phoneticPr fontId="6"/>
  </si>
  <si>
    <t>申請ステータス更新（未処理→処理中）</t>
    <rPh sb="0" eb="2">
      <t>シンセイ</t>
    </rPh>
    <rPh sb="7" eb="9">
      <t>コウシン</t>
    </rPh>
    <rPh sb="10" eb="13">
      <t>ミショリ</t>
    </rPh>
    <rPh sb="14" eb="17">
      <t>ショリチュウ</t>
    </rPh>
    <phoneticPr fontId="40"/>
  </si>
  <si>
    <t>処理中（ChemicalSubstanceStatus.Processing）</t>
    <rPh sb="2" eb="3">
      <t>チュウ</t>
    </rPh>
    <phoneticPr fontId="6"/>
  </si>
  <si>
    <t>更新キー：HrsChemicalSubstance.PK＝処理詳細シートの「B－１－２．申請ステータス更新対象の特定」で取得したレコード.PK</t>
    <rPh sb="29" eb="31">
      <t>ショリ</t>
    </rPh>
    <rPh sb="31" eb="33">
      <t>ショウサイ</t>
    </rPh>
    <rPh sb="60" eb="62">
      <t>シュトク</t>
    </rPh>
    <phoneticPr fontId="6"/>
  </si>
  <si>
    <t>出力編集仕様</t>
    <rPh sb="0" eb="6">
      <t>シュツリョクヘンシュウシヨウ</t>
    </rPh>
    <phoneticPr fontId="6"/>
  </si>
  <si>
    <t>C－１．申請ステータス更新（処理中→処理済）</t>
    <rPh sb="20" eb="21">
      <t>ズ</t>
    </rPh>
    <phoneticPr fontId="6"/>
  </si>
  <si>
    <t>※詳細は「処理詳細」シートのC－１．申請ステータス更新（処理中→処理済）　を参照する。</t>
    <rPh sb="1" eb="3">
      <t>ショウサイ</t>
    </rPh>
    <rPh sb="5" eb="7">
      <t>ショリ</t>
    </rPh>
    <rPh sb="7" eb="9">
      <t>ショウサイ</t>
    </rPh>
    <rPh sb="38" eb="40">
      <t>サンショウ</t>
    </rPh>
    <phoneticPr fontId="6"/>
  </si>
  <si>
    <t>「B－１－２．申請ステータス更新対象の特定」で取得した結果を対象として更新する</t>
    <rPh sb="23" eb="25">
      <t>シュトク</t>
    </rPh>
    <rPh sb="27" eb="29">
      <t>ケッカ</t>
    </rPh>
    <rPh sb="30" eb="32">
      <t>タイショウ</t>
    </rPh>
    <rPh sb="35" eb="37">
      <t>コウシン</t>
    </rPh>
    <phoneticPr fontId="6"/>
  </si>
  <si>
    <t>出力編集仕様シート：申請ステータス更新（処理中→処理済）　を実施</t>
    <rPh sb="0" eb="2">
      <t>シュツリョク</t>
    </rPh>
    <rPh sb="2" eb="4">
      <t>ヘンシュウ</t>
    </rPh>
    <rPh sb="4" eb="6">
      <t>シヨウ</t>
    </rPh>
    <rPh sb="30" eb="32">
      <t>ジッシ</t>
    </rPh>
    <phoneticPr fontId="6"/>
  </si>
  <si>
    <t>※当該処理は異常が発生する場合、本バッチの【共通機能　異常処理】を行う。</t>
    <rPh sb="1" eb="3">
      <t>トウガイ</t>
    </rPh>
    <rPh sb="3" eb="5">
      <t>ショリ</t>
    </rPh>
    <rPh sb="6" eb="8">
      <t>イジョウ</t>
    </rPh>
    <rPh sb="9" eb="11">
      <t>ハッセイ</t>
    </rPh>
    <rPh sb="13" eb="15">
      <t>バアイ</t>
    </rPh>
    <rPh sb="16" eb="17">
      <t>ホン</t>
    </rPh>
    <rPh sb="22" eb="26">
      <t>キョウツウキノウ</t>
    </rPh>
    <rPh sb="27" eb="29">
      <t>イジョウ</t>
    </rPh>
    <rPh sb="29" eb="31">
      <t>ショリ</t>
    </rPh>
    <rPh sb="33" eb="34">
      <t>オコナ</t>
    </rPh>
    <phoneticPr fontId="6"/>
  </si>
  <si>
    <t>◆　対象する申請番号のステータスを「未処理」に更新する。</t>
    <rPh sb="2" eb="4">
      <t>タイショウ</t>
    </rPh>
    <rPh sb="6" eb="8">
      <t>シンセイ</t>
    </rPh>
    <rPh sb="8" eb="10">
      <t>バンゴウ</t>
    </rPh>
    <rPh sb="18" eb="21">
      <t>ミショリ</t>
    </rPh>
    <rPh sb="23" eb="25">
      <t>コウシン</t>
    </rPh>
    <phoneticPr fontId="6"/>
  </si>
  <si>
    <t>◆　エラーが発生した処理の後続処理をスキップする。</t>
    <rPh sb="6" eb="8">
      <t>ハッセイ</t>
    </rPh>
    <rPh sb="10" eb="12">
      <t>ショリ</t>
    </rPh>
    <rPh sb="13" eb="15">
      <t>コウゾク</t>
    </rPh>
    <rPh sb="15" eb="17">
      <t>ショリ</t>
    </rPh>
    <phoneticPr fontId="6"/>
  </si>
  <si>
    <t>DBに関する動作やファイルのコピーやファイルの削除などの機能で例外が発生した場合には、以下の処理を行う。</t>
    <rPh sb="3" eb="4">
      <t>カン</t>
    </rPh>
    <rPh sb="6" eb="8">
      <t>ドウサ</t>
    </rPh>
    <rPh sb="23" eb="25">
      <t>サクジョ</t>
    </rPh>
    <rPh sb="28" eb="30">
      <t>キノウ</t>
    </rPh>
    <rPh sb="31" eb="33">
      <t>レイガイ</t>
    </rPh>
    <rPh sb="34" eb="36">
      <t>ハッセイ</t>
    </rPh>
    <rPh sb="38" eb="40">
      <t>バアイ</t>
    </rPh>
    <rPh sb="43" eb="45">
      <t>イカ</t>
    </rPh>
    <rPh sb="46" eb="48">
      <t>ショリ</t>
    </rPh>
    <rPh sb="49" eb="50">
      <t>オコナ</t>
    </rPh>
    <phoneticPr fontId="6"/>
  </si>
  <si>
    <t>D－１．申請ステータス更新（異常処理）</t>
    <rPh sb="14" eb="16">
      <t>イジョウ</t>
    </rPh>
    <rPh sb="16" eb="18">
      <t>ショリ</t>
    </rPh>
    <phoneticPr fontId="6"/>
  </si>
  <si>
    <t>例外が発生した場合、当該の例外に対する申請番号を対象として更新する</t>
    <rPh sb="0" eb="2">
      <t>レイガイ</t>
    </rPh>
    <rPh sb="3" eb="5">
      <t>ハッセイ</t>
    </rPh>
    <rPh sb="7" eb="9">
      <t>バアイ</t>
    </rPh>
    <rPh sb="10" eb="12">
      <t>トウガイ</t>
    </rPh>
    <rPh sb="13" eb="15">
      <t>レイガイ</t>
    </rPh>
    <rPh sb="16" eb="17">
      <t>タイ</t>
    </rPh>
    <rPh sb="19" eb="21">
      <t>シンセイ</t>
    </rPh>
    <rPh sb="21" eb="23">
      <t>バンゴウ</t>
    </rPh>
    <rPh sb="24" eb="26">
      <t>タイショウ</t>
    </rPh>
    <rPh sb="29" eb="31">
      <t>コウシン</t>
    </rPh>
    <phoneticPr fontId="6"/>
  </si>
  <si>
    <t>出力編集仕様シート：申請ステータス更新（異常処理）　を実施</t>
    <rPh sb="0" eb="2">
      <t>シュツリョク</t>
    </rPh>
    <rPh sb="2" eb="4">
      <t>ヘンシュウ</t>
    </rPh>
    <rPh sb="4" eb="6">
      <t>シヨウ</t>
    </rPh>
    <rPh sb="27" eb="29">
      <t>ジッシ</t>
    </rPh>
    <phoneticPr fontId="6"/>
  </si>
  <si>
    <t>未処理（ChemicalSubstanceStatus.Unprocessed）</t>
    <rPh sb="0" eb="3">
      <t>ミショリ</t>
    </rPh>
    <phoneticPr fontId="6"/>
  </si>
  <si>
    <t xml:space="preserve">  ※詳細は「処理詳細」シートのD－１．申請ステータス更新（異常処理）を参照する</t>
    <phoneticPr fontId="6"/>
  </si>
  <si>
    <t>【共通機能　異常処理】</t>
    <phoneticPr fontId="6"/>
  </si>
  <si>
    <t>更新キー：HrsChemicalSubstance.PK＝処理詳細シートの「【共通機能　異常処理】」で取得したレコード.PK</t>
    <rPh sb="29" eb="31">
      <t>ショリ</t>
    </rPh>
    <rPh sb="31" eb="33">
      <t>ショウサイ</t>
    </rPh>
    <rPh sb="51" eb="53">
      <t>シュトク</t>
    </rPh>
    <phoneticPr fontId="6"/>
  </si>
  <si>
    <r>
      <t>申請ステータス更新（処理中→</t>
    </r>
    <r>
      <rPr>
        <sz val="11"/>
        <color rgb="FFFF0000"/>
        <rFont val="Meiryo UI"/>
        <family val="3"/>
        <charset val="128"/>
      </rPr>
      <t>未処理</t>
    </r>
    <r>
      <rPr>
        <sz val="11"/>
        <rFont val="Meiryo UI"/>
        <family val="3"/>
        <charset val="128"/>
      </rPr>
      <t>）</t>
    </r>
    <phoneticPr fontId="40"/>
  </si>
  <si>
    <r>
      <t xml:space="preserve">AND　HrsChemicalSubstance.appNo </t>
    </r>
    <r>
      <rPr>
        <sz val="11"/>
        <color rgb="FFFF0000"/>
        <rFont val="Meiryo UI"/>
        <family val="3"/>
        <charset val="128"/>
      </rPr>
      <t>in</t>
    </r>
    <r>
      <rPr>
        <sz val="11"/>
        <rFont val="Meiryo UI"/>
        <family val="3"/>
        <charset val="128"/>
      </rPr>
      <t xml:space="preserve"> {存在するファイル名から取得した受付番号}</t>
    </r>
    <rPh sb="46" eb="48">
      <t>シュトク</t>
    </rPh>
    <phoneticPr fontId="6"/>
  </si>
  <si>
    <t>◆　エラー発生する場所でエラーレベルと対応するエラーの内容のログを出力する。</t>
    <rPh sb="5" eb="7">
      <t>ハッセイ</t>
    </rPh>
    <rPh sb="9" eb="11">
      <t>バショ</t>
    </rPh>
    <rPh sb="19" eb="21">
      <t>タイオウ</t>
    </rPh>
    <rPh sb="27" eb="29">
      <t>ナイヨウ</t>
    </rPh>
    <rPh sb="33" eb="35">
      <t>シュツリョク</t>
    </rPh>
    <phoneticPr fontId="6"/>
  </si>
  <si>
    <t>1-7</t>
    <phoneticPr fontId="6"/>
  </si>
  <si>
    <t>※キー情報である申請番号を必ず出力すること</t>
    <rPh sb="3" eb="5">
      <t>ジョウホウ</t>
    </rPh>
    <rPh sb="8" eb="10">
      <t>シンセイ</t>
    </rPh>
    <rPh sb="10" eb="12">
      <t>バンゴウ</t>
    </rPh>
    <rPh sb="13" eb="14">
      <t>カナラ</t>
    </rPh>
    <rPh sb="15" eb="17">
      <t>シュツリョク</t>
    </rPh>
    <phoneticPr fontId="6"/>
  </si>
  <si>
    <t>お客様指摘対応
・異常時に申請番号を出力するよう追記</t>
    <rPh sb="1" eb="3">
      <t>キャクサマ</t>
    </rPh>
    <rPh sb="3" eb="5">
      <t>シテキ</t>
    </rPh>
    <rPh sb="5" eb="7">
      <t>タイオウ</t>
    </rPh>
    <rPh sb="9" eb="11">
      <t>イジョウ</t>
    </rPh>
    <rPh sb="11" eb="12">
      <t>ジ</t>
    </rPh>
    <rPh sb="13" eb="15">
      <t>シンセイ</t>
    </rPh>
    <rPh sb="15" eb="17">
      <t>バンゴウ</t>
    </rPh>
    <rPh sb="18" eb="20">
      <t>シュツリョク</t>
    </rPh>
    <rPh sb="24" eb="26">
      <t>ツイキ</t>
    </rPh>
    <phoneticPr fontId="6"/>
  </si>
  <si>
    <t>downloadExpirationDate</t>
    <phoneticPr fontId="6"/>
  </si>
  <si>
    <t>現在日付 + 30日</t>
    <rPh sb="0" eb="2">
      <t>ゲンザイ</t>
    </rPh>
    <rPh sb="2" eb="4">
      <t>ヒヅケ</t>
    </rPh>
    <rPh sb="9" eb="10">
      <t>ヒ</t>
    </rPh>
    <phoneticPr fontId="6"/>
  </si>
  <si>
    <t>※30日はシステムマスタから取得する。</t>
    <rPh sb="3" eb="4">
      <t>ヒ</t>
    </rPh>
    <rPh sb="14" eb="16">
      <t>シュトク</t>
    </rPh>
    <phoneticPr fontId="6"/>
  </si>
  <si>
    <t>申請ステータス更新（処理中→処理済）</t>
    <phoneticPr fontId="40"/>
  </si>
  <si>
    <t>JSOL水本</t>
    <rPh sb="4" eb="6">
      <t>ミズモト</t>
    </rPh>
    <phoneticPr fontId="6"/>
  </si>
  <si>
    <t>申請ステータス更新（処理中→処理済）
ダウンロード有効期限日の設定を追加</t>
    <rPh sb="25" eb="29">
      <t>ユウコウキゲン</t>
    </rPh>
    <rPh sb="29" eb="30">
      <t>ビ</t>
    </rPh>
    <rPh sb="31" eb="33">
      <t>セッテイ</t>
    </rPh>
    <rPh sb="34" eb="36">
      <t>ツイカ</t>
    </rPh>
    <phoneticPr fontId="6"/>
  </si>
  <si>
    <t>ｸﾞﾘｰﾝﾏｲｽﾀｰ共有フォルダはS3であることを追記し、具体的なパス、及びパスの管理はシステムマスタで行う旨を追記
S3フォルダの具体的なパスと、パスの管理はシステムマスタで行う旨を追記</t>
    <rPh sb="66" eb="69">
      <t>グタイテキ</t>
    </rPh>
    <rPh sb="77" eb="79">
      <t>カンリ</t>
    </rPh>
    <rPh sb="88" eb="89">
      <t>オコナ</t>
    </rPh>
    <rPh sb="90" eb="91">
      <t>ムネ</t>
    </rPh>
    <rPh sb="92" eb="94">
      <t>ツイキ</t>
    </rPh>
    <phoneticPr fontId="6"/>
  </si>
  <si>
    <t>取得キーは、以下の通り。</t>
    <rPh sb="0" eb="2">
      <t>シュトク</t>
    </rPh>
    <rPh sb="6" eb="8">
      <t>イカ</t>
    </rPh>
    <rPh sb="9" eb="10">
      <t>トオ</t>
    </rPh>
    <phoneticPr fontId="6"/>
  </si>
  <si>
    <t>S3バケット</t>
    <phoneticPr fontId="6"/>
  </si>
  <si>
    <t>：</t>
    <phoneticPr fontId="6"/>
  </si>
  <si>
    <t>if.batch.aws.s3.gm.bucketName</t>
    <phoneticPr fontId="6"/>
  </si>
  <si>
    <t>フォルダパス</t>
    <phoneticPr fontId="6"/>
  </si>
  <si>
    <t>if.batch.aws.s3.directory.path.gm.receive.cert</t>
    <phoneticPr fontId="6"/>
  </si>
  <si>
    <t>パス：[S3バケット]/sys-interface/gm/rcv/cert</t>
    <phoneticPr fontId="40"/>
  </si>
  <si>
    <t>1.10</t>
    <phoneticPr fontId="6"/>
  </si>
  <si>
    <t>JSOL澤登</t>
    <rPh sb="4" eb="6">
      <t>サワノボリ</t>
    </rPh>
    <phoneticPr fontId="6"/>
  </si>
  <si>
    <t>バッチ機能定義</t>
    <rPh sb="3" eb="5">
      <t>キノウ</t>
    </rPh>
    <rPh sb="5" eb="7">
      <t>テイギ</t>
    </rPh>
    <phoneticPr fontId="6"/>
  </si>
  <si>
    <t>具体的なS3バケット名、フォルダパスの取得キーを記載</t>
    <rPh sb="0" eb="3">
      <t>グタイテキ</t>
    </rPh>
    <rPh sb="10" eb="11">
      <t>メイ</t>
    </rPh>
    <rPh sb="19" eb="21">
      <t>シュトク</t>
    </rPh>
    <rPh sb="24" eb="26">
      <t>キサイ</t>
    </rPh>
    <phoneticPr fontId="6"/>
  </si>
  <si>
    <t>ChemicalSubstanceDownloadCronJob</t>
    <phoneticPr fontId="6"/>
  </si>
  <si>
    <t>バッチ名を以下のように修正
IutputChemicalSubstanceDownloadCronJob
↓
ChemicalSubstanceDownloadCronJob</t>
    <rPh sb="3" eb="4">
      <t>メイ</t>
    </rPh>
    <rPh sb="5" eb="7">
      <t>イカ</t>
    </rPh>
    <rPh sb="11" eb="13">
      <t>シュウセイ</t>
    </rPh>
    <phoneticPr fontId="6"/>
  </si>
  <si>
    <t>JSOL小島</t>
    <rPh sb="4" eb="6">
      <t>コジマ</t>
    </rPh>
    <phoneticPr fontId="6"/>
  </si>
  <si>
    <t>1.11</t>
    <phoneticPr fontId="6"/>
  </si>
  <si>
    <t>バッチ機能定義</t>
    <rPh sb="3" eb="5">
      <t>キノウ</t>
    </rPh>
    <rPh sb="5" eb="7">
      <t>テイギ</t>
    </rPh>
    <phoneticPr fontId="6"/>
  </si>
  <si>
    <t>fileSize</t>
    <phoneticPr fontId="6"/>
  </si>
  <si>
    <t>folderCount</t>
    <phoneticPr fontId="6"/>
  </si>
  <si>
    <t>fileCount</t>
    <phoneticPr fontId="6"/>
  </si>
  <si>
    <t>ADDED 3962</t>
    <phoneticPr fontId="6"/>
  </si>
  <si>
    <t>1-4で取得した回答用制御ファイル.file_size</t>
    <rPh sb="4" eb="6">
      <t>シュトク</t>
    </rPh>
    <rPh sb="8" eb="10">
      <t>カイトウ</t>
    </rPh>
    <rPh sb="10" eb="11">
      <t>ヨウ</t>
    </rPh>
    <rPh sb="11" eb="13">
      <t>セイギョ</t>
    </rPh>
    <phoneticPr fontId="6"/>
  </si>
  <si>
    <t>1-4で取得した回答用制御ファイル.folder_count</t>
    <rPh sb="4" eb="6">
      <t>シュトク</t>
    </rPh>
    <rPh sb="8" eb="10">
      <t>カイトウ</t>
    </rPh>
    <rPh sb="10" eb="11">
      <t>ヨウ</t>
    </rPh>
    <rPh sb="11" eb="13">
      <t>セイギョ</t>
    </rPh>
    <phoneticPr fontId="6"/>
  </si>
  <si>
    <t>1-4で取得した回答用制御ファイル.file_count</t>
    <rPh sb="4" eb="6">
      <t>シュトク</t>
    </rPh>
    <rPh sb="8" eb="10">
      <t>カイトウ</t>
    </rPh>
    <rPh sb="10" eb="11">
      <t>ヨウ</t>
    </rPh>
    <rPh sb="11" eb="13">
      <t>セイギョ</t>
    </rPh>
    <phoneticPr fontId="6"/>
  </si>
  <si>
    <t>JSOL若林</t>
    <rPh sb="4" eb="6">
      <t>ワカバヤシ</t>
    </rPh>
    <phoneticPr fontId="6"/>
  </si>
  <si>
    <t>出力編集仕様</t>
    <rPh sb="0" eb="2">
      <t>シュツリョク</t>
    </rPh>
    <rPh sb="2" eb="4">
      <t>ヘンシュウ</t>
    </rPh>
    <rPh sb="4" eb="6">
      <t>シヨウ</t>
    </rPh>
    <phoneticPr fontId="6"/>
  </si>
  <si>
    <t>※回答用制御ファイルの詳細は、SEIF_ESWB030_インタフェース定義書_環境証明書制御ファイル連携.xlsxを参照</t>
    <rPh sb="1" eb="3">
      <t>カイトウ</t>
    </rPh>
    <rPh sb="3" eb="4">
      <t>ヨウ</t>
    </rPh>
    <rPh sb="4" eb="6">
      <t>セイギョ</t>
    </rPh>
    <rPh sb="11" eb="13">
      <t>ショウサイ</t>
    </rPh>
    <rPh sb="58" eb="60">
      <t>サンショウ</t>
    </rPh>
    <phoneticPr fontId="6"/>
  </si>
  <si>
    <t>HrsChemicalSubstance</t>
    <phoneticPr fontId="40"/>
  </si>
  <si>
    <t>HRS-3962
・回答用制御ファイルをもとに、HrsChemicalSubstanceにファイルサイズ、フォルダ数、ファイル名を更新する処理を追加。</t>
    <rPh sb="57" eb="58">
      <t>スウ</t>
    </rPh>
    <rPh sb="63" eb="64">
      <t>メイ</t>
    </rPh>
    <rPh sb="65" eb="67">
      <t>コウシン</t>
    </rPh>
    <rPh sb="69" eb="71">
      <t>ショリ</t>
    </rPh>
    <rPh sb="72" eb="74">
      <t>ツイカ</t>
    </rPh>
    <phoneticPr fontId="6"/>
  </si>
  <si>
    <t>◆　取込み中フォルダに対象の回答用制御ファイルが存在する場合、対応する制御ファイルを「受付番号_ctrl.ng」にリネームする</t>
    <rPh sb="2" eb="4">
      <t>トリコ</t>
    </rPh>
    <rPh sb="5" eb="6">
      <t>チュウ</t>
    </rPh>
    <rPh sb="11" eb="13">
      <t>タイショウ</t>
    </rPh>
    <rPh sb="14" eb="16">
      <t>カイトウ</t>
    </rPh>
    <rPh sb="16" eb="17">
      <t>ヨウ</t>
    </rPh>
    <rPh sb="17" eb="19">
      <t>セイギョ</t>
    </rPh>
    <rPh sb="24" eb="26">
      <t>ソンザイ</t>
    </rPh>
    <rPh sb="28" eb="30">
      <t>バアイ</t>
    </rPh>
    <rPh sb="31" eb="33">
      <t>タイオウ</t>
    </rPh>
    <rPh sb="35" eb="37">
      <t>セイギョ</t>
    </rPh>
    <phoneticPr fontId="6"/>
  </si>
  <si>
    <t>バッチ機能定義</t>
    <rPh sb="3" eb="5">
      <t>キノウ</t>
    </rPh>
    <rPh sb="5" eb="7">
      <t>テイギ</t>
    </rPh>
    <phoneticPr fontId="6"/>
  </si>
  <si>
    <t>JSOL池田</t>
    <rPh sb="4" eb="6">
      <t>イケダ</t>
    </rPh>
    <phoneticPr fontId="6"/>
  </si>
  <si>
    <t>1.12</t>
  </si>
  <si>
    <t>1.13</t>
  </si>
  <si>
    <t>【共通機能・異常処理】
・取込み中フォルダに対象の回答用制御ファイルが存在する場合、対応する制御ファイルを削除するのではなく、「受付番号_ctrl.ng」にリネームするよう修正。
・異常時にZipファイルを削除しないよう修正。</t>
    <rPh sb="1" eb="3">
      <t>キョウツウ</t>
    </rPh>
    <rPh sb="3" eb="5">
      <t>キノウ</t>
    </rPh>
    <rPh sb="6" eb="8">
      <t>イジョウ</t>
    </rPh>
    <rPh sb="8" eb="10">
      <t>ショリ</t>
    </rPh>
    <rPh sb="53" eb="55">
      <t>サクジョ</t>
    </rPh>
    <rPh sb="86" eb="88">
      <t>シュウセイ</t>
    </rPh>
    <rPh sb="91" eb="94">
      <t>イジョウジ</t>
    </rPh>
    <rPh sb="103" eb="105">
      <t>サクジョ</t>
    </rPh>
    <rPh sb="110" eb="112">
      <t>シュウセイ</t>
    </rPh>
    <phoneticPr fontId="6"/>
  </si>
  <si>
    <t>1-8</t>
    <phoneticPr fontId="6"/>
  </si>
  <si>
    <t>if.batch.aws.s3.directory.path.gm.backup.receive.cert</t>
    <phoneticPr fontId="6"/>
  </si>
  <si>
    <t>上記パスはlocal.propertiesから取得すること</t>
    <rPh sb="0" eb="2">
      <t>ジョウキ</t>
    </rPh>
    <rPh sb="23" eb="25">
      <t>シュトク</t>
    </rPh>
    <phoneticPr fontId="40"/>
  </si>
  <si>
    <t>※1-1の回答用制御ファイル取得には限界数があるため、退避することで正常に処理可能とする</t>
    <rPh sb="5" eb="7">
      <t>カイトウ</t>
    </rPh>
    <rPh sb="7" eb="8">
      <t>ヨウ</t>
    </rPh>
    <rPh sb="8" eb="10">
      <t>セイギョ</t>
    </rPh>
    <rPh sb="14" eb="16">
      <t>シュトク</t>
    </rPh>
    <rPh sb="18" eb="20">
      <t>ゲンカイ</t>
    </rPh>
    <rPh sb="20" eb="21">
      <t>スウ</t>
    </rPh>
    <rPh sb="27" eb="29">
      <t>タイヒ</t>
    </rPh>
    <rPh sb="34" eb="36">
      <t>セイジョウ</t>
    </rPh>
    <rPh sb="37" eb="39">
      <t>ショリ</t>
    </rPh>
    <rPh sb="39" eb="41">
      <t>カノウ</t>
    </rPh>
    <phoneticPr fontId="6"/>
  </si>
  <si>
    <t>1.14</t>
    <phoneticPr fontId="6"/>
  </si>
  <si>
    <t>JSOL神田</t>
    <rPh sb="4" eb="6">
      <t>カンダ</t>
    </rPh>
    <phoneticPr fontId="6"/>
  </si>
  <si>
    <t>コピー先：[S3バケット]/sys-interface/gm/data/rcv/cert</t>
    <rPh sb="3" eb="4">
      <t>サキ</t>
    </rPh>
    <phoneticPr fontId="6"/>
  </si>
  <si>
    <t>コピー完了後、取得元のフォルダからファイルを削除する。</t>
    <rPh sb="3" eb="5">
      <t>カンリョウ</t>
    </rPh>
    <rPh sb="5" eb="6">
      <t>アト</t>
    </rPh>
    <rPh sb="7" eb="9">
      <t>シュトク</t>
    </rPh>
    <rPh sb="9" eb="10">
      <t>モト</t>
    </rPh>
    <rPh sb="22" eb="24">
      <t>サクジョ</t>
    </rPh>
    <phoneticPr fontId="6"/>
  </si>
  <si>
    <t xml:space="preserve">As Is </t>
    <phoneticPr fontId="40"/>
  </si>
  <si>
    <t>To Be</t>
    <phoneticPr fontId="40"/>
  </si>
  <si>
    <t>ステータス更新</t>
    <rPh sb="5" eb="7">
      <t>コウシン</t>
    </rPh>
    <phoneticPr fontId="40"/>
  </si>
  <si>
    <t>ファイル</t>
  </si>
  <si>
    <t>ダウンロード</t>
    <phoneticPr fontId="40"/>
  </si>
  <si>
    <t>バックアップ</t>
  </si>
  <si>
    <t>統合Web：化学物質データ画面</t>
    <rPh sb="0" eb="2">
      <t>トウゴウ</t>
    </rPh>
    <rPh sb="13" eb="15">
      <t>ガメン</t>
    </rPh>
    <phoneticPr fontId="40"/>
  </si>
  <si>
    <t>ダウンロード</t>
  </si>
  <si>
    <t>1-4で取得した回答用制御ファイルと1-5で取得したZIPファイルをS3のデータ取込フォルダにコピーする。</t>
    <rPh sb="22" eb="24">
      <t>シュトク</t>
    </rPh>
    <rPh sb="40" eb="42">
      <t>トリコミ</t>
    </rPh>
    <phoneticPr fontId="6"/>
  </si>
  <si>
    <t>グリーンマイスター共有フォルダ（S3）に回答用制御ファイルが存在するか確認する。</t>
    <rPh sb="9" eb="11">
      <t>キョウユウ</t>
    </rPh>
    <rPh sb="20" eb="22">
      <t>カイトウ</t>
    </rPh>
    <rPh sb="22" eb="23">
      <t>ヨウ</t>
    </rPh>
    <rPh sb="23" eb="25">
      <t>セイギョ</t>
    </rPh>
    <rPh sb="30" eb="32">
      <t>ソンザイ</t>
    </rPh>
    <rPh sb="35" eb="37">
      <t>カクニン</t>
    </rPh>
    <phoneticPr fontId="6"/>
  </si>
  <si>
    <t>1-3で取得した並行処理可能数の回答用制御ファイルを、グリーンマイスター共有フォルダ（S3）から取得する。</t>
    <rPh sb="4" eb="6">
      <t>シュトク</t>
    </rPh>
    <rPh sb="8" eb="10">
      <t>ヘイコウ</t>
    </rPh>
    <rPh sb="10" eb="12">
      <t>ショリ</t>
    </rPh>
    <rPh sb="12" eb="14">
      <t>カノウ</t>
    </rPh>
    <rPh sb="14" eb="15">
      <t>スウ</t>
    </rPh>
    <rPh sb="16" eb="18">
      <t>カイトウ</t>
    </rPh>
    <rPh sb="18" eb="19">
      <t>ヨウ</t>
    </rPh>
    <rPh sb="19" eb="21">
      <t>セイギョ</t>
    </rPh>
    <rPh sb="36" eb="38">
      <t>キョウユウ</t>
    </rPh>
    <rPh sb="48" eb="50">
      <t>シュトク</t>
    </rPh>
    <phoneticPr fontId="6"/>
  </si>
  <si>
    <t>1-1で取得した受付番号の内、「処理中」「処理済」のものを対象外とする。</t>
    <rPh sb="4" eb="6">
      <t>シュトク</t>
    </rPh>
    <rPh sb="8" eb="10">
      <t>ウケツケ</t>
    </rPh>
    <rPh sb="10" eb="12">
      <t>バンゴウ</t>
    </rPh>
    <rPh sb="13" eb="14">
      <t>ウチ</t>
    </rPh>
    <rPh sb="16" eb="19">
      <t>ショリチュウ</t>
    </rPh>
    <rPh sb="21" eb="23">
      <t>ショリ</t>
    </rPh>
    <rPh sb="23" eb="24">
      <t>ズ</t>
    </rPh>
    <rPh sb="29" eb="32">
      <t>タイショウガイ</t>
    </rPh>
    <phoneticPr fontId="6"/>
  </si>
  <si>
    <t>1-4で取得した回答用制御ファイルに対応するZIPファイルをS3から取得する。</t>
    <rPh sb="4" eb="6">
      <t>シュトク</t>
    </rPh>
    <rPh sb="8" eb="10">
      <t>カイトウ</t>
    </rPh>
    <rPh sb="10" eb="11">
      <t>ヨウ</t>
    </rPh>
    <rPh sb="11" eb="13">
      <t>セイギョ</t>
    </rPh>
    <rPh sb="18" eb="20">
      <t>タイオウ</t>
    </rPh>
    <rPh sb="34" eb="36">
      <t>シュトク</t>
    </rPh>
    <phoneticPr fontId="6"/>
  </si>
  <si>
    <t>帳票一式ZIPファイル取得</t>
    <rPh sb="2" eb="4">
      <t>イッシキ</t>
    </rPh>
    <phoneticPr fontId="6"/>
  </si>
  <si>
    <t>申請ステータス更新</t>
    <rPh sb="0" eb="2">
      <t>シンセイ</t>
    </rPh>
    <phoneticPr fontId="6"/>
  </si>
  <si>
    <t>メール送信</t>
    <rPh sb="3" eb="5">
      <t>ソウシン</t>
    </rPh>
    <phoneticPr fontId="6"/>
  </si>
  <si>
    <t>ファイル移動</t>
    <rPh sb="4" eb="6">
      <t>イドウ</t>
    </rPh>
    <phoneticPr fontId="6"/>
  </si>
  <si>
    <t>【4S-2322：環境証明書ファイル退避処理追加】
・1-8に回答用制御ファイルとZIPファイルのデータフォルダ移動処理を追加。
・別シート「【参考】4S-2322_対応方法」を参考資料として追加
理由：回答用制御ファイル取得には限界数があるため、1-8にてファイル退避を追加</t>
    <rPh sb="9" eb="11">
      <t>カンキョウ</t>
    </rPh>
    <rPh sb="11" eb="14">
      <t>ショウメイショ</t>
    </rPh>
    <rPh sb="18" eb="20">
      <t>タイヒ</t>
    </rPh>
    <rPh sb="20" eb="22">
      <t>ショリ</t>
    </rPh>
    <rPh sb="22" eb="24">
      <t>ツイカ</t>
    </rPh>
    <rPh sb="31" eb="33">
      <t>カイトウ</t>
    </rPh>
    <rPh sb="33" eb="34">
      <t>ヨウ</t>
    </rPh>
    <rPh sb="34" eb="36">
      <t>セイギョ</t>
    </rPh>
    <rPh sb="56" eb="58">
      <t>イドウ</t>
    </rPh>
    <rPh sb="58" eb="60">
      <t>ショリ</t>
    </rPh>
    <rPh sb="61" eb="63">
      <t>ツイカ</t>
    </rPh>
    <rPh sb="72" eb="74">
      <t>サンコウ</t>
    </rPh>
    <rPh sb="89" eb="91">
      <t>サンコウ</t>
    </rPh>
    <rPh sb="91" eb="93">
      <t>シリョウ</t>
    </rPh>
    <rPh sb="96" eb="98">
      <t>ツイカ</t>
    </rPh>
    <rPh sb="99" eb="101">
      <t>リユウ</t>
    </rPh>
    <rPh sb="136" eb="138">
      <t>ツイカ</t>
    </rPh>
    <phoneticPr fontId="6"/>
  </si>
  <si>
    <t>バッチ機能定義
【参考】4S-2322_対応方法</t>
    <rPh sb="3" eb="5">
      <t>キノウ</t>
    </rPh>
    <rPh sb="5" eb="7">
      <t>テイギ</t>
    </rPh>
    <rPh sb="9" eb="11">
      <t>サンコウ</t>
    </rPh>
    <phoneticPr fontId="6"/>
  </si>
  <si>
    <t>【参考】[4S-2322]対応方法</t>
    <rPh sb="1" eb="3">
      <t>サンコウ</t>
    </rPh>
    <rPh sb="13" eb="15">
      <t>タイオウ</t>
    </rPh>
    <rPh sb="15" eb="17">
      <t>ホウホウ</t>
    </rPh>
    <phoneticPr fontId="4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</si>
</sst>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6" formatCode="&quot;¥&quot;#,##0_);[Red]\(&quot;¥&quot;#,##0\)"/>
    <numFmt numFmtId="177" formatCode="&quot;¥&quot;#,##0.00_);[Red]\(&quot;¥&quot;#,##0.00\)"/>
    <numFmt numFmtId="178" formatCode="_(* #,##0_);_(* \(#,##0\);_(* &quot;-&quot;_);_(@_)"/>
    <numFmt numFmtId="179" formatCode="_(* #,##0.00_);_(* \(#,##0.00\);_(* &quot;-&quot;??_);_(@_)"/>
    <numFmt numFmtId="180" formatCode="0.0&quot;　版&quot;"/>
    <numFmt numFmtId="181" formatCode="yyyy/mm/dd"/>
    <numFmt numFmtId="182" formatCode="0.0"/>
  </numFmts>
  <fonts count="4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ゴシック"/>
      <family val="3"/>
      <charset val="128"/>
    </font>
    <font>
      <sz val="10"/>
      <name val="Arial"/>
      <family val="2"/>
    </font>
    <font>
      <u/>
      <sz val="10"/>
      <color indexed="36"/>
      <name val="Arial"/>
      <family val="2"/>
    </font>
    <font>
      <u/>
      <sz val="10"/>
      <color indexed="12"/>
      <name val="Arial"/>
      <family val="2"/>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0.5"/>
      <name val="Meiryo UI"/>
      <family val="3"/>
      <charset val="128"/>
    </font>
    <font>
      <sz val="9"/>
      <name val="Meiryo UI"/>
      <family val="3"/>
      <charset val="128"/>
    </font>
    <font>
      <sz val="14"/>
      <name val="Meiryo UI"/>
      <family val="3"/>
      <charset val="128"/>
    </font>
    <font>
      <b/>
      <sz val="9"/>
      <name val="Meiryo UI"/>
      <family val="3"/>
      <charset val="128"/>
    </font>
    <font>
      <b/>
      <sz val="18"/>
      <name val="Meiryo UI"/>
      <family val="3"/>
      <charset val="128"/>
    </font>
    <font>
      <sz val="12"/>
      <name val="Meiryo UI"/>
      <family val="3"/>
      <charset val="128"/>
    </font>
    <font>
      <b/>
      <sz val="16"/>
      <name val="Meiryo UI"/>
      <family val="3"/>
      <charset val="128"/>
    </font>
    <font>
      <sz val="11"/>
      <color theme="1"/>
      <name val="Meiryo UI"/>
      <family val="3"/>
      <charset val="128"/>
    </font>
    <font>
      <b/>
      <sz val="11"/>
      <color theme="1"/>
      <name val="Meiryo UI"/>
      <family val="3"/>
      <charset val="128"/>
    </font>
    <font>
      <sz val="10"/>
      <color theme="1"/>
      <name val="Meiryo UI"/>
      <family val="3"/>
      <charset val="128"/>
    </font>
    <font>
      <sz val="11"/>
      <name val="Meiryo UI"/>
      <family val="3"/>
      <charset val="128"/>
    </font>
    <font>
      <sz val="11"/>
      <color rgb="FFFF0000"/>
      <name val="Meiryo UI"/>
      <family val="3"/>
      <charset val="128"/>
    </font>
    <font>
      <b/>
      <sz val="11"/>
      <name val="Meiryo UI"/>
      <family val="3"/>
      <charset val="128"/>
    </font>
    <font>
      <sz val="6"/>
      <name val="ＭＳ Ｐゴシック"/>
      <family val="2"/>
      <charset val="128"/>
      <scheme val="minor"/>
    </font>
    <font>
      <sz val="10"/>
      <name val="Meiryo UI"/>
      <family val="3"/>
      <charset val="128"/>
    </font>
    <font>
      <sz val="11"/>
      <name val="メイリオ"/>
      <family val="3"/>
      <charset val="128"/>
    </font>
    <font>
      <sz val="11"/>
      <color rgb="FFFF0000"/>
      <name val="メイリオ"/>
      <family val="3"/>
      <charset val="128"/>
    </font>
    <font>
      <b/>
      <sz val="14"/>
      <color theme="1"/>
      <name val="ＭＳ Ｐゴシック"/>
      <family val="3"/>
      <charset val="128"/>
      <scheme val="minor"/>
    </font>
  </fonts>
  <fills count="4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5"/>
        <bgColor indexed="64"/>
      </patternFill>
    </fill>
    <fill>
      <patternFill patternType="solid">
        <fgColor indexed="9"/>
        <bgColor indexed="64"/>
      </patternFill>
    </fill>
    <fill>
      <patternFill patternType="solid">
        <fgColor rgb="FFBFBFBF"/>
        <bgColor indexed="64"/>
      </patternFill>
    </fill>
    <fill>
      <patternFill patternType="solid">
        <fgColor rgb="FFC0C0C0"/>
        <bgColor indexed="64"/>
      </patternFill>
    </fill>
    <fill>
      <patternFill patternType="solid">
        <fgColor rgb="FF969696"/>
        <bgColor indexed="64"/>
      </patternFill>
    </fill>
    <fill>
      <patternFill patternType="solid">
        <fgColor rgb="FFFFFFFF"/>
        <bgColor indexed="64"/>
      </patternFill>
    </fill>
    <fill>
      <patternFill patternType="solid">
        <fgColor theme="0" tint="-0.499984740745262"/>
        <bgColor indexed="64"/>
      </patternFill>
    </fill>
    <fill>
      <patternFill patternType="solid">
        <fgColor rgb="FFFFFF00"/>
        <bgColor indexed="64"/>
      </patternFill>
    </fill>
    <fill>
      <patternFill patternType="solid">
        <fgColor rgb="FFCCFFCC"/>
        <bgColor indexed="64"/>
      </patternFill>
    </fill>
    <fill>
      <patternFill patternType="solid">
        <fgColor rgb="FFCCFFFF"/>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60">
    <xf numFmtId="0" fontId="0" fillId="0" borderId="0">
      <alignment vertical="center"/>
    </xf>
    <xf numFmtId="0" fontId="7" fillId="0" borderId="0"/>
    <xf numFmtId="38" fontId="5"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179" fontId="8" fillId="0" borderId="0" applyFont="0" applyFill="0" applyBorder="0" applyAlignment="0" applyProtection="0"/>
    <xf numFmtId="178" fontId="8" fillId="0" borderId="0" applyFont="0" applyFill="0" applyBorder="0" applyAlignment="0" applyProtection="0"/>
    <xf numFmtId="40" fontId="5" fillId="0" borderId="0" applyFont="0" applyFill="0" applyBorder="0" applyAlignment="0" applyProtection="0">
      <alignment vertical="center"/>
    </xf>
    <xf numFmtId="38" fontId="5" fillId="0" borderId="0" applyFont="0" applyFill="0" applyBorder="0" applyAlignment="0" applyProtection="0">
      <alignment vertical="center"/>
    </xf>
    <xf numFmtId="177" fontId="5" fillId="0" borderId="0" applyFont="0" applyFill="0" applyBorder="0" applyAlignment="0" applyProtection="0">
      <alignment vertical="center"/>
    </xf>
    <xf numFmtId="176" fontId="5" fillId="0" borderId="0" applyFont="0" applyFill="0" applyBorder="0" applyAlignment="0" applyProtection="0">
      <alignment vertical="center"/>
    </xf>
    <xf numFmtId="9" fontId="5"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13"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5" borderId="0" applyNumberFormat="0" applyBorder="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16" applyNumberFormat="0" applyAlignment="0" applyProtection="0">
      <alignment vertical="center"/>
    </xf>
    <xf numFmtId="0" fontId="19" fillId="9" borderId="17" applyNumberFormat="0" applyAlignment="0" applyProtection="0">
      <alignment vertical="center"/>
    </xf>
    <xf numFmtId="0" fontId="20" fillId="9" borderId="16" applyNumberFormat="0" applyAlignment="0" applyProtection="0">
      <alignment vertical="center"/>
    </xf>
    <xf numFmtId="0" fontId="21" fillId="0" borderId="18" applyNumberFormat="0" applyFill="0" applyAlignment="0" applyProtection="0">
      <alignment vertical="center"/>
    </xf>
    <xf numFmtId="0" fontId="22" fillId="10" borderId="19" applyNumberFormat="0" applyAlignment="0" applyProtection="0">
      <alignment vertical="center"/>
    </xf>
    <xf numFmtId="0" fontId="23" fillId="0" borderId="0" applyNumberFormat="0" applyFill="0" applyBorder="0" applyAlignment="0" applyProtection="0">
      <alignment vertical="center"/>
    </xf>
    <xf numFmtId="0" fontId="5" fillId="11" borderId="20" applyNumberFormat="0" applyFont="0" applyAlignment="0" applyProtection="0">
      <alignment vertical="center"/>
    </xf>
    <xf numFmtId="0" fontId="24" fillId="0" borderId="0" applyNumberFormat="0" applyFill="0" applyBorder="0" applyAlignment="0" applyProtection="0">
      <alignment vertical="center"/>
    </xf>
    <xf numFmtId="0" fontId="25" fillId="0" borderId="21" applyNumberFormat="0" applyFill="0" applyAlignment="0" applyProtection="0">
      <alignment vertical="center"/>
    </xf>
    <xf numFmtId="0" fontId="26" fillId="12"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26" fillId="35" borderId="0" applyNumberFormat="0" applyBorder="0" applyAlignment="0" applyProtection="0">
      <alignment vertical="center"/>
    </xf>
    <xf numFmtId="0" fontId="4" fillId="0" borderId="0">
      <alignment vertical="center"/>
    </xf>
    <xf numFmtId="0" fontId="5" fillId="0" borderId="0"/>
    <xf numFmtId="0" fontId="5" fillId="0" borderId="0"/>
    <xf numFmtId="0" fontId="3" fillId="0" borderId="0">
      <alignment vertical="center"/>
    </xf>
    <xf numFmtId="0" fontId="2" fillId="0" borderId="0">
      <alignment vertical="center"/>
    </xf>
    <xf numFmtId="0" fontId="2" fillId="0" borderId="0">
      <alignment vertical="center"/>
    </xf>
    <xf numFmtId="0" fontId="1" fillId="0" borderId="0">
      <alignment vertical="center"/>
    </xf>
  </cellStyleXfs>
  <cellXfs count="207">
    <xf numFmtId="0" fontId="0" fillId="0" borderId="0" xfId="0">
      <alignment vertical="center"/>
    </xf>
    <xf numFmtId="0" fontId="27" fillId="0" borderId="0" xfId="0" applyFont="1">
      <alignment vertical="center"/>
    </xf>
    <xf numFmtId="49" fontId="28" fillId="0" borderId="12" xfId="0" applyNumberFormat="1" applyFont="1" applyBorder="1" applyAlignment="1">
      <alignment horizontal="justify" vertical="top" wrapText="1"/>
    </xf>
    <xf numFmtId="49" fontId="28" fillId="0" borderId="12" xfId="0" applyNumberFormat="1" applyFont="1" applyFill="1" applyBorder="1" applyAlignment="1">
      <alignment horizontal="justify" vertical="top" wrapText="1"/>
    </xf>
    <xf numFmtId="49" fontId="28" fillId="0" borderId="0" xfId="0" applyNumberFormat="1" applyFont="1">
      <alignment vertical="center"/>
    </xf>
    <xf numFmtId="49" fontId="30" fillId="4" borderId="12" xfId="0" applyNumberFormat="1" applyFont="1" applyFill="1" applyBorder="1" applyAlignment="1">
      <alignment horizontal="center" vertical="center" wrapText="1"/>
    </xf>
    <xf numFmtId="181" fontId="30" fillId="4" borderId="12" xfId="0" applyNumberFormat="1" applyFont="1" applyFill="1" applyBorder="1" applyAlignment="1">
      <alignment horizontal="center" vertical="center" wrapText="1"/>
    </xf>
    <xf numFmtId="182" fontId="28" fillId="0" borderId="12" xfId="0" applyNumberFormat="1" applyFont="1" applyBorder="1" applyAlignment="1">
      <alignment horizontal="justify" vertical="top" wrapText="1"/>
    </xf>
    <xf numFmtId="181" fontId="28" fillId="0" borderId="12" xfId="0" applyNumberFormat="1" applyFont="1" applyBorder="1" applyAlignment="1">
      <alignment horizontal="justify" vertical="top" wrapText="1"/>
    </xf>
    <xf numFmtId="49" fontId="28" fillId="0" borderId="0" xfId="0" applyNumberFormat="1" applyFont="1" applyAlignment="1">
      <alignment vertical="center"/>
    </xf>
    <xf numFmtId="181" fontId="28" fillId="0" borderId="0" xfId="0" applyNumberFormat="1" applyFont="1">
      <alignment vertical="center"/>
    </xf>
    <xf numFmtId="0" fontId="27" fillId="4" borderId="0" xfId="0" applyFont="1" applyFill="1">
      <alignment vertical="center"/>
    </xf>
    <xf numFmtId="0" fontId="34" fillId="0" borderId="0" xfId="53" applyFont="1">
      <alignment vertical="center"/>
    </xf>
    <xf numFmtId="0" fontId="34" fillId="2" borderId="0" xfId="0" applyFont="1" applyFill="1">
      <alignment vertical="center"/>
    </xf>
    <xf numFmtId="0" fontId="36" fillId="37" borderId="7" xfId="0" applyFont="1" applyFill="1" applyBorder="1" applyAlignment="1">
      <alignment vertical="top"/>
    </xf>
    <xf numFmtId="0" fontId="36" fillId="37" borderId="0" xfId="0" applyFont="1" applyFill="1" applyBorder="1" applyAlignment="1">
      <alignment vertical="top"/>
    </xf>
    <xf numFmtId="0" fontId="36" fillId="37" borderId="0" xfId="0" applyFont="1" applyFill="1">
      <alignment vertical="center"/>
    </xf>
    <xf numFmtId="0" fontId="36" fillId="0" borderId="0" xfId="0" applyFont="1">
      <alignment vertical="center"/>
    </xf>
    <xf numFmtId="0" fontId="34" fillId="0" borderId="0" xfId="0" applyFont="1">
      <alignment vertical="center"/>
    </xf>
    <xf numFmtId="0" fontId="34" fillId="0" borderId="0" xfId="54" applyFont="1" applyAlignment="1">
      <alignment vertical="center"/>
    </xf>
    <xf numFmtId="0" fontId="34" fillId="37" borderId="2" xfId="0" applyFont="1" applyFill="1" applyBorder="1" applyAlignment="1">
      <alignment horizontal="left" vertical="center"/>
    </xf>
    <xf numFmtId="0" fontId="34" fillId="37" borderId="0" xfId="0" applyFont="1" applyFill="1" applyBorder="1" applyAlignment="1">
      <alignment horizontal="left" vertical="center"/>
    </xf>
    <xf numFmtId="0" fontId="34" fillId="37" borderId="1" xfId="55" applyFont="1" applyFill="1" applyBorder="1"/>
    <xf numFmtId="0" fontId="34" fillId="37" borderId="2" xfId="55" applyFont="1" applyFill="1" applyBorder="1"/>
    <xf numFmtId="0" fontId="34" fillId="37" borderId="2" xfId="55" applyFont="1" applyFill="1" applyBorder="1" applyAlignment="1">
      <alignment horizontal="center"/>
    </xf>
    <xf numFmtId="0" fontId="34" fillId="37" borderId="2" xfId="55" applyFont="1" applyFill="1" applyBorder="1" applyAlignment="1">
      <alignment horizontal="left"/>
    </xf>
    <xf numFmtId="14" fontId="34" fillId="37" borderId="2" xfId="55" applyNumberFormat="1" applyFont="1" applyFill="1" applyBorder="1" applyAlignment="1">
      <alignment horizontal="left"/>
    </xf>
    <xf numFmtId="0" fontId="34" fillId="37" borderId="3" xfId="55" applyFont="1" applyFill="1" applyBorder="1"/>
    <xf numFmtId="0" fontId="34" fillId="37" borderId="0" xfId="55" applyFont="1" applyFill="1"/>
    <xf numFmtId="0" fontId="34" fillId="37" borderId="4" xfId="55" applyFont="1" applyFill="1" applyBorder="1"/>
    <xf numFmtId="0" fontId="34" fillId="37" borderId="0" xfId="55" applyFont="1" applyFill="1" applyBorder="1"/>
    <xf numFmtId="0" fontId="34" fillId="37" borderId="0" xfId="55" applyFont="1" applyFill="1" applyBorder="1" applyAlignment="1">
      <alignment horizontal="center"/>
    </xf>
    <xf numFmtId="0" fontId="34" fillId="37" borderId="0" xfId="55" applyFont="1" applyFill="1" applyBorder="1" applyAlignment="1">
      <alignment horizontal="left"/>
    </xf>
    <xf numFmtId="14" fontId="34" fillId="37" borderId="0" xfId="55" applyNumberFormat="1" applyFont="1" applyFill="1" applyBorder="1" applyAlignment="1">
      <alignment horizontal="left"/>
    </xf>
    <xf numFmtId="0" fontId="34" fillId="37" borderId="5" xfId="55" applyFont="1" applyFill="1" applyBorder="1"/>
    <xf numFmtId="0" fontId="34" fillId="37" borderId="4" xfId="55" applyFont="1" applyFill="1" applyBorder="1" applyAlignment="1">
      <alignment horizontal="left"/>
    </xf>
    <xf numFmtId="0" fontId="34" fillId="37" borderId="4" xfId="55" applyFont="1" applyFill="1" applyBorder="1" applyAlignment="1">
      <alignment horizontal="right" vertical="center"/>
    </xf>
    <xf numFmtId="0" fontId="34" fillId="37" borderId="6" xfId="55" applyFont="1" applyFill="1" applyBorder="1"/>
    <xf numFmtId="0" fontId="34" fillId="37" borderId="7" xfId="55" applyFont="1" applyFill="1" applyBorder="1"/>
    <xf numFmtId="0" fontId="34" fillId="37" borderId="7" xfId="55" applyFont="1" applyFill="1" applyBorder="1" applyAlignment="1">
      <alignment horizontal="center"/>
    </xf>
    <xf numFmtId="14" fontId="34" fillId="37" borderId="7" xfId="55" applyNumberFormat="1" applyFont="1" applyFill="1" applyBorder="1" applyAlignment="1">
      <alignment horizontal="left"/>
    </xf>
    <xf numFmtId="0" fontId="34" fillId="37" borderId="8" xfId="55" applyFont="1" applyFill="1" applyBorder="1"/>
    <xf numFmtId="0" fontId="35" fillId="37" borderId="0" xfId="55" applyFont="1" applyFill="1" applyBorder="1" applyAlignment="1">
      <alignment horizontal="right"/>
    </xf>
    <xf numFmtId="14" fontId="35" fillId="37" borderId="0" xfId="55" applyNumberFormat="1" applyFont="1" applyFill="1" applyBorder="1" applyAlignment="1">
      <alignment horizontal="left"/>
    </xf>
    <xf numFmtId="0" fontId="34" fillId="2" borderId="6" xfId="0" applyFont="1" applyFill="1" applyBorder="1">
      <alignment vertical="center"/>
    </xf>
    <xf numFmtId="0" fontId="34" fillId="2" borderId="7" xfId="0" applyFont="1" applyFill="1" applyBorder="1">
      <alignment vertical="center"/>
    </xf>
    <xf numFmtId="0" fontId="34" fillId="2" borderId="8" xfId="0" applyFont="1" applyFill="1" applyBorder="1">
      <alignment vertical="center"/>
    </xf>
    <xf numFmtId="0" fontId="34" fillId="2" borderId="0" xfId="0" applyFont="1" applyFill="1" applyBorder="1">
      <alignment vertical="center"/>
    </xf>
    <xf numFmtId="0" fontId="34" fillId="2" borderId="1" xfId="0" applyFont="1" applyFill="1" applyBorder="1">
      <alignment vertical="center"/>
    </xf>
    <xf numFmtId="0" fontId="34" fillId="2" borderId="2" xfId="0" applyFont="1" applyFill="1" applyBorder="1">
      <alignment vertical="center"/>
    </xf>
    <xf numFmtId="0" fontId="34" fillId="2" borderId="3" xfId="0" applyFont="1" applyFill="1" applyBorder="1">
      <alignment vertical="center"/>
    </xf>
    <xf numFmtId="0" fontId="34" fillId="2" borderId="4" xfId="0" applyFont="1" applyFill="1" applyBorder="1">
      <alignment vertical="center"/>
    </xf>
    <xf numFmtId="0" fontId="34" fillId="2" borderId="5" xfId="0" applyFont="1" applyFill="1" applyBorder="1">
      <alignment vertical="center"/>
    </xf>
    <xf numFmtId="0" fontId="35" fillId="39" borderId="9" xfId="55" applyFont="1" applyFill="1" applyBorder="1" applyAlignment="1">
      <alignment horizontal="center"/>
    </xf>
    <xf numFmtId="0" fontId="35" fillId="39" borderId="10" xfId="55" applyFont="1" applyFill="1" applyBorder="1" applyAlignment="1">
      <alignment horizontal="center"/>
    </xf>
    <xf numFmtId="56" fontId="34" fillId="37" borderId="0" xfId="55" quotePrefix="1" applyNumberFormat="1" applyFont="1" applyFill="1" applyBorder="1"/>
    <xf numFmtId="0" fontId="34" fillId="37" borderId="0" xfId="55" quotePrefix="1" applyFont="1" applyFill="1" applyBorder="1"/>
    <xf numFmtId="0" fontId="37" fillId="37" borderId="0" xfId="55" applyFont="1" applyFill="1" applyBorder="1"/>
    <xf numFmtId="0" fontId="37" fillId="37" borderId="0" xfId="55" quotePrefix="1" applyFont="1" applyFill="1" applyBorder="1"/>
    <xf numFmtId="0" fontId="34" fillId="37" borderId="0" xfId="55" applyFont="1" applyFill="1" applyAlignment="1">
      <alignment horizontal="center"/>
    </xf>
    <xf numFmtId="0" fontId="34" fillId="37" borderId="0" xfId="55" applyFont="1" applyFill="1" applyAlignment="1">
      <alignment horizontal="left"/>
    </xf>
    <xf numFmtId="0" fontId="39" fillId="0" borderId="0" xfId="56" applyFont="1" applyFill="1" applyBorder="1" applyAlignment="1">
      <alignment vertical="center"/>
    </xf>
    <xf numFmtId="0" fontId="38" fillId="37" borderId="0" xfId="55" applyFont="1" applyFill="1"/>
    <xf numFmtId="0" fontId="37" fillId="3" borderId="9" xfId="0" applyFont="1" applyFill="1" applyBorder="1" applyAlignment="1">
      <alignment vertical="center"/>
    </xf>
    <xf numFmtId="0" fontId="37" fillId="3" borderId="10" xfId="0" applyFont="1" applyFill="1" applyBorder="1" applyAlignment="1">
      <alignment vertical="center"/>
    </xf>
    <xf numFmtId="0" fontId="37" fillId="3" borderId="11" xfId="0" applyFont="1" applyFill="1" applyBorder="1" applyAlignment="1">
      <alignment vertical="center"/>
    </xf>
    <xf numFmtId="0" fontId="37" fillId="2" borderId="0" xfId="56" applyFont="1" applyFill="1" applyBorder="1" applyAlignment="1">
      <alignment vertical="center"/>
    </xf>
    <xf numFmtId="0" fontId="37" fillId="2" borderId="9" xfId="0" applyFont="1" applyFill="1" applyBorder="1" applyAlignment="1">
      <alignment vertical="center"/>
    </xf>
    <xf numFmtId="0" fontId="37" fillId="2" borderId="10" xfId="0" applyFont="1" applyFill="1" applyBorder="1" applyAlignment="1">
      <alignment vertical="center"/>
    </xf>
    <xf numFmtId="0" fontId="37" fillId="2" borderId="11" xfId="0" applyFont="1" applyFill="1" applyBorder="1" applyAlignment="1">
      <alignment vertical="center"/>
    </xf>
    <xf numFmtId="0" fontId="37" fillId="0" borderId="0" xfId="56" applyFont="1" applyFill="1" applyBorder="1" applyAlignment="1">
      <alignment vertical="center"/>
    </xf>
    <xf numFmtId="0" fontId="41" fillId="41" borderId="0" xfId="57" applyFont="1" applyFill="1" applyBorder="1" applyAlignment="1">
      <alignment vertical="center"/>
    </xf>
    <xf numFmtId="0" fontId="37" fillId="41" borderId="0" xfId="57" applyFont="1" applyFill="1" applyBorder="1" applyAlignment="1">
      <alignment vertical="center"/>
    </xf>
    <xf numFmtId="0" fontId="37" fillId="0" borderId="0" xfId="57" applyFont="1" applyBorder="1" applyAlignment="1">
      <alignment vertical="center"/>
    </xf>
    <xf numFmtId="0" fontId="37" fillId="3" borderId="12" xfId="57" applyFont="1" applyFill="1" applyBorder="1" applyAlignment="1">
      <alignment vertical="center" shrinkToFit="1"/>
    </xf>
    <xf numFmtId="0" fontId="37" fillId="0" borderId="12" xfId="57" applyFont="1" applyBorder="1" applyAlignment="1">
      <alignment vertical="center" shrinkToFit="1"/>
    </xf>
    <xf numFmtId="0" fontId="41" fillId="0" borderId="0" xfId="57" applyFont="1" applyBorder="1" applyAlignment="1">
      <alignment vertical="center"/>
    </xf>
    <xf numFmtId="0" fontId="35" fillId="37" borderId="0" xfId="55" applyFont="1" applyFill="1" applyBorder="1"/>
    <xf numFmtId="0" fontId="41" fillId="42" borderId="4" xfId="57" applyFont="1" applyFill="1" applyBorder="1" applyAlignment="1">
      <alignment vertical="center"/>
    </xf>
    <xf numFmtId="0" fontId="41" fillId="42" borderId="0" xfId="57" applyFont="1" applyFill="1" applyBorder="1" applyAlignment="1">
      <alignment horizontal="left" vertical="center"/>
    </xf>
    <xf numFmtId="0" fontId="41" fillId="42" borderId="0" xfId="57" applyFont="1" applyFill="1" applyBorder="1" applyAlignment="1">
      <alignment vertical="center"/>
    </xf>
    <xf numFmtId="0" fontId="37" fillId="42" borderId="0" xfId="57" applyFont="1" applyFill="1" applyBorder="1" applyAlignment="1">
      <alignment vertical="center"/>
    </xf>
    <xf numFmtId="0" fontId="37" fillId="37" borderId="0" xfId="55" applyFont="1" applyFill="1"/>
    <xf numFmtId="0" fontId="37" fillId="37" borderId="0" xfId="55" quotePrefix="1" applyFont="1" applyFill="1"/>
    <xf numFmtId="56" fontId="37" fillId="37" borderId="0" xfId="55" quotePrefix="1" applyNumberFormat="1" applyFont="1" applyFill="1" applyBorder="1"/>
    <xf numFmtId="0" fontId="37" fillId="37" borderId="0" xfId="55" applyFont="1" applyFill="1" applyAlignment="1">
      <alignment horizontal="left"/>
    </xf>
    <xf numFmtId="0" fontId="37" fillId="37" borderId="0" xfId="55" applyFont="1" applyFill="1" applyAlignment="1">
      <alignment horizontal="center"/>
    </xf>
    <xf numFmtId="0" fontId="37" fillId="37" borderId="0" xfId="55" applyFont="1" applyFill="1" applyBorder="1" applyAlignment="1">
      <alignment horizontal="center"/>
    </xf>
    <xf numFmtId="0" fontId="37" fillId="0" borderId="0" xfId="55" applyFont="1" applyFill="1" applyBorder="1"/>
    <xf numFmtId="0" fontId="37" fillId="37" borderId="0" xfId="55" applyFont="1" applyFill="1" applyBorder="1" applyAlignment="1"/>
    <xf numFmtId="0" fontId="38" fillId="37" borderId="0" xfId="55" quotePrefix="1" applyFont="1" applyFill="1" applyBorder="1"/>
    <xf numFmtId="0" fontId="38" fillId="0" borderId="12" xfId="57" applyFont="1" applyBorder="1" applyAlignment="1">
      <alignment vertical="center" shrinkToFit="1"/>
    </xf>
    <xf numFmtId="0" fontId="38" fillId="0" borderId="0" xfId="0" applyFont="1" applyBorder="1">
      <alignment vertical="center"/>
    </xf>
    <xf numFmtId="182" fontId="28" fillId="0" borderId="12" xfId="0" quotePrefix="1" applyNumberFormat="1" applyFont="1" applyBorder="1" applyAlignment="1">
      <alignment horizontal="justify" vertical="top" wrapText="1"/>
    </xf>
    <xf numFmtId="0" fontId="37" fillId="0" borderId="0" xfId="0" applyFont="1" applyBorder="1">
      <alignment vertical="center"/>
    </xf>
    <xf numFmtId="0" fontId="44" fillId="0" borderId="0" xfId="59" applyFont="1">
      <alignment vertical="center"/>
    </xf>
    <xf numFmtId="0" fontId="1" fillId="0" borderId="0" xfId="59">
      <alignment vertical="center"/>
    </xf>
    <xf numFmtId="0" fontId="44" fillId="44" borderId="1" xfId="59" applyFont="1" applyFill="1" applyBorder="1">
      <alignment vertical="center"/>
    </xf>
    <xf numFmtId="0" fontId="1" fillId="44" borderId="2" xfId="59" applyFill="1" applyBorder="1">
      <alignment vertical="center"/>
    </xf>
    <xf numFmtId="0" fontId="1" fillId="0" borderId="23" xfId="59" applyBorder="1">
      <alignment vertical="center"/>
    </xf>
    <xf numFmtId="0" fontId="44" fillId="45" borderId="2" xfId="59" applyFont="1" applyFill="1" applyBorder="1">
      <alignment vertical="center"/>
    </xf>
    <xf numFmtId="0" fontId="1" fillId="45" borderId="2" xfId="59" applyFill="1" applyBorder="1">
      <alignment vertical="center"/>
    </xf>
    <xf numFmtId="0" fontId="1" fillId="45" borderId="3" xfId="59" applyFill="1" applyBorder="1">
      <alignment vertical="center"/>
    </xf>
    <xf numFmtId="0" fontId="44" fillId="44" borderId="4" xfId="59" applyFont="1" applyFill="1" applyBorder="1">
      <alignment vertical="center"/>
    </xf>
    <xf numFmtId="0" fontId="1" fillId="44" borderId="0" xfId="59" applyFill="1" applyBorder="1">
      <alignment vertical="center"/>
    </xf>
    <xf numFmtId="0" fontId="1" fillId="0" borderId="23" xfId="59" applyFill="1" applyBorder="1">
      <alignment vertical="center"/>
    </xf>
    <xf numFmtId="0" fontId="44" fillId="45" borderId="0" xfId="59" applyFont="1" applyFill="1" applyBorder="1">
      <alignment vertical="center"/>
    </xf>
    <xf numFmtId="0" fontId="1" fillId="45" borderId="0" xfId="59" applyFill="1" applyBorder="1">
      <alignment vertical="center"/>
    </xf>
    <xf numFmtId="0" fontId="1" fillId="45" borderId="5" xfId="59" applyFill="1" applyBorder="1">
      <alignment vertical="center"/>
    </xf>
    <xf numFmtId="0" fontId="1" fillId="44" borderId="4" xfId="59" applyFill="1" applyBorder="1">
      <alignment vertical="center"/>
    </xf>
    <xf numFmtId="0" fontId="1" fillId="44" borderId="6" xfId="59" applyFill="1" applyBorder="1">
      <alignment vertical="center"/>
    </xf>
    <xf numFmtId="0" fontId="1" fillId="44" borderId="7" xfId="59" applyFill="1" applyBorder="1">
      <alignment vertical="center"/>
    </xf>
    <xf numFmtId="0" fontId="1" fillId="45" borderId="7" xfId="59" applyFill="1" applyBorder="1">
      <alignment vertical="center"/>
    </xf>
    <xf numFmtId="0" fontId="1" fillId="45" borderId="8" xfId="59" applyFill="1" applyBorder="1">
      <alignment vertical="center"/>
    </xf>
    <xf numFmtId="0" fontId="1" fillId="0" borderId="0" xfId="59" applyBorder="1">
      <alignment vertical="center"/>
    </xf>
    <xf numFmtId="0" fontId="38" fillId="37" borderId="0" xfId="55" applyFont="1" applyFill="1" applyBorder="1"/>
    <xf numFmtId="0" fontId="38" fillId="37" borderId="0" xfId="55" applyFont="1" applyFill="1" applyBorder="1" applyAlignment="1"/>
    <xf numFmtId="0" fontId="31" fillId="0" borderId="0" xfId="0" applyFont="1" applyAlignment="1">
      <alignment vertical="center"/>
    </xf>
    <xf numFmtId="180" fontId="27" fillId="0" borderId="0" xfId="0" applyNumberFormat="1" applyFont="1" applyAlignment="1">
      <alignment horizontal="left" vertical="center"/>
    </xf>
    <xf numFmtId="181" fontId="32" fillId="0" borderId="0" xfId="0" applyNumberFormat="1" applyFont="1" applyAlignment="1">
      <alignment horizontal="center" vertical="center"/>
    </xf>
    <xf numFmtId="0" fontId="33" fillId="0" borderId="0" xfId="0" applyFont="1" applyAlignment="1">
      <alignment horizontal="center" vertical="center"/>
    </xf>
    <xf numFmtId="0" fontId="32" fillId="0" borderId="0" xfId="0" applyFont="1" applyAlignment="1">
      <alignment horizontal="center" vertical="center"/>
    </xf>
    <xf numFmtId="49" fontId="29" fillId="0" borderId="0" xfId="0" applyNumberFormat="1" applyFont="1" applyAlignment="1">
      <alignment horizontal="center" vertical="center"/>
    </xf>
    <xf numFmtId="0" fontId="35" fillId="3" borderId="9" xfId="0" applyFont="1" applyFill="1" applyBorder="1" applyAlignment="1">
      <alignment horizontal="center" vertical="center"/>
    </xf>
    <xf numFmtId="0" fontId="35" fillId="3" borderId="10" xfId="0" applyFont="1" applyFill="1" applyBorder="1" applyAlignment="1">
      <alignment horizontal="center" vertical="center"/>
    </xf>
    <xf numFmtId="0" fontId="35" fillId="3" borderId="11" xfId="0" applyFont="1" applyFill="1" applyBorder="1" applyAlignment="1">
      <alignment horizontal="center" vertical="center"/>
    </xf>
    <xf numFmtId="0" fontId="34" fillId="2" borderId="9" xfId="0" applyFont="1" applyFill="1" applyBorder="1" applyAlignment="1">
      <alignment horizontal="center" vertical="center" wrapText="1"/>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34" fillId="2" borderId="9" xfId="0" applyFont="1" applyFill="1" applyBorder="1" applyAlignment="1">
      <alignment horizontal="center" vertical="center"/>
    </xf>
    <xf numFmtId="0" fontId="34" fillId="2" borderId="10" xfId="0" applyFont="1" applyFill="1" applyBorder="1" applyAlignment="1">
      <alignment horizontal="center" vertical="center"/>
    </xf>
    <xf numFmtId="0" fontId="34" fillId="2" borderId="11" xfId="0" applyFont="1" applyFill="1" applyBorder="1" applyAlignment="1">
      <alignment horizontal="center" vertical="center"/>
    </xf>
    <xf numFmtId="0" fontId="35" fillId="3" borderId="1" xfId="0" applyFont="1" applyFill="1" applyBorder="1" applyAlignment="1">
      <alignment horizontal="center" vertical="center" wrapText="1"/>
    </xf>
    <xf numFmtId="0" fontId="35" fillId="3" borderId="2" xfId="0" applyFont="1" applyFill="1" applyBorder="1" applyAlignment="1">
      <alignment horizontal="center" vertical="center" wrapText="1"/>
    </xf>
    <xf numFmtId="0" fontId="35" fillId="3" borderId="3" xfId="0" applyFont="1" applyFill="1" applyBorder="1" applyAlignment="1">
      <alignment horizontal="center" vertical="center" wrapText="1"/>
    </xf>
    <xf numFmtId="0" fontId="35" fillId="3" borderId="6" xfId="0" applyFont="1" applyFill="1" applyBorder="1" applyAlignment="1">
      <alignment horizontal="center" vertical="center" wrapText="1"/>
    </xf>
    <xf numFmtId="0" fontId="35" fillId="3" borderId="7" xfId="0" applyFont="1" applyFill="1" applyBorder="1" applyAlignment="1">
      <alignment horizontal="center" vertical="center" wrapText="1"/>
    </xf>
    <xf numFmtId="0" fontId="35" fillId="3" borderId="8" xfId="0" applyFont="1" applyFill="1" applyBorder="1" applyAlignment="1">
      <alignment horizontal="center" vertical="center" wrapText="1"/>
    </xf>
    <xf numFmtId="49" fontId="34" fillId="2" borderId="9" xfId="0" applyNumberFormat="1" applyFont="1" applyFill="1" applyBorder="1" applyAlignment="1">
      <alignment horizontal="center" vertical="center"/>
    </xf>
    <xf numFmtId="0" fontId="34" fillId="2" borderId="10" xfId="0" applyNumberFormat="1" applyFont="1" applyFill="1" applyBorder="1" applyAlignment="1">
      <alignment horizontal="center" vertical="center"/>
    </xf>
    <xf numFmtId="0" fontId="34" fillId="2" borderId="11" xfId="0" applyNumberFormat="1" applyFont="1" applyFill="1" applyBorder="1" applyAlignment="1">
      <alignment horizontal="center" vertical="center"/>
    </xf>
    <xf numFmtId="14" fontId="34" fillId="2" borderId="9" xfId="0" applyNumberFormat="1" applyFont="1" applyFill="1" applyBorder="1" applyAlignment="1">
      <alignment horizontal="center" vertical="center"/>
    </xf>
    <xf numFmtId="0" fontId="34" fillId="2" borderId="9" xfId="0" applyNumberFormat="1" applyFont="1" applyFill="1" applyBorder="1" applyAlignment="1">
      <alignment horizontal="center" vertical="center"/>
    </xf>
    <xf numFmtId="14" fontId="34" fillId="2" borderId="10" xfId="0" applyNumberFormat="1" applyFont="1" applyFill="1" applyBorder="1" applyAlignment="1">
      <alignment horizontal="center" vertical="center"/>
    </xf>
    <xf numFmtId="14" fontId="34" fillId="2" borderId="11" xfId="0" applyNumberFormat="1" applyFont="1" applyFill="1" applyBorder="1" applyAlignment="1">
      <alignment horizontal="center" vertical="center"/>
    </xf>
    <xf numFmtId="0" fontId="35" fillId="38" borderId="9" xfId="0" applyFont="1" applyFill="1" applyBorder="1" applyAlignment="1">
      <alignment horizontal="left" vertical="center"/>
    </xf>
    <xf numFmtId="0" fontId="35" fillId="3" borderId="10" xfId="0" applyFont="1" applyFill="1" applyBorder="1" applyAlignment="1">
      <alignment horizontal="left" vertical="center"/>
    </xf>
    <xf numFmtId="0" fontId="35" fillId="3" borderId="11" xfId="0" applyFont="1" applyFill="1" applyBorder="1" applyAlignment="1">
      <alignment horizontal="left" vertical="center"/>
    </xf>
    <xf numFmtId="0" fontId="34" fillId="0" borderId="9" xfId="0" applyFont="1" applyBorder="1">
      <alignment vertical="center"/>
    </xf>
    <xf numFmtId="0" fontId="34" fillId="0" borderId="10" xfId="0" applyFont="1" applyBorder="1">
      <alignment vertical="center"/>
    </xf>
    <xf numFmtId="0" fontId="34" fillId="0" borderId="11" xfId="0" applyFont="1" applyBorder="1">
      <alignment vertical="center"/>
    </xf>
    <xf numFmtId="0" fontId="34" fillId="2" borderId="1" xfId="0" applyFont="1" applyFill="1" applyBorder="1" applyAlignment="1">
      <alignment vertical="top" wrapText="1"/>
    </xf>
    <xf numFmtId="0" fontId="34" fillId="2" borderId="2" xfId="0" applyFont="1" applyFill="1" applyBorder="1" applyAlignment="1">
      <alignment vertical="top"/>
    </xf>
    <xf numFmtId="0" fontId="34" fillId="2" borderId="3" xfId="0" applyFont="1" applyFill="1" applyBorder="1" applyAlignment="1">
      <alignment vertical="top"/>
    </xf>
    <xf numFmtId="0" fontId="34" fillId="2" borderId="4" xfId="0" applyFont="1" applyFill="1" applyBorder="1" applyAlignment="1">
      <alignment vertical="top"/>
    </xf>
    <xf numFmtId="0" fontId="34" fillId="2" borderId="0" xfId="0" applyFont="1" applyFill="1" applyBorder="1" applyAlignment="1">
      <alignment vertical="top"/>
    </xf>
    <xf numFmtId="0" fontId="34" fillId="2" borderId="5" xfId="0" applyFont="1" applyFill="1" applyBorder="1" applyAlignment="1">
      <alignment vertical="top"/>
    </xf>
    <xf numFmtId="0" fontId="34" fillId="2" borderId="6" xfId="0" applyFont="1" applyFill="1" applyBorder="1" applyAlignment="1">
      <alignment vertical="top"/>
    </xf>
    <xf numFmtId="0" fontId="34" fillId="2" borderId="7" xfId="0" applyFont="1" applyFill="1" applyBorder="1" applyAlignment="1">
      <alignment vertical="top"/>
    </xf>
    <xf numFmtId="0" fontId="34" fillId="2" borderId="8" xfId="0" applyFont="1" applyFill="1" applyBorder="1" applyAlignment="1">
      <alignment vertical="top"/>
    </xf>
    <xf numFmtId="0" fontId="35" fillId="36" borderId="9" xfId="0" applyFont="1" applyFill="1" applyBorder="1" applyAlignment="1">
      <alignment horizontal="center" vertical="center"/>
    </xf>
    <xf numFmtId="0" fontId="35" fillId="36" borderId="10" xfId="0" applyFont="1" applyFill="1" applyBorder="1" applyAlignment="1">
      <alignment horizontal="center" vertical="center"/>
    </xf>
    <xf numFmtId="0" fontId="35" fillId="36" borderId="11" xfId="0" applyFont="1" applyFill="1" applyBorder="1" applyAlignment="1">
      <alignment horizontal="center" vertical="center"/>
    </xf>
    <xf numFmtId="0" fontId="35" fillId="4" borderId="9" xfId="0" applyFont="1" applyFill="1" applyBorder="1" applyAlignment="1">
      <alignment horizontal="left" vertical="top"/>
    </xf>
    <xf numFmtId="0" fontId="35" fillId="4" borderId="10" xfId="0" applyFont="1" applyFill="1" applyBorder="1" applyAlignment="1">
      <alignment horizontal="left" vertical="top"/>
    </xf>
    <xf numFmtId="0" fontId="35" fillId="4" borderId="11" xfId="0" applyFont="1" applyFill="1" applyBorder="1" applyAlignment="1">
      <alignment horizontal="left" vertical="top"/>
    </xf>
    <xf numFmtId="0" fontId="34" fillId="37" borderId="9" xfId="0" applyFont="1" applyFill="1" applyBorder="1" applyAlignment="1">
      <alignment horizontal="left" vertical="top" wrapText="1"/>
    </xf>
    <xf numFmtId="0" fontId="34" fillId="37" borderId="10" xfId="0" applyFont="1" applyFill="1" applyBorder="1" applyAlignment="1">
      <alignment horizontal="left" vertical="top"/>
    </xf>
    <xf numFmtId="0" fontId="34" fillId="37" borderId="11" xfId="0" applyFont="1" applyFill="1" applyBorder="1" applyAlignment="1">
      <alignment horizontal="left" vertical="top"/>
    </xf>
    <xf numFmtId="0" fontId="34" fillId="2" borderId="9" xfId="0" applyFont="1" applyFill="1" applyBorder="1" applyAlignment="1">
      <alignment horizontal="left" vertical="top"/>
    </xf>
    <xf numFmtId="0" fontId="34" fillId="2" borderId="10" xfId="0" applyFont="1" applyFill="1" applyBorder="1" applyAlignment="1">
      <alignment horizontal="left" vertical="top"/>
    </xf>
    <xf numFmtId="0" fontId="34" fillId="2" borderId="11" xfId="0" applyFont="1" applyFill="1" applyBorder="1" applyAlignment="1">
      <alignment horizontal="left" vertical="top"/>
    </xf>
    <xf numFmtId="0" fontId="35" fillId="3" borderId="9" xfId="0" applyFont="1" applyFill="1" applyBorder="1" applyAlignment="1">
      <alignment horizontal="left" vertical="center"/>
    </xf>
    <xf numFmtId="0" fontId="35" fillId="4" borderId="9" xfId="54" applyFont="1" applyFill="1" applyBorder="1" applyAlignment="1" applyProtection="1">
      <alignment horizontal="left" vertical="top"/>
      <protection locked="0"/>
    </xf>
    <xf numFmtId="0" fontId="35" fillId="4" borderId="10" xfId="54" applyFont="1" applyFill="1" applyBorder="1" applyAlignment="1" applyProtection="1">
      <alignment horizontal="left" vertical="top"/>
      <protection locked="0"/>
    </xf>
    <xf numFmtId="0" fontId="35" fillId="4" borderId="11" xfId="54" applyFont="1" applyFill="1" applyBorder="1" applyAlignment="1" applyProtection="1">
      <alignment horizontal="left" vertical="top"/>
      <protection locked="0"/>
    </xf>
    <xf numFmtId="0" fontId="34" fillId="0" borderId="9" xfId="54" applyFont="1" applyFill="1" applyBorder="1" applyAlignment="1" applyProtection="1">
      <alignment horizontal="left" vertical="top" wrapText="1"/>
      <protection locked="0"/>
    </xf>
    <xf numFmtId="0" fontId="34" fillId="0" borderId="10" xfId="54" applyFont="1" applyFill="1" applyBorder="1" applyAlignment="1" applyProtection="1">
      <alignment horizontal="left" vertical="top" wrapText="1"/>
      <protection locked="0"/>
    </xf>
    <xf numFmtId="0" fontId="34" fillId="0" borderId="11" xfId="54" applyFont="1" applyFill="1" applyBorder="1" applyAlignment="1" applyProtection="1">
      <alignment horizontal="left" vertical="top" wrapText="1"/>
      <protection locked="0"/>
    </xf>
    <xf numFmtId="0" fontId="39" fillId="40" borderId="22" xfId="58" applyFont="1" applyFill="1" applyBorder="1" applyAlignment="1">
      <alignment horizontal="center" vertical="center"/>
    </xf>
    <xf numFmtId="0" fontId="42" fillId="0" borderId="9" xfId="0" applyFont="1" applyFill="1" applyBorder="1" applyAlignment="1">
      <alignment horizontal="left" vertical="top"/>
    </xf>
    <xf numFmtId="0" fontId="42" fillId="0" borderId="10" xfId="0" applyFont="1" applyFill="1" applyBorder="1" applyAlignment="1">
      <alignment horizontal="left" vertical="top"/>
    </xf>
    <xf numFmtId="0" fontId="42" fillId="0" borderId="11" xfId="0" applyFont="1" applyFill="1" applyBorder="1" applyAlignment="1">
      <alignment horizontal="left" vertical="top"/>
    </xf>
    <xf numFmtId="0" fontId="37" fillId="0" borderId="12" xfId="57" applyFont="1" applyBorder="1" applyAlignment="1">
      <alignment vertical="center" wrapText="1"/>
    </xf>
    <xf numFmtId="0" fontId="37" fillId="3" borderId="12" xfId="57" applyFont="1" applyFill="1" applyBorder="1" applyAlignment="1">
      <alignment horizontal="center" vertical="center"/>
    </xf>
    <xf numFmtId="0" fontId="37" fillId="0" borderId="12" xfId="57" applyFont="1" applyBorder="1" applyAlignment="1">
      <alignment horizontal="left" vertical="center"/>
    </xf>
    <xf numFmtId="0" fontId="37" fillId="0" borderId="12" xfId="57" applyFont="1" applyBorder="1" applyAlignment="1">
      <alignment vertical="center"/>
    </xf>
    <xf numFmtId="0" fontId="39" fillId="40" borderId="12" xfId="57" applyFont="1" applyFill="1" applyBorder="1" applyAlignment="1">
      <alignment horizontal="center" vertical="center"/>
    </xf>
    <xf numFmtId="0" fontId="37" fillId="3" borderId="9" xfId="57" applyFont="1" applyFill="1" applyBorder="1" applyAlignment="1">
      <alignment horizontal="center" vertical="center"/>
    </xf>
    <xf numFmtId="0" fontId="37" fillId="3" borderId="10" xfId="57" applyFont="1" applyFill="1" applyBorder="1" applyAlignment="1">
      <alignment horizontal="center" vertical="center"/>
    </xf>
    <xf numFmtId="0" fontId="37" fillId="3" borderId="11" xfId="57" applyFont="1" applyFill="1" applyBorder="1" applyAlignment="1">
      <alignment horizontal="center" vertical="center"/>
    </xf>
    <xf numFmtId="0" fontId="37" fillId="3" borderId="1" xfId="57" applyFont="1" applyFill="1" applyBorder="1" applyAlignment="1">
      <alignment horizontal="center" vertical="center"/>
    </xf>
    <xf numFmtId="0" fontId="37" fillId="3" borderId="2" xfId="57" applyFont="1" applyFill="1" applyBorder="1" applyAlignment="1">
      <alignment horizontal="center" vertical="center"/>
    </xf>
    <xf numFmtId="0" fontId="37" fillId="3" borderId="3" xfId="57" applyFont="1" applyFill="1" applyBorder="1" applyAlignment="1">
      <alignment horizontal="center" vertical="center"/>
    </xf>
    <xf numFmtId="0" fontId="37" fillId="3" borderId="6" xfId="57" applyFont="1" applyFill="1" applyBorder="1" applyAlignment="1">
      <alignment horizontal="center" vertical="center"/>
    </xf>
    <xf numFmtId="0" fontId="37" fillId="3" borderId="7" xfId="57" applyFont="1" applyFill="1" applyBorder="1" applyAlignment="1">
      <alignment horizontal="center" vertical="center"/>
    </xf>
    <xf numFmtId="0" fontId="37" fillId="3" borderId="8" xfId="57" applyFont="1" applyFill="1" applyBorder="1" applyAlignment="1">
      <alignment horizontal="center" vertical="center"/>
    </xf>
    <xf numFmtId="0" fontId="37" fillId="0" borderId="12" xfId="57" applyFont="1" applyBorder="1" applyAlignment="1">
      <alignment horizontal="left" vertical="center" wrapText="1"/>
    </xf>
    <xf numFmtId="0" fontId="38" fillId="0" borderId="12" xfId="57" applyFont="1" applyBorder="1" applyAlignment="1">
      <alignment horizontal="left" vertical="center"/>
    </xf>
    <xf numFmtId="0" fontId="43" fillId="0" borderId="9" xfId="0" applyFont="1" applyFill="1" applyBorder="1" applyAlignment="1">
      <alignment horizontal="left" vertical="top"/>
    </xf>
    <xf numFmtId="0" fontId="43" fillId="0" borderId="10" xfId="0" applyFont="1" applyFill="1" applyBorder="1" applyAlignment="1">
      <alignment horizontal="left" vertical="top"/>
    </xf>
    <xf numFmtId="0" fontId="43" fillId="0" borderId="11" xfId="0" applyFont="1" applyFill="1" applyBorder="1" applyAlignment="1">
      <alignment horizontal="left" vertical="top"/>
    </xf>
    <xf numFmtId="0" fontId="38" fillId="0" borderId="12" xfId="57" applyFont="1" applyBorder="1" applyAlignment="1">
      <alignment vertical="center" wrapText="1"/>
    </xf>
    <xf numFmtId="0" fontId="43" fillId="43" borderId="9" xfId="0" applyFont="1" applyFill="1" applyBorder="1" applyAlignment="1">
      <alignment horizontal="left" vertical="top"/>
    </xf>
    <xf numFmtId="0" fontId="43" fillId="43" borderId="10" xfId="0" applyFont="1" applyFill="1" applyBorder="1" applyAlignment="1">
      <alignment horizontal="left" vertical="top"/>
    </xf>
    <xf numFmtId="0" fontId="43" fillId="43" borderId="11" xfId="0" applyFont="1" applyFill="1" applyBorder="1" applyAlignment="1">
      <alignment horizontal="left" vertical="top"/>
    </xf>
    <xf numFmtId="0" fontId="38" fillId="43" borderId="12" xfId="57" applyFont="1" applyFill="1" applyBorder="1" applyAlignment="1">
      <alignment vertical="center" wrapText="1"/>
    </xf>
  </cellXfs>
  <cellStyles count="60">
    <cellStyle name=" LBP-830 LIPS4" xfId="1" xr:uid="{00000000-0005-0000-0000-000000000000}"/>
    <cellStyle name="0,0_x000d_ NA_x000d_ " xfId="2" xr:uid="{00000000-0005-0000-0000-000001000000}"/>
    <cellStyle name="20% - アクセント 1" xfId="30" builtinId="30" hidden="1"/>
    <cellStyle name="20% - アクセント 2" xfId="34" builtinId="34" hidden="1"/>
    <cellStyle name="20% - アクセント 3" xfId="38" builtinId="38" hidden="1"/>
    <cellStyle name="20% - アクセント 4" xfId="42" builtinId="42" hidden="1"/>
    <cellStyle name="20% - アクセント 5" xfId="46" builtinId="46" hidden="1"/>
    <cellStyle name="20% - アクセント 6" xfId="50" builtinId="50" hidden="1"/>
    <cellStyle name="40% - アクセント 1" xfId="31" builtinId="31" hidden="1"/>
    <cellStyle name="40% - アクセント 2" xfId="35" builtinId="35" hidden="1"/>
    <cellStyle name="40% - アクセント 3" xfId="39" builtinId="39" hidden="1"/>
    <cellStyle name="40% - アクセント 4" xfId="43" builtinId="43" hidden="1"/>
    <cellStyle name="40% - アクセント 5" xfId="47" builtinId="47" hidden="1"/>
    <cellStyle name="40% - アクセント 6" xfId="51" builtinId="51" hidden="1"/>
    <cellStyle name="60% - アクセント 1" xfId="32" builtinId="32" hidden="1"/>
    <cellStyle name="60% - アクセント 2" xfId="36" builtinId="36" hidden="1"/>
    <cellStyle name="60% - アクセント 3" xfId="40" builtinId="40" hidden="1"/>
    <cellStyle name="60% - アクセント 4" xfId="44" builtinId="44" hidden="1"/>
    <cellStyle name="60% - アクセント 5" xfId="48" builtinId="48" hidden="1"/>
    <cellStyle name="60% - アクセント 6" xfId="52" builtinId="52" hidden="1"/>
    <cellStyle name="Followed Hyperlink" xfId="3" xr:uid="{00000000-0005-0000-0000-000014000000}"/>
    <cellStyle name="Hyperlink" xfId="4" xr:uid="{00000000-0005-0000-0000-000015000000}"/>
    <cellStyle name="アクセント 1" xfId="29" builtinId="29" hidden="1"/>
    <cellStyle name="アクセント 2" xfId="33" builtinId="33" hidden="1"/>
    <cellStyle name="アクセント 3" xfId="37" builtinId="37" hidden="1"/>
    <cellStyle name="アクセント 4" xfId="41" builtinId="41" hidden="1"/>
    <cellStyle name="アクセント 5" xfId="45" builtinId="45" hidden="1"/>
    <cellStyle name="アクセント 6" xfId="49" builtinId="49" hidden="1"/>
    <cellStyle name="タイトル" xfId="12" builtinId="15" hidden="1"/>
    <cellStyle name="チェック セル" xfId="24" builtinId="23" hidden="1"/>
    <cellStyle name="どちらでもない" xfId="19" builtinId="28" hidden="1"/>
    <cellStyle name="パーセント" xfId="11" builtinId="5" hidden="1"/>
    <cellStyle name="メモ" xfId="26" builtinId="10" hidden="1"/>
    <cellStyle name="リンク セル" xfId="23" builtinId="24" hidden="1"/>
    <cellStyle name="悪い" xfId="18" builtinId="27" hidden="1"/>
    <cellStyle name="計算" xfId="22" builtinId="22" hidden="1"/>
    <cellStyle name="警告文" xfId="25" builtinId="11" hidden="1"/>
    <cellStyle name="桁蟻唇Ｆ [0.00]_NT Server " xfId="5" xr:uid="{00000000-0005-0000-0000-000025000000}"/>
    <cellStyle name="桁蟻唇Ｆ_NT Server " xfId="6" xr:uid="{00000000-0005-0000-0000-000026000000}"/>
    <cellStyle name="桁区切り" xfId="8" builtinId="6" hidden="1"/>
    <cellStyle name="桁区切り [0.00]" xfId="7" builtinId="3" hidden="1"/>
    <cellStyle name="見出し 1" xfId="13" builtinId="16" hidden="1"/>
    <cellStyle name="見出し 2" xfId="14" builtinId="17" hidden="1"/>
    <cellStyle name="見出し 3" xfId="15" builtinId="18" hidden="1"/>
    <cellStyle name="見出し 4" xfId="16" builtinId="19" hidden="1"/>
    <cellStyle name="集計" xfId="28" builtinId="25" hidden="1"/>
    <cellStyle name="出力" xfId="21" builtinId="21" hidden="1"/>
    <cellStyle name="説明文" xfId="27" builtinId="53" hidden="1"/>
    <cellStyle name="通貨" xfId="10" builtinId="7" hidden="1"/>
    <cellStyle name="通貨 [0.00]" xfId="9" builtinId="4" hidden="1"/>
    <cellStyle name="入力" xfId="20" builtinId="20" hidden="1"/>
    <cellStyle name="標準" xfId="0" builtinId="0"/>
    <cellStyle name="標準 2" xfId="53" xr:uid="{00000000-0005-0000-0000-000034000000}"/>
    <cellStyle name="標準 2 2" xfId="56" xr:uid="{00000000-0005-0000-0000-000035000000}"/>
    <cellStyle name="標準 2 2 2" xfId="58" xr:uid="{00000000-0005-0000-0000-000036000000}"/>
    <cellStyle name="標準 3" xfId="57" xr:uid="{00000000-0005-0000-0000-000037000000}"/>
    <cellStyle name="標準 4" xfId="59" xr:uid="{00000000-0005-0000-0000-000038000000}"/>
    <cellStyle name="標準_4_開発要件書" xfId="54" xr:uid="{00000000-0005-0000-0000-000039000000}"/>
    <cellStyle name="標準_バッチフローチャート図" xfId="55" xr:uid="{00000000-0005-0000-0000-00003A000000}"/>
    <cellStyle name="良い" xfId="17" builtinId="26" hidden="1"/>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colors>
    <mruColors>
      <color rgb="FFFFCCCC"/>
      <color rgb="FF385D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100149</xdr:colOff>
      <xdr:row>104</xdr:row>
      <xdr:rowOff>20318</xdr:rowOff>
    </xdr:from>
    <xdr:to>
      <xdr:col>52</xdr:col>
      <xdr:colOff>11203</xdr:colOff>
      <xdr:row>111</xdr:row>
      <xdr:rowOff>39593</xdr:rowOff>
    </xdr:to>
    <xdr:grpSp>
      <xdr:nvGrpSpPr>
        <xdr:cNvPr id="2" name="グループ化 1">
          <a:extLst>
            <a:ext uri="{FF2B5EF4-FFF2-40B4-BE49-F238E27FC236}">
              <a16:creationId xmlns:a16="http://schemas.microsoft.com/office/drawing/2014/main" id="{00000000-0008-0000-0200-000002000000}"/>
            </a:ext>
          </a:extLst>
        </xdr:cNvPr>
        <xdr:cNvGrpSpPr/>
      </xdr:nvGrpSpPr>
      <xdr:grpSpPr>
        <a:xfrm>
          <a:off x="906973" y="20078847"/>
          <a:ext cx="9592936" cy="1431217"/>
          <a:chOff x="546847" y="14108128"/>
          <a:chExt cx="9834303" cy="1184687"/>
        </a:xfrm>
      </xdr:grpSpPr>
      <xdr:grpSp>
        <xdr:nvGrpSpPr>
          <xdr:cNvPr id="3" name="Group 1">
            <a:extLst>
              <a:ext uri="{FF2B5EF4-FFF2-40B4-BE49-F238E27FC236}">
                <a16:creationId xmlns:a16="http://schemas.microsoft.com/office/drawing/2014/main" id="{00000000-0008-0000-0200-000003000000}"/>
              </a:ext>
            </a:extLst>
          </xdr:cNvPr>
          <xdr:cNvGrpSpPr>
            <a:grpSpLocks/>
          </xdr:cNvGrpSpPr>
        </xdr:nvGrpSpPr>
        <xdr:grpSpPr bwMode="auto">
          <a:xfrm>
            <a:off x="546847" y="14108128"/>
            <a:ext cx="9017255" cy="1040296"/>
            <a:chOff x="62" y="1421"/>
            <a:chExt cx="892" cy="131"/>
          </a:xfrm>
        </xdr:grpSpPr>
        <xdr:sp macro="" textlink="">
          <xdr:nvSpPr>
            <xdr:cNvPr id="8" name="Line 68">
              <a:extLst>
                <a:ext uri="{FF2B5EF4-FFF2-40B4-BE49-F238E27FC236}">
                  <a16:creationId xmlns:a16="http://schemas.microsoft.com/office/drawing/2014/main" id="{00000000-0008-0000-0200-000008000000}"/>
                </a:ext>
              </a:extLst>
            </xdr:cNvPr>
            <xdr:cNvSpPr>
              <a:spLocks noChangeShapeType="1"/>
            </xdr:cNvSpPr>
          </xdr:nvSpPr>
          <xdr:spPr bwMode="auto">
            <a:xfrm>
              <a:off x="62" y="1426"/>
              <a:ext cx="0" cy="26"/>
            </a:xfrm>
            <a:prstGeom prst="line">
              <a:avLst/>
            </a:prstGeom>
            <a:noFill/>
            <a:ln w="9525">
              <a:solidFill>
                <a:srgbClr val="000000"/>
              </a:solidFill>
              <a:round/>
              <a:headEnd/>
              <a:tailEnd type="triangle" w="med" len="med"/>
            </a:ln>
          </xdr:spPr>
        </xdr:sp>
        <xdr:sp macro="" textlink="">
          <xdr:nvSpPr>
            <xdr:cNvPr id="9" name="Text Box 69">
              <a:extLst>
                <a:ext uri="{FF2B5EF4-FFF2-40B4-BE49-F238E27FC236}">
                  <a16:creationId xmlns:a16="http://schemas.microsoft.com/office/drawing/2014/main" id="{00000000-0008-0000-0200-000009000000}"/>
                </a:ext>
              </a:extLst>
            </xdr:cNvPr>
            <xdr:cNvSpPr txBox="1">
              <a:spLocks noChangeArrowheads="1"/>
            </xdr:cNvSpPr>
          </xdr:nvSpPr>
          <xdr:spPr bwMode="auto">
            <a:xfrm>
              <a:off x="98" y="1428"/>
              <a:ext cx="89"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：処理の流れ</a:t>
              </a:r>
              <a:endParaRPr lang="ja-JP" altLang="en-US">
                <a:latin typeface="Meiryo UI" panose="020B0604030504040204" pitchFamily="50" charset="-128"/>
                <a:ea typeface="Meiryo UI" panose="020B0604030504040204" pitchFamily="50" charset="-128"/>
              </a:endParaRPr>
            </a:p>
          </xdr:txBody>
        </xdr:sp>
        <xdr:sp macro="" textlink="">
          <xdr:nvSpPr>
            <xdr:cNvPr id="10" name="Text Box 70">
              <a:extLst>
                <a:ext uri="{FF2B5EF4-FFF2-40B4-BE49-F238E27FC236}">
                  <a16:creationId xmlns:a16="http://schemas.microsoft.com/office/drawing/2014/main" id="{00000000-0008-0000-0200-00000A000000}"/>
                </a:ext>
              </a:extLst>
            </xdr:cNvPr>
            <xdr:cNvSpPr txBox="1">
              <a:spLocks noChangeArrowheads="1"/>
            </xdr:cNvSpPr>
          </xdr:nvSpPr>
          <xdr:spPr bwMode="auto">
            <a:xfrm>
              <a:off x="98" y="1467"/>
              <a:ext cx="94"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：データの流れ</a:t>
              </a:r>
              <a:endParaRPr lang="ja-JP" altLang="en-US">
                <a:latin typeface="Meiryo UI" panose="020B0604030504040204" pitchFamily="50" charset="-128"/>
                <a:ea typeface="Meiryo UI" panose="020B0604030504040204" pitchFamily="50" charset="-128"/>
              </a:endParaRPr>
            </a:p>
          </xdr:txBody>
        </xdr:sp>
        <xdr:sp macro="" textlink="">
          <xdr:nvSpPr>
            <xdr:cNvPr id="11" name="Text Box 71">
              <a:extLst>
                <a:ext uri="{FF2B5EF4-FFF2-40B4-BE49-F238E27FC236}">
                  <a16:creationId xmlns:a16="http://schemas.microsoft.com/office/drawing/2014/main" id="{00000000-0008-0000-0200-00000B000000}"/>
                </a:ext>
              </a:extLst>
            </xdr:cNvPr>
            <xdr:cNvSpPr txBox="1">
              <a:spLocks noChangeArrowheads="1"/>
            </xdr:cNvSpPr>
          </xdr:nvSpPr>
          <xdr:spPr bwMode="auto">
            <a:xfrm>
              <a:off x="719" y="1494"/>
              <a:ext cx="79"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：共通部品</a:t>
              </a:r>
              <a:endParaRPr lang="ja-JP" altLang="en-US">
                <a:latin typeface="Meiryo UI" panose="020B0604030504040204" pitchFamily="50" charset="-128"/>
                <a:ea typeface="Meiryo UI" panose="020B0604030504040204" pitchFamily="50" charset="-128"/>
              </a:endParaRPr>
            </a:p>
          </xdr:txBody>
        </xdr:sp>
        <xdr:sp macro="" textlink="">
          <xdr:nvSpPr>
            <xdr:cNvPr id="12" name="AutoShape 73">
              <a:extLst>
                <a:ext uri="{FF2B5EF4-FFF2-40B4-BE49-F238E27FC236}">
                  <a16:creationId xmlns:a16="http://schemas.microsoft.com/office/drawing/2014/main" id="{00000000-0008-0000-0200-00000C000000}"/>
                </a:ext>
              </a:extLst>
            </xdr:cNvPr>
            <xdr:cNvSpPr>
              <a:spLocks noChangeArrowheads="1"/>
            </xdr:cNvSpPr>
          </xdr:nvSpPr>
          <xdr:spPr bwMode="auto">
            <a:xfrm>
              <a:off x="666" y="1495"/>
              <a:ext cx="38" cy="20"/>
            </a:xfrm>
            <a:prstGeom prst="flowChartPredefinedProcess">
              <a:avLst/>
            </a:prstGeom>
            <a:solidFill>
              <a:srgbClr val="FFFFFF"/>
            </a:solidFill>
            <a:ln w="9525" algn="ctr">
              <a:solidFill>
                <a:srgbClr val="000000"/>
              </a:solidFill>
              <a:miter lim="800000"/>
              <a:headEnd/>
              <a:tailEnd/>
            </a:ln>
          </xdr:spPr>
        </xdr:sp>
        <xdr:sp macro="" textlink="">
          <xdr:nvSpPr>
            <xdr:cNvPr id="13" name="AutoShape 75">
              <a:extLst>
                <a:ext uri="{FF2B5EF4-FFF2-40B4-BE49-F238E27FC236}">
                  <a16:creationId xmlns:a16="http://schemas.microsoft.com/office/drawing/2014/main" id="{00000000-0008-0000-0200-00000D000000}"/>
                </a:ext>
              </a:extLst>
            </xdr:cNvPr>
            <xdr:cNvSpPr>
              <a:spLocks noChangeArrowheads="1"/>
            </xdr:cNvSpPr>
          </xdr:nvSpPr>
          <xdr:spPr bwMode="auto">
            <a:xfrm>
              <a:off x="835" y="1422"/>
              <a:ext cx="33" cy="26"/>
            </a:xfrm>
            <a:prstGeom prst="can">
              <a:avLst>
                <a:gd name="adj" fmla="val 25000"/>
              </a:avLst>
            </a:prstGeom>
            <a:solidFill>
              <a:srgbClr val="FFFFFF"/>
            </a:solidFill>
            <a:ln w="9525">
              <a:solidFill>
                <a:srgbClr val="000000"/>
              </a:solidFill>
              <a:round/>
              <a:headEnd/>
              <a:tailEnd/>
            </a:ln>
          </xdr:spPr>
        </xdr:sp>
        <xdr:sp macro="" textlink="">
          <xdr:nvSpPr>
            <xdr:cNvPr id="14" name="Text Box 76">
              <a:extLst>
                <a:ext uri="{FF2B5EF4-FFF2-40B4-BE49-F238E27FC236}">
                  <a16:creationId xmlns:a16="http://schemas.microsoft.com/office/drawing/2014/main" id="{00000000-0008-0000-0200-00000E000000}"/>
                </a:ext>
              </a:extLst>
            </xdr:cNvPr>
            <xdr:cNvSpPr txBox="1">
              <a:spLocks noChangeArrowheads="1"/>
            </xdr:cNvSpPr>
          </xdr:nvSpPr>
          <xdr:spPr bwMode="auto">
            <a:xfrm>
              <a:off x="888" y="1421"/>
              <a:ext cx="66"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：テーブル</a:t>
              </a:r>
              <a:endParaRPr lang="ja-JP" altLang="en-US">
                <a:latin typeface="Meiryo UI" panose="020B0604030504040204" pitchFamily="50" charset="-128"/>
                <a:ea typeface="Meiryo UI" panose="020B0604030504040204" pitchFamily="50" charset="-128"/>
              </a:endParaRPr>
            </a:p>
          </xdr:txBody>
        </xdr:sp>
        <xdr:sp macro="" textlink="">
          <xdr:nvSpPr>
            <xdr:cNvPr id="15" name="AutoShape 77">
              <a:extLst>
                <a:ext uri="{FF2B5EF4-FFF2-40B4-BE49-F238E27FC236}">
                  <a16:creationId xmlns:a16="http://schemas.microsoft.com/office/drawing/2014/main" id="{00000000-0008-0000-0200-00000F000000}"/>
                </a:ext>
              </a:extLst>
            </xdr:cNvPr>
            <xdr:cNvSpPr>
              <a:spLocks noChangeArrowheads="1"/>
            </xdr:cNvSpPr>
          </xdr:nvSpPr>
          <xdr:spPr bwMode="auto">
            <a:xfrm>
              <a:off x="666" y="1527"/>
              <a:ext cx="39" cy="20"/>
            </a:xfrm>
            <a:prstGeom prst="flowChartProcess">
              <a:avLst/>
            </a:prstGeom>
            <a:solidFill>
              <a:srgbClr val="FFFFFF"/>
            </a:solidFill>
            <a:ln w="9525">
              <a:solidFill>
                <a:srgbClr val="000000"/>
              </a:solidFill>
              <a:miter lim="800000"/>
              <a:headEnd/>
              <a:tailEnd/>
            </a:ln>
          </xdr:spPr>
        </xdr:sp>
        <xdr:sp macro="" textlink="">
          <xdr:nvSpPr>
            <xdr:cNvPr id="16" name="Text Box 78">
              <a:extLst>
                <a:ext uri="{FF2B5EF4-FFF2-40B4-BE49-F238E27FC236}">
                  <a16:creationId xmlns:a16="http://schemas.microsoft.com/office/drawing/2014/main" id="{00000000-0008-0000-0200-000010000000}"/>
                </a:ext>
              </a:extLst>
            </xdr:cNvPr>
            <xdr:cNvSpPr txBox="1">
              <a:spLocks noChangeArrowheads="1"/>
            </xdr:cNvSpPr>
          </xdr:nvSpPr>
          <xdr:spPr bwMode="auto">
            <a:xfrm>
              <a:off x="718" y="1524"/>
              <a:ext cx="91"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：処理ロジック</a:t>
              </a:r>
              <a:endParaRPr lang="ja-JP" altLang="en-US">
                <a:latin typeface="Meiryo UI" panose="020B0604030504040204" pitchFamily="50" charset="-128"/>
                <a:ea typeface="Meiryo UI" panose="020B0604030504040204" pitchFamily="50" charset="-128"/>
              </a:endParaRPr>
            </a:p>
          </xdr:txBody>
        </xdr:sp>
        <xdr:sp macro="" textlink="">
          <xdr:nvSpPr>
            <xdr:cNvPr id="17" name="Line 79">
              <a:extLst>
                <a:ext uri="{FF2B5EF4-FFF2-40B4-BE49-F238E27FC236}">
                  <a16:creationId xmlns:a16="http://schemas.microsoft.com/office/drawing/2014/main" id="{00000000-0008-0000-0200-000011000000}"/>
                </a:ext>
              </a:extLst>
            </xdr:cNvPr>
            <xdr:cNvSpPr>
              <a:spLocks noChangeShapeType="1"/>
            </xdr:cNvSpPr>
          </xdr:nvSpPr>
          <xdr:spPr bwMode="auto">
            <a:xfrm>
              <a:off x="62" y="1465"/>
              <a:ext cx="0" cy="26"/>
            </a:xfrm>
            <a:prstGeom prst="line">
              <a:avLst/>
            </a:prstGeom>
            <a:noFill/>
            <a:ln w="9525">
              <a:solidFill>
                <a:srgbClr val="000000"/>
              </a:solidFill>
              <a:prstDash val="dash"/>
              <a:round/>
              <a:headEnd/>
              <a:tailEnd type="triangle" w="med" len="med"/>
            </a:ln>
          </xdr:spPr>
        </xdr:sp>
        <xdr:grpSp>
          <xdr:nvGrpSpPr>
            <xdr:cNvPr id="18" name="Group 436">
              <a:extLst>
                <a:ext uri="{FF2B5EF4-FFF2-40B4-BE49-F238E27FC236}">
                  <a16:creationId xmlns:a16="http://schemas.microsoft.com/office/drawing/2014/main" id="{00000000-0008-0000-0200-000012000000}"/>
                </a:ext>
              </a:extLst>
            </xdr:cNvPr>
            <xdr:cNvGrpSpPr>
              <a:grpSpLocks/>
            </xdr:cNvGrpSpPr>
          </xdr:nvGrpSpPr>
          <xdr:grpSpPr bwMode="auto">
            <a:xfrm>
              <a:off x="484" y="1424"/>
              <a:ext cx="42" cy="18"/>
              <a:chOff x="1608" y="940"/>
              <a:chExt cx="77" cy="36"/>
            </a:xfrm>
          </xdr:grpSpPr>
          <xdr:sp macro="" textlink="">
            <xdr:nvSpPr>
              <xdr:cNvPr id="43" name="Text Box 437">
                <a:extLst>
                  <a:ext uri="{FF2B5EF4-FFF2-40B4-BE49-F238E27FC236}">
                    <a16:creationId xmlns:a16="http://schemas.microsoft.com/office/drawing/2014/main" id="{00000000-0008-0000-0200-00002B000000}"/>
                  </a:ext>
                </a:extLst>
              </xdr:cNvPr>
              <xdr:cNvSpPr txBox="1">
                <a:spLocks noChangeArrowheads="1"/>
              </xdr:cNvSpPr>
            </xdr:nvSpPr>
            <xdr:spPr bwMode="auto">
              <a:xfrm>
                <a:off x="1608" y="940"/>
                <a:ext cx="77" cy="36"/>
              </a:xfrm>
              <a:prstGeom prst="rect">
                <a:avLst/>
              </a:prstGeom>
              <a:solidFill>
                <a:srgbClr val="FFFFFF"/>
              </a:solidFill>
              <a:ln w="9525" algn="ctr">
                <a:noFill/>
                <a:miter lim="800000"/>
                <a:headEnd/>
                <a:tailEnd/>
              </a:ln>
              <a:effectLst/>
            </xdr:spPr>
          </xdr:sp>
          <xdr:grpSp>
            <xdr:nvGrpSpPr>
              <xdr:cNvPr id="44" name="Group 438">
                <a:extLst>
                  <a:ext uri="{FF2B5EF4-FFF2-40B4-BE49-F238E27FC236}">
                    <a16:creationId xmlns:a16="http://schemas.microsoft.com/office/drawing/2014/main" id="{00000000-0008-0000-0200-00002C000000}"/>
                  </a:ext>
                </a:extLst>
              </xdr:cNvPr>
              <xdr:cNvGrpSpPr>
                <a:grpSpLocks/>
              </xdr:cNvGrpSpPr>
            </xdr:nvGrpSpPr>
            <xdr:grpSpPr bwMode="auto">
              <a:xfrm>
                <a:off x="1608" y="940"/>
                <a:ext cx="77" cy="36"/>
                <a:chOff x="1608" y="940"/>
                <a:chExt cx="77" cy="36"/>
              </a:xfrm>
            </xdr:grpSpPr>
            <xdr:sp macro="" textlink="">
              <xdr:nvSpPr>
                <xdr:cNvPr id="45" name="Line 439">
                  <a:extLst>
                    <a:ext uri="{FF2B5EF4-FFF2-40B4-BE49-F238E27FC236}">
                      <a16:creationId xmlns:a16="http://schemas.microsoft.com/office/drawing/2014/main" id="{00000000-0008-0000-0200-00002D000000}"/>
                    </a:ext>
                  </a:extLst>
                </xdr:cNvPr>
                <xdr:cNvSpPr>
                  <a:spLocks noChangeShapeType="1"/>
                </xdr:cNvSpPr>
              </xdr:nvSpPr>
              <xdr:spPr bwMode="auto">
                <a:xfrm>
                  <a:off x="1622" y="940"/>
                  <a:ext cx="49" cy="0"/>
                </a:xfrm>
                <a:prstGeom prst="line">
                  <a:avLst/>
                </a:prstGeom>
                <a:noFill/>
                <a:ln w="9525">
                  <a:solidFill>
                    <a:srgbClr val="000000"/>
                  </a:solidFill>
                  <a:round/>
                  <a:headEnd/>
                  <a:tailEnd/>
                </a:ln>
                <a:effectLst/>
              </xdr:spPr>
            </xdr:sp>
            <xdr:sp macro="" textlink="">
              <xdr:nvSpPr>
                <xdr:cNvPr id="46" name="Line 440">
                  <a:extLst>
                    <a:ext uri="{FF2B5EF4-FFF2-40B4-BE49-F238E27FC236}">
                      <a16:creationId xmlns:a16="http://schemas.microsoft.com/office/drawing/2014/main" id="{00000000-0008-0000-0200-00002E000000}"/>
                    </a:ext>
                  </a:extLst>
                </xdr:cNvPr>
                <xdr:cNvSpPr>
                  <a:spLocks noChangeShapeType="1"/>
                </xdr:cNvSpPr>
              </xdr:nvSpPr>
              <xdr:spPr bwMode="auto">
                <a:xfrm>
                  <a:off x="1685" y="950"/>
                  <a:ext cx="0" cy="26"/>
                </a:xfrm>
                <a:prstGeom prst="line">
                  <a:avLst/>
                </a:prstGeom>
                <a:noFill/>
                <a:ln w="9525">
                  <a:solidFill>
                    <a:srgbClr val="000000"/>
                  </a:solidFill>
                  <a:round/>
                  <a:headEnd/>
                  <a:tailEnd/>
                </a:ln>
                <a:effectLst/>
              </xdr:spPr>
            </xdr:sp>
            <xdr:sp macro="" textlink="">
              <xdr:nvSpPr>
                <xdr:cNvPr id="47" name="Line 441">
                  <a:extLst>
                    <a:ext uri="{FF2B5EF4-FFF2-40B4-BE49-F238E27FC236}">
                      <a16:creationId xmlns:a16="http://schemas.microsoft.com/office/drawing/2014/main" id="{00000000-0008-0000-0200-00002F000000}"/>
                    </a:ext>
                  </a:extLst>
                </xdr:cNvPr>
                <xdr:cNvSpPr>
                  <a:spLocks noChangeShapeType="1"/>
                </xdr:cNvSpPr>
              </xdr:nvSpPr>
              <xdr:spPr bwMode="auto">
                <a:xfrm>
                  <a:off x="1608" y="950"/>
                  <a:ext cx="0" cy="26"/>
                </a:xfrm>
                <a:prstGeom prst="line">
                  <a:avLst/>
                </a:prstGeom>
                <a:noFill/>
                <a:ln w="9525">
                  <a:solidFill>
                    <a:srgbClr val="000000"/>
                  </a:solidFill>
                  <a:round/>
                  <a:headEnd/>
                  <a:tailEnd/>
                </a:ln>
                <a:effectLst/>
              </xdr:spPr>
            </xdr:sp>
            <xdr:cxnSp macro="">
              <xdr:nvCxnSpPr>
                <xdr:cNvPr id="48" name="AutoShape 442">
                  <a:extLst>
                    <a:ext uri="{FF2B5EF4-FFF2-40B4-BE49-F238E27FC236}">
                      <a16:creationId xmlns:a16="http://schemas.microsoft.com/office/drawing/2014/main" id="{00000000-0008-0000-0200-000030000000}"/>
                    </a:ext>
                  </a:extLst>
                </xdr:cNvPr>
                <xdr:cNvCxnSpPr>
                  <a:cxnSpLocks noChangeShapeType="1"/>
                  <a:stCxn id="45" idx="0"/>
                  <a:endCxn id="47" idx="0"/>
                </xdr:cNvCxnSpPr>
              </xdr:nvCxnSpPr>
              <xdr:spPr bwMode="auto">
                <a:xfrm flipH="1">
                  <a:off x="1608" y="940"/>
                  <a:ext cx="14" cy="10"/>
                </a:xfrm>
                <a:prstGeom prst="straightConnector1">
                  <a:avLst/>
                </a:prstGeom>
                <a:noFill/>
                <a:ln w="9525">
                  <a:solidFill>
                    <a:srgbClr val="000000"/>
                  </a:solidFill>
                  <a:round/>
                  <a:headEnd/>
                  <a:tailEnd/>
                </a:ln>
                <a:effectLst/>
              </xdr:spPr>
            </xdr:cxnSp>
            <xdr:cxnSp macro="">
              <xdr:nvCxnSpPr>
                <xdr:cNvPr id="49" name="AutoShape 443">
                  <a:extLst>
                    <a:ext uri="{FF2B5EF4-FFF2-40B4-BE49-F238E27FC236}">
                      <a16:creationId xmlns:a16="http://schemas.microsoft.com/office/drawing/2014/main" id="{00000000-0008-0000-0200-000031000000}"/>
                    </a:ext>
                  </a:extLst>
                </xdr:cNvPr>
                <xdr:cNvCxnSpPr>
                  <a:cxnSpLocks noChangeShapeType="1"/>
                  <a:stCxn id="45" idx="1"/>
                  <a:endCxn id="46" idx="0"/>
                </xdr:cNvCxnSpPr>
              </xdr:nvCxnSpPr>
              <xdr:spPr bwMode="auto">
                <a:xfrm>
                  <a:off x="1671" y="940"/>
                  <a:ext cx="14" cy="10"/>
                </a:xfrm>
                <a:prstGeom prst="straightConnector1">
                  <a:avLst/>
                </a:prstGeom>
                <a:noFill/>
                <a:ln w="9525">
                  <a:solidFill>
                    <a:srgbClr val="000000"/>
                  </a:solidFill>
                  <a:round/>
                  <a:headEnd/>
                  <a:tailEnd/>
                </a:ln>
                <a:effectLst/>
              </xdr:spPr>
            </xdr:cxnSp>
            <xdr:cxnSp macro="">
              <xdr:nvCxnSpPr>
                <xdr:cNvPr id="50" name="AutoShape 444">
                  <a:extLst>
                    <a:ext uri="{FF2B5EF4-FFF2-40B4-BE49-F238E27FC236}">
                      <a16:creationId xmlns:a16="http://schemas.microsoft.com/office/drawing/2014/main" id="{00000000-0008-0000-0200-000032000000}"/>
                    </a:ext>
                  </a:extLst>
                </xdr:cNvPr>
                <xdr:cNvCxnSpPr>
                  <a:cxnSpLocks noChangeShapeType="1"/>
                  <a:stCxn id="47" idx="1"/>
                  <a:endCxn id="46" idx="1"/>
                </xdr:cNvCxnSpPr>
              </xdr:nvCxnSpPr>
              <xdr:spPr bwMode="auto">
                <a:xfrm>
                  <a:off x="1608" y="976"/>
                  <a:ext cx="77" cy="0"/>
                </a:xfrm>
                <a:prstGeom prst="straightConnector1">
                  <a:avLst/>
                </a:prstGeom>
                <a:noFill/>
                <a:ln w="9525">
                  <a:solidFill>
                    <a:srgbClr val="000000"/>
                  </a:solidFill>
                  <a:round/>
                  <a:headEnd/>
                  <a:tailEnd/>
                </a:ln>
                <a:effectLst/>
              </xdr:spPr>
            </xdr:cxnSp>
          </xdr:grpSp>
        </xdr:grpSp>
        <xdr:sp macro="" textlink="">
          <xdr:nvSpPr>
            <xdr:cNvPr id="19" name="Text Box 72">
              <a:extLst>
                <a:ext uri="{FF2B5EF4-FFF2-40B4-BE49-F238E27FC236}">
                  <a16:creationId xmlns:a16="http://schemas.microsoft.com/office/drawing/2014/main" id="{00000000-0008-0000-0200-000013000000}"/>
                </a:ext>
              </a:extLst>
            </xdr:cNvPr>
            <xdr:cNvSpPr txBox="1">
              <a:spLocks noChangeArrowheads="1"/>
            </xdr:cNvSpPr>
          </xdr:nvSpPr>
          <xdr:spPr bwMode="auto">
            <a:xfrm>
              <a:off x="541" y="1421"/>
              <a:ext cx="95"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：繰返し 開始</a:t>
              </a:r>
              <a:endParaRPr lang="ja-JP" altLang="en-US">
                <a:latin typeface="Meiryo UI" panose="020B0604030504040204" pitchFamily="50" charset="-128"/>
                <a:ea typeface="Meiryo UI" panose="020B0604030504040204" pitchFamily="50" charset="-128"/>
              </a:endParaRPr>
            </a:p>
          </xdr:txBody>
        </xdr:sp>
        <xdr:sp macro="" textlink="">
          <xdr:nvSpPr>
            <xdr:cNvPr id="20" name="Text Box 72">
              <a:extLst>
                <a:ext uri="{FF2B5EF4-FFF2-40B4-BE49-F238E27FC236}">
                  <a16:creationId xmlns:a16="http://schemas.microsoft.com/office/drawing/2014/main" id="{00000000-0008-0000-0200-000014000000}"/>
                </a:ext>
              </a:extLst>
            </xdr:cNvPr>
            <xdr:cNvSpPr txBox="1">
              <a:spLocks noChangeArrowheads="1"/>
            </xdr:cNvSpPr>
          </xdr:nvSpPr>
          <xdr:spPr bwMode="auto">
            <a:xfrm>
              <a:off x="541" y="1455"/>
              <a:ext cx="95"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：繰返し 終了</a:t>
              </a:r>
              <a:endParaRPr lang="ja-JP" altLang="en-US">
                <a:latin typeface="Meiryo UI" panose="020B0604030504040204" pitchFamily="50" charset="-128"/>
                <a:ea typeface="Meiryo UI" panose="020B0604030504040204" pitchFamily="50" charset="-128"/>
              </a:endParaRPr>
            </a:p>
          </xdr:txBody>
        </xdr:sp>
        <xdr:sp macro="" textlink="">
          <xdr:nvSpPr>
            <xdr:cNvPr id="21" name="Text Box 437">
              <a:extLst>
                <a:ext uri="{FF2B5EF4-FFF2-40B4-BE49-F238E27FC236}">
                  <a16:creationId xmlns:a16="http://schemas.microsoft.com/office/drawing/2014/main" id="{00000000-0008-0000-0200-000015000000}"/>
                </a:ext>
              </a:extLst>
            </xdr:cNvPr>
            <xdr:cNvSpPr txBox="1">
              <a:spLocks noChangeArrowheads="1"/>
            </xdr:cNvSpPr>
          </xdr:nvSpPr>
          <xdr:spPr bwMode="auto">
            <a:xfrm>
              <a:off x="487" y="1459"/>
              <a:ext cx="42" cy="18"/>
            </a:xfrm>
            <a:prstGeom prst="rect">
              <a:avLst/>
            </a:prstGeom>
            <a:solidFill>
              <a:srgbClr val="FFFFFF"/>
            </a:solidFill>
            <a:ln w="9525" algn="ctr">
              <a:noFill/>
              <a:miter lim="800000"/>
              <a:headEnd/>
              <a:tailEnd/>
            </a:ln>
            <a:effectLst/>
          </xdr:spPr>
        </xdr:sp>
        <xdr:grpSp>
          <xdr:nvGrpSpPr>
            <xdr:cNvPr id="22" name="Group 438">
              <a:extLst>
                <a:ext uri="{FF2B5EF4-FFF2-40B4-BE49-F238E27FC236}">
                  <a16:creationId xmlns:a16="http://schemas.microsoft.com/office/drawing/2014/main" id="{00000000-0008-0000-0200-000016000000}"/>
                </a:ext>
              </a:extLst>
            </xdr:cNvPr>
            <xdr:cNvGrpSpPr>
              <a:grpSpLocks/>
            </xdr:cNvGrpSpPr>
          </xdr:nvGrpSpPr>
          <xdr:grpSpPr bwMode="auto">
            <a:xfrm flipV="1">
              <a:off x="485" y="1459"/>
              <a:ext cx="42" cy="18"/>
              <a:chOff x="1608" y="940"/>
              <a:chExt cx="77" cy="36"/>
            </a:xfrm>
          </xdr:grpSpPr>
          <xdr:sp macro="" textlink="">
            <xdr:nvSpPr>
              <xdr:cNvPr id="37" name="Line 439">
                <a:extLst>
                  <a:ext uri="{FF2B5EF4-FFF2-40B4-BE49-F238E27FC236}">
                    <a16:creationId xmlns:a16="http://schemas.microsoft.com/office/drawing/2014/main" id="{00000000-0008-0000-0200-000025000000}"/>
                  </a:ext>
                </a:extLst>
              </xdr:cNvPr>
              <xdr:cNvSpPr>
                <a:spLocks noChangeShapeType="1"/>
              </xdr:cNvSpPr>
            </xdr:nvSpPr>
            <xdr:spPr bwMode="auto">
              <a:xfrm>
                <a:off x="1622" y="940"/>
                <a:ext cx="49" cy="0"/>
              </a:xfrm>
              <a:prstGeom prst="line">
                <a:avLst/>
              </a:prstGeom>
              <a:noFill/>
              <a:ln w="9525">
                <a:solidFill>
                  <a:srgbClr val="000000"/>
                </a:solidFill>
                <a:round/>
                <a:headEnd/>
                <a:tailEnd/>
              </a:ln>
              <a:effectLst/>
            </xdr:spPr>
          </xdr:sp>
          <xdr:sp macro="" textlink="">
            <xdr:nvSpPr>
              <xdr:cNvPr id="38" name="Line 440">
                <a:extLst>
                  <a:ext uri="{FF2B5EF4-FFF2-40B4-BE49-F238E27FC236}">
                    <a16:creationId xmlns:a16="http://schemas.microsoft.com/office/drawing/2014/main" id="{00000000-0008-0000-0200-000026000000}"/>
                  </a:ext>
                </a:extLst>
              </xdr:cNvPr>
              <xdr:cNvSpPr>
                <a:spLocks noChangeShapeType="1"/>
              </xdr:cNvSpPr>
            </xdr:nvSpPr>
            <xdr:spPr bwMode="auto">
              <a:xfrm>
                <a:off x="1685" y="950"/>
                <a:ext cx="0" cy="26"/>
              </a:xfrm>
              <a:prstGeom prst="line">
                <a:avLst/>
              </a:prstGeom>
              <a:noFill/>
              <a:ln w="9525">
                <a:solidFill>
                  <a:srgbClr val="000000"/>
                </a:solidFill>
                <a:round/>
                <a:headEnd/>
                <a:tailEnd/>
              </a:ln>
              <a:effectLst/>
            </xdr:spPr>
          </xdr:sp>
          <xdr:sp macro="" textlink="">
            <xdr:nvSpPr>
              <xdr:cNvPr id="39" name="Line 441">
                <a:extLst>
                  <a:ext uri="{FF2B5EF4-FFF2-40B4-BE49-F238E27FC236}">
                    <a16:creationId xmlns:a16="http://schemas.microsoft.com/office/drawing/2014/main" id="{00000000-0008-0000-0200-000027000000}"/>
                  </a:ext>
                </a:extLst>
              </xdr:cNvPr>
              <xdr:cNvSpPr>
                <a:spLocks noChangeShapeType="1"/>
              </xdr:cNvSpPr>
            </xdr:nvSpPr>
            <xdr:spPr bwMode="auto">
              <a:xfrm>
                <a:off x="1608" y="950"/>
                <a:ext cx="0" cy="26"/>
              </a:xfrm>
              <a:prstGeom prst="line">
                <a:avLst/>
              </a:prstGeom>
              <a:noFill/>
              <a:ln w="9525">
                <a:solidFill>
                  <a:srgbClr val="000000"/>
                </a:solidFill>
                <a:round/>
                <a:headEnd/>
                <a:tailEnd/>
              </a:ln>
              <a:effectLst/>
            </xdr:spPr>
          </xdr:sp>
          <xdr:cxnSp macro="">
            <xdr:nvCxnSpPr>
              <xdr:cNvPr id="40" name="AutoShape 442">
                <a:extLst>
                  <a:ext uri="{FF2B5EF4-FFF2-40B4-BE49-F238E27FC236}">
                    <a16:creationId xmlns:a16="http://schemas.microsoft.com/office/drawing/2014/main" id="{00000000-0008-0000-0200-000028000000}"/>
                  </a:ext>
                </a:extLst>
              </xdr:cNvPr>
              <xdr:cNvCxnSpPr>
                <a:cxnSpLocks noChangeShapeType="1"/>
                <a:stCxn id="37" idx="0"/>
                <a:endCxn id="39" idx="0"/>
              </xdr:cNvCxnSpPr>
            </xdr:nvCxnSpPr>
            <xdr:spPr bwMode="auto">
              <a:xfrm flipH="1">
                <a:off x="1608" y="940"/>
                <a:ext cx="14" cy="10"/>
              </a:xfrm>
              <a:prstGeom prst="straightConnector1">
                <a:avLst/>
              </a:prstGeom>
              <a:noFill/>
              <a:ln w="9525">
                <a:solidFill>
                  <a:srgbClr val="000000"/>
                </a:solidFill>
                <a:round/>
                <a:headEnd/>
                <a:tailEnd/>
              </a:ln>
              <a:effectLst/>
            </xdr:spPr>
          </xdr:cxnSp>
          <xdr:cxnSp macro="">
            <xdr:nvCxnSpPr>
              <xdr:cNvPr id="41" name="AutoShape 443">
                <a:extLst>
                  <a:ext uri="{FF2B5EF4-FFF2-40B4-BE49-F238E27FC236}">
                    <a16:creationId xmlns:a16="http://schemas.microsoft.com/office/drawing/2014/main" id="{00000000-0008-0000-0200-000029000000}"/>
                  </a:ext>
                </a:extLst>
              </xdr:cNvPr>
              <xdr:cNvCxnSpPr>
                <a:cxnSpLocks noChangeShapeType="1"/>
                <a:stCxn id="37" idx="1"/>
                <a:endCxn id="38" idx="0"/>
              </xdr:cNvCxnSpPr>
            </xdr:nvCxnSpPr>
            <xdr:spPr bwMode="auto">
              <a:xfrm>
                <a:off x="1671" y="940"/>
                <a:ext cx="14" cy="10"/>
              </a:xfrm>
              <a:prstGeom prst="straightConnector1">
                <a:avLst/>
              </a:prstGeom>
              <a:noFill/>
              <a:ln w="9525">
                <a:solidFill>
                  <a:srgbClr val="000000"/>
                </a:solidFill>
                <a:round/>
                <a:headEnd/>
                <a:tailEnd/>
              </a:ln>
              <a:effectLst/>
            </xdr:spPr>
          </xdr:cxnSp>
          <xdr:cxnSp macro="">
            <xdr:nvCxnSpPr>
              <xdr:cNvPr id="42" name="AutoShape 444">
                <a:extLst>
                  <a:ext uri="{FF2B5EF4-FFF2-40B4-BE49-F238E27FC236}">
                    <a16:creationId xmlns:a16="http://schemas.microsoft.com/office/drawing/2014/main" id="{00000000-0008-0000-0200-00002A000000}"/>
                  </a:ext>
                </a:extLst>
              </xdr:cNvPr>
              <xdr:cNvCxnSpPr>
                <a:cxnSpLocks noChangeShapeType="1"/>
                <a:stCxn id="39" idx="1"/>
                <a:endCxn id="38" idx="1"/>
              </xdr:cNvCxnSpPr>
            </xdr:nvCxnSpPr>
            <xdr:spPr bwMode="auto">
              <a:xfrm>
                <a:off x="1608" y="976"/>
                <a:ext cx="77" cy="0"/>
              </a:xfrm>
              <a:prstGeom prst="straightConnector1">
                <a:avLst/>
              </a:prstGeom>
              <a:noFill/>
              <a:ln w="9525">
                <a:solidFill>
                  <a:srgbClr val="000000"/>
                </a:solidFill>
                <a:round/>
                <a:headEnd/>
                <a:tailEnd/>
              </a:ln>
              <a:effectLst/>
            </xdr:spPr>
          </xdr:cxnSp>
        </xdr:grpSp>
        <xdr:sp macro="" textlink="">
          <xdr:nvSpPr>
            <xdr:cNvPr id="23" name="Text Box 87">
              <a:extLst>
                <a:ext uri="{FF2B5EF4-FFF2-40B4-BE49-F238E27FC236}">
                  <a16:creationId xmlns:a16="http://schemas.microsoft.com/office/drawing/2014/main" id="{00000000-0008-0000-0200-000017000000}"/>
                </a:ext>
              </a:extLst>
            </xdr:cNvPr>
            <xdr:cNvSpPr txBox="1">
              <a:spLocks noChangeArrowheads="1"/>
            </xdr:cNvSpPr>
          </xdr:nvSpPr>
          <xdr:spPr bwMode="auto">
            <a:xfrm>
              <a:off x="316" y="1428"/>
              <a:ext cx="132" cy="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：外部インタフェース</a:t>
              </a:r>
              <a:endParaRPr lang="ja-JP" altLang="en-US">
                <a:latin typeface="Meiryo UI" panose="020B0604030504040204" pitchFamily="50" charset="-128"/>
                <a:ea typeface="Meiryo UI" panose="020B0604030504040204" pitchFamily="50" charset="-128"/>
              </a:endParaRPr>
            </a:p>
          </xdr:txBody>
        </xdr:sp>
        <xdr:sp macro="" textlink="">
          <xdr:nvSpPr>
            <xdr:cNvPr id="24" name="AutoShape 89">
              <a:extLst>
                <a:ext uri="{FF2B5EF4-FFF2-40B4-BE49-F238E27FC236}">
                  <a16:creationId xmlns:a16="http://schemas.microsoft.com/office/drawing/2014/main" id="{00000000-0008-0000-0200-000018000000}"/>
                </a:ext>
              </a:extLst>
            </xdr:cNvPr>
            <xdr:cNvSpPr>
              <a:spLocks noChangeArrowheads="1"/>
            </xdr:cNvSpPr>
          </xdr:nvSpPr>
          <xdr:spPr bwMode="auto">
            <a:xfrm>
              <a:off x="262" y="1430"/>
              <a:ext cx="50" cy="19"/>
            </a:xfrm>
            <a:prstGeom prst="parallelogram">
              <a:avLst>
                <a:gd name="adj" fmla="val 65789"/>
              </a:avLst>
            </a:prstGeom>
            <a:solidFill>
              <a:srgbClr val="FFFFFF"/>
            </a:solidFill>
            <a:ln w="9525" algn="ctr">
              <a:solidFill>
                <a:srgbClr val="000000"/>
              </a:solidFill>
              <a:miter lim="800000"/>
              <a:headEnd/>
              <a:tailEnd/>
            </a:ln>
          </xdr:spPr>
        </xdr:sp>
        <xdr:sp macro="" textlink="">
          <xdr:nvSpPr>
            <xdr:cNvPr id="25" name="AutoShape 33">
              <a:extLst>
                <a:ext uri="{FF2B5EF4-FFF2-40B4-BE49-F238E27FC236}">
                  <a16:creationId xmlns:a16="http://schemas.microsoft.com/office/drawing/2014/main" id="{00000000-0008-0000-0200-000019000000}"/>
                </a:ext>
              </a:extLst>
            </xdr:cNvPr>
            <xdr:cNvSpPr>
              <a:spLocks noChangeArrowheads="1"/>
            </xdr:cNvSpPr>
          </xdr:nvSpPr>
          <xdr:spPr bwMode="auto">
            <a:xfrm>
              <a:off x="483" y="1492"/>
              <a:ext cx="48" cy="27"/>
            </a:xfrm>
            <a:prstGeom prst="flowChartDecision">
              <a:avLst/>
            </a:prstGeom>
            <a:solidFill>
              <a:srgbClr val="FFFFFF"/>
            </a:solidFill>
            <a:ln w="9525">
              <a:solidFill>
                <a:srgbClr val="000000"/>
              </a:solidFill>
              <a:miter lim="800000"/>
              <a:headEnd/>
              <a:tailEnd/>
            </a:ln>
          </xdr:spPr>
        </xdr:sp>
        <xdr:sp macro="" textlink="">
          <xdr:nvSpPr>
            <xdr:cNvPr id="26" name="Text Box 72">
              <a:extLst>
                <a:ext uri="{FF2B5EF4-FFF2-40B4-BE49-F238E27FC236}">
                  <a16:creationId xmlns:a16="http://schemas.microsoft.com/office/drawing/2014/main" id="{00000000-0008-0000-0200-00001A000000}"/>
                </a:ext>
              </a:extLst>
            </xdr:cNvPr>
            <xdr:cNvSpPr txBox="1">
              <a:spLocks noChangeArrowheads="1"/>
            </xdr:cNvSpPr>
          </xdr:nvSpPr>
          <xdr:spPr bwMode="auto">
            <a:xfrm>
              <a:off x="541" y="1494"/>
              <a:ext cx="79"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：条件分岐</a:t>
              </a:r>
              <a:endParaRPr lang="ja-JP" altLang="en-US">
                <a:latin typeface="Meiryo UI" panose="020B0604030504040204" pitchFamily="50" charset="-128"/>
                <a:ea typeface="Meiryo UI" panose="020B0604030504040204" pitchFamily="50" charset="-128"/>
              </a:endParaRPr>
            </a:p>
          </xdr:txBody>
        </xdr:sp>
        <xdr:grpSp>
          <xdr:nvGrpSpPr>
            <xdr:cNvPr id="27" name="グループ化 72">
              <a:extLst>
                <a:ext uri="{FF2B5EF4-FFF2-40B4-BE49-F238E27FC236}">
                  <a16:creationId xmlns:a16="http://schemas.microsoft.com/office/drawing/2014/main" id="{00000000-0008-0000-0200-00001B000000}"/>
                </a:ext>
              </a:extLst>
            </xdr:cNvPr>
            <xdr:cNvGrpSpPr>
              <a:grpSpLocks/>
            </xdr:cNvGrpSpPr>
          </xdr:nvGrpSpPr>
          <xdr:grpSpPr bwMode="auto">
            <a:xfrm>
              <a:off x="674" y="1456"/>
              <a:ext cx="19" cy="21"/>
              <a:chOff x="3195484" y="10763250"/>
              <a:chExt cx="187427" cy="182765"/>
            </a:xfrm>
          </xdr:grpSpPr>
          <xdr:sp macro="" textlink="">
            <xdr:nvSpPr>
              <xdr:cNvPr id="35" name="フローチャート : 結合子 183">
                <a:extLst>
                  <a:ext uri="{FF2B5EF4-FFF2-40B4-BE49-F238E27FC236}">
                    <a16:creationId xmlns:a16="http://schemas.microsoft.com/office/drawing/2014/main" id="{00000000-0008-0000-0200-000023000000}"/>
                  </a:ext>
                </a:extLst>
              </xdr:cNvPr>
              <xdr:cNvSpPr/>
            </xdr:nvSpPr>
            <xdr:spPr bwMode="auto">
              <a:xfrm>
                <a:off x="3256224" y="10827073"/>
                <a:ext cx="77328" cy="61405"/>
              </a:xfrm>
              <a:prstGeom prst="flowChartConnector">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latin typeface="Meiryo UI" panose="020B0604030504040204" pitchFamily="50" charset="-128"/>
                  <a:ea typeface="Meiryo UI" panose="020B0604030504040204" pitchFamily="50" charset="-128"/>
                </a:endParaRPr>
              </a:p>
            </xdr:txBody>
          </xdr:sp>
          <xdr:sp macro="" textlink="">
            <xdr:nvSpPr>
              <xdr:cNvPr id="36" name="フローチャート : 結合子 184">
                <a:extLst>
                  <a:ext uri="{FF2B5EF4-FFF2-40B4-BE49-F238E27FC236}">
                    <a16:creationId xmlns:a16="http://schemas.microsoft.com/office/drawing/2014/main" id="{00000000-0008-0000-0200-000024000000}"/>
                  </a:ext>
                </a:extLst>
              </xdr:cNvPr>
              <xdr:cNvSpPr/>
            </xdr:nvSpPr>
            <xdr:spPr bwMode="auto">
              <a:xfrm>
                <a:off x="3200989" y="10765668"/>
                <a:ext cx="176750" cy="184216"/>
              </a:xfrm>
              <a:prstGeom prst="flowChartConnector">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latin typeface="Meiryo UI" panose="020B0604030504040204" pitchFamily="50" charset="-128"/>
                  <a:ea typeface="Meiryo UI" panose="020B0604030504040204" pitchFamily="50" charset="-128"/>
                </a:endParaRPr>
              </a:p>
            </xdr:txBody>
          </xdr:sp>
        </xdr:grpSp>
        <xdr:sp macro="" textlink="">
          <xdr:nvSpPr>
            <xdr:cNvPr id="28" name="Text Box 87">
              <a:extLst>
                <a:ext uri="{FF2B5EF4-FFF2-40B4-BE49-F238E27FC236}">
                  <a16:creationId xmlns:a16="http://schemas.microsoft.com/office/drawing/2014/main" id="{00000000-0008-0000-0200-00001C000000}"/>
                </a:ext>
              </a:extLst>
            </xdr:cNvPr>
            <xdr:cNvSpPr txBox="1">
              <a:spLocks noChangeArrowheads="1"/>
            </xdr:cNvSpPr>
          </xdr:nvSpPr>
          <xdr:spPr bwMode="auto">
            <a:xfrm>
              <a:off x="719" y="1454"/>
              <a:ext cx="84"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：処理 終了</a:t>
              </a:r>
              <a:endParaRPr lang="ja-JP" altLang="en-US">
                <a:latin typeface="Meiryo UI" panose="020B0604030504040204" pitchFamily="50" charset="-128"/>
                <a:ea typeface="Meiryo UI" panose="020B0604030504040204" pitchFamily="50" charset="-128"/>
              </a:endParaRPr>
            </a:p>
          </xdr:txBody>
        </xdr:sp>
        <xdr:sp macro="" textlink="">
          <xdr:nvSpPr>
            <xdr:cNvPr id="29" name="Oval 13">
              <a:extLst>
                <a:ext uri="{FF2B5EF4-FFF2-40B4-BE49-F238E27FC236}">
                  <a16:creationId xmlns:a16="http://schemas.microsoft.com/office/drawing/2014/main" id="{00000000-0008-0000-0200-00001D000000}"/>
                </a:ext>
              </a:extLst>
            </xdr:cNvPr>
            <xdr:cNvSpPr>
              <a:spLocks noChangeArrowheads="1"/>
            </xdr:cNvSpPr>
          </xdr:nvSpPr>
          <xdr:spPr bwMode="auto">
            <a:xfrm>
              <a:off x="674" y="1424"/>
              <a:ext cx="17" cy="18"/>
            </a:xfrm>
            <a:prstGeom prst="ellipse">
              <a:avLst/>
            </a:prstGeom>
            <a:solidFill>
              <a:srgbClr val="333333"/>
            </a:solidFill>
            <a:ln w="9525">
              <a:solidFill>
                <a:srgbClr val="000000"/>
              </a:solidFill>
              <a:round/>
              <a:headEnd/>
              <a:tailEnd/>
            </a:ln>
          </xdr:spPr>
        </xdr:sp>
        <xdr:sp macro="" textlink="">
          <xdr:nvSpPr>
            <xdr:cNvPr id="30" name="Text Box 87">
              <a:extLst>
                <a:ext uri="{FF2B5EF4-FFF2-40B4-BE49-F238E27FC236}">
                  <a16:creationId xmlns:a16="http://schemas.microsoft.com/office/drawing/2014/main" id="{00000000-0008-0000-0200-00001E000000}"/>
                </a:ext>
              </a:extLst>
            </xdr:cNvPr>
            <xdr:cNvSpPr txBox="1">
              <a:spLocks noChangeArrowheads="1"/>
            </xdr:cNvSpPr>
          </xdr:nvSpPr>
          <xdr:spPr bwMode="auto">
            <a:xfrm>
              <a:off x="719" y="1421"/>
              <a:ext cx="84"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：処理 開始</a:t>
              </a:r>
              <a:endParaRPr lang="ja-JP" altLang="en-US">
                <a:latin typeface="Meiryo UI" panose="020B0604030504040204" pitchFamily="50" charset="-128"/>
                <a:ea typeface="Meiryo UI" panose="020B0604030504040204" pitchFamily="50" charset="-128"/>
              </a:endParaRPr>
            </a:p>
          </xdr:txBody>
        </xdr:sp>
        <xdr:sp macro="" textlink="">
          <xdr:nvSpPr>
            <xdr:cNvPr id="31" name="AutoShape 41">
              <a:extLst>
                <a:ext uri="{FF2B5EF4-FFF2-40B4-BE49-F238E27FC236}">
                  <a16:creationId xmlns:a16="http://schemas.microsoft.com/office/drawing/2014/main" id="{00000000-0008-0000-0200-00001F000000}"/>
                </a:ext>
              </a:extLst>
            </xdr:cNvPr>
            <xdr:cNvSpPr>
              <a:spLocks noChangeArrowheads="1"/>
            </xdr:cNvSpPr>
          </xdr:nvSpPr>
          <xdr:spPr bwMode="auto">
            <a:xfrm>
              <a:off x="266" y="1466"/>
              <a:ext cx="43" cy="24"/>
            </a:xfrm>
            <a:prstGeom prst="flowChartManualInput">
              <a:avLst/>
            </a:prstGeom>
            <a:solidFill>
              <a:srgbClr val="FFFFFF"/>
            </a:solidFill>
            <a:ln w="9525">
              <a:solidFill>
                <a:srgbClr val="000000"/>
              </a:solidFill>
              <a:miter lim="800000"/>
              <a:headEnd/>
              <a:tailEnd/>
            </a:ln>
          </xdr:spPr>
        </xdr:sp>
        <xdr:sp macro="" textlink="">
          <xdr:nvSpPr>
            <xdr:cNvPr id="32" name="Text Box 87">
              <a:extLst>
                <a:ext uri="{FF2B5EF4-FFF2-40B4-BE49-F238E27FC236}">
                  <a16:creationId xmlns:a16="http://schemas.microsoft.com/office/drawing/2014/main" id="{00000000-0008-0000-0200-000020000000}"/>
                </a:ext>
              </a:extLst>
            </xdr:cNvPr>
            <xdr:cNvSpPr txBox="1">
              <a:spLocks noChangeArrowheads="1"/>
            </xdr:cNvSpPr>
          </xdr:nvSpPr>
          <xdr:spPr bwMode="auto">
            <a:xfrm>
              <a:off x="318" y="1463"/>
              <a:ext cx="48"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：画面</a:t>
              </a:r>
              <a:endParaRPr lang="ja-JP" altLang="en-US">
                <a:latin typeface="Meiryo UI" panose="020B0604030504040204" pitchFamily="50" charset="-128"/>
                <a:ea typeface="Meiryo UI" panose="020B0604030504040204" pitchFamily="50" charset="-128"/>
              </a:endParaRPr>
            </a:p>
          </xdr:txBody>
        </xdr:sp>
        <xdr:sp macro="" textlink="">
          <xdr:nvSpPr>
            <xdr:cNvPr id="33" name="AutoShape 43">
              <a:extLst>
                <a:ext uri="{FF2B5EF4-FFF2-40B4-BE49-F238E27FC236}">
                  <a16:creationId xmlns:a16="http://schemas.microsoft.com/office/drawing/2014/main" id="{00000000-0008-0000-0200-000021000000}"/>
                </a:ext>
              </a:extLst>
            </xdr:cNvPr>
            <xdr:cNvSpPr>
              <a:spLocks noChangeArrowheads="1"/>
            </xdr:cNvSpPr>
          </xdr:nvSpPr>
          <xdr:spPr bwMode="auto">
            <a:xfrm>
              <a:off x="267" y="1510"/>
              <a:ext cx="42" cy="22"/>
            </a:xfrm>
            <a:prstGeom prst="flowChartDocument">
              <a:avLst/>
            </a:prstGeom>
            <a:solidFill>
              <a:srgbClr val="FFFFFF"/>
            </a:solidFill>
            <a:ln w="9525">
              <a:solidFill>
                <a:srgbClr val="000000"/>
              </a:solidFill>
              <a:miter lim="800000"/>
              <a:headEnd/>
              <a:tailEnd/>
            </a:ln>
          </xdr:spPr>
        </xdr:sp>
        <xdr:sp macro="" textlink="">
          <xdr:nvSpPr>
            <xdr:cNvPr id="34" name="Text Box 87">
              <a:extLst>
                <a:ext uri="{FF2B5EF4-FFF2-40B4-BE49-F238E27FC236}">
                  <a16:creationId xmlns:a16="http://schemas.microsoft.com/office/drawing/2014/main" id="{00000000-0008-0000-0200-000022000000}"/>
                </a:ext>
              </a:extLst>
            </xdr:cNvPr>
            <xdr:cNvSpPr txBox="1">
              <a:spLocks noChangeArrowheads="1"/>
            </xdr:cNvSpPr>
          </xdr:nvSpPr>
          <xdr:spPr bwMode="auto">
            <a:xfrm>
              <a:off x="322" y="1509"/>
              <a:ext cx="48" cy="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：帳票</a:t>
              </a:r>
              <a:endParaRPr lang="ja-JP" altLang="en-US">
                <a:latin typeface="Meiryo UI" panose="020B0604030504040204" pitchFamily="50" charset="-128"/>
                <a:ea typeface="Meiryo UI" panose="020B0604030504040204" pitchFamily="50" charset="-128"/>
              </a:endParaRPr>
            </a:p>
          </xdr:txBody>
        </xdr:sp>
      </xdr:grpSp>
      <xdr:sp macro="" textlink="">
        <xdr:nvSpPr>
          <xdr:cNvPr id="4" name="Text Box 13">
            <a:extLst>
              <a:ext uri="{FF2B5EF4-FFF2-40B4-BE49-F238E27FC236}">
                <a16:creationId xmlns:a16="http://schemas.microsoft.com/office/drawing/2014/main" id="{00000000-0008-0000-0200-000004000000}"/>
              </a:ext>
            </a:extLst>
          </xdr:cNvPr>
          <xdr:cNvSpPr txBox="1">
            <a:spLocks noChangeArrowheads="1"/>
          </xdr:cNvSpPr>
        </xdr:nvSpPr>
        <xdr:spPr bwMode="auto">
          <a:xfrm>
            <a:off x="8920500" y="14561669"/>
            <a:ext cx="1460650" cy="316529"/>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：トランザクション範囲</a:t>
            </a:r>
          </a:p>
        </xdr:txBody>
      </xdr:sp>
      <xdr:sp macro="" textlink="">
        <xdr:nvSpPr>
          <xdr:cNvPr id="5" name="大かっこ 4">
            <a:extLst>
              <a:ext uri="{FF2B5EF4-FFF2-40B4-BE49-F238E27FC236}">
                <a16:creationId xmlns:a16="http://schemas.microsoft.com/office/drawing/2014/main" id="{00000000-0008-0000-0200-000005000000}"/>
              </a:ext>
            </a:extLst>
          </xdr:cNvPr>
          <xdr:cNvSpPr/>
        </xdr:nvSpPr>
        <xdr:spPr>
          <a:xfrm>
            <a:off x="8236324" y="14500412"/>
            <a:ext cx="607219" cy="333374"/>
          </a:xfrm>
          <a:prstGeom prst="bracketPair">
            <a:avLst>
              <a:gd name="adj" fmla="val 26568"/>
            </a:avLst>
          </a:prstGeom>
          <a:ln w="25400">
            <a:solidFill>
              <a:srgbClr val="FF0000"/>
            </a:solidFill>
            <a:prstDash val="dash"/>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8225117" y="14959853"/>
            <a:ext cx="616324" cy="275664"/>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latin typeface="Meiryo UI" panose="020B0604030504040204" pitchFamily="50" charset="-128"/>
              <a:ea typeface="Meiryo UI" panose="020B0604030504040204" pitchFamily="50" charset="-128"/>
            </a:endParaRPr>
          </a:p>
        </xdr:txBody>
      </xdr:sp>
      <xdr:sp macro="" textlink="">
        <xdr:nvSpPr>
          <xdr:cNvPr id="7" name="Text Box 13">
            <a:extLst>
              <a:ext uri="{FF2B5EF4-FFF2-40B4-BE49-F238E27FC236}">
                <a16:creationId xmlns:a16="http://schemas.microsoft.com/office/drawing/2014/main" id="{00000000-0008-0000-0200-000007000000}"/>
              </a:ext>
            </a:extLst>
          </xdr:cNvPr>
          <xdr:cNvSpPr txBox="1">
            <a:spLocks noChangeArrowheads="1"/>
          </xdr:cNvSpPr>
        </xdr:nvSpPr>
        <xdr:spPr bwMode="auto">
          <a:xfrm>
            <a:off x="8920500" y="14976286"/>
            <a:ext cx="1460650" cy="316529"/>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：区分け</a:t>
            </a:r>
          </a:p>
        </xdr:txBody>
      </xdr:sp>
    </xdr:grpSp>
    <xdr:clientData/>
  </xdr:twoCellAnchor>
  <xdr:twoCellAnchor>
    <xdr:from>
      <xdr:col>42</xdr:col>
      <xdr:colOff>128068</xdr:colOff>
      <xdr:row>17</xdr:row>
      <xdr:rowOff>38100</xdr:rowOff>
    </xdr:from>
    <xdr:to>
      <xdr:col>42</xdr:col>
      <xdr:colOff>128068</xdr:colOff>
      <xdr:row>17</xdr:row>
      <xdr:rowOff>38100</xdr:rowOff>
    </xdr:to>
    <xdr:sp macro="" textlink="">
      <xdr:nvSpPr>
        <xdr:cNvPr id="51" name="Line 2">
          <a:extLst>
            <a:ext uri="{FF2B5EF4-FFF2-40B4-BE49-F238E27FC236}">
              <a16:creationId xmlns:a16="http://schemas.microsoft.com/office/drawing/2014/main" id="{00000000-0008-0000-0200-000033000000}"/>
            </a:ext>
          </a:extLst>
        </xdr:cNvPr>
        <xdr:cNvSpPr>
          <a:spLocks noChangeShapeType="1"/>
        </xdr:cNvSpPr>
      </xdr:nvSpPr>
      <xdr:spPr bwMode="auto">
        <a:xfrm>
          <a:off x="8529118" y="4533900"/>
          <a:ext cx="0" cy="0"/>
        </a:xfrm>
        <a:prstGeom prst="line">
          <a:avLst/>
        </a:prstGeom>
        <a:noFill/>
        <a:ln w="9525">
          <a:solidFill>
            <a:srgbClr val="000000"/>
          </a:solidFill>
          <a:round/>
          <a:headEnd/>
          <a:tailEnd/>
        </a:ln>
      </xdr:spPr>
    </xdr:sp>
    <xdr:clientData/>
  </xdr:twoCellAnchor>
  <xdr:oneCellAnchor>
    <xdr:from>
      <xdr:col>15</xdr:col>
      <xdr:colOff>157078</xdr:colOff>
      <xdr:row>18</xdr:row>
      <xdr:rowOff>107614</xdr:rowOff>
    </xdr:from>
    <xdr:ext cx="4330699" cy="325217"/>
    <xdr:sp macro="" textlink="">
      <xdr:nvSpPr>
        <xdr:cNvPr id="52" name="テキスト ボックス 51">
          <a:extLst>
            <a:ext uri="{FF2B5EF4-FFF2-40B4-BE49-F238E27FC236}">
              <a16:creationId xmlns:a16="http://schemas.microsoft.com/office/drawing/2014/main" id="{00000000-0008-0000-0200-000034000000}"/>
            </a:ext>
          </a:extLst>
        </xdr:cNvPr>
        <xdr:cNvSpPr txBox="1"/>
      </xdr:nvSpPr>
      <xdr:spPr>
        <a:xfrm>
          <a:off x="3157453" y="4803439"/>
          <a:ext cx="4330699" cy="325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spAutoFit/>
        </a:bodyPr>
        <a:lstStyle/>
        <a:p>
          <a:pPr algn="ctr"/>
          <a:r>
            <a:rPr kumimoji="1" lang="ja-JP" altLang="en-US" sz="1100">
              <a:solidFill>
                <a:schemeClr val="dk1"/>
              </a:solidFill>
              <a:effectLst/>
              <a:latin typeface="Meiryo UI" panose="020B0604030504040204" pitchFamily="50" charset="-128"/>
              <a:ea typeface="Meiryo UI" panose="020B0604030504040204" pitchFamily="50" charset="-128"/>
              <a:cs typeface="+mn-cs"/>
            </a:rPr>
            <a:t>環境証明書取込みバッチ　</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Batch</a:t>
          </a: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endParaRPr lang="ja-JP" altLang="ja-JP">
            <a:effectLst/>
            <a:latin typeface="Meiryo UI" panose="020B0604030504040204" pitchFamily="50" charset="-128"/>
            <a:ea typeface="Meiryo UI" panose="020B0604030504040204" pitchFamily="50" charset="-128"/>
          </a:endParaRPr>
        </a:p>
      </xdr:txBody>
    </xdr:sp>
    <xdr:clientData/>
  </xdr:oneCellAnchor>
  <xdr:twoCellAnchor>
    <xdr:from>
      <xdr:col>25</xdr:col>
      <xdr:colOff>196141</xdr:colOff>
      <xdr:row>19</xdr:row>
      <xdr:rowOff>178815</xdr:rowOff>
    </xdr:from>
    <xdr:to>
      <xdr:col>26</xdr:col>
      <xdr:colOff>162462</xdr:colOff>
      <xdr:row>20</xdr:row>
      <xdr:rowOff>153796</xdr:rowOff>
    </xdr:to>
    <xdr:sp macro="" textlink="">
      <xdr:nvSpPr>
        <xdr:cNvPr id="53" name="Oval 13">
          <a:extLst>
            <a:ext uri="{FF2B5EF4-FFF2-40B4-BE49-F238E27FC236}">
              <a16:creationId xmlns:a16="http://schemas.microsoft.com/office/drawing/2014/main" id="{00000000-0008-0000-0200-000035000000}"/>
            </a:ext>
          </a:extLst>
        </xdr:cNvPr>
        <xdr:cNvSpPr>
          <a:spLocks noChangeArrowheads="1"/>
        </xdr:cNvSpPr>
      </xdr:nvSpPr>
      <xdr:spPr bwMode="auto">
        <a:xfrm>
          <a:off x="5196766" y="5074665"/>
          <a:ext cx="166346" cy="175006"/>
        </a:xfrm>
        <a:prstGeom prst="ellipse">
          <a:avLst/>
        </a:prstGeom>
        <a:solidFill>
          <a:srgbClr val="333333"/>
        </a:solidFill>
        <a:ln w="9525">
          <a:solidFill>
            <a:srgbClr val="000000"/>
          </a:solidFill>
          <a:round/>
          <a:headEnd/>
          <a:tailEnd/>
        </a:ln>
      </xdr:spPr>
    </xdr:sp>
    <xdr:clientData/>
  </xdr:twoCellAnchor>
  <xdr:twoCellAnchor>
    <xdr:from>
      <xdr:col>12</xdr:col>
      <xdr:colOff>0</xdr:colOff>
      <xdr:row>94</xdr:row>
      <xdr:rowOff>123265</xdr:rowOff>
    </xdr:from>
    <xdr:to>
      <xdr:col>13</xdr:col>
      <xdr:colOff>42426</xdr:colOff>
      <xdr:row>95</xdr:row>
      <xdr:rowOff>181696</xdr:rowOff>
    </xdr:to>
    <xdr:grpSp>
      <xdr:nvGrpSpPr>
        <xdr:cNvPr id="54" name="グループ化 53">
          <a:extLst>
            <a:ext uri="{FF2B5EF4-FFF2-40B4-BE49-F238E27FC236}">
              <a16:creationId xmlns:a16="http://schemas.microsoft.com/office/drawing/2014/main" id="{00000000-0008-0000-0200-000036000000}"/>
            </a:ext>
          </a:extLst>
        </xdr:cNvPr>
        <xdr:cNvGrpSpPr/>
      </xdr:nvGrpSpPr>
      <xdr:grpSpPr>
        <a:xfrm>
          <a:off x="2420471" y="18164736"/>
          <a:ext cx="244131" cy="260136"/>
          <a:chOff x="5591732" y="12046324"/>
          <a:chExt cx="246533" cy="257735"/>
        </a:xfrm>
      </xdr:grpSpPr>
      <xdr:sp macro="" textlink="">
        <xdr:nvSpPr>
          <xdr:cNvPr id="55" name="フローチャート : 結合子 184">
            <a:extLst>
              <a:ext uri="{FF2B5EF4-FFF2-40B4-BE49-F238E27FC236}">
                <a16:creationId xmlns:a16="http://schemas.microsoft.com/office/drawing/2014/main" id="{00000000-0008-0000-0200-000037000000}"/>
              </a:ext>
            </a:extLst>
          </xdr:cNvPr>
          <xdr:cNvSpPr/>
        </xdr:nvSpPr>
        <xdr:spPr bwMode="auto">
          <a:xfrm>
            <a:off x="5591732" y="12046324"/>
            <a:ext cx="246533" cy="257735"/>
          </a:xfrm>
          <a:prstGeom prst="flowChartConnector">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latin typeface="Meiryo UI" panose="020B0604030504040204" pitchFamily="50" charset="-128"/>
              <a:ea typeface="Meiryo UI" panose="020B0604030504040204" pitchFamily="50" charset="-128"/>
            </a:endParaRPr>
          </a:p>
        </xdr:txBody>
      </xdr:sp>
      <xdr:sp macro="" textlink="">
        <xdr:nvSpPr>
          <xdr:cNvPr id="56" name="フローチャート : 結合子 183">
            <a:extLst>
              <a:ext uri="{FF2B5EF4-FFF2-40B4-BE49-F238E27FC236}">
                <a16:creationId xmlns:a16="http://schemas.microsoft.com/office/drawing/2014/main" id="{00000000-0008-0000-0200-000038000000}"/>
              </a:ext>
            </a:extLst>
          </xdr:cNvPr>
          <xdr:cNvSpPr/>
        </xdr:nvSpPr>
        <xdr:spPr bwMode="auto">
          <a:xfrm>
            <a:off x="5681383" y="12147177"/>
            <a:ext cx="77480" cy="67689"/>
          </a:xfrm>
          <a:prstGeom prst="flowChartConnector">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latin typeface="Meiryo UI" panose="020B0604030504040204" pitchFamily="50" charset="-128"/>
              <a:ea typeface="Meiryo UI" panose="020B0604030504040204" pitchFamily="50" charset="-128"/>
            </a:endParaRPr>
          </a:p>
        </xdr:txBody>
      </xdr:sp>
    </xdr:grpSp>
    <xdr:clientData/>
  </xdr:twoCellAnchor>
  <xdr:twoCellAnchor>
    <xdr:from>
      <xdr:col>26</xdr:col>
      <xdr:colOff>75253</xdr:colOff>
      <xdr:row>20</xdr:row>
      <xdr:rowOff>153796</xdr:rowOff>
    </xdr:from>
    <xdr:to>
      <xdr:col>26</xdr:col>
      <xdr:colOff>79289</xdr:colOff>
      <xdr:row>22</xdr:row>
      <xdr:rowOff>68036</xdr:rowOff>
    </xdr:to>
    <xdr:cxnSp macro="">
      <xdr:nvCxnSpPr>
        <xdr:cNvPr id="58" name="直線矢印コネクタ 57">
          <a:extLst>
            <a:ext uri="{FF2B5EF4-FFF2-40B4-BE49-F238E27FC236}">
              <a16:creationId xmlns:a16="http://schemas.microsoft.com/office/drawing/2014/main" id="{00000000-0008-0000-0200-00003A000000}"/>
            </a:ext>
          </a:extLst>
        </xdr:cNvPr>
        <xdr:cNvCxnSpPr>
          <a:stCxn id="53" idx="4"/>
          <a:endCxn id="99" idx="0"/>
        </xdr:cNvCxnSpPr>
      </xdr:nvCxnSpPr>
      <xdr:spPr>
        <a:xfrm flipH="1">
          <a:off x="5275903" y="5249671"/>
          <a:ext cx="4036" cy="3142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86774</xdr:colOff>
      <xdr:row>59</xdr:row>
      <xdr:rowOff>123826</xdr:rowOff>
    </xdr:from>
    <xdr:to>
      <xdr:col>26</xdr:col>
      <xdr:colOff>97980</xdr:colOff>
      <xdr:row>63</xdr:row>
      <xdr:rowOff>89500</xdr:rowOff>
    </xdr:to>
    <xdr:cxnSp macro="">
      <xdr:nvCxnSpPr>
        <xdr:cNvPr id="59" name="直線矢印コネクタ 58">
          <a:extLst>
            <a:ext uri="{FF2B5EF4-FFF2-40B4-BE49-F238E27FC236}">
              <a16:creationId xmlns:a16="http://schemas.microsoft.com/office/drawing/2014/main" id="{00000000-0008-0000-0200-00003B000000}"/>
            </a:ext>
          </a:extLst>
        </xdr:cNvPr>
        <xdr:cNvCxnSpPr>
          <a:stCxn id="63" idx="2"/>
          <a:endCxn id="64" idx="0"/>
        </xdr:cNvCxnSpPr>
      </xdr:nvCxnSpPr>
      <xdr:spPr>
        <a:xfrm>
          <a:off x="5331127" y="11105591"/>
          <a:ext cx="11206" cy="77249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86774</xdr:colOff>
      <xdr:row>65</xdr:row>
      <xdr:rowOff>54106</xdr:rowOff>
    </xdr:from>
    <xdr:to>
      <xdr:col>26</xdr:col>
      <xdr:colOff>97980</xdr:colOff>
      <xdr:row>69</xdr:row>
      <xdr:rowOff>47640</xdr:rowOff>
    </xdr:to>
    <xdr:cxnSp macro="">
      <xdr:nvCxnSpPr>
        <xdr:cNvPr id="60" name="直線矢印コネクタ 59">
          <a:extLst>
            <a:ext uri="{FF2B5EF4-FFF2-40B4-BE49-F238E27FC236}">
              <a16:creationId xmlns:a16="http://schemas.microsoft.com/office/drawing/2014/main" id="{00000000-0008-0000-0200-00003C000000}"/>
            </a:ext>
          </a:extLst>
        </xdr:cNvPr>
        <xdr:cNvCxnSpPr>
          <a:stCxn id="64" idx="2"/>
          <a:endCxn id="65" idx="0"/>
        </xdr:cNvCxnSpPr>
      </xdr:nvCxnSpPr>
      <xdr:spPr>
        <a:xfrm flipH="1">
          <a:off x="5331127" y="12246106"/>
          <a:ext cx="11206" cy="80035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86774</xdr:colOff>
      <xdr:row>50</xdr:row>
      <xdr:rowOff>56191</xdr:rowOff>
    </xdr:from>
    <xdr:to>
      <xdr:col>26</xdr:col>
      <xdr:colOff>88814</xdr:colOff>
      <xdr:row>51</xdr:row>
      <xdr:rowOff>125188</xdr:rowOff>
    </xdr:to>
    <xdr:cxnSp macro="">
      <xdr:nvCxnSpPr>
        <xdr:cNvPr id="61" name="直線矢印コネクタ 60">
          <a:extLst>
            <a:ext uri="{FF2B5EF4-FFF2-40B4-BE49-F238E27FC236}">
              <a16:creationId xmlns:a16="http://schemas.microsoft.com/office/drawing/2014/main" id="{00000000-0008-0000-0200-00003D000000}"/>
            </a:ext>
          </a:extLst>
        </xdr:cNvPr>
        <xdr:cNvCxnSpPr>
          <a:stCxn id="77" idx="2"/>
          <a:endCxn id="72" idx="0"/>
        </xdr:cNvCxnSpPr>
      </xdr:nvCxnSpPr>
      <xdr:spPr>
        <a:xfrm flipH="1">
          <a:off x="5287424" y="10114591"/>
          <a:ext cx="2040" cy="2309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86774</xdr:colOff>
      <xdr:row>54</xdr:row>
      <xdr:rowOff>2292</xdr:rowOff>
    </xdr:from>
    <xdr:to>
      <xdr:col>26</xdr:col>
      <xdr:colOff>86774</xdr:colOff>
      <xdr:row>57</xdr:row>
      <xdr:rowOff>67236</xdr:rowOff>
    </xdr:to>
    <xdr:cxnSp macro="">
      <xdr:nvCxnSpPr>
        <xdr:cNvPr id="62" name="直線矢印コネクタ 61">
          <a:extLst>
            <a:ext uri="{FF2B5EF4-FFF2-40B4-BE49-F238E27FC236}">
              <a16:creationId xmlns:a16="http://schemas.microsoft.com/office/drawing/2014/main" id="{00000000-0008-0000-0200-00003E000000}"/>
            </a:ext>
          </a:extLst>
        </xdr:cNvPr>
        <xdr:cNvCxnSpPr>
          <a:stCxn id="72" idx="2"/>
          <a:endCxn id="63" idx="0"/>
        </xdr:cNvCxnSpPr>
      </xdr:nvCxnSpPr>
      <xdr:spPr>
        <a:xfrm>
          <a:off x="5331127" y="10748733"/>
          <a:ext cx="0" cy="53559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64963</xdr:colOff>
      <xdr:row>57</xdr:row>
      <xdr:rowOff>67236</xdr:rowOff>
    </xdr:from>
    <xdr:to>
      <xdr:col>34</xdr:col>
      <xdr:colOff>108584</xdr:colOff>
      <xdr:row>59</xdr:row>
      <xdr:rowOff>123826</xdr:rowOff>
    </xdr:to>
    <xdr:sp macro="" textlink="">
      <xdr:nvSpPr>
        <xdr:cNvPr id="63" name="フローチャート: 処理 62">
          <a:extLst>
            <a:ext uri="{FF2B5EF4-FFF2-40B4-BE49-F238E27FC236}">
              <a16:creationId xmlns:a16="http://schemas.microsoft.com/office/drawing/2014/main" id="{00000000-0008-0000-0200-00003F000000}"/>
            </a:ext>
          </a:extLst>
        </xdr:cNvPr>
        <xdr:cNvSpPr/>
      </xdr:nvSpPr>
      <xdr:spPr>
        <a:xfrm>
          <a:off x="3695669" y="11284324"/>
          <a:ext cx="3270915" cy="370355"/>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1-5</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　帳票一式</a:t>
          </a: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ZIP</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ファイル取得</a:t>
          </a:r>
          <a:endPar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18</xdr:col>
      <xdr:colOff>76169</xdr:colOff>
      <xdr:row>63</xdr:row>
      <xdr:rowOff>89500</xdr:rowOff>
    </xdr:from>
    <xdr:to>
      <xdr:col>34</xdr:col>
      <xdr:colOff>119790</xdr:colOff>
      <xdr:row>65</xdr:row>
      <xdr:rowOff>54106</xdr:rowOff>
    </xdr:to>
    <xdr:sp macro="" textlink="">
      <xdr:nvSpPr>
        <xdr:cNvPr id="64" name="フローチャート: 処理 63">
          <a:extLst>
            <a:ext uri="{FF2B5EF4-FFF2-40B4-BE49-F238E27FC236}">
              <a16:creationId xmlns:a16="http://schemas.microsoft.com/office/drawing/2014/main" id="{00000000-0008-0000-0200-000040000000}"/>
            </a:ext>
          </a:extLst>
        </xdr:cNvPr>
        <xdr:cNvSpPr/>
      </xdr:nvSpPr>
      <xdr:spPr>
        <a:xfrm>
          <a:off x="3706875" y="11878088"/>
          <a:ext cx="3270915" cy="368018"/>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1-6</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　申請ステータス更新</a:t>
          </a:r>
          <a:endPar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18</xdr:col>
      <xdr:colOff>64963</xdr:colOff>
      <xdr:row>69</xdr:row>
      <xdr:rowOff>47640</xdr:rowOff>
    </xdr:from>
    <xdr:to>
      <xdr:col>34</xdr:col>
      <xdr:colOff>108584</xdr:colOff>
      <xdr:row>71</xdr:row>
      <xdr:rowOff>12246</xdr:rowOff>
    </xdr:to>
    <xdr:sp macro="" textlink="">
      <xdr:nvSpPr>
        <xdr:cNvPr id="65" name="フローチャート: 処理 64">
          <a:extLst>
            <a:ext uri="{FF2B5EF4-FFF2-40B4-BE49-F238E27FC236}">
              <a16:creationId xmlns:a16="http://schemas.microsoft.com/office/drawing/2014/main" id="{00000000-0008-0000-0200-000041000000}"/>
            </a:ext>
          </a:extLst>
        </xdr:cNvPr>
        <xdr:cNvSpPr/>
      </xdr:nvSpPr>
      <xdr:spPr>
        <a:xfrm>
          <a:off x="3665413" y="13401690"/>
          <a:ext cx="3244021" cy="364656"/>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1-7</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　メール送信　</a:t>
          </a:r>
          <a:endPar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38</xdr:col>
      <xdr:colOff>54748</xdr:colOff>
      <xdr:row>62</xdr:row>
      <xdr:rowOff>166405</xdr:rowOff>
    </xdr:from>
    <xdr:to>
      <xdr:col>42</xdr:col>
      <xdr:colOff>163604</xdr:colOff>
      <xdr:row>66</xdr:row>
      <xdr:rowOff>69758</xdr:rowOff>
    </xdr:to>
    <xdr:grpSp>
      <xdr:nvGrpSpPr>
        <xdr:cNvPr id="66" name="グループ化 65">
          <a:extLst>
            <a:ext uri="{FF2B5EF4-FFF2-40B4-BE49-F238E27FC236}">
              <a16:creationId xmlns:a16="http://schemas.microsoft.com/office/drawing/2014/main" id="{00000000-0008-0000-0200-000042000000}"/>
            </a:ext>
          </a:extLst>
        </xdr:cNvPr>
        <xdr:cNvGrpSpPr/>
      </xdr:nvGrpSpPr>
      <xdr:grpSpPr>
        <a:xfrm>
          <a:off x="7719572" y="11753287"/>
          <a:ext cx="915679" cy="710177"/>
          <a:chOff x="8694964" y="10477855"/>
          <a:chExt cx="925285" cy="775608"/>
        </a:xfrm>
      </xdr:grpSpPr>
      <xdr:sp macro="" textlink="">
        <xdr:nvSpPr>
          <xdr:cNvPr id="67" name="AutoShape 75">
            <a:extLst>
              <a:ext uri="{FF2B5EF4-FFF2-40B4-BE49-F238E27FC236}">
                <a16:creationId xmlns:a16="http://schemas.microsoft.com/office/drawing/2014/main" id="{00000000-0008-0000-0200-000043000000}"/>
              </a:ext>
            </a:extLst>
          </xdr:cNvPr>
          <xdr:cNvSpPr>
            <a:spLocks noChangeArrowheads="1"/>
          </xdr:cNvSpPr>
        </xdr:nvSpPr>
        <xdr:spPr bwMode="auto">
          <a:xfrm>
            <a:off x="8694964" y="10477855"/>
            <a:ext cx="925285" cy="775608"/>
          </a:xfrm>
          <a:prstGeom prst="can">
            <a:avLst>
              <a:gd name="adj" fmla="val 25000"/>
            </a:avLst>
          </a:prstGeom>
          <a:solidFill>
            <a:srgbClr val="FFFFFF"/>
          </a:solidFill>
          <a:ln w="9525">
            <a:solidFill>
              <a:srgbClr val="000000"/>
            </a:solidFill>
            <a:round/>
            <a:headEnd/>
            <a:tailEnd/>
          </a:ln>
        </xdr:spPr>
      </xdr:sp>
      <xdr:sp macro="" textlink="">
        <xdr:nvSpPr>
          <xdr:cNvPr id="68" name="テキスト ボックス 67">
            <a:extLst>
              <a:ext uri="{FF2B5EF4-FFF2-40B4-BE49-F238E27FC236}">
                <a16:creationId xmlns:a16="http://schemas.microsoft.com/office/drawing/2014/main" id="{00000000-0008-0000-0200-000044000000}"/>
              </a:ext>
            </a:extLst>
          </xdr:cNvPr>
          <xdr:cNvSpPr txBox="1"/>
        </xdr:nvSpPr>
        <xdr:spPr>
          <a:xfrm>
            <a:off x="8735792" y="10583082"/>
            <a:ext cx="870859" cy="650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ja-JP" sz="1000">
                <a:solidFill>
                  <a:schemeClr val="dk1"/>
                </a:solidFill>
                <a:effectLst/>
                <a:latin typeface="Meiryo UI" panose="020B0604030504040204" pitchFamily="50" charset="-128"/>
                <a:ea typeface="Meiryo UI" panose="020B0604030504040204" pitchFamily="50" charset="-128"/>
                <a:cs typeface="+mn-cs"/>
              </a:rPr>
              <a:t>環境証明書申請</a:t>
            </a:r>
            <a:endParaRPr lang="ja-JP" altLang="ja-JP" sz="800">
              <a:effectLst/>
              <a:latin typeface="Meiryo UI" panose="020B0604030504040204" pitchFamily="50" charset="-128"/>
              <a:ea typeface="Meiryo UI" panose="020B0604030504040204" pitchFamily="50" charset="-128"/>
            </a:endParaRPr>
          </a:p>
        </xdr:txBody>
      </xdr:sp>
    </xdr:grpSp>
    <xdr:clientData/>
  </xdr:twoCellAnchor>
  <xdr:twoCellAnchor>
    <xdr:from>
      <xdr:col>34</xdr:col>
      <xdr:colOff>123264</xdr:colOff>
      <xdr:row>64</xdr:row>
      <xdr:rowOff>78440</xdr:rowOff>
    </xdr:from>
    <xdr:to>
      <xdr:col>38</xdr:col>
      <xdr:colOff>56029</xdr:colOff>
      <xdr:row>64</xdr:row>
      <xdr:rowOff>89645</xdr:rowOff>
    </xdr:to>
    <xdr:sp macro="" textlink="">
      <xdr:nvSpPr>
        <xdr:cNvPr id="69" name="Line 79">
          <a:extLst>
            <a:ext uri="{FF2B5EF4-FFF2-40B4-BE49-F238E27FC236}">
              <a16:creationId xmlns:a16="http://schemas.microsoft.com/office/drawing/2014/main" id="{00000000-0008-0000-0200-000045000000}"/>
            </a:ext>
          </a:extLst>
        </xdr:cNvPr>
        <xdr:cNvSpPr>
          <a:spLocks noChangeShapeType="1"/>
        </xdr:cNvSpPr>
      </xdr:nvSpPr>
      <xdr:spPr bwMode="auto">
        <a:xfrm flipV="1">
          <a:off x="6981264" y="12068734"/>
          <a:ext cx="739589" cy="11205"/>
        </a:xfrm>
        <a:prstGeom prst="line">
          <a:avLst/>
        </a:prstGeom>
        <a:noFill/>
        <a:ln w="9525">
          <a:solidFill>
            <a:srgbClr val="000000"/>
          </a:solidFill>
          <a:prstDash val="dash"/>
          <a:round/>
          <a:headEnd/>
          <a:tailEnd type="triangle" w="med" len="med"/>
        </a:ln>
      </xdr:spPr>
    </xdr:sp>
    <xdr:clientData/>
  </xdr:twoCellAnchor>
  <xdr:twoCellAnchor>
    <xdr:from>
      <xdr:col>13</xdr:col>
      <xdr:colOff>42427</xdr:colOff>
      <xdr:row>80</xdr:row>
      <xdr:rowOff>179294</xdr:rowOff>
    </xdr:from>
    <xdr:to>
      <xdr:col>26</xdr:col>
      <xdr:colOff>90249</xdr:colOff>
      <xdr:row>95</xdr:row>
      <xdr:rowOff>51628</xdr:rowOff>
    </xdr:to>
    <xdr:cxnSp macro="">
      <xdr:nvCxnSpPr>
        <xdr:cNvPr id="71" name="直線矢印コネクタ 266">
          <a:extLst>
            <a:ext uri="{FF2B5EF4-FFF2-40B4-BE49-F238E27FC236}">
              <a16:creationId xmlns:a16="http://schemas.microsoft.com/office/drawing/2014/main" id="{00000000-0008-0000-0200-000047000000}"/>
            </a:ext>
          </a:extLst>
        </xdr:cNvPr>
        <xdr:cNvCxnSpPr>
          <a:stCxn id="115" idx="2"/>
          <a:endCxn id="55" idx="6"/>
        </xdr:cNvCxnSpPr>
      </xdr:nvCxnSpPr>
      <xdr:spPr>
        <a:xfrm rot="5400000">
          <a:off x="2651494" y="15409991"/>
          <a:ext cx="2696217" cy="266999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64963</xdr:colOff>
      <xdr:row>51</xdr:row>
      <xdr:rowOff>125188</xdr:rowOff>
    </xdr:from>
    <xdr:to>
      <xdr:col>34</xdr:col>
      <xdr:colOff>108584</xdr:colOff>
      <xdr:row>54</xdr:row>
      <xdr:rowOff>2292</xdr:rowOff>
    </xdr:to>
    <xdr:sp macro="" textlink="">
      <xdr:nvSpPr>
        <xdr:cNvPr id="72" name="フローチャート: 処理 71">
          <a:extLst>
            <a:ext uri="{FF2B5EF4-FFF2-40B4-BE49-F238E27FC236}">
              <a16:creationId xmlns:a16="http://schemas.microsoft.com/office/drawing/2014/main" id="{00000000-0008-0000-0200-000048000000}"/>
            </a:ext>
          </a:extLst>
        </xdr:cNvPr>
        <xdr:cNvSpPr/>
      </xdr:nvSpPr>
      <xdr:spPr>
        <a:xfrm>
          <a:off x="3665413" y="10345513"/>
          <a:ext cx="3244021" cy="362879"/>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1-4</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　</a:t>
          </a:r>
          <a:r>
            <a:rPr kumimoji="1" lang="ja-JP" altLang="en-US" sz="1000" kern="1200">
              <a:solidFill>
                <a:sysClr val="windowText" lastClr="000000"/>
              </a:solidFill>
              <a:effectLst/>
              <a:latin typeface="Meiryo UI" panose="020B0604030504040204" pitchFamily="50" charset="-128"/>
              <a:ea typeface="Meiryo UI" panose="020B0604030504040204" pitchFamily="50" charset="-128"/>
              <a:cs typeface="+mn-cs"/>
            </a:rPr>
            <a:t>回答用制御ファイル取得</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9</xdr:col>
      <xdr:colOff>169336</xdr:colOff>
      <xdr:row>52</xdr:row>
      <xdr:rowOff>144703</xdr:rowOff>
    </xdr:from>
    <xdr:to>
      <xdr:col>18</xdr:col>
      <xdr:colOff>64963</xdr:colOff>
      <xdr:row>52</xdr:row>
      <xdr:rowOff>153080</xdr:rowOff>
    </xdr:to>
    <xdr:cxnSp macro="">
      <xdr:nvCxnSpPr>
        <xdr:cNvPr id="74" name="カギ線コネクタ 130">
          <a:extLst>
            <a:ext uri="{FF2B5EF4-FFF2-40B4-BE49-F238E27FC236}">
              <a16:creationId xmlns:a16="http://schemas.microsoft.com/office/drawing/2014/main" id="{00000000-0008-0000-0200-00004A000000}"/>
            </a:ext>
          </a:extLst>
        </xdr:cNvPr>
        <xdr:cNvCxnSpPr>
          <a:stCxn id="118" idx="2"/>
          <a:endCxn id="72" idx="1"/>
        </xdr:cNvCxnSpPr>
      </xdr:nvCxnSpPr>
      <xdr:spPr>
        <a:xfrm flipV="1">
          <a:off x="1969561" y="10526953"/>
          <a:ext cx="1695852" cy="8377"/>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64963</xdr:colOff>
      <xdr:row>39</xdr:row>
      <xdr:rowOff>120469</xdr:rowOff>
    </xdr:from>
    <xdr:to>
      <xdr:col>34</xdr:col>
      <xdr:colOff>108584</xdr:colOff>
      <xdr:row>41</xdr:row>
      <xdr:rowOff>97104</xdr:rowOff>
    </xdr:to>
    <xdr:sp macro="" textlink="">
      <xdr:nvSpPr>
        <xdr:cNvPr id="75" name="フローチャート: 処理 74">
          <a:extLst>
            <a:ext uri="{FF2B5EF4-FFF2-40B4-BE49-F238E27FC236}">
              <a16:creationId xmlns:a16="http://schemas.microsoft.com/office/drawing/2014/main" id="{00000000-0008-0000-0200-00004B000000}"/>
            </a:ext>
          </a:extLst>
        </xdr:cNvPr>
        <xdr:cNvSpPr/>
      </xdr:nvSpPr>
      <xdr:spPr>
        <a:xfrm>
          <a:off x="3695669" y="8513675"/>
          <a:ext cx="3270915" cy="290400"/>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1-3</a:t>
          </a:r>
          <a:r>
            <a:rPr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　並行処理可能数の確定</a:t>
          </a:r>
          <a:endParaRPr kumimoji="1"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26</xdr:col>
      <xdr:colOff>86774</xdr:colOff>
      <xdr:row>41</xdr:row>
      <xdr:rowOff>97104</xdr:rowOff>
    </xdr:from>
    <xdr:to>
      <xdr:col>26</xdr:col>
      <xdr:colOff>88814</xdr:colOff>
      <xdr:row>46</xdr:row>
      <xdr:rowOff>2721</xdr:rowOff>
    </xdr:to>
    <xdr:cxnSp macro="">
      <xdr:nvCxnSpPr>
        <xdr:cNvPr id="76" name="直線矢印コネクタ 75">
          <a:extLst>
            <a:ext uri="{FF2B5EF4-FFF2-40B4-BE49-F238E27FC236}">
              <a16:creationId xmlns:a16="http://schemas.microsoft.com/office/drawing/2014/main" id="{00000000-0008-0000-0200-00004C000000}"/>
            </a:ext>
          </a:extLst>
        </xdr:cNvPr>
        <xdr:cNvCxnSpPr>
          <a:stCxn id="75" idx="2"/>
          <a:endCxn id="77" idx="0"/>
        </xdr:cNvCxnSpPr>
      </xdr:nvCxnSpPr>
      <xdr:spPr>
        <a:xfrm>
          <a:off x="5331127" y="8804075"/>
          <a:ext cx="2040" cy="69002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9212</xdr:colOff>
      <xdr:row>46</xdr:row>
      <xdr:rowOff>2721</xdr:rowOff>
    </xdr:from>
    <xdr:to>
      <xdr:col>33</xdr:col>
      <xdr:colOff>168416</xdr:colOff>
      <xdr:row>50</xdr:row>
      <xdr:rowOff>56191</xdr:rowOff>
    </xdr:to>
    <xdr:sp macro="" textlink="">
      <xdr:nvSpPr>
        <xdr:cNvPr id="77" name="フローチャート: 判断 76">
          <a:extLst>
            <a:ext uri="{FF2B5EF4-FFF2-40B4-BE49-F238E27FC236}">
              <a16:creationId xmlns:a16="http://schemas.microsoft.com/office/drawing/2014/main" id="{00000000-0008-0000-0200-00004D000000}"/>
            </a:ext>
          </a:extLst>
        </xdr:cNvPr>
        <xdr:cNvSpPr/>
      </xdr:nvSpPr>
      <xdr:spPr>
        <a:xfrm>
          <a:off x="3841624" y="8945015"/>
          <a:ext cx="2983086" cy="1308529"/>
        </a:xfrm>
        <a:prstGeom prst="flowChartDecisio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並行処理上限数</a:t>
          </a:r>
        </a:p>
      </xdr:txBody>
    </xdr:sp>
    <xdr:clientData/>
  </xdr:twoCellAnchor>
  <xdr:twoCellAnchor>
    <xdr:from>
      <xdr:col>12</xdr:col>
      <xdr:colOff>122067</xdr:colOff>
      <xdr:row>48</xdr:row>
      <xdr:rowOff>29455</xdr:rowOff>
    </xdr:from>
    <xdr:to>
      <xdr:col>19</xdr:col>
      <xdr:colOff>9213</xdr:colOff>
      <xdr:row>94</xdr:row>
      <xdr:rowOff>123264</xdr:rowOff>
    </xdr:to>
    <xdr:cxnSp macro="">
      <xdr:nvCxnSpPr>
        <xdr:cNvPr id="78" name="直線矢印コネクタ 165">
          <a:extLst>
            <a:ext uri="{FF2B5EF4-FFF2-40B4-BE49-F238E27FC236}">
              <a16:creationId xmlns:a16="http://schemas.microsoft.com/office/drawing/2014/main" id="{00000000-0008-0000-0200-00004E000000}"/>
            </a:ext>
          </a:extLst>
        </xdr:cNvPr>
        <xdr:cNvCxnSpPr>
          <a:stCxn id="77" idx="1"/>
          <a:endCxn id="55" idx="0"/>
        </xdr:cNvCxnSpPr>
      </xdr:nvCxnSpPr>
      <xdr:spPr>
        <a:xfrm rot="10800000" flipV="1">
          <a:off x="2542538" y="9285514"/>
          <a:ext cx="1299087" cy="867751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88446</xdr:colOff>
      <xdr:row>46</xdr:row>
      <xdr:rowOff>66675</xdr:rowOff>
    </xdr:from>
    <xdr:to>
      <xdr:col>19</xdr:col>
      <xdr:colOff>76201</xdr:colOff>
      <xdr:row>48</xdr:row>
      <xdr:rowOff>78796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3288846" y="9477375"/>
          <a:ext cx="587830" cy="3359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0</a:t>
          </a:r>
          <a:r>
            <a:rPr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以下</a:t>
          </a:r>
          <a:endPar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26</xdr:col>
      <xdr:colOff>130624</xdr:colOff>
      <xdr:row>50</xdr:row>
      <xdr:rowOff>14967</xdr:rowOff>
    </xdr:from>
    <xdr:to>
      <xdr:col>34</xdr:col>
      <xdr:colOff>130628</xdr:colOff>
      <xdr:row>51</xdr:row>
      <xdr:rowOff>125890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374977" y="10212320"/>
          <a:ext cx="1613651" cy="2678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0</a:t>
          </a:r>
          <a:r>
            <a:rPr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より大きい</a:t>
          </a:r>
          <a:endPar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0</xdr:col>
      <xdr:colOff>146189</xdr:colOff>
      <xdr:row>56</xdr:row>
      <xdr:rowOff>67234</xdr:rowOff>
    </xdr:from>
    <xdr:to>
      <xdr:col>10</xdr:col>
      <xdr:colOff>53939</xdr:colOff>
      <xdr:row>60</xdr:row>
      <xdr:rowOff>106076</xdr:rowOff>
    </xdr:to>
    <xdr:sp macro="" textlink="">
      <xdr:nvSpPr>
        <xdr:cNvPr id="82" name="AutoShape 89">
          <a:extLst>
            <a:ext uri="{FF2B5EF4-FFF2-40B4-BE49-F238E27FC236}">
              <a16:creationId xmlns:a16="http://schemas.microsoft.com/office/drawing/2014/main" id="{00000000-0008-0000-0200-000052000000}"/>
            </a:ext>
          </a:extLst>
        </xdr:cNvPr>
        <xdr:cNvSpPr>
          <a:spLocks noChangeArrowheads="1"/>
        </xdr:cNvSpPr>
      </xdr:nvSpPr>
      <xdr:spPr bwMode="auto">
        <a:xfrm>
          <a:off x="146189" y="11127440"/>
          <a:ext cx="1924809" cy="711195"/>
        </a:xfrm>
        <a:prstGeom prst="parallelogram">
          <a:avLst>
            <a:gd name="adj" fmla="val 65789"/>
          </a:avLst>
        </a:prstGeom>
        <a:solidFill>
          <a:srgbClr val="FFFFFF"/>
        </a:solidFill>
        <a:ln w="22225" algn="ctr">
          <a:solidFill>
            <a:srgbClr val="000000"/>
          </a:solidFill>
          <a:miter lim="800000"/>
          <a:headEnd/>
          <a:tailEnd/>
        </a:ln>
      </xdr:spPr>
      <xdr:txBody>
        <a:bodyPr vertOverflow="overflow" horzOverflow="overflow" anchor="ctr" anchorCtr="1"/>
        <a:lstStyle/>
        <a:p>
          <a:r>
            <a:rPr lang="en-US" altLang="ja-JP" sz="1000">
              <a:latin typeface="Meiryo UI" panose="020B0604030504040204" pitchFamily="50" charset="-128"/>
              <a:ea typeface="Meiryo UI" panose="020B0604030504040204" pitchFamily="50" charset="-128"/>
            </a:rPr>
            <a:t>[</a:t>
          </a:r>
          <a:r>
            <a:rPr lang="ja-JP" altLang="en-US" sz="1000">
              <a:latin typeface="Meiryo UI" panose="020B0604030504040204" pitchFamily="50" charset="-128"/>
              <a:ea typeface="Meiryo UI" panose="020B0604030504040204" pitchFamily="50" charset="-128"/>
            </a:rPr>
            <a:t>グリーンマイスター共有フォルダ</a:t>
          </a:r>
          <a:r>
            <a:rPr lang="en-US" altLang="ja-JP" sz="1000">
              <a:latin typeface="Meiryo UI" panose="020B0604030504040204" pitchFamily="50" charset="-128"/>
              <a:ea typeface="Meiryo UI" panose="020B0604030504040204" pitchFamily="50" charset="-128"/>
            </a:rPr>
            <a:t>(S3)]</a:t>
          </a:r>
        </a:p>
        <a:p>
          <a:r>
            <a:rPr lang="en-US" altLang="ja-JP" sz="1000">
              <a:latin typeface="Meiryo UI" panose="020B0604030504040204" pitchFamily="50" charset="-128"/>
              <a:ea typeface="Meiryo UI" panose="020B0604030504040204" pitchFamily="50" charset="-128"/>
            </a:rPr>
            <a:t>ZIP</a:t>
          </a:r>
          <a:r>
            <a:rPr lang="ja-JP" altLang="en-US" sz="1000">
              <a:latin typeface="Meiryo UI" panose="020B0604030504040204" pitchFamily="50" charset="-128"/>
              <a:ea typeface="Meiryo UI" panose="020B0604030504040204" pitchFamily="50" charset="-128"/>
            </a:rPr>
            <a:t>ファイル</a:t>
          </a:r>
          <a:endParaRPr lang="en-US" altLang="ja-JP" sz="1000">
            <a:latin typeface="Meiryo UI" panose="020B0604030504040204" pitchFamily="50" charset="-128"/>
            <a:ea typeface="Meiryo UI" panose="020B0604030504040204" pitchFamily="50" charset="-128"/>
          </a:endParaRPr>
        </a:p>
      </xdr:txBody>
    </xdr:sp>
    <xdr:clientData/>
  </xdr:twoCellAnchor>
  <xdr:twoCellAnchor>
    <xdr:from>
      <xdr:col>6</xdr:col>
      <xdr:colOff>122464</xdr:colOff>
      <xdr:row>66</xdr:row>
      <xdr:rowOff>118797</xdr:rowOff>
    </xdr:from>
    <xdr:to>
      <xdr:col>11</xdr:col>
      <xdr:colOff>21889</xdr:colOff>
      <xdr:row>70</xdr:row>
      <xdr:rowOff>95665</xdr:rowOff>
    </xdr:to>
    <xdr:grpSp>
      <xdr:nvGrpSpPr>
        <xdr:cNvPr id="85" name="グループ化 84">
          <a:extLst>
            <a:ext uri="{FF2B5EF4-FFF2-40B4-BE49-F238E27FC236}">
              <a16:creationId xmlns:a16="http://schemas.microsoft.com/office/drawing/2014/main" id="{00000000-0008-0000-0200-000055000000}"/>
            </a:ext>
          </a:extLst>
        </xdr:cNvPr>
        <xdr:cNvGrpSpPr/>
      </xdr:nvGrpSpPr>
      <xdr:grpSpPr>
        <a:xfrm>
          <a:off x="1332699" y="12512503"/>
          <a:ext cx="907955" cy="783691"/>
          <a:chOff x="8694964" y="10477855"/>
          <a:chExt cx="925285" cy="789146"/>
        </a:xfrm>
      </xdr:grpSpPr>
      <xdr:sp macro="" textlink="">
        <xdr:nvSpPr>
          <xdr:cNvPr id="86" name="AutoShape 75">
            <a:extLst>
              <a:ext uri="{FF2B5EF4-FFF2-40B4-BE49-F238E27FC236}">
                <a16:creationId xmlns:a16="http://schemas.microsoft.com/office/drawing/2014/main" id="{00000000-0008-0000-0200-000056000000}"/>
              </a:ext>
            </a:extLst>
          </xdr:cNvPr>
          <xdr:cNvSpPr>
            <a:spLocks noChangeArrowheads="1"/>
          </xdr:cNvSpPr>
        </xdr:nvSpPr>
        <xdr:spPr bwMode="auto">
          <a:xfrm>
            <a:off x="8694964" y="10477855"/>
            <a:ext cx="925285" cy="775608"/>
          </a:xfrm>
          <a:prstGeom prst="can">
            <a:avLst>
              <a:gd name="adj" fmla="val 25000"/>
            </a:avLst>
          </a:prstGeom>
          <a:solidFill>
            <a:srgbClr val="FFFFFF"/>
          </a:solidFill>
          <a:ln w="9525">
            <a:solidFill>
              <a:srgbClr val="000000"/>
            </a:solidFill>
            <a:round/>
            <a:headEnd/>
            <a:tailEnd/>
          </a:ln>
        </xdr:spPr>
      </xdr:sp>
      <xdr:sp macro="" textlink="">
        <xdr:nvSpPr>
          <xdr:cNvPr id="87" name="テキスト ボックス 86">
            <a:extLst>
              <a:ext uri="{FF2B5EF4-FFF2-40B4-BE49-F238E27FC236}">
                <a16:creationId xmlns:a16="http://schemas.microsoft.com/office/drawing/2014/main" id="{00000000-0008-0000-0200-000057000000}"/>
              </a:ext>
            </a:extLst>
          </xdr:cNvPr>
          <xdr:cNvSpPr txBox="1"/>
        </xdr:nvSpPr>
        <xdr:spPr>
          <a:xfrm>
            <a:off x="8735783" y="10709108"/>
            <a:ext cx="870858" cy="557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環境証明書申請</a:t>
            </a:r>
          </a:p>
        </xdr:txBody>
      </xdr:sp>
    </xdr:grpSp>
    <xdr:clientData/>
  </xdr:twoCellAnchor>
  <xdr:twoCellAnchor>
    <xdr:from>
      <xdr:col>6</xdr:col>
      <xdr:colOff>114536</xdr:colOff>
      <xdr:row>70</xdr:row>
      <xdr:rowOff>182455</xdr:rowOff>
    </xdr:from>
    <xdr:to>
      <xdr:col>11</xdr:col>
      <xdr:colOff>19286</xdr:colOff>
      <xdr:row>74</xdr:row>
      <xdr:rowOff>145995</xdr:rowOff>
    </xdr:to>
    <xdr:grpSp>
      <xdr:nvGrpSpPr>
        <xdr:cNvPr id="88" name="グループ化 87">
          <a:extLst>
            <a:ext uri="{FF2B5EF4-FFF2-40B4-BE49-F238E27FC236}">
              <a16:creationId xmlns:a16="http://schemas.microsoft.com/office/drawing/2014/main" id="{00000000-0008-0000-0200-000058000000}"/>
            </a:ext>
          </a:extLst>
        </xdr:cNvPr>
        <xdr:cNvGrpSpPr/>
      </xdr:nvGrpSpPr>
      <xdr:grpSpPr>
        <a:xfrm>
          <a:off x="1324771" y="13382984"/>
          <a:ext cx="913280" cy="770364"/>
          <a:chOff x="8694964" y="10477855"/>
          <a:chExt cx="925285" cy="775608"/>
        </a:xfrm>
      </xdr:grpSpPr>
      <xdr:sp macro="" textlink="">
        <xdr:nvSpPr>
          <xdr:cNvPr id="89" name="AutoShape 75">
            <a:extLst>
              <a:ext uri="{FF2B5EF4-FFF2-40B4-BE49-F238E27FC236}">
                <a16:creationId xmlns:a16="http://schemas.microsoft.com/office/drawing/2014/main" id="{00000000-0008-0000-0200-000059000000}"/>
              </a:ext>
            </a:extLst>
          </xdr:cNvPr>
          <xdr:cNvSpPr>
            <a:spLocks noChangeArrowheads="1"/>
          </xdr:cNvSpPr>
        </xdr:nvSpPr>
        <xdr:spPr bwMode="auto">
          <a:xfrm>
            <a:off x="8694964" y="10477855"/>
            <a:ext cx="925285" cy="775608"/>
          </a:xfrm>
          <a:prstGeom prst="can">
            <a:avLst>
              <a:gd name="adj" fmla="val 25000"/>
            </a:avLst>
          </a:prstGeom>
          <a:solidFill>
            <a:srgbClr val="FFFFFF"/>
          </a:solidFill>
          <a:ln w="9525">
            <a:solidFill>
              <a:srgbClr val="000000"/>
            </a:solidFill>
            <a:round/>
            <a:headEnd/>
            <a:tailEnd/>
          </a:ln>
        </xdr:spPr>
      </xdr:sp>
      <xdr:sp macro="" textlink="">
        <xdr:nvSpPr>
          <xdr:cNvPr id="90" name="テキスト ボックス 89">
            <a:extLst>
              <a:ext uri="{FF2B5EF4-FFF2-40B4-BE49-F238E27FC236}">
                <a16:creationId xmlns:a16="http://schemas.microsoft.com/office/drawing/2014/main" id="{00000000-0008-0000-0200-00005A000000}"/>
              </a:ext>
            </a:extLst>
          </xdr:cNvPr>
          <xdr:cNvSpPr txBox="1"/>
        </xdr:nvSpPr>
        <xdr:spPr>
          <a:xfrm>
            <a:off x="8735787" y="10651061"/>
            <a:ext cx="870858" cy="557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会員</a:t>
            </a:r>
          </a:p>
        </xdr:txBody>
      </xdr:sp>
    </xdr:grpSp>
    <xdr:clientData/>
  </xdr:twoCellAnchor>
  <xdr:twoCellAnchor>
    <xdr:from>
      <xdr:col>11</xdr:col>
      <xdr:colOff>8660</xdr:colOff>
      <xdr:row>69</xdr:row>
      <xdr:rowOff>21048</xdr:rowOff>
    </xdr:from>
    <xdr:to>
      <xdr:col>18</xdr:col>
      <xdr:colOff>64963</xdr:colOff>
      <xdr:row>70</xdr:row>
      <xdr:rowOff>29943</xdr:rowOff>
    </xdr:to>
    <xdr:cxnSp macro="">
      <xdr:nvCxnSpPr>
        <xdr:cNvPr id="91" name="カギ線コネクタ 130">
          <a:extLst>
            <a:ext uri="{FF2B5EF4-FFF2-40B4-BE49-F238E27FC236}">
              <a16:creationId xmlns:a16="http://schemas.microsoft.com/office/drawing/2014/main" id="{00000000-0008-0000-0200-00005B000000}"/>
            </a:ext>
          </a:extLst>
        </xdr:cNvPr>
        <xdr:cNvCxnSpPr>
          <a:stCxn id="87" idx="3"/>
          <a:endCxn id="65" idx="1"/>
        </xdr:cNvCxnSpPr>
      </xdr:nvCxnSpPr>
      <xdr:spPr>
        <a:xfrm>
          <a:off x="2208935" y="13375098"/>
          <a:ext cx="1456478" cy="20892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5983</xdr:colOff>
      <xdr:row>70</xdr:row>
      <xdr:rowOff>29943</xdr:rowOff>
    </xdr:from>
    <xdr:to>
      <xdr:col>18</xdr:col>
      <xdr:colOff>64963</xdr:colOff>
      <xdr:row>73</xdr:row>
      <xdr:rowOff>27555</xdr:rowOff>
    </xdr:to>
    <xdr:cxnSp macro="">
      <xdr:nvCxnSpPr>
        <xdr:cNvPr id="92" name="カギ線コネクタ 130">
          <a:extLst>
            <a:ext uri="{FF2B5EF4-FFF2-40B4-BE49-F238E27FC236}">
              <a16:creationId xmlns:a16="http://schemas.microsoft.com/office/drawing/2014/main" id="{00000000-0008-0000-0200-00005C000000}"/>
            </a:ext>
          </a:extLst>
        </xdr:cNvPr>
        <xdr:cNvCxnSpPr>
          <a:stCxn id="90" idx="3"/>
          <a:endCxn id="65" idx="1"/>
        </xdr:cNvCxnSpPr>
      </xdr:nvCxnSpPr>
      <xdr:spPr>
        <a:xfrm flipV="1">
          <a:off x="2206258" y="13584018"/>
          <a:ext cx="1459155" cy="597687"/>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186946</xdr:colOff>
      <xdr:row>68</xdr:row>
      <xdr:rowOff>102232</xdr:rowOff>
    </xdr:from>
    <xdr:to>
      <xdr:col>48</xdr:col>
      <xdr:colOff>6721</xdr:colOff>
      <xdr:row>71</xdr:row>
      <xdr:rowOff>183874</xdr:rowOff>
    </xdr:to>
    <xdr:sp macro="" textlink="">
      <xdr:nvSpPr>
        <xdr:cNvPr id="93" name="AutoShape 89">
          <a:extLst>
            <a:ext uri="{FF2B5EF4-FFF2-40B4-BE49-F238E27FC236}">
              <a16:creationId xmlns:a16="http://schemas.microsoft.com/office/drawing/2014/main" id="{00000000-0008-0000-0200-00005D000000}"/>
            </a:ext>
          </a:extLst>
        </xdr:cNvPr>
        <xdr:cNvSpPr>
          <a:spLocks noChangeArrowheads="1"/>
        </xdr:cNvSpPr>
      </xdr:nvSpPr>
      <xdr:spPr bwMode="auto">
        <a:xfrm>
          <a:off x="7987921" y="13256257"/>
          <a:ext cx="1620000" cy="681717"/>
        </a:xfrm>
        <a:prstGeom prst="parallelogram">
          <a:avLst>
            <a:gd name="adj" fmla="val 65789"/>
          </a:avLst>
        </a:prstGeom>
        <a:solidFill>
          <a:srgbClr val="FFFFFF"/>
        </a:solidFill>
        <a:ln w="22225" algn="ctr">
          <a:solidFill>
            <a:srgbClr val="000000"/>
          </a:solidFill>
          <a:miter lim="800000"/>
          <a:headEnd/>
          <a:tailEnd/>
        </a:ln>
      </xdr:spPr>
      <xdr:txBody>
        <a:bodyPr vertOverflow="overflow" horzOverflow="overflow" anchor="ctr" anchorCtr="1"/>
        <a:lstStyle/>
        <a:p>
          <a:r>
            <a:rPr lang="ja-JP" altLang="en-US" sz="1000">
              <a:latin typeface="Meiryo UI" panose="020B0604030504040204" pitchFamily="50" charset="-128"/>
              <a:ea typeface="Meiryo UI" panose="020B0604030504040204" pitchFamily="50" charset="-128"/>
            </a:rPr>
            <a:t>メール</a:t>
          </a:r>
          <a:endParaRPr lang="en-US" altLang="ja-JP" sz="1000">
            <a:latin typeface="Meiryo UI" panose="020B0604030504040204" pitchFamily="50" charset="-128"/>
            <a:ea typeface="Meiryo UI" panose="020B0604030504040204" pitchFamily="50" charset="-128"/>
          </a:endParaRPr>
        </a:p>
      </xdr:txBody>
    </xdr:sp>
    <xdr:clientData/>
  </xdr:twoCellAnchor>
  <xdr:twoCellAnchor>
    <xdr:from>
      <xdr:col>34</xdr:col>
      <xdr:colOff>108584</xdr:colOff>
      <xdr:row>70</xdr:row>
      <xdr:rowOff>29943</xdr:rowOff>
    </xdr:from>
    <xdr:to>
      <xdr:col>41</xdr:col>
      <xdr:colOff>11143</xdr:colOff>
      <xdr:row>70</xdr:row>
      <xdr:rowOff>43041</xdr:rowOff>
    </xdr:to>
    <xdr:cxnSp macro="">
      <xdr:nvCxnSpPr>
        <xdr:cNvPr id="94" name="カギ線コネクタ 130">
          <a:extLst>
            <a:ext uri="{FF2B5EF4-FFF2-40B4-BE49-F238E27FC236}">
              <a16:creationId xmlns:a16="http://schemas.microsoft.com/office/drawing/2014/main" id="{00000000-0008-0000-0200-00005E000000}"/>
            </a:ext>
          </a:extLst>
        </xdr:cNvPr>
        <xdr:cNvCxnSpPr>
          <a:stCxn id="65" idx="3"/>
          <a:endCxn id="93" idx="5"/>
        </xdr:cNvCxnSpPr>
      </xdr:nvCxnSpPr>
      <xdr:spPr>
        <a:xfrm>
          <a:off x="6909434" y="13584018"/>
          <a:ext cx="1302734" cy="13098"/>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80041</xdr:colOff>
      <xdr:row>29</xdr:row>
      <xdr:rowOff>42641</xdr:rowOff>
    </xdr:from>
    <xdr:to>
      <xdr:col>26</xdr:col>
      <xdr:colOff>83557</xdr:colOff>
      <xdr:row>33</xdr:row>
      <xdr:rowOff>0</xdr:rowOff>
    </xdr:to>
    <xdr:cxnSp macro="">
      <xdr:nvCxnSpPr>
        <xdr:cNvPr id="95" name="直線矢印コネクタ 94">
          <a:extLst>
            <a:ext uri="{FF2B5EF4-FFF2-40B4-BE49-F238E27FC236}">
              <a16:creationId xmlns:a16="http://schemas.microsoft.com/office/drawing/2014/main" id="{00000000-0008-0000-0200-00005F000000}"/>
            </a:ext>
          </a:extLst>
        </xdr:cNvPr>
        <xdr:cNvCxnSpPr>
          <a:stCxn id="101" idx="2"/>
          <a:endCxn id="108" idx="0"/>
        </xdr:cNvCxnSpPr>
      </xdr:nvCxnSpPr>
      <xdr:spPr>
        <a:xfrm>
          <a:off x="5324394" y="6867023"/>
          <a:ext cx="3516" cy="58488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21701</xdr:colOff>
      <xdr:row>58</xdr:row>
      <xdr:rowOff>95531</xdr:rowOff>
    </xdr:from>
    <xdr:to>
      <xdr:col>18</xdr:col>
      <xdr:colOff>64963</xdr:colOff>
      <xdr:row>58</xdr:row>
      <xdr:rowOff>109067</xdr:rowOff>
    </xdr:to>
    <xdr:cxnSp macro="">
      <xdr:nvCxnSpPr>
        <xdr:cNvPr id="96" name="カギ線コネクタ 130">
          <a:extLst>
            <a:ext uri="{FF2B5EF4-FFF2-40B4-BE49-F238E27FC236}">
              <a16:creationId xmlns:a16="http://schemas.microsoft.com/office/drawing/2014/main" id="{00000000-0008-0000-0200-000060000000}"/>
            </a:ext>
          </a:extLst>
        </xdr:cNvPr>
        <xdr:cNvCxnSpPr>
          <a:stCxn id="82" idx="2"/>
          <a:endCxn id="63" idx="1"/>
        </xdr:cNvCxnSpPr>
      </xdr:nvCxnSpPr>
      <xdr:spPr>
        <a:xfrm flipV="1">
          <a:off x="1837054" y="11469502"/>
          <a:ext cx="1858615" cy="13536"/>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104775</xdr:colOff>
      <xdr:row>21</xdr:row>
      <xdr:rowOff>104775</xdr:rowOff>
    </xdr:from>
    <xdr:to>
      <xdr:col>10</xdr:col>
      <xdr:colOff>176550</xdr:colOff>
      <xdr:row>24</xdr:row>
      <xdr:rowOff>134710</xdr:rowOff>
    </xdr:to>
    <xdr:sp macro="" textlink="">
      <xdr:nvSpPr>
        <xdr:cNvPr id="97" name="AutoShape 89">
          <a:extLst>
            <a:ext uri="{FF2B5EF4-FFF2-40B4-BE49-F238E27FC236}">
              <a16:creationId xmlns:a16="http://schemas.microsoft.com/office/drawing/2014/main" id="{00000000-0008-0000-0200-000061000000}"/>
            </a:ext>
          </a:extLst>
        </xdr:cNvPr>
        <xdr:cNvSpPr>
          <a:spLocks noChangeArrowheads="1"/>
        </xdr:cNvSpPr>
      </xdr:nvSpPr>
      <xdr:spPr bwMode="auto">
        <a:xfrm>
          <a:off x="304800" y="5400675"/>
          <a:ext cx="1872000" cy="630010"/>
        </a:xfrm>
        <a:prstGeom prst="parallelogram">
          <a:avLst>
            <a:gd name="adj" fmla="val 65789"/>
          </a:avLst>
        </a:prstGeom>
        <a:solidFill>
          <a:srgbClr val="FFFFFF"/>
        </a:solidFill>
        <a:ln w="22225" algn="ctr">
          <a:solidFill>
            <a:srgbClr val="000000"/>
          </a:solidFill>
          <a:miter lim="800000"/>
          <a:headEnd/>
          <a:tailEnd/>
        </a:ln>
      </xdr:spPr>
      <xdr:txBody>
        <a:bodyPr vertOverflow="overflow" horzOverflow="overflow" anchor="ctr" anchorCtr="1"/>
        <a:lstStyle/>
        <a:p>
          <a:r>
            <a:rPr lang="en-US" altLang="ja-JP" sz="1000">
              <a:latin typeface="Meiryo UI" panose="020B0604030504040204" pitchFamily="50" charset="-128"/>
              <a:ea typeface="Meiryo UI" panose="020B0604030504040204" pitchFamily="50" charset="-128"/>
            </a:rPr>
            <a:t>[</a:t>
          </a:r>
          <a:r>
            <a:rPr lang="ja-JP" altLang="en-US" sz="1000">
              <a:latin typeface="Meiryo UI" panose="020B0604030504040204" pitchFamily="50" charset="-128"/>
              <a:ea typeface="Meiryo UI" panose="020B0604030504040204" pitchFamily="50" charset="-128"/>
            </a:rPr>
            <a:t>グリーンマイスター共有フォルダ</a:t>
          </a:r>
          <a:r>
            <a:rPr lang="ja-JP" altLang="en-US" sz="1000">
              <a:solidFill>
                <a:srgbClr val="FF0000"/>
              </a:solidFill>
              <a:latin typeface="Meiryo UI" panose="020B0604030504040204" pitchFamily="50" charset="-128"/>
              <a:ea typeface="Meiryo UI" panose="020B0604030504040204" pitchFamily="50" charset="-128"/>
            </a:rPr>
            <a:t>（</a:t>
          </a:r>
          <a:r>
            <a:rPr lang="en-US" altLang="ja-JP" sz="1000">
              <a:solidFill>
                <a:srgbClr val="FF0000"/>
              </a:solidFill>
              <a:latin typeface="Meiryo UI" panose="020B0604030504040204" pitchFamily="50" charset="-128"/>
              <a:ea typeface="Meiryo UI" panose="020B0604030504040204" pitchFamily="50" charset="-128"/>
            </a:rPr>
            <a:t>S3</a:t>
          </a:r>
          <a:r>
            <a:rPr lang="ja-JP" altLang="en-US" sz="1000">
              <a:solidFill>
                <a:srgbClr val="FF0000"/>
              </a:solidFill>
              <a:latin typeface="Meiryo UI" panose="020B0604030504040204" pitchFamily="50" charset="-128"/>
              <a:ea typeface="Meiryo UI" panose="020B0604030504040204" pitchFamily="50" charset="-128"/>
            </a:rPr>
            <a:t>）</a:t>
          </a:r>
          <a:r>
            <a:rPr lang="en-US" altLang="ja-JP" sz="1000">
              <a:latin typeface="Meiryo UI" panose="020B0604030504040204" pitchFamily="50" charset="-128"/>
              <a:ea typeface="Meiryo UI" panose="020B0604030504040204" pitchFamily="50" charset="-128"/>
            </a:rPr>
            <a:t>]</a:t>
          </a:r>
        </a:p>
        <a:p>
          <a:r>
            <a:rPr lang="ja-JP" altLang="en-US" sz="1000">
              <a:latin typeface="Meiryo UI" panose="020B0604030504040204" pitchFamily="50" charset="-128"/>
              <a:ea typeface="Meiryo UI" panose="020B0604030504040204" pitchFamily="50" charset="-128"/>
            </a:rPr>
            <a:t>回答用制御ファイル</a:t>
          </a:r>
        </a:p>
      </xdr:txBody>
    </xdr:sp>
    <xdr:clientData/>
  </xdr:twoCellAnchor>
  <xdr:twoCellAnchor>
    <xdr:from>
      <xdr:col>9</xdr:col>
      <xdr:colOff>169336</xdr:colOff>
      <xdr:row>23</xdr:row>
      <xdr:rowOff>19730</xdr:rowOff>
    </xdr:from>
    <xdr:to>
      <xdr:col>18</xdr:col>
      <xdr:colOff>45730</xdr:colOff>
      <xdr:row>23</xdr:row>
      <xdr:rowOff>22452</xdr:rowOff>
    </xdr:to>
    <xdr:cxnSp macro="">
      <xdr:nvCxnSpPr>
        <xdr:cNvPr id="98" name="カギ線コネクタ 173">
          <a:extLst>
            <a:ext uri="{FF2B5EF4-FFF2-40B4-BE49-F238E27FC236}">
              <a16:creationId xmlns:a16="http://schemas.microsoft.com/office/drawing/2014/main" id="{00000000-0008-0000-0200-000062000000}"/>
            </a:ext>
          </a:extLst>
        </xdr:cNvPr>
        <xdr:cNvCxnSpPr>
          <a:stCxn id="97" idx="2"/>
          <a:endCxn id="99" idx="1"/>
        </xdr:cNvCxnSpPr>
      </xdr:nvCxnSpPr>
      <xdr:spPr>
        <a:xfrm>
          <a:off x="1969561" y="5715680"/>
          <a:ext cx="1676619" cy="2722"/>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45730</xdr:colOff>
      <xdr:row>22</xdr:row>
      <xdr:rowOff>68036</xdr:rowOff>
    </xdr:from>
    <xdr:to>
      <xdr:col>34</xdr:col>
      <xdr:colOff>104775</xdr:colOff>
      <xdr:row>23</xdr:row>
      <xdr:rowOff>176893</xdr:rowOff>
    </xdr:to>
    <xdr:sp macro="" textlink="">
      <xdr:nvSpPr>
        <xdr:cNvPr id="99" name="フローチャート: 処理 98">
          <a:extLst>
            <a:ext uri="{FF2B5EF4-FFF2-40B4-BE49-F238E27FC236}">
              <a16:creationId xmlns:a16="http://schemas.microsoft.com/office/drawing/2014/main" id="{00000000-0008-0000-0200-000063000000}"/>
            </a:ext>
          </a:extLst>
        </xdr:cNvPr>
        <xdr:cNvSpPr/>
      </xdr:nvSpPr>
      <xdr:spPr>
        <a:xfrm>
          <a:off x="3646180" y="5563961"/>
          <a:ext cx="3259445" cy="308882"/>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1-1</a:t>
          </a:r>
          <a:r>
            <a:rPr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　ファイル存在確認</a:t>
          </a:r>
          <a:endParaRPr kumimoji="1"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16</xdr:col>
      <xdr:colOff>38100</xdr:colOff>
      <xdr:row>25</xdr:row>
      <xdr:rowOff>102757</xdr:rowOff>
    </xdr:from>
    <xdr:to>
      <xdr:col>17</xdr:col>
      <xdr:colOff>199916</xdr:colOff>
      <xdr:row>26</xdr:row>
      <xdr:rowOff>198403</xdr:rowOff>
    </xdr:to>
    <xdr:sp macro="" textlink="">
      <xdr:nvSpPr>
        <xdr:cNvPr id="100" name="正方形/長方形 99">
          <a:extLst>
            <a:ext uri="{FF2B5EF4-FFF2-40B4-BE49-F238E27FC236}">
              <a16:creationId xmlns:a16="http://schemas.microsoft.com/office/drawing/2014/main" id="{00000000-0008-0000-0200-000064000000}"/>
            </a:ext>
          </a:extLst>
        </xdr:cNvPr>
        <xdr:cNvSpPr/>
      </xdr:nvSpPr>
      <xdr:spPr>
        <a:xfrm>
          <a:off x="3238500" y="6198757"/>
          <a:ext cx="361841" cy="2956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N</a:t>
          </a:r>
        </a:p>
      </xdr:txBody>
    </xdr:sp>
    <xdr:clientData/>
  </xdr:twoCellAnchor>
  <xdr:twoCellAnchor>
    <xdr:from>
      <xdr:col>18</xdr:col>
      <xdr:colOff>87756</xdr:colOff>
      <xdr:row>24</xdr:row>
      <xdr:rowOff>168088</xdr:rowOff>
    </xdr:from>
    <xdr:to>
      <xdr:col>34</xdr:col>
      <xdr:colOff>72326</xdr:colOff>
      <xdr:row>29</xdr:row>
      <xdr:rowOff>42641</xdr:rowOff>
    </xdr:to>
    <xdr:sp macro="" textlink="">
      <xdr:nvSpPr>
        <xdr:cNvPr id="101" name="フローチャート: 判断 100">
          <a:extLst>
            <a:ext uri="{FF2B5EF4-FFF2-40B4-BE49-F238E27FC236}">
              <a16:creationId xmlns:a16="http://schemas.microsoft.com/office/drawing/2014/main" id="{00000000-0008-0000-0200-000065000000}"/>
            </a:ext>
          </a:extLst>
        </xdr:cNvPr>
        <xdr:cNvSpPr/>
      </xdr:nvSpPr>
      <xdr:spPr>
        <a:xfrm>
          <a:off x="3718462" y="6073588"/>
          <a:ext cx="3211864" cy="793435"/>
        </a:xfrm>
        <a:prstGeom prst="flowChartDecisio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ja-JP" sz="1000" kern="1200">
              <a:solidFill>
                <a:sysClr val="windowText" lastClr="000000"/>
              </a:solidFill>
              <a:effectLst/>
              <a:latin typeface="Meiryo UI" panose="020B0604030504040204" pitchFamily="50" charset="-128"/>
              <a:ea typeface="Meiryo UI" panose="020B0604030504040204" pitchFamily="50" charset="-128"/>
              <a:cs typeface="+mn-cs"/>
            </a:rPr>
            <a:t>グリーンマイスター共有フォルダ</a:t>
          </a: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にファイルが存在する</a:t>
          </a:r>
        </a:p>
      </xdr:txBody>
    </xdr:sp>
    <xdr:clientData/>
  </xdr:twoCellAnchor>
  <xdr:twoCellAnchor>
    <xdr:from>
      <xdr:col>12</xdr:col>
      <xdr:colOff>122067</xdr:colOff>
      <xdr:row>26</xdr:row>
      <xdr:rowOff>161394</xdr:rowOff>
    </xdr:from>
    <xdr:to>
      <xdr:col>18</xdr:col>
      <xdr:colOff>87757</xdr:colOff>
      <xdr:row>94</xdr:row>
      <xdr:rowOff>123265</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101" idx="1"/>
          <a:endCxn id="55" idx="0"/>
        </xdr:cNvCxnSpPr>
      </xdr:nvCxnSpPr>
      <xdr:spPr>
        <a:xfrm rot="10800000" flipV="1">
          <a:off x="2542538" y="5921218"/>
          <a:ext cx="1175925" cy="1204181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77925</xdr:colOff>
      <xdr:row>28</xdr:row>
      <xdr:rowOff>124585</xdr:rowOff>
    </xdr:from>
    <xdr:to>
      <xdr:col>28</xdr:col>
      <xdr:colOff>35634</xdr:colOff>
      <xdr:row>31</xdr:row>
      <xdr:rowOff>88531</xdr:rowOff>
    </xdr:to>
    <xdr:sp macro="" textlink="">
      <xdr:nvSpPr>
        <xdr:cNvPr id="103" name="正方形/長方形 102">
          <a:extLst>
            <a:ext uri="{FF2B5EF4-FFF2-40B4-BE49-F238E27FC236}">
              <a16:creationId xmlns:a16="http://schemas.microsoft.com/office/drawing/2014/main" id="{00000000-0008-0000-0200-000067000000}"/>
            </a:ext>
          </a:extLst>
        </xdr:cNvPr>
        <xdr:cNvSpPr/>
      </xdr:nvSpPr>
      <xdr:spPr>
        <a:xfrm>
          <a:off x="5278575" y="6782560"/>
          <a:ext cx="357759" cy="2877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Y</a:t>
          </a:r>
        </a:p>
      </xdr:txBody>
    </xdr:sp>
    <xdr:clientData/>
  </xdr:twoCellAnchor>
  <xdr:twoCellAnchor>
    <xdr:from>
      <xdr:col>26</xdr:col>
      <xdr:colOff>75253</xdr:colOff>
      <xdr:row>23</xdr:row>
      <xdr:rowOff>176893</xdr:rowOff>
    </xdr:from>
    <xdr:to>
      <xdr:col>26</xdr:col>
      <xdr:colOff>80041</xdr:colOff>
      <xdr:row>24</xdr:row>
      <xdr:rowOff>168088</xdr:rowOff>
    </xdr:to>
    <xdr:cxnSp macro="">
      <xdr:nvCxnSpPr>
        <xdr:cNvPr id="104" name="直線矢印コネクタ 103">
          <a:extLst>
            <a:ext uri="{FF2B5EF4-FFF2-40B4-BE49-F238E27FC236}">
              <a16:creationId xmlns:a16="http://schemas.microsoft.com/office/drawing/2014/main" id="{00000000-0008-0000-0200-000068000000}"/>
            </a:ext>
          </a:extLst>
        </xdr:cNvPr>
        <xdr:cNvCxnSpPr>
          <a:stCxn id="99" idx="2"/>
          <a:endCxn id="101" idx="0"/>
        </xdr:cNvCxnSpPr>
      </xdr:nvCxnSpPr>
      <xdr:spPr>
        <a:xfrm>
          <a:off x="5319606" y="5880687"/>
          <a:ext cx="4788" cy="1929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61746</xdr:colOff>
      <xdr:row>33</xdr:row>
      <xdr:rowOff>0</xdr:rowOff>
    </xdr:from>
    <xdr:to>
      <xdr:col>34</xdr:col>
      <xdr:colOff>105367</xdr:colOff>
      <xdr:row>35</xdr:row>
      <xdr:rowOff>129</xdr:rowOff>
    </xdr:to>
    <xdr:sp macro="" textlink="">
      <xdr:nvSpPr>
        <xdr:cNvPr id="108" name="フローチャート: 処理 107">
          <a:extLst>
            <a:ext uri="{FF2B5EF4-FFF2-40B4-BE49-F238E27FC236}">
              <a16:creationId xmlns:a16="http://schemas.microsoft.com/office/drawing/2014/main" id="{00000000-0008-0000-0200-00006C000000}"/>
            </a:ext>
          </a:extLst>
        </xdr:cNvPr>
        <xdr:cNvSpPr/>
      </xdr:nvSpPr>
      <xdr:spPr>
        <a:xfrm>
          <a:off x="3662196" y="7305675"/>
          <a:ext cx="3244021" cy="323979"/>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1-2</a:t>
          </a:r>
          <a:r>
            <a:rPr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　環境証明書申請「処理中」件数取得</a:t>
          </a:r>
          <a:endPar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26</xdr:col>
      <xdr:colOff>83557</xdr:colOff>
      <xdr:row>35</xdr:row>
      <xdr:rowOff>129</xdr:rowOff>
    </xdr:from>
    <xdr:to>
      <xdr:col>26</xdr:col>
      <xdr:colOff>86774</xdr:colOff>
      <xdr:row>39</xdr:row>
      <xdr:rowOff>120469</xdr:rowOff>
    </xdr:to>
    <xdr:cxnSp macro="">
      <xdr:nvCxnSpPr>
        <xdr:cNvPr id="110" name="直線矢印コネクタ 109">
          <a:extLst>
            <a:ext uri="{FF2B5EF4-FFF2-40B4-BE49-F238E27FC236}">
              <a16:creationId xmlns:a16="http://schemas.microsoft.com/office/drawing/2014/main" id="{00000000-0008-0000-0200-00006E000000}"/>
            </a:ext>
          </a:extLst>
        </xdr:cNvPr>
        <xdr:cNvCxnSpPr>
          <a:stCxn id="108" idx="2"/>
          <a:endCxn id="75" idx="0"/>
        </xdr:cNvCxnSpPr>
      </xdr:nvCxnSpPr>
      <xdr:spPr>
        <a:xfrm>
          <a:off x="5327910" y="7765805"/>
          <a:ext cx="3217" cy="7478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104775</xdr:colOff>
      <xdr:row>31</xdr:row>
      <xdr:rowOff>152400</xdr:rowOff>
    </xdr:from>
    <xdr:to>
      <xdr:col>8</xdr:col>
      <xdr:colOff>13606</xdr:colOff>
      <xdr:row>36</xdr:row>
      <xdr:rowOff>46229</xdr:rowOff>
    </xdr:to>
    <xdr:grpSp>
      <xdr:nvGrpSpPr>
        <xdr:cNvPr id="121" name="グループ化 120">
          <a:extLst>
            <a:ext uri="{FF2B5EF4-FFF2-40B4-BE49-F238E27FC236}">
              <a16:creationId xmlns:a16="http://schemas.microsoft.com/office/drawing/2014/main" id="{00000000-0008-0000-0200-000079000000}"/>
            </a:ext>
          </a:extLst>
        </xdr:cNvPr>
        <xdr:cNvGrpSpPr/>
      </xdr:nvGrpSpPr>
      <xdr:grpSpPr>
        <a:xfrm>
          <a:off x="709893" y="6741459"/>
          <a:ext cx="917360" cy="678241"/>
          <a:chOff x="8694964" y="10477855"/>
          <a:chExt cx="925285" cy="775608"/>
        </a:xfrm>
      </xdr:grpSpPr>
      <xdr:sp macro="" textlink="">
        <xdr:nvSpPr>
          <xdr:cNvPr id="122" name="AutoShape 75">
            <a:extLst>
              <a:ext uri="{FF2B5EF4-FFF2-40B4-BE49-F238E27FC236}">
                <a16:creationId xmlns:a16="http://schemas.microsoft.com/office/drawing/2014/main" id="{00000000-0008-0000-0200-00007A000000}"/>
              </a:ext>
            </a:extLst>
          </xdr:cNvPr>
          <xdr:cNvSpPr>
            <a:spLocks noChangeArrowheads="1"/>
          </xdr:cNvSpPr>
        </xdr:nvSpPr>
        <xdr:spPr bwMode="auto">
          <a:xfrm>
            <a:off x="8694964" y="10477855"/>
            <a:ext cx="925285" cy="775608"/>
          </a:xfrm>
          <a:prstGeom prst="can">
            <a:avLst>
              <a:gd name="adj" fmla="val 25000"/>
            </a:avLst>
          </a:prstGeom>
          <a:solidFill>
            <a:srgbClr val="FFFFFF"/>
          </a:solidFill>
          <a:ln w="9525">
            <a:solidFill>
              <a:srgbClr val="000000"/>
            </a:solidFill>
            <a:round/>
            <a:headEnd/>
            <a:tailEnd/>
          </a:ln>
        </xdr:spPr>
      </xdr:sp>
      <xdr:sp macro="" textlink="">
        <xdr:nvSpPr>
          <xdr:cNvPr id="123" name="テキスト ボックス 122">
            <a:extLst>
              <a:ext uri="{FF2B5EF4-FFF2-40B4-BE49-F238E27FC236}">
                <a16:creationId xmlns:a16="http://schemas.microsoft.com/office/drawing/2014/main" id="{00000000-0008-0000-0200-00007B000000}"/>
              </a:ext>
            </a:extLst>
          </xdr:cNvPr>
          <xdr:cNvSpPr txBox="1"/>
        </xdr:nvSpPr>
        <xdr:spPr>
          <a:xfrm>
            <a:off x="8735792" y="10583082"/>
            <a:ext cx="870859" cy="650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環境証明書申請</a:t>
            </a:r>
          </a:p>
        </xdr:txBody>
      </xdr:sp>
    </xdr:grpSp>
    <xdr:clientData/>
  </xdr:twoCellAnchor>
  <xdr:twoCellAnchor>
    <xdr:from>
      <xdr:col>8</xdr:col>
      <xdr:colOff>13606</xdr:colOff>
      <xdr:row>34</xdr:row>
      <xdr:rowOff>65</xdr:rowOff>
    </xdr:from>
    <xdr:to>
      <xdr:col>18</xdr:col>
      <xdr:colOff>61746</xdr:colOff>
      <xdr:row>34</xdr:row>
      <xdr:rowOff>18352</xdr:rowOff>
    </xdr:to>
    <xdr:cxnSp macro="">
      <xdr:nvCxnSpPr>
        <xdr:cNvPr id="124" name="カギ線コネクタ 130">
          <a:extLst>
            <a:ext uri="{FF2B5EF4-FFF2-40B4-BE49-F238E27FC236}">
              <a16:creationId xmlns:a16="http://schemas.microsoft.com/office/drawing/2014/main" id="{00000000-0008-0000-0200-00007C000000}"/>
            </a:ext>
          </a:extLst>
        </xdr:cNvPr>
        <xdr:cNvCxnSpPr>
          <a:stCxn id="122" idx="4"/>
          <a:endCxn id="108" idx="1"/>
        </xdr:cNvCxnSpPr>
      </xdr:nvCxnSpPr>
      <xdr:spPr>
        <a:xfrm flipV="1">
          <a:off x="1613806" y="7467665"/>
          <a:ext cx="2048390" cy="18287"/>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104775</xdr:colOff>
      <xdr:row>51</xdr:row>
      <xdr:rowOff>0</xdr:rowOff>
    </xdr:from>
    <xdr:to>
      <xdr:col>10</xdr:col>
      <xdr:colOff>176550</xdr:colOff>
      <xdr:row>54</xdr:row>
      <xdr:rowOff>144235</xdr:rowOff>
    </xdr:to>
    <xdr:sp macro="" textlink="">
      <xdr:nvSpPr>
        <xdr:cNvPr id="118" name="AutoShape 89">
          <a:extLst>
            <a:ext uri="{FF2B5EF4-FFF2-40B4-BE49-F238E27FC236}">
              <a16:creationId xmlns:a16="http://schemas.microsoft.com/office/drawing/2014/main" id="{00000000-0008-0000-0200-000076000000}"/>
            </a:ext>
          </a:extLst>
        </xdr:cNvPr>
        <xdr:cNvSpPr>
          <a:spLocks noChangeArrowheads="1"/>
        </xdr:cNvSpPr>
      </xdr:nvSpPr>
      <xdr:spPr bwMode="auto">
        <a:xfrm>
          <a:off x="304800" y="10220325"/>
          <a:ext cx="1872000" cy="630010"/>
        </a:xfrm>
        <a:prstGeom prst="parallelogram">
          <a:avLst>
            <a:gd name="adj" fmla="val 65789"/>
          </a:avLst>
        </a:prstGeom>
        <a:solidFill>
          <a:srgbClr val="FFFFFF"/>
        </a:solidFill>
        <a:ln w="22225" algn="ctr">
          <a:solidFill>
            <a:srgbClr val="000000"/>
          </a:solidFill>
          <a:miter lim="800000"/>
          <a:headEnd/>
          <a:tailEnd/>
        </a:ln>
      </xdr:spPr>
      <xdr:txBody>
        <a:bodyPr vertOverflow="overflow" horzOverflow="overflow" anchor="ctr" anchorCtr="1"/>
        <a:lstStyle/>
        <a:p>
          <a:r>
            <a:rPr lang="en-US" altLang="ja-JP" sz="1000">
              <a:latin typeface="Meiryo UI" panose="020B0604030504040204" pitchFamily="50" charset="-128"/>
              <a:ea typeface="Meiryo UI" panose="020B0604030504040204" pitchFamily="50" charset="-128"/>
            </a:rPr>
            <a:t>[</a:t>
          </a:r>
          <a:r>
            <a:rPr lang="ja-JP" altLang="en-US" sz="1000">
              <a:latin typeface="Meiryo UI" panose="020B0604030504040204" pitchFamily="50" charset="-128"/>
              <a:ea typeface="Meiryo UI" panose="020B0604030504040204" pitchFamily="50" charset="-128"/>
            </a:rPr>
            <a:t>グリーンマイスター共有フォルダ</a:t>
          </a:r>
          <a:r>
            <a:rPr lang="en-US" altLang="ja-JP" sz="1000">
              <a:latin typeface="Meiryo UI" panose="020B0604030504040204" pitchFamily="50" charset="-128"/>
              <a:ea typeface="Meiryo UI" panose="020B0604030504040204" pitchFamily="50" charset="-128"/>
            </a:rPr>
            <a:t>(S3)]</a:t>
          </a:r>
        </a:p>
        <a:p>
          <a:r>
            <a:rPr lang="ja-JP" altLang="en-US" sz="1000">
              <a:latin typeface="Meiryo UI" panose="020B0604030504040204" pitchFamily="50" charset="-128"/>
              <a:ea typeface="Meiryo UI" panose="020B0604030504040204" pitchFamily="50" charset="-128"/>
            </a:rPr>
            <a:t>回答用制御ファイル</a:t>
          </a:r>
        </a:p>
      </xdr:txBody>
    </xdr:sp>
    <xdr:clientData/>
  </xdr:twoCellAnchor>
  <xdr:twoCellAnchor>
    <xdr:from>
      <xdr:col>17</xdr:col>
      <xdr:colOff>0</xdr:colOff>
      <xdr:row>63</xdr:row>
      <xdr:rowOff>22412</xdr:rowOff>
    </xdr:from>
    <xdr:to>
      <xdr:col>35</xdr:col>
      <xdr:colOff>147278</xdr:colOff>
      <xdr:row>65</xdr:row>
      <xdr:rowOff>156083</xdr:rowOff>
    </xdr:to>
    <xdr:sp macro="" textlink="">
      <xdr:nvSpPr>
        <xdr:cNvPr id="119" name="大かっこ 118">
          <a:extLst>
            <a:ext uri="{FF2B5EF4-FFF2-40B4-BE49-F238E27FC236}">
              <a16:creationId xmlns:a16="http://schemas.microsoft.com/office/drawing/2014/main" id="{00000000-0008-0000-0200-000077000000}"/>
            </a:ext>
          </a:extLst>
        </xdr:cNvPr>
        <xdr:cNvSpPr/>
      </xdr:nvSpPr>
      <xdr:spPr>
        <a:xfrm>
          <a:off x="3429000" y="11811000"/>
          <a:ext cx="3777984" cy="537083"/>
        </a:xfrm>
        <a:prstGeom prst="bracketPair">
          <a:avLst>
            <a:gd name="adj" fmla="val 26568"/>
          </a:avLst>
        </a:prstGeom>
        <a:ln w="25400">
          <a:solidFill>
            <a:srgbClr val="FF0000"/>
          </a:solidFill>
          <a:prstDash val="dash"/>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156883</xdr:colOff>
      <xdr:row>51</xdr:row>
      <xdr:rowOff>11206</xdr:rowOff>
    </xdr:from>
    <xdr:to>
      <xdr:col>35</xdr:col>
      <xdr:colOff>102455</xdr:colOff>
      <xdr:row>54</xdr:row>
      <xdr:rowOff>77642</xdr:rowOff>
    </xdr:to>
    <xdr:sp macro="" textlink="">
      <xdr:nvSpPr>
        <xdr:cNvPr id="120" name="大かっこ 119">
          <a:extLst>
            <a:ext uri="{FF2B5EF4-FFF2-40B4-BE49-F238E27FC236}">
              <a16:creationId xmlns:a16="http://schemas.microsoft.com/office/drawing/2014/main" id="{00000000-0008-0000-0200-000078000000}"/>
            </a:ext>
          </a:extLst>
        </xdr:cNvPr>
        <xdr:cNvSpPr/>
      </xdr:nvSpPr>
      <xdr:spPr>
        <a:xfrm>
          <a:off x="3384177" y="9737912"/>
          <a:ext cx="3777984" cy="537083"/>
        </a:xfrm>
        <a:prstGeom prst="bracketPair">
          <a:avLst>
            <a:gd name="adj" fmla="val 26568"/>
          </a:avLst>
        </a:prstGeom>
        <a:ln w="25400">
          <a:solidFill>
            <a:srgbClr val="FF0000"/>
          </a:solidFill>
          <a:prstDash val="dash"/>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18</xdr:col>
      <xdr:colOff>68437</xdr:colOff>
      <xdr:row>79</xdr:row>
      <xdr:rowOff>12983</xdr:rowOff>
    </xdr:from>
    <xdr:to>
      <xdr:col>34</xdr:col>
      <xdr:colOff>112058</xdr:colOff>
      <xdr:row>80</xdr:row>
      <xdr:rowOff>179294</xdr:rowOff>
    </xdr:to>
    <xdr:sp macro="" textlink="">
      <xdr:nvSpPr>
        <xdr:cNvPr id="115" name="フローチャート: 処理 114">
          <a:extLst>
            <a:ext uri="{FF2B5EF4-FFF2-40B4-BE49-F238E27FC236}">
              <a16:creationId xmlns:a16="http://schemas.microsoft.com/office/drawing/2014/main" id="{00000000-0008-0000-0200-000073000000}"/>
            </a:ext>
          </a:extLst>
        </xdr:cNvPr>
        <xdr:cNvSpPr/>
      </xdr:nvSpPr>
      <xdr:spPr>
        <a:xfrm>
          <a:off x="3699143" y="15028865"/>
          <a:ext cx="3270915" cy="368017"/>
        </a:xfrm>
        <a:prstGeom prst="flowChartProcess">
          <a:avLst/>
        </a:prstGeom>
        <a:no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rgbClr val="FF0000"/>
              </a:solidFill>
              <a:latin typeface="Meiryo UI" panose="020B0604030504040204" pitchFamily="50" charset="-128"/>
              <a:ea typeface="Meiryo UI" panose="020B0604030504040204" pitchFamily="50" charset="-128"/>
              <a:cs typeface="メイリオ" panose="020B0604030504040204" pitchFamily="50" charset="-128"/>
            </a:rPr>
            <a:t>1-8</a:t>
          </a:r>
          <a:r>
            <a:rPr lang="ja-JP" altLang="en-US" sz="1000">
              <a:solidFill>
                <a:srgbClr val="FF0000"/>
              </a:solidFill>
              <a:latin typeface="Meiryo UI" panose="020B0604030504040204" pitchFamily="50" charset="-128"/>
              <a:ea typeface="Meiryo UI" panose="020B0604030504040204" pitchFamily="50" charset="-128"/>
              <a:cs typeface="メイリオ" panose="020B0604030504040204" pitchFamily="50" charset="-128"/>
            </a:rPr>
            <a:t>　ファイル移動</a:t>
          </a:r>
          <a:endParaRPr lang="en-US" altLang="ja-JP" sz="1000">
            <a:solidFill>
              <a:srgbClr val="FF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26</xdr:col>
      <xdr:colOff>86774</xdr:colOff>
      <xdr:row>71</xdr:row>
      <xdr:rowOff>12246</xdr:rowOff>
    </xdr:from>
    <xdr:to>
      <xdr:col>26</xdr:col>
      <xdr:colOff>90248</xdr:colOff>
      <xdr:row>79</xdr:row>
      <xdr:rowOff>12983</xdr:rowOff>
    </xdr:to>
    <xdr:cxnSp macro="">
      <xdr:nvCxnSpPr>
        <xdr:cNvPr id="125" name="直線矢印コネクタ 124">
          <a:extLst>
            <a:ext uri="{FF2B5EF4-FFF2-40B4-BE49-F238E27FC236}">
              <a16:creationId xmlns:a16="http://schemas.microsoft.com/office/drawing/2014/main" id="{00000000-0008-0000-0200-00007D000000}"/>
            </a:ext>
          </a:extLst>
        </xdr:cNvPr>
        <xdr:cNvCxnSpPr>
          <a:stCxn id="65" idx="2"/>
          <a:endCxn id="115" idx="0"/>
        </xdr:cNvCxnSpPr>
      </xdr:nvCxnSpPr>
      <xdr:spPr>
        <a:xfrm>
          <a:off x="5331127" y="13414481"/>
          <a:ext cx="3474" cy="16143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138813</xdr:colOff>
      <xdr:row>78</xdr:row>
      <xdr:rowOff>67236</xdr:rowOff>
    </xdr:from>
    <xdr:to>
      <xdr:col>48</xdr:col>
      <xdr:colOff>0</xdr:colOff>
      <xdr:row>81</xdr:row>
      <xdr:rowOff>107510</xdr:rowOff>
    </xdr:to>
    <xdr:sp macro="" textlink="">
      <xdr:nvSpPr>
        <xdr:cNvPr id="126" name="AutoShape 89">
          <a:extLst>
            <a:ext uri="{FF2B5EF4-FFF2-40B4-BE49-F238E27FC236}">
              <a16:creationId xmlns:a16="http://schemas.microsoft.com/office/drawing/2014/main" id="{00000000-0008-0000-0200-00007E000000}"/>
            </a:ext>
          </a:extLst>
        </xdr:cNvPr>
        <xdr:cNvSpPr>
          <a:spLocks noChangeArrowheads="1"/>
        </xdr:cNvSpPr>
      </xdr:nvSpPr>
      <xdr:spPr bwMode="auto">
        <a:xfrm>
          <a:off x="8005342" y="14881412"/>
          <a:ext cx="1676540" cy="645392"/>
        </a:xfrm>
        <a:prstGeom prst="parallelogram">
          <a:avLst>
            <a:gd name="adj" fmla="val 65789"/>
          </a:avLst>
        </a:prstGeom>
        <a:solidFill>
          <a:srgbClr val="FFFFFF"/>
        </a:solidFill>
        <a:ln w="22225" algn="ctr">
          <a:solidFill>
            <a:srgbClr val="FF0000"/>
          </a:solidFill>
          <a:miter lim="800000"/>
          <a:headEnd/>
          <a:tailEnd/>
        </a:ln>
      </xdr:spPr>
      <xdr:txBody>
        <a:bodyPr vertOverflow="overflow" horzOverflow="overflow" anchor="ctr" anchorCtr="1"/>
        <a:lstStyle/>
        <a:p>
          <a:r>
            <a:rPr lang="en-US" altLang="ja-JP" sz="1000">
              <a:solidFill>
                <a:srgbClr val="FF0000"/>
              </a:solidFill>
              <a:latin typeface="Meiryo UI" panose="020B0604030504040204" pitchFamily="50" charset="-128"/>
              <a:ea typeface="Meiryo UI" panose="020B0604030504040204" pitchFamily="50" charset="-128"/>
            </a:rPr>
            <a:t>[</a:t>
          </a:r>
          <a:r>
            <a:rPr lang="ja-JP" altLang="en-US" sz="1000">
              <a:solidFill>
                <a:srgbClr val="FF0000"/>
              </a:solidFill>
              <a:latin typeface="Meiryo UI" panose="020B0604030504040204" pitchFamily="50" charset="-128"/>
              <a:ea typeface="Meiryo UI" panose="020B0604030504040204" pitchFamily="50" charset="-128"/>
            </a:rPr>
            <a:t>データ取込</a:t>
          </a:r>
          <a:endParaRPr lang="en-US" altLang="ja-JP" sz="1000">
            <a:solidFill>
              <a:srgbClr val="FF0000"/>
            </a:solidFill>
            <a:latin typeface="Meiryo UI" panose="020B0604030504040204" pitchFamily="50" charset="-128"/>
            <a:ea typeface="Meiryo UI" panose="020B0604030504040204" pitchFamily="50" charset="-128"/>
          </a:endParaRPr>
        </a:p>
        <a:p>
          <a:r>
            <a:rPr lang="ja-JP" altLang="en-US" sz="1000">
              <a:solidFill>
                <a:srgbClr val="FF0000"/>
              </a:solidFill>
              <a:latin typeface="Meiryo UI" panose="020B0604030504040204" pitchFamily="50" charset="-128"/>
              <a:ea typeface="Meiryo UI" panose="020B0604030504040204" pitchFamily="50" charset="-128"/>
            </a:rPr>
            <a:t>フォルダ</a:t>
          </a:r>
          <a:r>
            <a:rPr lang="en-US" altLang="ja-JP" sz="1000">
              <a:solidFill>
                <a:srgbClr val="FF0000"/>
              </a:solidFill>
              <a:latin typeface="Meiryo UI" panose="020B0604030504040204" pitchFamily="50" charset="-128"/>
              <a:ea typeface="Meiryo UI" panose="020B0604030504040204" pitchFamily="50" charset="-128"/>
            </a:rPr>
            <a:t>(S3)]</a:t>
          </a:r>
        </a:p>
      </xdr:txBody>
    </xdr:sp>
    <xdr:clientData/>
  </xdr:twoCellAnchor>
  <xdr:twoCellAnchor>
    <xdr:from>
      <xdr:col>34</xdr:col>
      <xdr:colOff>112058</xdr:colOff>
      <xdr:row>79</xdr:row>
      <xdr:rowOff>188226</xdr:rowOff>
    </xdr:from>
    <xdr:to>
      <xdr:col>40</xdr:col>
      <xdr:colOff>149405</xdr:colOff>
      <xdr:row>79</xdr:row>
      <xdr:rowOff>196992</xdr:rowOff>
    </xdr:to>
    <xdr:cxnSp macro="">
      <xdr:nvCxnSpPr>
        <xdr:cNvPr id="127" name="カギ線コネクタ 130">
          <a:extLst>
            <a:ext uri="{FF2B5EF4-FFF2-40B4-BE49-F238E27FC236}">
              <a16:creationId xmlns:a16="http://schemas.microsoft.com/office/drawing/2014/main" id="{00000000-0008-0000-0200-00007F000000}"/>
            </a:ext>
          </a:extLst>
        </xdr:cNvPr>
        <xdr:cNvCxnSpPr>
          <a:stCxn id="115" idx="3"/>
          <a:endCxn id="126" idx="5"/>
        </xdr:cNvCxnSpPr>
      </xdr:nvCxnSpPr>
      <xdr:spPr>
        <a:xfrm flipV="1">
          <a:off x="6970058" y="15204108"/>
          <a:ext cx="1247582" cy="8766"/>
        </a:xfrm>
        <a:prstGeom prst="straightConnector1">
          <a:avLst/>
        </a:prstGeom>
        <a:ln>
          <a:solidFill>
            <a:srgbClr val="FF0000"/>
          </a:solidFill>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112059</xdr:colOff>
      <xdr:row>77</xdr:row>
      <xdr:rowOff>145679</xdr:rowOff>
    </xdr:from>
    <xdr:to>
      <xdr:col>10</xdr:col>
      <xdr:colOff>19809</xdr:colOff>
      <xdr:row>81</xdr:row>
      <xdr:rowOff>50051</xdr:rowOff>
    </xdr:to>
    <xdr:sp macro="" textlink="">
      <xdr:nvSpPr>
        <xdr:cNvPr id="128" name="AutoShape 89">
          <a:extLst>
            <a:ext uri="{FF2B5EF4-FFF2-40B4-BE49-F238E27FC236}">
              <a16:creationId xmlns:a16="http://schemas.microsoft.com/office/drawing/2014/main" id="{00000000-0008-0000-0200-000080000000}"/>
            </a:ext>
          </a:extLst>
        </xdr:cNvPr>
        <xdr:cNvSpPr>
          <a:spLocks noChangeArrowheads="1"/>
        </xdr:cNvSpPr>
      </xdr:nvSpPr>
      <xdr:spPr bwMode="auto">
        <a:xfrm>
          <a:off x="112059" y="14758150"/>
          <a:ext cx="1924809" cy="711195"/>
        </a:xfrm>
        <a:prstGeom prst="parallelogram">
          <a:avLst>
            <a:gd name="adj" fmla="val 65789"/>
          </a:avLst>
        </a:prstGeom>
        <a:solidFill>
          <a:srgbClr val="FFFFFF"/>
        </a:solidFill>
        <a:ln w="22225" algn="ctr">
          <a:solidFill>
            <a:srgbClr val="FF0000"/>
          </a:solidFill>
          <a:miter lim="800000"/>
          <a:headEnd/>
          <a:tailEnd/>
        </a:ln>
      </xdr:spPr>
      <xdr:txBody>
        <a:bodyPr vertOverflow="overflow" horzOverflow="overflow" anchor="ctr" anchorCtr="1"/>
        <a:lstStyle/>
        <a:p>
          <a:r>
            <a:rPr lang="en-US" altLang="ja-JP" sz="1000">
              <a:solidFill>
                <a:srgbClr val="FF0000"/>
              </a:solidFill>
              <a:latin typeface="Meiryo UI" panose="020B0604030504040204" pitchFamily="50" charset="-128"/>
              <a:ea typeface="Meiryo UI" panose="020B0604030504040204" pitchFamily="50" charset="-128"/>
            </a:rPr>
            <a:t>[</a:t>
          </a:r>
          <a:r>
            <a:rPr lang="ja-JP" altLang="en-US" sz="1000">
              <a:solidFill>
                <a:srgbClr val="FF0000"/>
              </a:solidFill>
              <a:latin typeface="Meiryo UI" panose="020B0604030504040204" pitchFamily="50" charset="-128"/>
              <a:ea typeface="Meiryo UI" panose="020B0604030504040204" pitchFamily="50" charset="-128"/>
            </a:rPr>
            <a:t>グリーンマイスター共有フォルダ</a:t>
          </a:r>
          <a:r>
            <a:rPr lang="en-US" altLang="ja-JP" sz="1000">
              <a:solidFill>
                <a:srgbClr val="FF0000"/>
              </a:solidFill>
              <a:latin typeface="Meiryo UI" panose="020B0604030504040204" pitchFamily="50" charset="-128"/>
              <a:ea typeface="Meiryo UI" panose="020B0604030504040204" pitchFamily="50" charset="-128"/>
            </a:rPr>
            <a:t>(S3)]</a:t>
          </a:r>
        </a:p>
        <a:p>
          <a:r>
            <a:rPr lang="ja-JP" altLang="en-US" sz="1000">
              <a:solidFill>
                <a:srgbClr val="FF0000"/>
              </a:solidFill>
              <a:latin typeface="Meiryo UI" panose="020B0604030504040204" pitchFamily="50" charset="-128"/>
              <a:ea typeface="Meiryo UI" panose="020B0604030504040204" pitchFamily="50" charset="-128"/>
            </a:rPr>
            <a:t>回答用制御ファイル</a:t>
          </a:r>
          <a:endParaRPr lang="en-US" altLang="ja-JP" sz="10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8</xdr:col>
      <xdr:colOff>189277</xdr:colOff>
      <xdr:row>79</xdr:row>
      <xdr:rowOff>97866</xdr:rowOff>
    </xdr:from>
    <xdr:to>
      <xdr:col>18</xdr:col>
      <xdr:colOff>68437</xdr:colOff>
      <xdr:row>79</xdr:row>
      <xdr:rowOff>196992</xdr:rowOff>
    </xdr:to>
    <xdr:cxnSp macro="">
      <xdr:nvCxnSpPr>
        <xdr:cNvPr id="129" name="カギ線コネクタ 130">
          <a:extLst>
            <a:ext uri="{FF2B5EF4-FFF2-40B4-BE49-F238E27FC236}">
              <a16:creationId xmlns:a16="http://schemas.microsoft.com/office/drawing/2014/main" id="{00000000-0008-0000-0200-000081000000}"/>
            </a:ext>
          </a:extLst>
        </xdr:cNvPr>
        <xdr:cNvCxnSpPr>
          <a:stCxn id="128" idx="2"/>
          <a:endCxn id="115" idx="1"/>
        </xdr:cNvCxnSpPr>
      </xdr:nvCxnSpPr>
      <xdr:spPr>
        <a:xfrm>
          <a:off x="1802924" y="15113748"/>
          <a:ext cx="1896219" cy="99126"/>
        </a:xfrm>
        <a:prstGeom prst="straightConnector1">
          <a:avLst/>
        </a:prstGeom>
        <a:ln>
          <a:solidFill>
            <a:srgbClr val="FF0000"/>
          </a:solidFill>
          <a:prstDash val="dash"/>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81</xdr:row>
      <xdr:rowOff>106837</xdr:rowOff>
    </xdr:from>
    <xdr:to>
      <xdr:col>9</xdr:col>
      <xdr:colOff>109456</xdr:colOff>
      <xdr:row>85</xdr:row>
      <xdr:rowOff>11208</xdr:rowOff>
    </xdr:to>
    <xdr:sp macro="" textlink="">
      <xdr:nvSpPr>
        <xdr:cNvPr id="133" name="AutoShape 89">
          <a:extLst>
            <a:ext uri="{FF2B5EF4-FFF2-40B4-BE49-F238E27FC236}">
              <a16:creationId xmlns:a16="http://schemas.microsoft.com/office/drawing/2014/main" id="{00000000-0008-0000-0200-000085000000}"/>
            </a:ext>
          </a:extLst>
        </xdr:cNvPr>
        <xdr:cNvSpPr>
          <a:spLocks noChangeArrowheads="1"/>
        </xdr:cNvSpPr>
      </xdr:nvSpPr>
      <xdr:spPr bwMode="auto">
        <a:xfrm>
          <a:off x="0" y="15526131"/>
          <a:ext cx="1924809" cy="711195"/>
        </a:xfrm>
        <a:prstGeom prst="parallelogram">
          <a:avLst>
            <a:gd name="adj" fmla="val 65789"/>
          </a:avLst>
        </a:prstGeom>
        <a:solidFill>
          <a:srgbClr val="FFFFFF"/>
        </a:solidFill>
        <a:ln w="22225" algn="ctr">
          <a:solidFill>
            <a:srgbClr val="FF0000"/>
          </a:solidFill>
          <a:miter lim="800000"/>
          <a:headEnd/>
          <a:tailEnd/>
        </a:ln>
      </xdr:spPr>
      <xdr:txBody>
        <a:bodyPr vertOverflow="overflow" horzOverflow="overflow" anchor="ctr" anchorCtr="1"/>
        <a:lstStyle/>
        <a:p>
          <a:r>
            <a:rPr lang="en-US" altLang="ja-JP" sz="1000">
              <a:solidFill>
                <a:srgbClr val="FF0000"/>
              </a:solidFill>
              <a:latin typeface="Meiryo UI" panose="020B0604030504040204" pitchFamily="50" charset="-128"/>
              <a:ea typeface="Meiryo UI" panose="020B0604030504040204" pitchFamily="50" charset="-128"/>
            </a:rPr>
            <a:t>[</a:t>
          </a:r>
          <a:r>
            <a:rPr lang="ja-JP" altLang="en-US" sz="1000">
              <a:solidFill>
                <a:srgbClr val="FF0000"/>
              </a:solidFill>
              <a:latin typeface="Meiryo UI" panose="020B0604030504040204" pitchFamily="50" charset="-128"/>
              <a:ea typeface="Meiryo UI" panose="020B0604030504040204" pitchFamily="50" charset="-128"/>
            </a:rPr>
            <a:t>グリーンマイスター共有フォルダ</a:t>
          </a:r>
          <a:r>
            <a:rPr lang="en-US" altLang="ja-JP" sz="1000">
              <a:solidFill>
                <a:srgbClr val="FF0000"/>
              </a:solidFill>
              <a:latin typeface="Meiryo UI" panose="020B0604030504040204" pitchFamily="50" charset="-128"/>
              <a:ea typeface="Meiryo UI" panose="020B0604030504040204" pitchFamily="50" charset="-128"/>
            </a:rPr>
            <a:t>(S3)]</a:t>
          </a:r>
        </a:p>
        <a:p>
          <a:r>
            <a:rPr lang="en-US" altLang="ja-JP" sz="1000">
              <a:solidFill>
                <a:srgbClr val="FF0000"/>
              </a:solidFill>
              <a:latin typeface="Meiryo UI" panose="020B0604030504040204" pitchFamily="50" charset="-128"/>
              <a:ea typeface="Meiryo UI" panose="020B0604030504040204" pitchFamily="50" charset="-128"/>
            </a:rPr>
            <a:t>ZIP</a:t>
          </a:r>
          <a:r>
            <a:rPr lang="ja-JP" altLang="en-US" sz="1000">
              <a:solidFill>
                <a:srgbClr val="FF0000"/>
              </a:solidFill>
              <a:latin typeface="Meiryo UI" panose="020B0604030504040204" pitchFamily="50" charset="-128"/>
              <a:ea typeface="Meiryo UI" panose="020B0604030504040204" pitchFamily="50" charset="-128"/>
            </a:rPr>
            <a:t>ファイル</a:t>
          </a:r>
          <a:endParaRPr lang="en-US" altLang="ja-JP" sz="10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8</xdr:col>
      <xdr:colOff>77218</xdr:colOff>
      <xdr:row>79</xdr:row>
      <xdr:rowOff>196992</xdr:rowOff>
    </xdr:from>
    <xdr:to>
      <xdr:col>18</xdr:col>
      <xdr:colOff>68437</xdr:colOff>
      <xdr:row>83</xdr:row>
      <xdr:rowOff>59023</xdr:rowOff>
    </xdr:to>
    <xdr:cxnSp macro="">
      <xdr:nvCxnSpPr>
        <xdr:cNvPr id="134" name="カギ線コネクタ 130">
          <a:extLst>
            <a:ext uri="{FF2B5EF4-FFF2-40B4-BE49-F238E27FC236}">
              <a16:creationId xmlns:a16="http://schemas.microsoft.com/office/drawing/2014/main" id="{00000000-0008-0000-0200-000086000000}"/>
            </a:ext>
          </a:extLst>
        </xdr:cNvPr>
        <xdr:cNvCxnSpPr>
          <a:stCxn id="133" idx="2"/>
          <a:endCxn id="115" idx="1"/>
        </xdr:cNvCxnSpPr>
      </xdr:nvCxnSpPr>
      <xdr:spPr>
        <a:xfrm flipV="1">
          <a:off x="1690865" y="15212874"/>
          <a:ext cx="2008278" cy="668855"/>
        </a:xfrm>
        <a:prstGeom prst="straightConnector1">
          <a:avLst/>
        </a:prstGeom>
        <a:ln>
          <a:solidFill>
            <a:srgbClr val="FF0000"/>
          </a:solidFill>
          <a:prstDash val="dash"/>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90445</xdr:colOff>
      <xdr:row>7</xdr:row>
      <xdr:rowOff>190498</xdr:rowOff>
    </xdr:from>
    <xdr:to>
      <xdr:col>20</xdr:col>
      <xdr:colOff>13606</xdr:colOff>
      <xdr:row>27</xdr:row>
      <xdr:rowOff>149677</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623970" y="1981198"/>
          <a:ext cx="2771136" cy="472167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S3</a:t>
          </a:r>
        </a:p>
      </xdr:txBody>
    </xdr:sp>
    <xdr:clientData/>
  </xdr:twoCellAnchor>
  <xdr:twoCellAnchor>
    <xdr:from>
      <xdr:col>2</xdr:col>
      <xdr:colOff>0</xdr:colOff>
      <xdr:row>2</xdr:row>
      <xdr:rowOff>108858</xdr:rowOff>
    </xdr:from>
    <xdr:to>
      <xdr:col>9</xdr:col>
      <xdr:colOff>0</xdr:colOff>
      <xdr:row>6</xdr:row>
      <xdr:rowOff>0</xdr:rowOff>
    </xdr:to>
    <xdr:sp macro="" textlink="">
      <xdr:nvSpPr>
        <xdr:cNvPr id="3" name="フローチャート: 記憶データ 2">
          <a:extLst>
            <a:ext uri="{FF2B5EF4-FFF2-40B4-BE49-F238E27FC236}">
              <a16:creationId xmlns:a16="http://schemas.microsoft.com/office/drawing/2014/main" id="{00000000-0008-0000-0500-000003000000}"/>
            </a:ext>
          </a:extLst>
        </xdr:cNvPr>
        <xdr:cNvSpPr/>
      </xdr:nvSpPr>
      <xdr:spPr>
        <a:xfrm>
          <a:off x="438150" y="661308"/>
          <a:ext cx="1533525" cy="881742"/>
        </a:xfrm>
        <a:prstGeom prst="flowChartOnlineStorag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環境証明書ファイル</a:t>
          </a:r>
        </a:p>
      </xdr:txBody>
    </xdr:sp>
    <xdr:clientData/>
  </xdr:twoCellAnchor>
  <xdr:twoCellAnchor>
    <xdr:from>
      <xdr:col>8</xdr:col>
      <xdr:colOff>22411</xdr:colOff>
      <xdr:row>9</xdr:row>
      <xdr:rowOff>0</xdr:rowOff>
    </xdr:from>
    <xdr:to>
      <xdr:col>19</xdr:col>
      <xdr:colOff>112058</xdr:colOff>
      <xdr:row>16</xdr:row>
      <xdr:rowOff>0</xdr:rowOff>
    </xdr:to>
    <xdr:sp macro="" textlink="">
      <xdr:nvSpPr>
        <xdr:cNvPr id="4" name="正方形/長方形 3">
          <a:extLst>
            <a:ext uri="{FF2B5EF4-FFF2-40B4-BE49-F238E27FC236}">
              <a16:creationId xmlns:a16="http://schemas.microsoft.com/office/drawing/2014/main" id="{00000000-0008-0000-0500-000004000000}"/>
            </a:ext>
          </a:extLst>
        </xdr:cNvPr>
        <xdr:cNvSpPr/>
      </xdr:nvSpPr>
      <xdr:spPr>
        <a:xfrm>
          <a:off x="1775011" y="2266950"/>
          <a:ext cx="2499472" cy="16668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受信フォルダ</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/sys-interface/gm/rcv/cert/</a:t>
          </a:r>
        </a:p>
        <a:p>
          <a:pPr algn="l"/>
          <a:endParaRPr kumimoji="1" lang="en-US" altLang="ja-JP" sz="1100">
            <a:solidFill>
              <a:sysClr val="windowText" lastClr="000000"/>
            </a:solidFill>
          </a:endParaRPr>
        </a:p>
      </xdr:txBody>
    </xdr:sp>
    <xdr:clientData/>
  </xdr:twoCellAnchor>
  <xdr:twoCellAnchor>
    <xdr:from>
      <xdr:col>8</xdr:col>
      <xdr:colOff>0</xdr:colOff>
      <xdr:row>19</xdr:row>
      <xdr:rowOff>123825</xdr:rowOff>
    </xdr:from>
    <xdr:to>
      <xdr:col>19</xdr:col>
      <xdr:colOff>89647</xdr:colOff>
      <xdr:row>27</xdr:row>
      <xdr:rowOff>0</xdr:rowOff>
    </xdr:to>
    <xdr:sp macro="" textlink="">
      <xdr:nvSpPr>
        <xdr:cNvPr id="5" name="正方形/長方形 4">
          <a:extLst>
            <a:ext uri="{FF2B5EF4-FFF2-40B4-BE49-F238E27FC236}">
              <a16:creationId xmlns:a16="http://schemas.microsoft.com/office/drawing/2014/main" id="{00000000-0008-0000-0500-000005000000}"/>
            </a:ext>
          </a:extLst>
        </xdr:cNvPr>
        <xdr:cNvSpPr/>
      </xdr:nvSpPr>
      <xdr:spPr>
        <a:xfrm>
          <a:off x="1752600" y="4772025"/>
          <a:ext cx="2499472" cy="1781175"/>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データ取込フォルダ</a:t>
          </a:r>
          <a:endParaRPr kumimoji="1" lang="en-US" altLang="ja-JP" sz="1100">
            <a:solidFill>
              <a:srgbClr val="FF0000"/>
            </a:solidFill>
          </a:endParaRPr>
        </a:p>
        <a:p>
          <a:pPr algn="l"/>
          <a:r>
            <a:rPr kumimoji="1" lang="ja-JP" altLang="en-US" sz="1100">
              <a:solidFill>
                <a:srgbClr val="FF0000"/>
              </a:solidFill>
            </a:rPr>
            <a:t>：</a:t>
          </a:r>
          <a:r>
            <a:rPr kumimoji="1" lang="en-US" altLang="ja-JP" sz="1100">
              <a:solidFill>
                <a:srgbClr val="FF0000"/>
              </a:solidFill>
            </a:rPr>
            <a:t>/sys-interface/gm/data/rcv/cert/</a:t>
          </a:r>
        </a:p>
        <a:p>
          <a:pPr algn="l"/>
          <a:endParaRPr kumimoji="1" lang="en-US" altLang="ja-JP" sz="1100">
            <a:solidFill>
              <a:srgbClr val="FF0000"/>
            </a:solidFill>
          </a:endParaRPr>
        </a:p>
      </xdr:txBody>
    </xdr:sp>
    <xdr:clientData/>
  </xdr:twoCellAnchor>
  <xdr:twoCellAnchor>
    <xdr:from>
      <xdr:col>4</xdr:col>
      <xdr:colOff>1</xdr:colOff>
      <xdr:row>6</xdr:row>
      <xdr:rowOff>244927</xdr:rowOff>
    </xdr:from>
    <xdr:to>
      <xdr:col>7</xdr:col>
      <xdr:colOff>201706</xdr:colOff>
      <xdr:row>12</xdr:row>
      <xdr:rowOff>235322</xdr:rowOff>
    </xdr:to>
    <xdr:sp macro="" textlink="">
      <xdr:nvSpPr>
        <xdr:cNvPr id="6" name="曲折矢印 5">
          <a:extLst>
            <a:ext uri="{FF2B5EF4-FFF2-40B4-BE49-F238E27FC236}">
              <a16:creationId xmlns:a16="http://schemas.microsoft.com/office/drawing/2014/main" id="{00000000-0008-0000-0500-000006000000}"/>
            </a:ext>
          </a:extLst>
        </xdr:cNvPr>
        <xdr:cNvSpPr/>
      </xdr:nvSpPr>
      <xdr:spPr>
        <a:xfrm rot="10800000" flipH="1">
          <a:off x="876301" y="1787977"/>
          <a:ext cx="858930" cy="1428670"/>
        </a:xfrm>
        <a:prstGeom prst="bentArrow">
          <a:avLst>
            <a:gd name="adj1" fmla="val 25000"/>
            <a:gd name="adj2" fmla="val 25000"/>
            <a:gd name="adj3" fmla="val 25000"/>
            <a:gd name="adj4" fmla="val 5785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27</xdr:col>
      <xdr:colOff>0</xdr:colOff>
      <xdr:row>19</xdr:row>
      <xdr:rowOff>0</xdr:rowOff>
    </xdr:from>
    <xdr:to>
      <xdr:col>38</xdr:col>
      <xdr:colOff>128067</xdr:colOff>
      <xdr:row>27</xdr:row>
      <xdr:rowOff>0</xdr:rowOff>
    </xdr:to>
    <xdr:grpSp>
      <xdr:nvGrpSpPr>
        <xdr:cNvPr id="7" name="グループ化 6">
          <a:extLst>
            <a:ext uri="{FF2B5EF4-FFF2-40B4-BE49-F238E27FC236}">
              <a16:creationId xmlns:a16="http://schemas.microsoft.com/office/drawing/2014/main" id="{00000000-0008-0000-0500-000007000000}"/>
            </a:ext>
          </a:extLst>
        </xdr:cNvPr>
        <xdr:cNvGrpSpPr/>
      </xdr:nvGrpSpPr>
      <xdr:grpSpPr>
        <a:xfrm>
          <a:off x="5878286" y="5170714"/>
          <a:ext cx="2522924" cy="2177143"/>
          <a:chOff x="4930588" y="1411941"/>
          <a:chExt cx="2017059" cy="1882588"/>
        </a:xfrm>
      </xdr:grpSpPr>
      <xdr:sp macro="" textlink="">
        <xdr:nvSpPr>
          <xdr:cNvPr id="8" name="二等辺三角形 7">
            <a:extLst>
              <a:ext uri="{FF2B5EF4-FFF2-40B4-BE49-F238E27FC236}">
                <a16:creationId xmlns:a16="http://schemas.microsoft.com/office/drawing/2014/main" id="{00000000-0008-0000-0500-000008000000}"/>
              </a:ext>
            </a:extLst>
          </xdr:cNvPr>
          <xdr:cNvSpPr/>
        </xdr:nvSpPr>
        <xdr:spPr>
          <a:xfrm>
            <a:off x="4930588" y="2588558"/>
            <a:ext cx="2017059" cy="705971"/>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9" name="グループ化 8">
            <a:extLst>
              <a:ext uri="{FF2B5EF4-FFF2-40B4-BE49-F238E27FC236}">
                <a16:creationId xmlns:a16="http://schemas.microsoft.com/office/drawing/2014/main" id="{00000000-0008-0000-0500-000009000000}"/>
              </a:ext>
            </a:extLst>
          </xdr:cNvPr>
          <xdr:cNvGrpSpPr/>
        </xdr:nvGrpSpPr>
        <xdr:grpSpPr>
          <a:xfrm>
            <a:off x="4930588" y="1411941"/>
            <a:ext cx="2017059" cy="1647265"/>
            <a:chOff x="4930588" y="1411941"/>
            <a:chExt cx="2017059" cy="1647265"/>
          </a:xfrm>
        </xdr:grpSpPr>
        <xdr:sp macro="" textlink="">
          <xdr:nvSpPr>
            <xdr:cNvPr id="10" name="フローチャート: 処理 9">
              <a:extLst>
                <a:ext uri="{FF2B5EF4-FFF2-40B4-BE49-F238E27FC236}">
                  <a16:creationId xmlns:a16="http://schemas.microsoft.com/office/drawing/2014/main" id="{00000000-0008-0000-0500-00000A000000}"/>
                </a:ext>
              </a:extLst>
            </xdr:cNvPr>
            <xdr:cNvSpPr/>
          </xdr:nvSpPr>
          <xdr:spPr>
            <a:xfrm>
              <a:off x="4930588" y="1411941"/>
              <a:ext cx="2017059" cy="1647265"/>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フローチャート: 処理 10">
              <a:extLst>
                <a:ext uri="{FF2B5EF4-FFF2-40B4-BE49-F238E27FC236}">
                  <a16:creationId xmlns:a16="http://schemas.microsoft.com/office/drawing/2014/main" id="{00000000-0008-0000-0500-00000B000000}"/>
                </a:ext>
              </a:extLst>
            </xdr:cNvPr>
            <xdr:cNvSpPr/>
          </xdr:nvSpPr>
          <xdr:spPr>
            <a:xfrm>
              <a:off x="5154706" y="1647265"/>
              <a:ext cx="1568823" cy="1176617"/>
            </a:xfrm>
            <a:prstGeom prst="flowChartProcess">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editAs="oneCell">
    <xdr:from>
      <xdr:col>27</xdr:col>
      <xdr:colOff>198033</xdr:colOff>
      <xdr:row>20</xdr:row>
      <xdr:rowOff>0</xdr:rowOff>
    </xdr:from>
    <xdr:to>
      <xdr:col>37</xdr:col>
      <xdr:colOff>128067</xdr:colOff>
      <xdr:row>24</xdr:row>
      <xdr:rowOff>173183</xdr:rowOff>
    </xdr:to>
    <xdr:pic>
      <xdr:nvPicPr>
        <xdr:cNvPr id="12" name="図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
        <a:stretch>
          <a:fillRect/>
        </a:stretch>
      </xdr:blipFill>
      <xdr:spPr>
        <a:xfrm>
          <a:off x="6113058" y="4886325"/>
          <a:ext cx="2120784" cy="1190626"/>
        </a:xfrm>
        <a:prstGeom prst="rect">
          <a:avLst/>
        </a:prstGeom>
      </xdr:spPr>
    </xdr:pic>
    <xdr:clientData/>
  </xdr:twoCellAnchor>
  <xdr:twoCellAnchor>
    <xdr:from>
      <xdr:col>21</xdr:col>
      <xdr:colOff>54242</xdr:colOff>
      <xdr:row>13</xdr:row>
      <xdr:rowOff>5130</xdr:rowOff>
    </xdr:from>
    <xdr:to>
      <xdr:col>23</xdr:col>
      <xdr:colOff>108671</xdr:colOff>
      <xdr:row>23</xdr:row>
      <xdr:rowOff>84567</xdr:rowOff>
    </xdr:to>
    <xdr:sp macro="" textlink="">
      <xdr:nvSpPr>
        <xdr:cNvPr id="13" name="左矢印 12">
          <a:extLst>
            <a:ext uri="{FF2B5EF4-FFF2-40B4-BE49-F238E27FC236}">
              <a16:creationId xmlns:a16="http://schemas.microsoft.com/office/drawing/2014/main" id="{00000000-0008-0000-0500-00000D000000}"/>
            </a:ext>
          </a:extLst>
        </xdr:cNvPr>
        <xdr:cNvSpPr/>
      </xdr:nvSpPr>
      <xdr:spPr>
        <a:xfrm rot="3087725">
          <a:off x="3670763" y="4208634"/>
          <a:ext cx="2460687" cy="49257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0</xdr:colOff>
      <xdr:row>2</xdr:row>
      <xdr:rowOff>108858</xdr:rowOff>
    </xdr:from>
    <xdr:to>
      <xdr:col>49</xdr:col>
      <xdr:colOff>0</xdr:colOff>
      <xdr:row>6</xdr:row>
      <xdr:rowOff>0</xdr:rowOff>
    </xdr:to>
    <xdr:sp macro="" textlink="">
      <xdr:nvSpPr>
        <xdr:cNvPr id="14" name="フローチャート: 記憶データ 13">
          <a:extLst>
            <a:ext uri="{FF2B5EF4-FFF2-40B4-BE49-F238E27FC236}">
              <a16:creationId xmlns:a16="http://schemas.microsoft.com/office/drawing/2014/main" id="{00000000-0008-0000-0500-00000E000000}"/>
            </a:ext>
          </a:extLst>
        </xdr:cNvPr>
        <xdr:cNvSpPr/>
      </xdr:nvSpPr>
      <xdr:spPr>
        <a:xfrm>
          <a:off x="9201150" y="661308"/>
          <a:ext cx="1533525" cy="881742"/>
        </a:xfrm>
        <a:prstGeom prst="flowChartOnlineStorag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環境証明書ファイル</a:t>
          </a:r>
        </a:p>
      </xdr:txBody>
    </xdr:sp>
    <xdr:clientData/>
  </xdr:twoCellAnchor>
  <xdr:twoCellAnchor>
    <xdr:from>
      <xdr:col>20</xdr:col>
      <xdr:colOff>67091</xdr:colOff>
      <xdr:row>13</xdr:row>
      <xdr:rowOff>233796</xdr:rowOff>
    </xdr:from>
    <xdr:to>
      <xdr:col>22</xdr:col>
      <xdr:colOff>121520</xdr:colOff>
      <xdr:row>26</xdr:row>
      <xdr:rowOff>47278</xdr:rowOff>
    </xdr:to>
    <xdr:sp macro="" textlink="">
      <xdr:nvSpPr>
        <xdr:cNvPr id="15" name="左矢印 14">
          <a:extLst>
            <a:ext uri="{FF2B5EF4-FFF2-40B4-BE49-F238E27FC236}">
              <a16:creationId xmlns:a16="http://schemas.microsoft.com/office/drawing/2014/main" id="{00000000-0008-0000-0500-00000F000000}"/>
            </a:ext>
          </a:extLst>
        </xdr:cNvPr>
        <xdr:cNvSpPr/>
      </xdr:nvSpPr>
      <xdr:spPr>
        <a:xfrm rot="14022894">
          <a:off x="3240327" y="4661510"/>
          <a:ext cx="2909107" cy="49257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0</xdr:colOff>
      <xdr:row>29</xdr:row>
      <xdr:rowOff>122465</xdr:rowOff>
    </xdr:from>
    <xdr:to>
      <xdr:col>79</xdr:col>
      <xdr:colOff>193223</xdr:colOff>
      <xdr:row>39</xdr:row>
      <xdr:rowOff>231322</xdr:rowOff>
    </xdr:to>
    <xdr:sp macro="" textlink="">
      <xdr:nvSpPr>
        <xdr:cNvPr id="16" name="正方形/長方形 15">
          <a:extLst>
            <a:ext uri="{FF2B5EF4-FFF2-40B4-BE49-F238E27FC236}">
              <a16:creationId xmlns:a16="http://schemas.microsoft.com/office/drawing/2014/main" id="{00000000-0008-0000-0500-000010000000}"/>
            </a:ext>
          </a:extLst>
        </xdr:cNvPr>
        <xdr:cNvSpPr/>
      </xdr:nvSpPr>
      <xdr:spPr>
        <a:xfrm>
          <a:off x="8982075" y="7151915"/>
          <a:ext cx="8518073" cy="2490107"/>
        </a:xfrm>
        <a:prstGeom prst="rect">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rgbClr val="FF0000"/>
              </a:solidFill>
            </a:rPr>
            <a:t>●対応①</a:t>
          </a:r>
          <a:endParaRPr kumimoji="1" lang="en-US" altLang="ja-JP" sz="1200">
            <a:solidFill>
              <a:srgbClr val="FF0000"/>
            </a:solidFill>
          </a:endParaRPr>
        </a:p>
        <a:p>
          <a:pPr algn="l"/>
          <a:r>
            <a:rPr kumimoji="1" lang="ja-JP" altLang="en-US" sz="1200">
              <a:solidFill>
                <a:srgbClr val="FF0000"/>
              </a:solidFill>
            </a:rPr>
            <a:t>　</a:t>
          </a:r>
          <a:r>
            <a:rPr kumimoji="1" lang="en-US" altLang="ja-JP" sz="1200">
              <a:solidFill>
                <a:srgbClr val="FF0000"/>
              </a:solidFill>
            </a:rPr>
            <a:t>GM</a:t>
          </a:r>
          <a:r>
            <a:rPr kumimoji="1" lang="ja-JP" altLang="en-US" sz="1200">
              <a:solidFill>
                <a:srgbClr val="FF0000"/>
              </a:solidFill>
            </a:rPr>
            <a:t>連携ファイルを受信フォルダからデータ取込フォルダへの移動</a:t>
          </a:r>
          <a:endParaRPr kumimoji="1" lang="en-US" altLang="ja-JP" sz="1200">
            <a:solidFill>
              <a:srgbClr val="FF0000"/>
            </a:solidFill>
          </a:endParaRPr>
        </a:p>
        <a:p>
          <a:pPr algn="l"/>
          <a:r>
            <a:rPr kumimoji="1" lang="ja-JP" altLang="en-US" sz="1200">
              <a:solidFill>
                <a:srgbClr val="FF0000"/>
              </a:solidFill>
            </a:rPr>
            <a:t>●対応②</a:t>
          </a:r>
          <a:endParaRPr kumimoji="1" lang="en-US" altLang="ja-JP" sz="1200">
            <a:solidFill>
              <a:srgbClr val="FF0000"/>
            </a:solidFill>
          </a:endParaRPr>
        </a:p>
        <a:p>
          <a:pPr algn="l"/>
          <a:r>
            <a:rPr kumimoji="1" lang="ja-JP" altLang="en-US" sz="1200">
              <a:solidFill>
                <a:srgbClr val="FF0000"/>
              </a:solidFill>
            </a:rPr>
            <a:t>　化学物質データ画面の環境証明書ファイルダウンロードについては参照先を受信フォルダから</a:t>
          </a:r>
          <a:endParaRPr kumimoji="1" lang="en-US" altLang="ja-JP" sz="1200">
            <a:solidFill>
              <a:srgbClr val="FF0000"/>
            </a:solidFill>
          </a:endParaRPr>
        </a:p>
        <a:p>
          <a:pPr algn="l"/>
          <a:r>
            <a:rPr kumimoji="1" lang="ja-JP" altLang="en-US" sz="1200">
              <a:solidFill>
                <a:srgbClr val="FF0000"/>
              </a:solidFill>
            </a:rPr>
            <a:t>　データ取込フォルダへ変更</a:t>
          </a:r>
          <a:endParaRPr kumimoji="1" lang="en-US" altLang="ja-JP" sz="1200">
            <a:solidFill>
              <a:srgbClr val="FF0000"/>
            </a:solidFill>
          </a:endParaRPr>
        </a:p>
        <a:p>
          <a:pPr algn="l"/>
          <a:r>
            <a:rPr kumimoji="1" lang="ja-JP" altLang="en-US" sz="1200">
              <a:solidFill>
                <a:srgbClr val="FF0000"/>
              </a:solidFill>
            </a:rPr>
            <a:t>　</a:t>
          </a:r>
          <a:r>
            <a:rPr kumimoji="1" lang="en-US" altLang="ja-JP" sz="1200">
              <a:solidFill>
                <a:srgbClr val="FF0000"/>
              </a:solidFill>
            </a:rPr>
            <a:t>【</a:t>
          </a:r>
          <a:r>
            <a:rPr kumimoji="1" lang="ja-JP" altLang="en-US" sz="1200">
              <a:solidFill>
                <a:srgbClr val="FF0000"/>
              </a:solidFill>
            </a:rPr>
            <a:t>対応②追加背景</a:t>
          </a:r>
          <a:r>
            <a:rPr kumimoji="1" lang="en-US" altLang="ja-JP" sz="1200">
              <a:solidFill>
                <a:srgbClr val="FF0000"/>
              </a:solidFill>
            </a:rPr>
            <a:t>】</a:t>
          </a:r>
        </a:p>
        <a:p>
          <a:pPr algn="l"/>
          <a:r>
            <a:rPr kumimoji="1" lang="ja-JP" altLang="en-US" sz="1200">
              <a:solidFill>
                <a:srgbClr val="FF0000"/>
              </a:solidFill>
            </a:rPr>
            <a:t>　　受信フォルダの肥大化によりエラーが発生したため対応①のみでの改善を画策したところ、</a:t>
          </a:r>
          <a:endParaRPr kumimoji="1" lang="en-US" altLang="ja-JP" sz="1200">
            <a:solidFill>
              <a:srgbClr val="FF0000"/>
            </a:solidFill>
          </a:endParaRPr>
        </a:p>
        <a:p>
          <a:pPr algn="l"/>
          <a:r>
            <a:rPr kumimoji="1" lang="ja-JP" altLang="en-US" sz="1200">
              <a:solidFill>
                <a:srgbClr val="FF0000"/>
              </a:solidFill>
            </a:rPr>
            <a:t>　　化学物質データ画面のファイルダウンロードが受信フォルダの環境証明書ファイルを参照不可となる。</a:t>
          </a:r>
          <a:endParaRPr kumimoji="1" lang="en-US" altLang="ja-JP" sz="1200">
            <a:solidFill>
              <a:srgbClr val="FF0000"/>
            </a:solidFill>
          </a:endParaRPr>
        </a:p>
        <a:p>
          <a:pPr algn="l"/>
          <a:r>
            <a:rPr kumimoji="1" lang="ja-JP" altLang="en-US" sz="1200">
              <a:solidFill>
                <a:srgbClr val="FF0000"/>
              </a:solidFill>
            </a:rPr>
            <a:t>　　そのため、画面のファイルダウンロード参照先を退避先であるデータ取込フォルダを参照するよう変更が必要。</a:t>
          </a:r>
          <a:endParaRPr kumimoji="1" lang="en-US" altLang="ja-JP" sz="1200">
            <a:solidFill>
              <a:srgbClr val="FF0000"/>
            </a:solidFill>
          </a:endParaRPr>
        </a:p>
      </xdr:txBody>
    </xdr:sp>
    <xdr:clientData/>
  </xdr:twoCellAnchor>
  <xdr:twoCellAnchor>
    <xdr:from>
      <xdr:col>11</xdr:col>
      <xdr:colOff>11206</xdr:colOff>
      <xdr:row>10</xdr:row>
      <xdr:rowOff>214512</xdr:rowOff>
    </xdr:from>
    <xdr:to>
      <xdr:col>18</xdr:col>
      <xdr:colOff>1680</xdr:colOff>
      <xdr:row>14</xdr:row>
      <xdr:rowOff>214513</xdr:rowOff>
    </xdr:to>
    <xdr:sp macro="" textlink="">
      <xdr:nvSpPr>
        <xdr:cNvPr id="17" name="フローチャート: 記憶データ 16">
          <a:extLst>
            <a:ext uri="{FF2B5EF4-FFF2-40B4-BE49-F238E27FC236}">
              <a16:creationId xmlns:a16="http://schemas.microsoft.com/office/drawing/2014/main" id="{00000000-0008-0000-0500-000011000000}"/>
            </a:ext>
          </a:extLst>
        </xdr:cNvPr>
        <xdr:cNvSpPr/>
      </xdr:nvSpPr>
      <xdr:spPr>
        <a:xfrm>
          <a:off x="2421031" y="2719587"/>
          <a:ext cx="1523999" cy="952501"/>
        </a:xfrm>
        <a:prstGeom prst="flowChartOnlineStorag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t>GM</a:t>
          </a:r>
          <a:r>
            <a:rPr kumimoji="1" lang="ja-JP" altLang="en-US" sz="1100"/>
            <a:t>連携</a:t>
          </a:r>
          <a:endParaRPr kumimoji="1" lang="en-US" altLang="ja-JP" sz="1100"/>
        </a:p>
        <a:p>
          <a:pPr algn="l"/>
          <a:r>
            <a:rPr kumimoji="1" lang="ja-JP" altLang="en-US" sz="1100"/>
            <a:t>ファイル</a:t>
          </a:r>
        </a:p>
      </xdr:txBody>
    </xdr:sp>
    <xdr:clientData/>
  </xdr:twoCellAnchor>
  <xdr:twoCellAnchor>
    <xdr:from>
      <xdr:col>10</xdr:col>
      <xdr:colOff>11206</xdr:colOff>
      <xdr:row>11</xdr:row>
      <xdr:rowOff>78441</xdr:rowOff>
    </xdr:from>
    <xdr:to>
      <xdr:col>17</xdr:col>
      <xdr:colOff>1680</xdr:colOff>
      <xdr:row>15</xdr:row>
      <xdr:rowOff>78441</xdr:rowOff>
    </xdr:to>
    <xdr:sp macro="" textlink="">
      <xdr:nvSpPr>
        <xdr:cNvPr id="18" name="フローチャート: 記憶データ 17">
          <a:extLst>
            <a:ext uri="{FF2B5EF4-FFF2-40B4-BE49-F238E27FC236}">
              <a16:creationId xmlns:a16="http://schemas.microsoft.com/office/drawing/2014/main" id="{00000000-0008-0000-0500-000012000000}"/>
            </a:ext>
          </a:extLst>
        </xdr:cNvPr>
        <xdr:cNvSpPr/>
      </xdr:nvSpPr>
      <xdr:spPr>
        <a:xfrm>
          <a:off x="2201956" y="2821641"/>
          <a:ext cx="1523999" cy="952500"/>
        </a:xfrm>
        <a:prstGeom prst="flowChartOnlineStorag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環境証明書ファイル</a:t>
          </a:r>
        </a:p>
      </xdr:txBody>
    </xdr:sp>
    <xdr:clientData/>
  </xdr:twoCellAnchor>
  <xdr:twoCellAnchor>
    <xdr:from>
      <xdr:col>39</xdr:col>
      <xdr:colOff>27214</xdr:colOff>
      <xdr:row>17</xdr:row>
      <xdr:rowOff>95252</xdr:rowOff>
    </xdr:from>
    <xdr:to>
      <xdr:col>42</xdr:col>
      <xdr:colOff>136070</xdr:colOff>
      <xdr:row>22</xdr:row>
      <xdr:rowOff>108859</xdr:rowOff>
    </xdr:to>
    <xdr:sp macro="" textlink="">
      <xdr:nvSpPr>
        <xdr:cNvPr id="19" name="フローチャート: 抜出し 18">
          <a:extLst>
            <a:ext uri="{FF2B5EF4-FFF2-40B4-BE49-F238E27FC236}">
              <a16:creationId xmlns:a16="http://schemas.microsoft.com/office/drawing/2014/main" id="{00000000-0008-0000-0500-000013000000}"/>
            </a:ext>
          </a:extLst>
        </xdr:cNvPr>
        <xdr:cNvSpPr/>
      </xdr:nvSpPr>
      <xdr:spPr>
        <a:xfrm rot="5400000">
          <a:off x="8352064" y="4486277"/>
          <a:ext cx="1204232" cy="766081"/>
        </a:xfrm>
        <a:prstGeom prst="flowChartExtra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13607</xdr:colOff>
      <xdr:row>14</xdr:row>
      <xdr:rowOff>13607</xdr:rowOff>
    </xdr:from>
    <xdr:to>
      <xdr:col>16</xdr:col>
      <xdr:colOff>163286</xdr:colOff>
      <xdr:row>18</xdr:row>
      <xdr:rowOff>40820</xdr:rowOff>
    </xdr:to>
    <xdr:sp macro="" textlink="">
      <xdr:nvSpPr>
        <xdr:cNvPr id="20" name="爆発 2 19">
          <a:extLst>
            <a:ext uri="{FF2B5EF4-FFF2-40B4-BE49-F238E27FC236}">
              <a16:creationId xmlns:a16="http://schemas.microsoft.com/office/drawing/2014/main" id="{00000000-0008-0000-0500-000014000000}"/>
            </a:ext>
          </a:extLst>
        </xdr:cNvPr>
        <xdr:cNvSpPr/>
      </xdr:nvSpPr>
      <xdr:spPr>
        <a:xfrm>
          <a:off x="1108982" y="3471182"/>
          <a:ext cx="2559504" cy="979713"/>
        </a:xfrm>
        <a:prstGeom prst="irregularSeal2">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rgbClr val="FF0000"/>
              </a:solidFill>
            </a:rPr>
            <a:t>エラー発生</a:t>
          </a:r>
        </a:p>
      </xdr:txBody>
    </xdr:sp>
    <xdr:clientData/>
  </xdr:twoCellAnchor>
  <xdr:twoCellAnchor>
    <xdr:from>
      <xdr:col>47</xdr:col>
      <xdr:colOff>117660</xdr:colOff>
      <xdr:row>7</xdr:row>
      <xdr:rowOff>204105</xdr:rowOff>
    </xdr:from>
    <xdr:to>
      <xdr:col>60</xdr:col>
      <xdr:colOff>40821</xdr:colOff>
      <xdr:row>27</xdr:row>
      <xdr:rowOff>163284</xdr:rowOff>
    </xdr:to>
    <xdr:sp macro="" textlink="">
      <xdr:nvSpPr>
        <xdr:cNvPr id="21" name="正方形/長方形 20">
          <a:extLst>
            <a:ext uri="{FF2B5EF4-FFF2-40B4-BE49-F238E27FC236}">
              <a16:creationId xmlns:a16="http://schemas.microsoft.com/office/drawing/2014/main" id="{00000000-0008-0000-0500-000015000000}"/>
            </a:ext>
          </a:extLst>
        </xdr:cNvPr>
        <xdr:cNvSpPr/>
      </xdr:nvSpPr>
      <xdr:spPr>
        <a:xfrm>
          <a:off x="10414185" y="1994805"/>
          <a:ext cx="2771136" cy="472167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S3</a:t>
          </a:r>
        </a:p>
      </xdr:txBody>
    </xdr:sp>
    <xdr:clientData/>
  </xdr:twoCellAnchor>
  <xdr:twoCellAnchor>
    <xdr:from>
      <xdr:col>48</xdr:col>
      <xdr:colOff>22411</xdr:colOff>
      <xdr:row>9</xdr:row>
      <xdr:rowOff>0</xdr:rowOff>
    </xdr:from>
    <xdr:to>
      <xdr:col>59</xdr:col>
      <xdr:colOff>112058</xdr:colOff>
      <xdr:row>16</xdr:row>
      <xdr:rowOff>0</xdr:rowOff>
    </xdr:to>
    <xdr:sp macro="" textlink="">
      <xdr:nvSpPr>
        <xdr:cNvPr id="22" name="正方形/長方形 21">
          <a:extLst>
            <a:ext uri="{FF2B5EF4-FFF2-40B4-BE49-F238E27FC236}">
              <a16:creationId xmlns:a16="http://schemas.microsoft.com/office/drawing/2014/main" id="{00000000-0008-0000-0500-000016000000}"/>
            </a:ext>
          </a:extLst>
        </xdr:cNvPr>
        <xdr:cNvSpPr/>
      </xdr:nvSpPr>
      <xdr:spPr>
        <a:xfrm>
          <a:off x="10538011" y="2266950"/>
          <a:ext cx="2499472" cy="16668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受信フォルダ</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/sys-interface/gm/rcv/cert/</a:t>
          </a:r>
        </a:p>
        <a:p>
          <a:pPr algn="l"/>
          <a:endParaRPr kumimoji="1" lang="en-US" altLang="ja-JP" sz="1100">
            <a:solidFill>
              <a:sysClr val="windowText" lastClr="000000"/>
            </a:solidFill>
          </a:endParaRPr>
        </a:p>
      </xdr:txBody>
    </xdr:sp>
    <xdr:clientData/>
  </xdr:twoCellAnchor>
  <xdr:twoCellAnchor>
    <xdr:from>
      <xdr:col>48</xdr:col>
      <xdr:colOff>0</xdr:colOff>
      <xdr:row>19</xdr:row>
      <xdr:rowOff>123825</xdr:rowOff>
    </xdr:from>
    <xdr:to>
      <xdr:col>59</xdr:col>
      <xdr:colOff>89647</xdr:colOff>
      <xdr:row>27</xdr:row>
      <xdr:rowOff>0</xdr:rowOff>
    </xdr:to>
    <xdr:sp macro="" textlink="">
      <xdr:nvSpPr>
        <xdr:cNvPr id="23" name="正方形/長方形 22">
          <a:extLst>
            <a:ext uri="{FF2B5EF4-FFF2-40B4-BE49-F238E27FC236}">
              <a16:creationId xmlns:a16="http://schemas.microsoft.com/office/drawing/2014/main" id="{00000000-0008-0000-0500-000017000000}"/>
            </a:ext>
          </a:extLst>
        </xdr:cNvPr>
        <xdr:cNvSpPr/>
      </xdr:nvSpPr>
      <xdr:spPr>
        <a:xfrm>
          <a:off x="10515600" y="4772025"/>
          <a:ext cx="2499472" cy="1781175"/>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データ取込フォルダ</a:t>
          </a:r>
          <a:endParaRPr kumimoji="1" lang="en-US" altLang="ja-JP" sz="1100">
            <a:solidFill>
              <a:srgbClr val="FF0000"/>
            </a:solidFill>
          </a:endParaRPr>
        </a:p>
        <a:p>
          <a:pPr algn="l"/>
          <a:r>
            <a:rPr kumimoji="1" lang="ja-JP" altLang="en-US" sz="1100">
              <a:solidFill>
                <a:srgbClr val="FF0000"/>
              </a:solidFill>
            </a:rPr>
            <a:t>：</a:t>
          </a:r>
          <a:r>
            <a:rPr kumimoji="1" lang="en-US" altLang="ja-JP" sz="1100">
              <a:solidFill>
                <a:srgbClr val="FF0000"/>
              </a:solidFill>
            </a:rPr>
            <a:t>/sys-interface/gm/data/rcv/cert/</a:t>
          </a:r>
        </a:p>
        <a:p>
          <a:pPr algn="l"/>
          <a:endParaRPr kumimoji="1" lang="en-US" altLang="ja-JP" sz="1100">
            <a:solidFill>
              <a:srgbClr val="FF0000"/>
            </a:solidFill>
          </a:endParaRPr>
        </a:p>
      </xdr:txBody>
    </xdr:sp>
    <xdr:clientData/>
  </xdr:twoCellAnchor>
  <xdr:twoCellAnchor>
    <xdr:from>
      <xdr:col>52</xdr:col>
      <xdr:colOff>0</xdr:colOff>
      <xdr:row>16</xdr:row>
      <xdr:rowOff>0</xdr:rowOff>
    </xdr:from>
    <xdr:to>
      <xdr:col>55</xdr:col>
      <xdr:colOff>0</xdr:colOff>
      <xdr:row>20</xdr:row>
      <xdr:rowOff>0</xdr:rowOff>
    </xdr:to>
    <xdr:sp macro="" textlink="">
      <xdr:nvSpPr>
        <xdr:cNvPr id="24" name="下矢印 23">
          <a:extLst>
            <a:ext uri="{FF2B5EF4-FFF2-40B4-BE49-F238E27FC236}">
              <a16:creationId xmlns:a16="http://schemas.microsoft.com/office/drawing/2014/main" id="{00000000-0008-0000-0500-000018000000}"/>
            </a:ext>
          </a:extLst>
        </xdr:cNvPr>
        <xdr:cNvSpPr/>
      </xdr:nvSpPr>
      <xdr:spPr>
        <a:xfrm>
          <a:off x="11391900" y="3933825"/>
          <a:ext cx="657225" cy="952500"/>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95250</xdr:colOff>
      <xdr:row>21</xdr:row>
      <xdr:rowOff>231322</xdr:rowOff>
    </xdr:from>
    <xdr:to>
      <xdr:col>57</xdr:col>
      <xdr:colOff>95250</xdr:colOff>
      <xdr:row>25</xdr:row>
      <xdr:rowOff>231322</xdr:rowOff>
    </xdr:to>
    <xdr:sp macro="" textlink="">
      <xdr:nvSpPr>
        <xdr:cNvPr id="25" name="フローチャート: 記憶データ 24">
          <a:extLst>
            <a:ext uri="{FF2B5EF4-FFF2-40B4-BE49-F238E27FC236}">
              <a16:creationId xmlns:a16="http://schemas.microsoft.com/office/drawing/2014/main" id="{00000000-0008-0000-0500-000019000000}"/>
            </a:ext>
          </a:extLst>
        </xdr:cNvPr>
        <xdr:cNvSpPr/>
      </xdr:nvSpPr>
      <xdr:spPr>
        <a:xfrm>
          <a:off x="11049000" y="5355772"/>
          <a:ext cx="1533525" cy="952500"/>
        </a:xfrm>
        <a:prstGeom prst="flowChartOnlineStorag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t>GM</a:t>
          </a:r>
          <a:r>
            <a:rPr kumimoji="1" lang="ja-JP" altLang="en-US" sz="1100"/>
            <a:t>連携</a:t>
          </a:r>
          <a:endParaRPr kumimoji="1" lang="en-US" altLang="ja-JP" sz="1100"/>
        </a:p>
        <a:p>
          <a:pPr algn="l"/>
          <a:r>
            <a:rPr kumimoji="1" lang="ja-JP" altLang="en-US" sz="1100"/>
            <a:t>ファイル</a:t>
          </a:r>
        </a:p>
      </xdr:txBody>
    </xdr:sp>
    <xdr:clientData/>
  </xdr:twoCellAnchor>
  <xdr:twoCellAnchor>
    <xdr:from>
      <xdr:col>49</xdr:col>
      <xdr:colOff>122464</xdr:colOff>
      <xdr:row>22</xdr:row>
      <xdr:rowOff>136072</xdr:rowOff>
    </xdr:from>
    <xdr:to>
      <xdr:col>56</xdr:col>
      <xdr:colOff>122464</xdr:colOff>
      <xdr:row>26</xdr:row>
      <xdr:rowOff>136072</xdr:rowOff>
    </xdr:to>
    <xdr:sp macro="" textlink="">
      <xdr:nvSpPr>
        <xdr:cNvPr id="26" name="フローチャート: 記憶データ 25">
          <a:extLst>
            <a:ext uri="{FF2B5EF4-FFF2-40B4-BE49-F238E27FC236}">
              <a16:creationId xmlns:a16="http://schemas.microsoft.com/office/drawing/2014/main" id="{00000000-0008-0000-0500-00001A000000}"/>
            </a:ext>
          </a:extLst>
        </xdr:cNvPr>
        <xdr:cNvSpPr/>
      </xdr:nvSpPr>
      <xdr:spPr>
        <a:xfrm>
          <a:off x="10857139" y="5498647"/>
          <a:ext cx="1533525" cy="952500"/>
        </a:xfrm>
        <a:prstGeom prst="flowChartOnlineStorag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環境証明書ファイル</a:t>
          </a:r>
        </a:p>
      </xdr:txBody>
    </xdr:sp>
    <xdr:clientData/>
  </xdr:twoCellAnchor>
  <xdr:twoCellAnchor>
    <xdr:from>
      <xdr:col>50</xdr:col>
      <xdr:colOff>44824</xdr:colOff>
      <xdr:row>11</xdr:row>
      <xdr:rowOff>134471</xdr:rowOff>
    </xdr:from>
    <xdr:to>
      <xdr:col>57</xdr:col>
      <xdr:colOff>44825</xdr:colOff>
      <xdr:row>15</xdr:row>
      <xdr:rowOff>134471</xdr:rowOff>
    </xdr:to>
    <xdr:sp macro="" textlink="">
      <xdr:nvSpPr>
        <xdr:cNvPr id="27" name="フローチャート: 記憶データ 26">
          <a:extLst>
            <a:ext uri="{FF2B5EF4-FFF2-40B4-BE49-F238E27FC236}">
              <a16:creationId xmlns:a16="http://schemas.microsoft.com/office/drawing/2014/main" id="{00000000-0008-0000-0500-00001B000000}"/>
            </a:ext>
          </a:extLst>
        </xdr:cNvPr>
        <xdr:cNvSpPr/>
      </xdr:nvSpPr>
      <xdr:spPr>
        <a:xfrm>
          <a:off x="10998574" y="2877671"/>
          <a:ext cx="1533526" cy="952500"/>
        </a:xfrm>
        <a:prstGeom prst="flowChartOnlineStorage">
          <a:avLst/>
        </a:prstGeom>
        <a:solidFill>
          <a:schemeClr val="accent1">
            <a:alpha val="45000"/>
          </a:schemeClr>
        </a:solid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環境証明書</a:t>
          </a:r>
          <a:endParaRPr kumimoji="1" lang="en-US" altLang="ja-JP" sz="1100"/>
        </a:p>
        <a:p>
          <a:pPr algn="l"/>
          <a:r>
            <a:rPr kumimoji="1" lang="ja-JP" altLang="en-US" sz="1100"/>
            <a:t>ファイル</a:t>
          </a:r>
        </a:p>
      </xdr:txBody>
    </xdr:sp>
    <xdr:clientData/>
  </xdr:twoCellAnchor>
  <xdr:twoCellAnchor>
    <xdr:from>
      <xdr:col>44</xdr:col>
      <xdr:colOff>1</xdr:colOff>
      <xdr:row>6</xdr:row>
      <xdr:rowOff>244927</xdr:rowOff>
    </xdr:from>
    <xdr:to>
      <xdr:col>47</xdr:col>
      <xdr:colOff>201706</xdr:colOff>
      <xdr:row>12</xdr:row>
      <xdr:rowOff>235322</xdr:rowOff>
    </xdr:to>
    <xdr:sp macro="" textlink="">
      <xdr:nvSpPr>
        <xdr:cNvPr id="28" name="曲折矢印 27">
          <a:extLst>
            <a:ext uri="{FF2B5EF4-FFF2-40B4-BE49-F238E27FC236}">
              <a16:creationId xmlns:a16="http://schemas.microsoft.com/office/drawing/2014/main" id="{00000000-0008-0000-0500-00001C000000}"/>
            </a:ext>
          </a:extLst>
        </xdr:cNvPr>
        <xdr:cNvSpPr/>
      </xdr:nvSpPr>
      <xdr:spPr>
        <a:xfrm rot="10800000" flipH="1">
          <a:off x="9639301" y="1787977"/>
          <a:ext cx="858930" cy="1428670"/>
        </a:xfrm>
        <a:prstGeom prst="bentArrow">
          <a:avLst>
            <a:gd name="adj1" fmla="val 25000"/>
            <a:gd name="adj2" fmla="val 25000"/>
            <a:gd name="adj3" fmla="val 25000"/>
            <a:gd name="adj4" fmla="val 5785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60</xdr:col>
      <xdr:colOff>190500</xdr:colOff>
      <xdr:row>18</xdr:row>
      <xdr:rowOff>155863</xdr:rowOff>
    </xdr:from>
    <xdr:to>
      <xdr:col>67</xdr:col>
      <xdr:colOff>173181</xdr:colOff>
      <xdr:row>26</xdr:row>
      <xdr:rowOff>11207</xdr:rowOff>
    </xdr:to>
    <xdr:sp macro="" textlink="">
      <xdr:nvSpPr>
        <xdr:cNvPr id="29" name="正方形/長方形 28">
          <a:extLst>
            <a:ext uri="{FF2B5EF4-FFF2-40B4-BE49-F238E27FC236}">
              <a16:creationId xmlns:a16="http://schemas.microsoft.com/office/drawing/2014/main" id="{00000000-0008-0000-0500-00001D000000}"/>
            </a:ext>
          </a:extLst>
        </xdr:cNvPr>
        <xdr:cNvSpPr/>
      </xdr:nvSpPr>
      <xdr:spPr>
        <a:xfrm>
          <a:off x="13335000" y="4565938"/>
          <a:ext cx="1516206" cy="176034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対応②</a:t>
          </a:r>
        </a:p>
      </xdr:txBody>
    </xdr:sp>
    <xdr:clientData/>
  </xdr:twoCellAnchor>
  <xdr:twoCellAnchor>
    <xdr:from>
      <xdr:col>28</xdr:col>
      <xdr:colOff>108857</xdr:colOff>
      <xdr:row>9</xdr:row>
      <xdr:rowOff>204106</xdr:rowOff>
    </xdr:from>
    <xdr:to>
      <xdr:col>36</xdr:col>
      <xdr:colOff>122465</xdr:colOff>
      <xdr:row>13</xdr:row>
      <xdr:rowOff>204106</xdr:rowOff>
    </xdr:to>
    <xdr:sp macro="" textlink="">
      <xdr:nvSpPr>
        <xdr:cNvPr id="30" name="正方形/長方形 29">
          <a:extLst>
            <a:ext uri="{FF2B5EF4-FFF2-40B4-BE49-F238E27FC236}">
              <a16:creationId xmlns:a16="http://schemas.microsoft.com/office/drawing/2014/main" id="{00000000-0008-0000-0500-00001E000000}"/>
            </a:ext>
          </a:extLst>
        </xdr:cNvPr>
        <xdr:cNvSpPr/>
      </xdr:nvSpPr>
      <xdr:spPr>
        <a:xfrm>
          <a:off x="6242957" y="2471056"/>
          <a:ext cx="1766208" cy="9525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環境証明書取込バッチ</a:t>
          </a:r>
        </a:p>
      </xdr:txBody>
    </xdr:sp>
    <xdr:clientData/>
  </xdr:twoCellAnchor>
  <xdr:twoCellAnchor>
    <xdr:from>
      <xdr:col>59</xdr:col>
      <xdr:colOff>176892</xdr:colOff>
      <xdr:row>21</xdr:row>
      <xdr:rowOff>190499</xdr:rowOff>
    </xdr:from>
    <xdr:to>
      <xdr:col>67</xdr:col>
      <xdr:colOff>95250</xdr:colOff>
      <xdr:row>23</xdr:row>
      <xdr:rowOff>190500</xdr:rowOff>
    </xdr:to>
    <xdr:sp macro="" textlink="">
      <xdr:nvSpPr>
        <xdr:cNvPr id="31" name="左矢印 30">
          <a:extLst>
            <a:ext uri="{FF2B5EF4-FFF2-40B4-BE49-F238E27FC236}">
              <a16:creationId xmlns:a16="http://schemas.microsoft.com/office/drawing/2014/main" id="{00000000-0008-0000-0500-00001F000000}"/>
            </a:ext>
          </a:extLst>
        </xdr:cNvPr>
        <xdr:cNvSpPr/>
      </xdr:nvSpPr>
      <xdr:spPr>
        <a:xfrm rot="10800000">
          <a:off x="13102317" y="5314949"/>
          <a:ext cx="1670958" cy="476251"/>
        </a:xfrm>
        <a:prstGeom prst="lef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117804</xdr:colOff>
      <xdr:row>23</xdr:row>
      <xdr:rowOff>174916</xdr:rowOff>
    </xdr:from>
    <xdr:to>
      <xdr:col>67</xdr:col>
      <xdr:colOff>54427</xdr:colOff>
      <xdr:row>25</xdr:row>
      <xdr:rowOff>174917</xdr:rowOff>
    </xdr:to>
    <xdr:sp macro="" textlink="">
      <xdr:nvSpPr>
        <xdr:cNvPr id="32" name="左矢印 31">
          <a:extLst>
            <a:ext uri="{FF2B5EF4-FFF2-40B4-BE49-F238E27FC236}">
              <a16:creationId xmlns:a16="http://schemas.microsoft.com/office/drawing/2014/main" id="{00000000-0008-0000-0500-000020000000}"/>
            </a:ext>
          </a:extLst>
        </xdr:cNvPr>
        <xdr:cNvSpPr/>
      </xdr:nvSpPr>
      <xdr:spPr>
        <a:xfrm>
          <a:off x="13043229" y="5775616"/>
          <a:ext cx="1689223" cy="476251"/>
        </a:xfrm>
        <a:prstGeom prst="lef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19682</xdr:colOff>
      <xdr:row>19</xdr:row>
      <xdr:rowOff>9604</xdr:rowOff>
    </xdr:from>
    <xdr:to>
      <xdr:col>79</xdr:col>
      <xdr:colOff>147748</xdr:colOff>
      <xdr:row>27</xdr:row>
      <xdr:rowOff>9605</xdr:rowOff>
    </xdr:to>
    <xdr:grpSp>
      <xdr:nvGrpSpPr>
        <xdr:cNvPr id="33" name="グループ化 32">
          <a:extLst>
            <a:ext uri="{FF2B5EF4-FFF2-40B4-BE49-F238E27FC236}">
              <a16:creationId xmlns:a16="http://schemas.microsoft.com/office/drawing/2014/main" id="{00000000-0008-0000-0500-000021000000}"/>
            </a:ext>
          </a:extLst>
        </xdr:cNvPr>
        <xdr:cNvGrpSpPr/>
      </xdr:nvGrpSpPr>
      <xdr:grpSpPr>
        <a:xfrm>
          <a:off x="14824253" y="5180318"/>
          <a:ext cx="2522924" cy="2177144"/>
          <a:chOff x="4930588" y="1411941"/>
          <a:chExt cx="2017059" cy="1882588"/>
        </a:xfrm>
      </xdr:grpSpPr>
      <xdr:sp macro="" textlink="">
        <xdr:nvSpPr>
          <xdr:cNvPr id="34" name="二等辺三角形 33">
            <a:extLst>
              <a:ext uri="{FF2B5EF4-FFF2-40B4-BE49-F238E27FC236}">
                <a16:creationId xmlns:a16="http://schemas.microsoft.com/office/drawing/2014/main" id="{00000000-0008-0000-0500-000022000000}"/>
              </a:ext>
            </a:extLst>
          </xdr:cNvPr>
          <xdr:cNvSpPr/>
        </xdr:nvSpPr>
        <xdr:spPr>
          <a:xfrm>
            <a:off x="4930588" y="2588558"/>
            <a:ext cx="2017059" cy="705971"/>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35" name="グループ化 34">
            <a:extLst>
              <a:ext uri="{FF2B5EF4-FFF2-40B4-BE49-F238E27FC236}">
                <a16:creationId xmlns:a16="http://schemas.microsoft.com/office/drawing/2014/main" id="{00000000-0008-0000-0500-000023000000}"/>
              </a:ext>
            </a:extLst>
          </xdr:cNvPr>
          <xdr:cNvGrpSpPr/>
        </xdr:nvGrpSpPr>
        <xdr:grpSpPr>
          <a:xfrm>
            <a:off x="4930588" y="1411941"/>
            <a:ext cx="2017059" cy="1647265"/>
            <a:chOff x="4930588" y="1411941"/>
            <a:chExt cx="2017059" cy="1647265"/>
          </a:xfrm>
        </xdr:grpSpPr>
        <xdr:sp macro="" textlink="">
          <xdr:nvSpPr>
            <xdr:cNvPr id="36" name="フローチャート: 処理 35">
              <a:extLst>
                <a:ext uri="{FF2B5EF4-FFF2-40B4-BE49-F238E27FC236}">
                  <a16:creationId xmlns:a16="http://schemas.microsoft.com/office/drawing/2014/main" id="{00000000-0008-0000-0500-000024000000}"/>
                </a:ext>
              </a:extLst>
            </xdr:cNvPr>
            <xdr:cNvSpPr/>
          </xdr:nvSpPr>
          <xdr:spPr>
            <a:xfrm>
              <a:off x="4930588" y="1411941"/>
              <a:ext cx="2017059" cy="1647265"/>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フローチャート: 処理 36">
              <a:extLst>
                <a:ext uri="{FF2B5EF4-FFF2-40B4-BE49-F238E27FC236}">
                  <a16:creationId xmlns:a16="http://schemas.microsoft.com/office/drawing/2014/main" id="{00000000-0008-0000-0500-000025000000}"/>
                </a:ext>
              </a:extLst>
            </xdr:cNvPr>
            <xdr:cNvSpPr/>
          </xdr:nvSpPr>
          <xdr:spPr>
            <a:xfrm>
              <a:off x="5154706" y="1647265"/>
              <a:ext cx="1568823" cy="1176617"/>
            </a:xfrm>
            <a:prstGeom prst="flowChartProcess">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clientData/>
  </xdr:twoCellAnchor>
  <xdr:twoCellAnchor editAs="oneCell">
    <xdr:from>
      <xdr:col>69</xdr:col>
      <xdr:colOff>0</xdr:colOff>
      <xdr:row>20</xdr:row>
      <xdr:rowOff>9605</xdr:rowOff>
    </xdr:from>
    <xdr:to>
      <xdr:col>78</xdr:col>
      <xdr:colOff>147749</xdr:colOff>
      <xdr:row>24</xdr:row>
      <xdr:rowOff>173182</xdr:rowOff>
    </xdr:to>
    <xdr:pic>
      <xdr:nvPicPr>
        <xdr:cNvPr id="38" name="図 37">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1"/>
        <a:stretch>
          <a:fillRect/>
        </a:stretch>
      </xdr:blipFill>
      <xdr:spPr>
        <a:xfrm>
          <a:off x="15116175" y="4895930"/>
          <a:ext cx="2119424" cy="1181020"/>
        </a:xfrm>
        <a:prstGeom prst="rect">
          <a:avLst/>
        </a:prstGeom>
      </xdr:spPr>
    </xdr:pic>
    <xdr:clientData/>
  </xdr:twoCellAnchor>
  <xdr:twoCellAnchor>
    <xdr:from>
      <xdr:col>68</xdr:col>
      <xdr:colOff>0</xdr:colOff>
      <xdr:row>9</xdr:row>
      <xdr:rowOff>0</xdr:rowOff>
    </xdr:from>
    <xdr:to>
      <xdr:col>76</xdr:col>
      <xdr:colOff>13607</xdr:colOff>
      <xdr:row>13</xdr:row>
      <xdr:rowOff>0</xdr:rowOff>
    </xdr:to>
    <xdr:sp macro="" textlink="">
      <xdr:nvSpPr>
        <xdr:cNvPr id="39" name="正方形/長方形 38">
          <a:extLst>
            <a:ext uri="{FF2B5EF4-FFF2-40B4-BE49-F238E27FC236}">
              <a16:creationId xmlns:a16="http://schemas.microsoft.com/office/drawing/2014/main" id="{00000000-0008-0000-0500-000027000000}"/>
            </a:ext>
          </a:extLst>
        </xdr:cNvPr>
        <xdr:cNvSpPr/>
      </xdr:nvSpPr>
      <xdr:spPr>
        <a:xfrm>
          <a:off x="14897100" y="2266950"/>
          <a:ext cx="1766207" cy="952500"/>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環境証明書取込バッチ</a:t>
          </a:r>
        </a:p>
      </xdr:txBody>
    </xdr:sp>
    <xdr:clientData/>
  </xdr:twoCellAnchor>
  <xdr:twoCellAnchor>
    <xdr:from>
      <xdr:col>67</xdr:col>
      <xdr:colOff>27214</xdr:colOff>
      <xdr:row>7</xdr:row>
      <xdr:rowOff>122464</xdr:rowOff>
    </xdr:from>
    <xdr:to>
      <xdr:col>78</xdr:col>
      <xdr:colOff>40822</xdr:colOff>
      <xdr:row>14</xdr:row>
      <xdr:rowOff>40821</xdr:rowOff>
    </xdr:to>
    <xdr:sp macro="" textlink="">
      <xdr:nvSpPr>
        <xdr:cNvPr id="40" name="正方形/長方形 39">
          <a:extLst>
            <a:ext uri="{FF2B5EF4-FFF2-40B4-BE49-F238E27FC236}">
              <a16:creationId xmlns:a16="http://schemas.microsoft.com/office/drawing/2014/main" id="{00000000-0008-0000-0500-000028000000}"/>
            </a:ext>
          </a:extLst>
        </xdr:cNvPr>
        <xdr:cNvSpPr/>
      </xdr:nvSpPr>
      <xdr:spPr>
        <a:xfrm>
          <a:off x="14705239" y="1913164"/>
          <a:ext cx="2423433" cy="158523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対応①</a:t>
          </a:r>
        </a:p>
      </xdr:txBody>
    </xdr:sp>
    <xdr:clientData/>
  </xdr:twoCellAnchor>
  <xdr:twoCellAnchor>
    <xdr:from>
      <xdr:col>20</xdr:col>
      <xdr:colOff>156883</xdr:colOff>
      <xdr:row>10</xdr:row>
      <xdr:rowOff>145676</xdr:rowOff>
    </xdr:from>
    <xdr:to>
      <xdr:col>28</xdr:col>
      <xdr:colOff>11205</xdr:colOff>
      <xdr:row>13</xdr:row>
      <xdr:rowOff>112061</xdr:rowOff>
    </xdr:to>
    <xdr:sp macro="" textlink="">
      <xdr:nvSpPr>
        <xdr:cNvPr id="41" name="U ターン矢印 40">
          <a:extLst>
            <a:ext uri="{FF2B5EF4-FFF2-40B4-BE49-F238E27FC236}">
              <a16:creationId xmlns:a16="http://schemas.microsoft.com/office/drawing/2014/main" id="{00000000-0008-0000-0500-000029000000}"/>
            </a:ext>
          </a:extLst>
        </xdr:cNvPr>
        <xdr:cNvSpPr/>
      </xdr:nvSpPr>
      <xdr:spPr>
        <a:xfrm rot="5400000">
          <a:off x="5001464" y="2187670"/>
          <a:ext cx="680760" cy="1606922"/>
        </a:xfrm>
        <a:prstGeom prst="uturnArrow">
          <a:avLst>
            <a:gd name="adj1" fmla="val 25000"/>
            <a:gd name="adj2" fmla="val 21429"/>
            <a:gd name="adj3" fmla="val 25000"/>
            <a:gd name="adj4" fmla="val 43750"/>
            <a:gd name="adj5" fmla="val 10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60</xdr:col>
      <xdr:colOff>89646</xdr:colOff>
      <xdr:row>10</xdr:row>
      <xdr:rowOff>100853</xdr:rowOff>
    </xdr:from>
    <xdr:to>
      <xdr:col>67</xdr:col>
      <xdr:colOff>168086</xdr:colOff>
      <xdr:row>13</xdr:row>
      <xdr:rowOff>67238</xdr:rowOff>
    </xdr:to>
    <xdr:sp macro="" textlink="">
      <xdr:nvSpPr>
        <xdr:cNvPr id="42" name="U ターン矢印 41">
          <a:extLst>
            <a:ext uri="{FF2B5EF4-FFF2-40B4-BE49-F238E27FC236}">
              <a16:creationId xmlns:a16="http://schemas.microsoft.com/office/drawing/2014/main" id="{00000000-0008-0000-0500-00002A000000}"/>
            </a:ext>
          </a:extLst>
        </xdr:cNvPr>
        <xdr:cNvSpPr/>
      </xdr:nvSpPr>
      <xdr:spPr>
        <a:xfrm rot="5400000">
          <a:off x="13699749" y="2140325"/>
          <a:ext cx="680760" cy="1611965"/>
        </a:xfrm>
        <a:prstGeom prst="uturnArrow">
          <a:avLst>
            <a:gd name="adj1" fmla="val 25000"/>
            <a:gd name="adj2" fmla="val 21429"/>
            <a:gd name="adj3" fmla="val 25000"/>
            <a:gd name="adj4" fmla="val 43750"/>
            <a:gd name="adj5" fmla="val 10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54</xdr:col>
      <xdr:colOff>204107</xdr:colOff>
      <xdr:row>17</xdr:row>
      <xdr:rowOff>27214</xdr:rowOff>
    </xdr:from>
    <xdr:to>
      <xdr:col>61</xdr:col>
      <xdr:colOff>204107</xdr:colOff>
      <xdr:row>18</xdr:row>
      <xdr:rowOff>217712</xdr:rowOff>
    </xdr:to>
    <xdr:sp macro="" textlink="">
      <xdr:nvSpPr>
        <xdr:cNvPr id="43" name="正方形/長方形 42">
          <a:extLst>
            <a:ext uri="{FF2B5EF4-FFF2-40B4-BE49-F238E27FC236}">
              <a16:creationId xmlns:a16="http://schemas.microsoft.com/office/drawing/2014/main" id="{00000000-0008-0000-0500-00002B000000}"/>
            </a:ext>
          </a:extLst>
        </xdr:cNvPr>
        <xdr:cNvSpPr/>
      </xdr:nvSpPr>
      <xdr:spPr>
        <a:xfrm>
          <a:off x="12034157" y="4199164"/>
          <a:ext cx="1533525" cy="4286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ファイル移動</a:t>
          </a:r>
          <a:endParaRPr kumimoji="1" lang="en-US" altLang="ja-JP" sz="1100">
            <a:solidFill>
              <a:srgbClr val="FF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a:tailEnd type="triangle"/>
        </a:ln>
      </a:spPr>
      <a:bodyPr/>
      <a:lstStyle/>
      <a:style>
        <a:lnRef idx="1">
          <a:schemeClr val="dk1"/>
        </a:lnRef>
        <a:fillRef idx="0">
          <a:schemeClr val="dk1"/>
        </a:fillRef>
        <a:effectRef idx="0">
          <a:schemeClr val="dk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3:BD35"/>
  <sheetViews>
    <sheetView showGridLines="0" zoomScale="85" zoomScaleNormal="85" zoomScaleSheetLayoutView="85" workbookViewId="0"/>
  </sheetViews>
  <sheetFormatPr defaultColWidth="1.625" defaultRowHeight="15"/>
  <cols>
    <col min="1" max="6" width="1.625" style="1"/>
    <col min="7" max="7" width="1.625" style="1" customWidth="1"/>
    <col min="8" max="262" width="1.625" style="1"/>
    <col min="263" max="263" width="1.625" style="1" customWidth="1"/>
    <col min="264" max="518" width="1.625" style="1"/>
    <col min="519" max="519" width="1.625" style="1" customWidth="1"/>
    <col min="520" max="774" width="1.625" style="1"/>
    <col min="775" max="775" width="1.625" style="1" customWidth="1"/>
    <col min="776" max="1030" width="1.625" style="1"/>
    <col min="1031" max="1031" width="1.625" style="1" customWidth="1"/>
    <col min="1032" max="1286" width="1.625" style="1"/>
    <col min="1287" max="1287" width="1.625" style="1" customWidth="1"/>
    <col min="1288" max="1542" width="1.625" style="1"/>
    <col min="1543" max="1543" width="1.625" style="1" customWidth="1"/>
    <col min="1544" max="1798" width="1.625" style="1"/>
    <col min="1799" max="1799" width="1.625" style="1" customWidth="1"/>
    <col min="1800" max="2054" width="1.625" style="1"/>
    <col min="2055" max="2055" width="1.625" style="1" customWidth="1"/>
    <col min="2056" max="2310" width="1.625" style="1"/>
    <col min="2311" max="2311" width="1.625" style="1" customWidth="1"/>
    <col min="2312" max="2566" width="1.625" style="1"/>
    <col min="2567" max="2567" width="1.625" style="1" customWidth="1"/>
    <col min="2568" max="2822" width="1.625" style="1"/>
    <col min="2823" max="2823" width="1.625" style="1" customWidth="1"/>
    <col min="2824" max="3078" width="1.625" style="1"/>
    <col min="3079" max="3079" width="1.625" style="1" customWidth="1"/>
    <col min="3080" max="3334" width="1.625" style="1"/>
    <col min="3335" max="3335" width="1.625" style="1" customWidth="1"/>
    <col min="3336" max="3590" width="1.625" style="1"/>
    <col min="3591" max="3591" width="1.625" style="1" customWidth="1"/>
    <col min="3592" max="3846" width="1.625" style="1"/>
    <col min="3847" max="3847" width="1.625" style="1" customWidth="1"/>
    <col min="3848" max="4102" width="1.625" style="1"/>
    <col min="4103" max="4103" width="1.625" style="1" customWidth="1"/>
    <col min="4104" max="4358" width="1.625" style="1"/>
    <col min="4359" max="4359" width="1.625" style="1" customWidth="1"/>
    <col min="4360" max="4614" width="1.625" style="1"/>
    <col min="4615" max="4615" width="1.625" style="1" customWidth="1"/>
    <col min="4616" max="4870" width="1.625" style="1"/>
    <col min="4871" max="4871" width="1.625" style="1" customWidth="1"/>
    <col min="4872" max="5126" width="1.625" style="1"/>
    <col min="5127" max="5127" width="1.625" style="1" customWidth="1"/>
    <col min="5128" max="5382" width="1.625" style="1"/>
    <col min="5383" max="5383" width="1.625" style="1" customWidth="1"/>
    <col min="5384" max="5638" width="1.625" style="1"/>
    <col min="5639" max="5639" width="1.625" style="1" customWidth="1"/>
    <col min="5640" max="5894" width="1.625" style="1"/>
    <col min="5895" max="5895" width="1.625" style="1" customWidth="1"/>
    <col min="5896" max="6150" width="1.625" style="1"/>
    <col min="6151" max="6151" width="1.625" style="1" customWidth="1"/>
    <col min="6152" max="6406" width="1.625" style="1"/>
    <col min="6407" max="6407" width="1.625" style="1" customWidth="1"/>
    <col min="6408" max="6662" width="1.625" style="1"/>
    <col min="6663" max="6663" width="1.625" style="1" customWidth="1"/>
    <col min="6664" max="6918" width="1.625" style="1"/>
    <col min="6919" max="6919" width="1.625" style="1" customWidth="1"/>
    <col min="6920" max="7174" width="1.625" style="1"/>
    <col min="7175" max="7175" width="1.625" style="1" customWidth="1"/>
    <col min="7176" max="7430" width="1.625" style="1"/>
    <col min="7431" max="7431" width="1.625" style="1" customWidth="1"/>
    <col min="7432" max="7686" width="1.625" style="1"/>
    <col min="7687" max="7687" width="1.625" style="1" customWidth="1"/>
    <col min="7688" max="7942" width="1.625" style="1"/>
    <col min="7943" max="7943" width="1.625" style="1" customWidth="1"/>
    <col min="7944" max="8198" width="1.625" style="1"/>
    <col min="8199" max="8199" width="1.625" style="1" customWidth="1"/>
    <col min="8200" max="8454" width="1.625" style="1"/>
    <col min="8455" max="8455" width="1.625" style="1" customWidth="1"/>
    <col min="8456" max="8710" width="1.625" style="1"/>
    <col min="8711" max="8711" width="1.625" style="1" customWidth="1"/>
    <col min="8712" max="8966" width="1.625" style="1"/>
    <col min="8967" max="8967" width="1.625" style="1" customWidth="1"/>
    <col min="8968" max="9222" width="1.625" style="1"/>
    <col min="9223" max="9223" width="1.625" style="1" customWidth="1"/>
    <col min="9224" max="9478" width="1.625" style="1"/>
    <col min="9479" max="9479" width="1.625" style="1" customWidth="1"/>
    <col min="9480" max="9734" width="1.625" style="1"/>
    <col min="9735" max="9735" width="1.625" style="1" customWidth="1"/>
    <col min="9736" max="9990" width="1.625" style="1"/>
    <col min="9991" max="9991" width="1.625" style="1" customWidth="1"/>
    <col min="9992" max="10246" width="1.625" style="1"/>
    <col min="10247" max="10247" width="1.625" style="1" customWidth="1"/>
    <col min="10248" max="10502" width="1.625" style="1"/>
    <col min="10503" max="10503" width="1.625" style="1" customWidth="1"/>
    <col min="10504" max="10758" width="1.625" style="1"/>
    <col min="10759" max="10759" width="1.625" style="1" customWidth="1"/>
    <col min="10760" max="11014" width="1.625" style="1"/>
    <col min="11015" max="11015" width="1.625" style="1" customWidth="1"/>
    <col min="11016" max="11270" width="1.625" style="1"/>
    <col min="11271" max="11271" width="1.625" style="1" customWidth="1"/>
    <col min="11272" max="11526" width="1.625" style="1"/>
    <col min="11527" max="11527" width="1.625" style="1" customWidth="1"/>
    <col min="11528" max="11782" width="1.625" style="1"/>
    <col min="11783" max="11783" width="1.625" style="1" customWidth="1"/>
    <col min="11784" max="12038" width="1.625" style="1"/>
    <col min="12039" max="12039" width="1.625" style="1" customWidth="1"/>
    <col min="12040" max="12294" width="1.625" style="1"/>
    <col min="12295" max="12295" width="1.625" style="1" customWidth="1"/>
    <col min="12296" max="12550" width="1.625" style="1"/>
    <col min="12551" max="12551" width="1.625" style="1" customWidth="1"/>
    <col min="12552" max="12806" width="1.625" style="1"/>
    <col min="12807" max="12807" width="1.625" style="1" customWidth="1"/>
    <col min="12808" max="13062" width="1.625" style="1"/>
    <col min="13063" max="13063" width="1.625" style="1" customWidth="1"/>
    <col min="13064" max="13318" width="1.625" style="1"/>
    <col min="13319" max="13319" width="1.625" style="1" customWidth="1"/>
    <col min="13320" max="13574" width="1.625" style="1"/>
    <col min="13575" max="13575" width="1.625" style="1" customWidth="1"/>
    <col min="13576" max="13830" width="1.625" style="1"/>
    <col min="13831" max="13831" width="1.625" style="1" customWidth="1"/>
    <col min="13832" max="14086" width="1.625" style="1"/>
    <col min="14087" max="14087" width="1.625" style="1" customWidth="1"/>
    <col min="14088" max="14342" width="1.625" style="1"/>
    <col min="14343" max="14343" width="1.625" style="1" customWidth="1"/>
    <col min="14344" max="14598" width="1.625" style="1"/>
    <col min="14599" max="14599" width="1.625" style="1" customWidth="1"/>
    <col min="14600" max="14854" width="1.625" style="1"/>
    <col min="14855" max="14855" width="1.625" style="1" customWidth="1"/>
    <col min="14856" max="15110" width="1.625" style="1"/>
    <col min="15111" max="15111" width="1.625" style="1" customWidth="1"/>
    <col min="15112" max="15366" width="1.625" style="1"/>
    <col min="15367" max="15367" width="1.625" style="1" customWidth="1"/>
    <col min="15368" max="15622" width="1.625" style="1"/>
    <col min="15623" max="15623" width="1.625" style="1" customWidth="1"/>
    <col min="15624" max="15878" width="1.625" style="1"/>
    <col min="15879" max="15879" width="1.625" style="1" customWidth="1"/>
    <col min="15880" max="16134" width="1.625" style="1"/>
    <col min="16135" max="16135" width="1.625" style="1" customWidth="1"/>
    <col min="16136" max="16384" width="1.625" style="1"/>
  </cols>
  <sheetData>
    <row r="3" spans="4:37" ht="14.45" customHeight="1">
      <c r="D3" s="1" t="s">
        <v>26</v>
      </c>
    </row>
    <row r="4" spans="4:37" ht="14.45" customHeight="1">
      <c r="D4" s="1" t="s">
        <v>27</v>
      </c>
    </row>
    <row r="5" spans="4:37" ht="14.45" customHeight="1"/>
    <row r="6" spans="4:37" ht="14.45" customHeight="1"/>
    <row r="7" spans="4:37" ht="14.45" customHeight="1">
      <c r="E7" s="11"/>
      <c r="G7" s="117" t="s">
        <v>20</v>
      </c>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row>
    <row r="8" spans="4:37" ht="14.45" customHeight="1">
      <c r="E8" s="11"/>
      <c r="G8" s="117"/>
      <c r="H8" s="117"/>
      <c r="I8" s="117"/>
      <c r="J8" s="117"/>
      <c r="K8" s="117"/>
      <c r="L8" s="117"/>
      <c r="M8" s="117"/>
      <c r="N8" s="117"/>
      <c r="O8" s="117"/>
      <c r="P8" s="117"/>
      <c r="Q8" s="117"/>
      <c r="R8" s="117"/>
      <c r="S8" s="117"/>
      <c r="T8" s="117"/>
      <c r="U8" s="117"/>
      <c r="V8" s="117"/>
      <c r="W8" s="117"/>
      <c r="X8" s="117"/>
      <c r="Y8" s="117"/>
      <c r="Z8" s="117"/>
      <c r="AA8" s="117"/>
      <c r="AB8" s="117"/>
      <c r="AC8" s="117"/>
      <c r="AD8" s="117"/>
      <c r="AE8" s="117"/>
      <c r="AF8" s="117"/>
      <c r="AG8" s="117"/>
      <c r="AH8" s="117"/>
      <c r="AI8" s="117"/>
      <c r="AJ8" s="117"/>
      <c r="AK8" s="117"/>
    </row>
    <row r="9" spans="4:37" ht="14.45" customHeight="1">
      <c r="E9" s="11"/>
      <c r="G9" s="1" t="s">
        <v>77</v>
      </c>
    </row>
    <row r="10" spans="4:37" ht="14.45" customHeight="1">
      <c r="E10" s="11"/>
    </row>
    <row r="11" spans="4:37" ht="14.45" customHeight="1">
      <c r="E11" s="11"/>
    </row>
    <row r="12" spans="4:37" ht="14.45" customHeight="1">
      <c r="E12" s="11"/>
      <c r="G12" s="118" t="str">
        <f>INDEX(改版履歴!B4:B32,COUNTA(改版履歴!B4:B32))</f>
        <v>1.14</v>
      </c>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row>
    <row r="13" spans="4:37" ht="14.45" customHeight="1"/>
    <row r="14" spans="4:37" ht="14.45" customHeight="1"/>
    <row r="15" spans="4:37" ht="14.45" customHeight="1"/>
    <row r="16" spans="4:37" ht="14.45" customHeight="1"/>
    <row r="17" spans="34:47" ht="14.45" customHeight="1"/>
    <row r="18" spans="34:47" ht="14.45" customHeight="1"/>
    <row r="19" spans="34:47" ht="14.45" customHeight="1"/>
    <row r="20" spans="34:47" ht="14.45" customHeight="1"/>
    <row r="21" spans="34:47" ht="14.45" customHeight="1"/>
    <row r="22" spans="34:47" ht="14.45" customHeight="1"/>
    <row r="23" spans="34:47" ht="14.45" customHeight="1"/>
    <row r="24" spans="34:47" ht="14.45" customHeight="1"/>
    <row r="25" spans="34:47" ht="14.45" customHeight="1"/>
    <row r="26" spans="34:47" ht="14.45" customHeight="1"/>
    <row r="27" spans="34:47" ht="14.45" customHeight="1"/>
    <row r="28" spans="34:47" ht="14.45" customHeight="1"/>
    <row r="29" spans="34:47" ht="14.45" customHeight="1"/>
    <row r="30" spans="34:47" ht="14.45" customHeight="1"/>
    <row r="31" spans="34:47" ht="14.45" customHeight="1">
      <c r="AH31" s="119">
        <f>MAX(改版履歴!D4:D32)</f>
        <v>44008</v>
      </c>
      <c r="AI31" s="119"/>
      <c r="AJ31" s="119"/>
      <c r="AK31" s="119"/>
      <c r="AL31" s="119"/>
      <c r="AM31" s="119"/>
      <c r="AN31" s="119"/>
      <c r="AO31" s="119"/>
      <c r="AP31" s="119"/>
      <c r="AQ31" s="119"/>
      <c r="AR31" s="119"/>
      <c r="AS31" s="119"/>
      <c r="AT31" s="119"/>
      <c r="AU31" s="119"/>
    </row>
    <row r="32" spans="34:47" ht="14.45" customHeight="1"/>
    <row r="33" spans="26:56" ht="14.45" customHeight="1">
      <c r="Z33" s="120" t="s">
        <v>6</v>
      </c>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row>
    <row r="34" spans="26:56" ht="14.45" customHeight="1">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row>
    <row r="35" spans="26:56" ht="14.45" customHeight="1">
      <c r="AF35" s="121"/>
      <c r="AG35" s="121"/>
      <c r="AH35" s="121"/>
      <c r="AI35" s="121"/>
      <c r="AJ35" s="121"/>
      <c r="AK35" s="121"/>
      <c r="AL35" s="121"/>
      <c r="AM35" s="121"/>
      <c r="AN35" s="121"/>
      <c r="AO35" s="121"/>
      <c r="AP35" s="121"/>
      <c r="AQ35" s="121"/>
      <c r="AR35" s="121"/>
      <c r="AS35" s="121"/>
      <c r="AT35" s="121"/>
      <c r="AU35" s="121"/>
      <c r="AV35" s="121"/>
      <c r="AW35" s="121"/>
      <c r="AX35" s="121"/>
    </row>
  </sheetData>
  <mergeCells count="5">
    <mergeCell ref="G7:AK8"/>
    <mergeCell ref="G12:AK12"/>
    <mergeCell ref="AH31:AU31"/>
    <mergeCell ref="Z33:BD34"/>
    <mergeCell ref="AF35:AX35"/>
  </mergeCells>
  <phoneticPr fontId="6"/>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32"/>
  <sheetViews>
    <sheetView showGridLines="0" zoomScaleNormal="100" zoomScaleSheetLayoutView="100" workbookViewId="0">
      <selection activeCell="F17" sqref="F17"/>
    </sheetView>
  </sheetViews>
  <sheetFormatPr defaultRowHeight="12"/>
  <cols>
    <col min="1" max="1" width="1.875" style="4" customWidth="1"/>
    <col min="2" max="2" width="5.625" style="4" customWidth="1"/>
    <col min="3" max="3" width="9.375" style="4" customWidth="1"/>
    <col min="4" max="4" width="10.625" style="10" customWidth="1"/>
    <col min="5" max="5" width="28.625" style="4" customWidth="1"/>
    <col min="6" max="6" width="73.875" style="4" customWidth="1"/>
    <col min="7" max="7" width="1.625" style="4" customWidth="1"/>
    <col min="8" max="256" width="9" style="4"/>
    <col min="257" max="257" width="1.875" style="4" customWidth="1"/>
    <col min="258" max="258" width="5.625" style="4" customWidth="1"/>
    <col min="259" max="259" width="9.375" style="4" customWidth="1"/>
    <col min="260" max="260" width="10.625" style="4" customWidth="1"/>
    <col min="261" max="261" width="28.625" style="4" customWidth="1"/>
    <col min="262" max="262" width="73.875" style="4" customWidth="1"/>
    <col min="263" max="263" width="1.625" style="4" customWidth="1"/>
    <col min="264" max="512" width="9" style="4"/>
    <col min="513" max="513" width="1.875" style="4" customWidth="1"/>
    <col min="514" max="514" width="5.625" style="4" customWidth="1"/>
    <col min="515" max="515" width="9.375" style="4" customWidth="1"/>
    <col min="516" max="516" width="10.625" style="4" customWidth="1"/>
    <col min="517" max="517" width="28.625" style="4" customWidth="1"/>
    <col min="518" max="518" width="73.875" style="4" customWidth="1"/>
    <col min="519" max="519" width="1.625" style="4" customWidth="1"/>
    <col min="520" max="768" width="9" style="4"/>
    <col min="769" max="769" width="1.875" style="4" customWidth="1"/>
    <col min="770" max="770" width="5.625" style="4" customWidth="1"/>
    <col min="771" max="771" width="9.375" style="4" customWidth="1"/>
    <col min="772" max="772" width="10.625" style="4" customWidth="1"/>
    <col min="773" max="773" width="28.625" style="4" customWidth="1"/>
    <col min="774" max="774" width="73.875" style="4" customWidth="1"/>
    <col min="775" max="775" width="1.625" style="4" customWidth="1"/>
    <col min="776" max="1024" width="9" style="4"/>
    <col min="1025" max="1025" width="1.875" style="4" customWidth="1"/>
    <col min="1026" max="1026" width="5.625" style="4" customWidth="1"/>
    <col min="1027" max="1027" width="9.375" style="4" customWidth="1"/>
    <col min="1028" max="1028" width="10.625" style="4" customWidth="1"/>
    <col min="1029" max="1029" width="28.625" style="4" customWidth="1"/>
    <col min="1030" max="1030" width="73.875" style="4" customWidth="1"/>
    <col min="1031" max="1031" width="1.625" style="4" customWidth="1"/>
    <col min="1032" max="1280" width="9" style="4"/>
    <col min="1281" max="1281" width="1.875" style="4" customWidth="1"/>
    <col min="1282" max="1282" width="5.625" style="4" customWidth="1"/>
    <col min="1283" max="1283" width="9.375" style="4" customWidth="1"/>
    <col min="1284" max="1284" width="10.625" style="4" customWidth="1"/>
    <col min="1285" max="1285" width="28.625" style="4" customWidth="1"/>
    <col min="1286" max="1286" width="73.875" style="4" customWidth="1"/>
    <col min="1287" max="1287" width="1.625" style="4" customWidth="1"/>
    <col min="1288" max="1536" width="9" style="4"/>
    <col min="1537" max="1537" width="1.875" style="4" customWidth="1"/>
    <col min="1538" max="1538" width="5.625" style="4" customWidth="1"/>
    <col min="1539" max="1539" width="9.375" style="4" customWidth="1"/>
    <col min="1540" max="1540" width="10.625" style="4" customWidth="1"/>
    <col min="1541" max="1541" width="28.625" style="4" customWidth="1"/>
    <col min="1542" max="1542" width="73.875" style="4" customWidth="1"/>
    <col min="1543" max="1543" width="1.625" style="4" customWidth="1"/>
    <col min="1544" max="1792" width="9" style="4"/>
    <col min="1793" max="1793" width="1.875" style="4" customWidth="1"/>
    <col min="1794" max="1794" width="5.625" style="4" customWidth="1"/>
    <col min="1795" max="1795" width="9.375" style="4" customWidth="1"/>
    <col min="1796" max="1796" width="10.625" style="4" customWidth="1"/>
    <col min="1797" max="1797" width="28.625" style="4" customWidth="1"/>
    <col min="1798" max="1798" width="73.875" style="4" customWidth="1"/>
    <col min="1799" max="1799" width="1.625" style="4" customWidth="1"/>
    <col min="1800" max="2048" width="9" style="4"/>
    <col min="2049" max="2049" width="1.875" style="4" customWidth="1"/>
    <col min="2050" max="2050" width="5.625" style="4" customWidth="1"/>
    <col min="2051" max="2051" width="9.375" style="4" customWidth="1"/>
    <col min="2052" max="2052" width="10.625" style="4" customWidth="1"/>
    <col min="2053" max="2053" width="28.625" style="4" customWidth="1"/>
    <col min="2054" max="2054" width="73.875" style="4" customWidth="1"/>
    <col min="2055" max="2055" width="1.625" style="4" customWidth="1"/>
    <col min="2056" max="2304" width="9" style="4"/>
    <col min="2305" max="2305" width="1.875" style="4" customWidth="1"/>
    <col min="2306" max="2306" width="5.625" style="4" customWidth="1"/>
    <col min="2307" max="2307" width="9.375" style="4" customWidth="1"/>
    <col min="2308" max="2308" width="10.625" style="4" customWidth="1"/>
    <col min="2309" max="2309" width="28.625" style="4" customWidth="1"/>
    <col min="2310" max="2310" width="73.875" style="4" customWidth="1"/>
    <col min="2311" max="2311" width="1.625" style="4" customWidth="1"/>
    <col min="2312" max="2560" width="9" style="4"/>
    <col min="2561" max="2561" width="1.875" style="4" customWidth="1"/>
    <col min="2562" max="2562" width="5.625" style="4" customWidth="1"/>
    <col min="2563" max="2563" width="9.375" style="4" customWidth="1"/>
    <col min="2564" max="2564" width="10.625" style="4" customWidth="1"/>
    <col min="2565" max="2565" width="28.625" style="4" customWidth="1"/>
    <col min="2566" max="2566" width="73.875" style="4" customWidth="1"/>
    <col min="2567" max="2567" width="1.625" style="4" customWidth="1"/>
    <col min="2568" max="2816" width="9" style="4"/>
    <col min="2817" max="2817" width="1.875" style="4" customWidth="1"/>
    <col min="2818" max="2818" width="5.625" style="4" customWidth="1"/>
    <col min="2819" max="2819" width="9.375" style="4" customWidth="1"/>
    <col min="2820" max="2820" width="10.625" style="4" customWidth="1"/>
    <col min="2821" max="2821" width="28.625" style="4" customWidth="1"/>
    <col min="2822" max="2822" width="73.875" style="4" customWidth="1"/>
    <col min="2823" max="2823" width="1.625" style="4" customWidth="1"/>
    <col min="2824" max="3072" width="9" style="4"/>
    <col min="3073" max="3073" width="1.875" style="4" customWidth="1"/>
    <col min="3074" max="3074" width="5.625" style="4" customWidth="1"/>
    <col min="3075" max="3075" width="9.375" style="4" customWidth="1"/>
    <col min="3076" max="3076" width="10.625" style="4" customWidth="1"/>
    <col min="3077" max="3077" width="28.625" style="4" customWidth="1"/>
    <col min="3078" max="3078" width="73.875" style="4" customWidth="1"/>
    <col min="3079" max="3079" width="1.625" style="4" customWidth="1"/>
    <col min="3080" max="3328" width="9" style="4"/>
    <col min="3329" max="3329" width="1.875" style="4" customWidth="1"/>
    <col min="3330" max="3330" width="5.625" style="4" customWidth="1"/>
    <col min="3331" max="3331" width="9.375" style="4" customWidth="1"/>
    <col min="3332" max="3332" width="10.625" style="4" customWidth="1"/>
    <col min="3333" max="3333" width="28.625" style="4" customWidth="1"/>
    <col min="3334" max="3334" width="73.875" style="4" customWidth="1"/>
    <col min="3335" max="3335" width="1.625" style="4" customWidth="1"/>
    <col min="3336" max="3584" width="9" style="4"/>
    <col min="3585" max="3585" width="1.875" style="4" customWidth="1"/>
    <col min="3586" max="3586" width="5.625" style="4" customWidth="1"/>
    <col min="3587" max="3587" width="9.375" style="4" customWidth="1"/>
    <col min="3588" max="3588" width="10.625" style="4" customWidth="1"/>
    <col min="3589" max="3589" width="28.625" style="4" customWidth="1"/>
    <col min="3590" max="3590" width="73.875" style="4" customWidth="1"/>
    <col min="3591" max="3591" width="1.625" style="4" customWidth="1"/>
    <col min="3592" max="3840" width="9" style="4"/>
    <col min="3841" max="3841" width="1.875" style="4" customWidth="1"/>
    <col min="3842" max="3842" width="5.625" style="4" customWidth="1"/>
    <col min="3843" max="3843" width="9.375" style="4" customWidth="1"/>
    <col min="3844" max="3844" width="10.625" style="4" customWidth="1"/>
    <col min="3845" max="3845" width="28.625" style="4" customWidth="1"/>
    <col min="3846" max="3846" width="73.875" style="4" customWidth="1"/>
    <col min="3847" max="3847" width="1.625" style="4" customWidth="1"/>
    <col min="3848" max="4096" width="9" style="4"/>
    <col min="4097" max="4097" width="1.875" style="4" customWidth="1"/>
    <col min="4098" max="4098" width="5.625" style="4" customWidth="1"/>
    <col min="4099" max="4099" width="9.375" style="4" customWidth="1"/>
    <col min="4100" max="4100" width="10.625" style="4" customWidth="1"/>
    <col min="4101" max="4101" width="28.625" style="4" customWidth="1"/>
    <col min="4102" max="4102" width="73.875" style="4" customWidth="1"/>
    <col min="4103" max="4103" width="1.625" style="4" customWidth="1"/>
    <col min="4104" max="4352" width="9" style="4"/>
    <col min="4353" max="4353" width="1.875" style="4" customWidth="1"/>
    <col min="4354" max="4354" width="5.625" style="4" customWidth="1"/>
    <col min="4355" max="4355" width="9.375" style="4" customWidth="1"/>
    <col min="4356" max="4356" width="10.625" style="4" customWidth="1"/>
    <col min="4357" max="4357" width="28.625" style="4" customWidth="1"/>
    <col min="4358" max="4358" width="73.875" style="4" customWidth="1"/>
    <col min="4359" max="4359" width="1.625" style="4" customWidth="1"/>
    <col min="4360" max="4608" width="9" style="4"/>
    <col min="4609" max="4609" width="1.875" style="4" customWidth="1"/>
    <col min="4610" max="4610" width="5.625" style="4" customWidth="1"/>
    <col min="4611" max="4611" width="9.375" style="4" customWidth="1"/>
    <col min="4612" max="4612" width="10.625" style="4" customWidth="1"/>
    <col min="4613" max="4613" width="28.625" style="4" customWidth="1"/>
    <col min="4614" max="4614" width="73.875" style="4" customWidth="1"/>
    <col min="4615" max="4615" width="1.625" style="4" customWidth="1"/>
    <col min="4616" max="4864" width="9" style="4"/>
    <col min="4865" max="4865" width="1.875" style="4" customWidth="1"/>
    <col min="4866" max="4866" width="5.625" style="4" customWidth="1"/>
    <col min="4867" max="4867" width="9.375" style="4" customWidth="1"/>
    <col min="4868" max="4868" width="10.625" style="4" customWidth="1"/>
    <col min="4869" max="4869" width="28.625" style="4" customWidth="1"/>
    <col min="4870" max="4870" width="73.875" style="4" customWidth="1"/>
    <col min="4871" max="4871" width="1.625" style="4" customWidth="1"/>
    <col min="4872" max="5120" width="9" style="4"/>
    <col min="5121" max="5121" width="1.875" style="4" customWidth="1"/>
    <col min="5122" max="5122" width="5.625" style="4" customWidth="1"/>
    <col min="5123" max="5123" width="9.375" style="4" customWidth="1"/>
    <col min="5124" max="5124" width="10.625" style="4" customWidth="1"/>
    <col min="5125" max="5125" width="28.625" style="4" customWidth="1"/>
    <col min="5126" max="5126" width="73.875" style="4" customWidth="1"/>
    <col min="5127" max="5127" width="1.625" style="4" customWidth="1"/>
    <col min="5128" max="5376" width="9" style="4"/>
    <col min="5377" max="5377" width="1.875" style="4" customWidth="1"/>
    <col min="5378" max="5378" width="5.625" style="4" customWidth="1"/>
    <col min="5379" max="5379" width="9.375" style="4" customWidth="1"/>
    <col min="5380" max="5380" width="10.625" style="4" customWidth="1"/>
    <col min="5381" max="5381" width="28.625" style="4" customWidth="1"/>
    <col min="5382" max="5382" width="73.875" style="4" customWidth="1"/>
    <col min="5383" max="5383" width="1.625" style="4" customWidth="1"/>
    <col min="5384" max="5632" width="9" style="4"/>
    <col min="5633" max="5633" width="1.875" style="4" customWidth="1"/>
    <col min="5634" max="5634" width="5.625" style="4" customWidth="1"/>
    <col min="5635" max="5635" width="9.375" style="4" customWidth="1"/>
    <col min="5636" max="5636" width="10.625" style="4" customWidth="1"/>
    <col min="5637" max="5637" width="28.625" style="4" customWidth="1"/>
    <col min="5638" max="5638" width="73.875" style="4" customWidth="1"/>
    <col min="5639" max="5639" width="1.625" style="4" customWidth="1"/>
    <col min="5640" max="5888" width="9" style="4"/>
    <col min="5889" max="5889" width="1.875" style="4" customWidth="1"/>
    <col min="5890" max="5890" width="5.625" style="4" customWidth="1"/>
    <col min="5891" max="5891" width="9.375" style="4" customWidth="1"/>
    <col min="5892" max="5892" width="10.625" style="4" customWidth="1"/>
    <col min="5893" max="5893" width="28.625" style="4" customWidth="1"/>
    <col min="5894" max="5894" width="73.875" style="4" customWidth="1"/>
    <col min="5895" max="5895" width="1.625" style="4" customWidth="1"/>
    <col min="5896" max="6144" width="9" style="4"/>
    <col min="6145" max="6145" width="1.875" style="4" customWidth="1"/>
    <col min="6146" max="6146" width="5.625" style="4" customWidth="1"/>
    <col min="6147" max="6147" width="9.375" style="4" customWidth="1"/>
    <col min="6148" max="6148" width="10.625" style="4" customWidth="1"/>
    <col min="6149" max="6149" width="28.625" style="4" customWidth="1"/>
    <col min="6150" max="6150" width="73.875" style="4" customWidth="1"/>
    <col min="6151" max="6151" width="1.625" style="4" customWidth="1"/>
    <col min="6152" max="6400" width="9" style="4"/>
    <col min="6401" max="6401" width="1.875" style="4" customWidth="1"/>
    <col min="6402" max="6402" width="5.625" style="4" customWidth="1"/>
    <col min="6403" max="6403" width="9.375" style="4" customWidth="1"/>
    <col min="6404" max="6404" width="10.625" style="4" customWidth="1"/>
    <col min="6405" max="6405" width="28.625" style="4" customWidth="1"/>
    <col min="6406" max="6406" width="73.875" style="4" customWidth="1"/>
    <col min="6407" max="6407" width="1.625" style="4" customWidth="1"/>
    <col min="6408" max="6656" width="9" style="4"/>
    <col min="6657" max="6657" width="1.875" style="4" customWidth="1"/>
    <col min="6658" max="6658" width="5.625" style="4" customWidth="1"/>
    <col min="6659" max="6659" width="9.375" style="4" customWidth="1"/>
    <col min="6660" max="6660" width="10.625" style="4" customWidth="1"/>
    <col min="6661" max="6661" width="28.625" style="4" customWidth="1"/>
    <col min="6662" max="6662" width="73.875" style="4" customWidth="1"/>
    <col min="6663" max="6663" width="1.625" style="4" customWidth="1"/>
    <col min="6664" max="6912" width="9" style="4"/>
    <col min="6913" max="6913" width="1.875" style="4" customWidth="1"/>
    <col min="6914" max="6914" width="5.625" style="4" customWidth="1"/>
    <col min="6915" max="6915" width="9.375" style="4" customWidth="1"/>
    <col min="6916" max="6916" width="10.625" style="4" customWidth="1"/>
    <col min="6917" max="6917" width="28.625" style="4" customWidth="1"/>
    <col min="6918" max="6918" width="73.875" style="4" customWidth="1"/>
    <col min="6919" max="6919" width="1.625" style="4" customWidth="1"/>
    <col min="6920" max="7168" width="9" style="4"/>
    <col min="7169" max="7169" width="1.875" style="4" customWidth="1"/>
    <col min="7170" max="7170" width="5.625" style="4" customWidth="1"/>
    <col min="7171" max="7171" width="9.375" style="4" customWidth="1"/>
    <col min="7172" max="7172" width="10.625" style="4" customWidth="1"/>
    <col min="7173" max="7173" width="28.625" style="4" customWidth="1"/>
    <col min="7174" max="7174" width="73.875" style="4" customWidth="1"/>
    <col min="7175" max="7175" width="1.625" style="4" customWidth="1"/>
    <col min="7176" max="7424" width="9" style="4"/>
    <col min="7425" max="7425" width="1.875" style="4" customWidth="1"/>
    <col min="7426" max="7426" width="5.625" style="4" customWidth="1"/>
    <col min="7427" max="7427" width="9.375" style="4" customWidth="1"/>
    <col min="7428" max="7428" width="10.625" style="4" customWidth="1"/>
    <col min="7429" max="7429" width="28.625" style="4" customWidth="1"/>
    <col min="7430" max="7430" width="73.875" style="4" customWidth="1"/>
    <col min="7431" max="7431" width="1.625" style="4" customWidth="1"/>
    <col min="7432" max="7680" width="9" style="4"/>
    <col min="7681" max="7681" width="1.875" style="4" customWidth="1"/>
    <col min="7682" max="7682" width="5.625" style="4" customWidth="1"/>
    <col min="7683" max="7683" width="9.375" style="4" customWidth="1"/>
    <col min="7684" max="7684" width="10.625" style="4" customWidth="1"/>
    <col min="7685" max="7685" width="28.625" style="4" customWidth="1"/>
    <col min="7686" max="7686" width="73.875" style="4" customWidth="1"/>
    <col min="7687" max="7687" width="1.625" style="4" customWidth="1"/>
    <col min="7688" max="7936" width="9" style="4"/>
    <col min="7937" max="7937" width="1.875" style="4" customWidth="1"/>
    <col min="7938" max="7938" width="5.625" style="4" customWidth="1"/>
    <col min="7939" max="7939" width="9.375" style="4" customWidth="1"/>
    <col min="7940" max="7940" width="10.625" style="4" customWidth="1"/>
    <col min="7941" max="7941" width="28.625" style="4" customWidth="1"/>
    <col min="7942" max="7942" width="73.875" style="4" customWidth="1"/>
    <col min="7943" max="7943" width="1.625" style="4" customWidth="1"/>
    <col min="7944" max="8192" width="9" style="4"/>
    <col min="8193" max="8193" width="1.875" style="4" customWidth="1"/>
    <col min="8194" max="8194" width="5.625" style="4" customWidth="1"/>
    <col min="8195" max="8195" width="9.375" style="4" customWidth="1"/>
    <col min="8196" max="8196" width="10.625" style="4" customWidth="1"/>
    <col min="8197" max="8197" width="28.625" style="4" customWidth="1"/>
    <col min="8198" max="8198" width="73.875" style="4" customWidth="1"/>
    <col min="8199" max="8199" width="1.625" style="4" customWidth="1"/>
    <col min="8200" max="8448" width="9" style="4"/>
    <col min="8449" max="8449" width="1.875" style="4" customWidth="1"/>
    <col min="8450" max="8450" width="5.625" style="4" customWidth="1"/>
    <col min="8451" max="8451" width="9.375" style="4" customWidth="1"/>
    <col min="8452" max="8452" width="10.625" style="4" customWidth="1"/>
    <col min="8453" max="8453" width="28.625" style="4" customWidth="1"/>
    <col min="8454" max="8454" width="73.875" style="4" customWidth="1"/>
    <col min="8455" max="8455" width="1.625" style="4" customWidth="1"/>
    <col min="8456" max="8704" width="9" style="4"/>
    <col min="8705" max="8705" width="1.875" style="4" customWidth="1"/>
    <col min="8706" max="8706" width="5.625" style="4" customWidth="1"/>
    <col min="8707" max="8707" width="9.375" style="4" customWidth="1"/>
    <col min="8708" max="8708" width="10.625" style="4" customWidth="1"/>
    <col min="8709" max="8709" width="28.625" style="4" customWidth="1"/>
    <col min="8710" max="8710" width="73.875" style="4" customWidth="1"/>
    <col min="8711" max="8711" width="1.625" style="4" customWidth="1"/>
    <col min="8712" max="8960" width="9" style="4"/>
    <col min="8961" max="8961" width="1.875" style="4" customWidth="1"/>
    <col min="8962" max="8962" width="5.625" style="4" customWidth="1"/>
    <col min="8963" max="8963" width="9.375" style="4" customWidth="1"/>
    <col min="8964" max="8964" width="10.625" style="4" customWidth="1"/>
    <col min="8965" max="8965" width="28.625" style="4" customWidth="1"/>
    <col min="8966" max="8966" width="73.875" style="4" customWidth="1"/>
    <col min="8967" max="8967" width="1.625" style="4" customWidth="1"/>
    <col min="8968" max="9216" width="9" style="4"/>
    <col min="9217" max="9217" width="1.875" style="4" customWidth="1"/>
    <col min="9218" max="9218" width="5.625" style="4" customWidth="1"/>
    <col min="9219" max="9219" width="9.375" style="4" customWidth="1"/>
    <col min="9220" max="9220" width="10.625" style="4" customWidth="1"/>
    <col min="9221" max="9221" width="28.625" style="4" customWidth="1"/>
    <col min="9222" max="9222" width="73.875" style="4" customWidth="1"/>
    <col min="9223" max="9223" width="1.625" style="4" customWidth="1"/>
    <col min="9224" max="9472" width="9" style="4"/>
    <col min="9473" max="9473" width="1.875" style="4" customWidth="1"/>
    <col min="9474" max="9474" width="5.625" style="4" customWidth="1"/>
    <col min="9475" max="9475" width="9.375" style="4" customWidth="1"/>
    <col min="9476" max="9476" width="10.625" style="4" customWidth="1"/>
    <col min="9477" max="9477" width="28.625" style="4" customWidth="1"/>
    <col min="9478" max="9478" width="73.875" style="4" customWidth="1"/>
    <col min="9479" max="9479" width="1.625" style="4" customWidth="1"/>
    <col min="9480" max="9728" width="9" style="4"/>
    <col min="9729" max="9729" width="1.875" style="4" customWidth="1"/>
    <col min="9730" max="9730" width="5.625" style="4" customWidth="1"/>
    <col min="9731" max="9731" width="9.375" style="4" customWidth="1"/>
    <col min="9732" max="9732" width="10.625" style="4" customWidth="1"/>
    <col min="9733" max="9733" width="28.625" style="4" customWidth="1"/>
    <col min="9734" max="9734" width="73.875" style="4" customWidth="1"/>
    <col min="9735" max="9735" width="1.625" style="4" customWidth="1"/>
    <col min="9736" max="9984" width="9" style="4"/>
    <col min="9985" max="9985" width="1.875" style="4" customWidth="1"/>
    <col min="9986" max="9986" width="5.625" style="4" customWidth="1"/>
    <col min="9987" max="9987" width="9.375" style="4" customWidth="1"/>
    <col min="9988" max="9988" width="10.625" style="4" customWidth="1"/>
    <col min="9989" max="9989" width="28.625" style="4" customWidth="1"/>
    <col min="9990" max="9990" width="73.875" style="4" customWidth="1"/>
    <col min="9991" max="9991" width="1.625" style="4" customWidth="1"/>
    <col min="9992" max="10240" width="9" style="4"/>
    <col min="10241" max="10241" width="1.875" style="4" customWidth="1"/>
    <col min="10242" max="10242" width="5.625" style="4" customWidth="1"/>
    <col min="10243" max="10243" width="9.375" style="4" customWidth="1"/>
    <col min="10244" max="10244" width="10.625" style="4" customWidth="1"/>
    <col min="10245" max="10245" width="28.625" style="4" customWidth="1"/>
    <col min="10246" max="10246" width="73.875" style="4" customWidth="1"/>
    <col min="10247" max="10247" width="1.625" style="4" customWidth="1"/>
    <col min="10248" max="10496" width="9" style="4"/>
    <col min="10497" max="10497" width="1.875" style="4" customWidth="1"/>
    <col min="10498" max="10498" width="5.625" style="4" customWidth="1"/>
    <col min="10499" max="10499" width="9.375" style="4" customWidth="1"/>
    <col min="10500" max="10500" width="10.625" style="4" customWidth="1"/>
    <col min="10501" max="10501" width="28.625" style="4" customWidth="1"/>
    <col min="10502" max="10502" width="73.875" style="4" customWidth="1"/>
    <col min="10503" max="10503" width="1.625" style="4" customWidth="1"/>
    <col min="10504" max="10752" width="9" style="4"/>
    <col min="10753" max="10753" width="1.875" style="4" customWidth="1"/>
    <col min="10754" max="10754" width="5.625" style="4" customWidth="1"/>
    <col min="10755" max="10755" width="9.375" style="4" customWidth="1"/>
    <col min="10756" max="10756" width="10.625" style="4" customWidth="1"/>
    <col min="10757" max="10757" width="28.625" style="4" customWidth="1"/>
    <col min="10758" max="10758" width="73.875" style="4" customWidth="1"/>
    <col min="10759" max="10759" width="1.625" style="4" customWidth="1"/>
    <col min="10760" max="11008" width="9" style="4"/>
    <col min="11009" max="11009" width="1.875" style="4" customWidth="1"/>
    <col min="11010" max="11010" width="5.625" style="4" customWidth="1"/>
    <col min="11011" max="11011" width="9.375" style="4" customWidth="1"/>
    <col min="11012" max="11012" width="10.625" style="4" customWidth="1"/>
    <col min="11013" max="11013" width="28.625" style="4" customWidth="1"/>
    <col min="11014" max="11014" width="73.875" style="4" customWidth="1"/>
    <col min="11015" max="11015" width="1.625" style="4" customWidth="1"/>
    <col min="11016" max="11264" width="9" style="4"/>
    <col min="11265" max="11265" width="1.875" style="4" customWidth="1"/>
    <col min="11266" max="11266" width="5.625" style="4" customWidth="1"/>
    <col min="11267" max="11267" width="9.375" style="4" customWidth="1"/>
    <col min="11268" max="11268" width="10.625" style="4" customWidth="1"/>
    <col min="11269" max="11269" width="28.625" style="4" customWidth="1"/>
    <col min="11270" max="11270" width="73.875" style="4" customWidth="1"/>
    <col min="11271" max="11271" width="1.625" style="4" customWidth="1"/>
    <col min="11272" max="11520" width="9" style="4"/>
    <col min="11521" max="11521" width="1.875" style="4" customWidth="1"/>
    <col min="11522" max="11522" width="5.625" style="4" customWidth="1"/>
    <col min="11523" max="11523" width="9.375" style="4" customWidth="1"/>
    <col min="11524" max="11524" width="10.625" style="4" customWidth="1"/>
    <col min="11525" max="11525" width="28.625" style="4" customWidth="1"/>
    <col min="11526" max="11526" width="73.875" style="4" customWidth="1"/>
    <col min="11527" max="11527" width="1.625" style="4" customWidth="1"/>
    <col min="11528" max="11776" width="9" style="4"/>
    <col min="11777" max="11777" width="1.875" style="4" customWidth="1"/>
    <col min="11778" max="11778" width="5.625" style="4" customWidth="1"/>
    <col min="11779" max="11779" width="9.375" style="4" customWidth="1"/>
    <col min="11780" max="11780" width="10.625" style="4" customWidth="1"/>
    <col min="11781" max="11781" width="28.625" style="4" customWidth="1"/>
    <col min="11782" max="11782" width="73.875" style="4" customWidth="1"/>
    <col min="11783" max="11783" width="1.625" style="4" customWidth="1"/>
    <col min="11784" max="12032" width="9" style="4"/>
    <col min="12033" max="12033" width="1.875" style="4" customWidth="1"/>
    <col min="12034" max="12034" width="5.625" style="4" customWidth="1"/>
    <col min="12035" max="12035" width="9.375" style="4" customWidth="1"/>
    <col min="12036" max="12036" width="10.625" style="4" customWidth="1"/>
    <col min="12037" max="12037" width="28.625" style="4" customWidth="1"/>
    <col min="12038" max="12038" width="73.875" style="4" customWidth="1"/>
    <col min="12039" max="12039" width="1.625" style="4" customWidth="1"/>
    <col min="12040" max="12288" width="9" style="4"/>
    <col min="12289" max="12289" width="1.875" style="4" customWidth="1"/>
    <col min="12290" max="12290" width="5.625" style="4" customWidth="1"/>
    <col min="12291" max="12291" width="9.375" style="4" customWidth="1"/>
    <col min="12292" max="12292" width="10.625" style="4" customWidth="1"/>
    <col min="12293" max="12293" width="28.625" style="4" customWidth="1"/>
    <col min="12294" max="12294" width="73.875" style="4" customWidth="1"/>
    <col min="12295" max="12295" width="1.625" style="4" customWidth="1"/>
    <col min="12296" max="12544" width="9" style="4"/>
    <col min="12545" max="12545" width="1.875" style="4" customWidth="1"/>
    <col min="12546" max="12546" width="5.625" style="4" customWidth="1"/>
    <col min="12547" max="12547" width="9.375" style="4" customWidth="1"/>
    <col min="12548" max="12548" width="10.625" style="4" customWidth="1"/>
    <col min="12549" max="12549" width="28.625" style="4" customWidth="1"/>
    <col min="12550" max="12550" width="73.875" style="4" customWidth="1"/>
    <col min="12551" max="12551" width="1.625" style="4" customWidth="1"/>
    <col min="12552" max="12800" width="9" style="4"/>
    <col min="12801" max="12801" width="1.875" style="4" customWidth="1"/>
    <col min="12802" max="12802" width="5.625" style="4" customWidth="1"/>
    <col min="12803" max="12803" width="9.375" style="4" customWidth="1"/>
    <col min="12804" max="12804" width="10.625" style="4" customWidth="1"/>
    <col min="12805" max="12805" width="28.625" style="4" customWidth="1"/>
    <col min="12806" max="12806" width="73.875" style="4" customWidth="1"/>
    <col min="12807" max="12807" width="1.625" style="4" customWidth="1"/>
    <col min="12808" max="13056" width="9" style="4"/>
    <col min="13057" max="13057" width="1.875" style="4" customWidth="1"/>
    <col min="13058" max="13058" width="5.625" style="4" customWidth="1"/>
    <col min="13059" max="13059" width="9.375" style="4" customWidth="1"/>
    <col min="13060" max="13060" width="10.625" style="4" customWidth="1"/>
    <col min="13061" max="13061" width="28.625" style="4" customWidth="1"/>
    <col min="13062" max="13062" width="73.875" style="4" customWidth="1"/>
    <col min="13063" max="13063" width="1.625" style="4" customWidth="1"/>
    <col min="13064" max="13312" width="9" style="4"/>
    <col min="13313" max="13313" width="1.875" style="4" customWidth="1"/>
    <col min="13314" max="13314" width="5.625" style="4" customWidth="1"/>
    <col min="13315" max="13315" width="9.375" style="4" customWidth="1"/>
    <col min="13316" max="13316" width="10.625" style="4" customWidth="1"/>
    <col min="13317" max="13317" width="28.625" style="4" customWidth="1"/>
    <col min="13318" max="13318" width="73.875" style="4" customWidth="1"/>
    <col min="13319" max="13319" width="1.625" style="4" customWidth="1"/>
    <col min="13320" max="13568" width="9" style="4"/>
    <col min="13569" max="13569" width="1.875" style="4" customWidth="1"/>
    <col min="13570" max="13570" width="5.625" style="4" customWidth="1"/>
    <col min="13571" max="13571" width="9.375" style="4" customWidth="1"/>
    <col min="13572" max="13572" width="10.625" style="4" customWidth="1"/>
    <col min="13573" max="13573" width="28.625" style="4" customWidth="1"/>
    <col min="13574" max="13574" width="73.875" style="4" customWidth="1"/>
    <col min="13575" max="13575" width="1.625" style="4" customWidth="1"/>
    <col min="13576" max="13824" width="9" style="4"/>
    <col min="13825" max="13825" width="1.875" style="4" customWidth="1"/>
    <col min="13826" max="13826" width="5.625" style="4" customWidth="1"/>
    <col min="13827" max="13827" width="9.375" style="4" customWidth="1"/>
    <col min="13828" max="13828" width="10.625" style="4" customWidth="1"/>
    <col min="13829" max="13829" width="28.625" style="4" customWidth="1"/>
    <col min="13830" max="13830" width="73.875" style="4" customWidth="1"/>
    <col min="13831" max="13831" width="1.625" style="4" customWidth="1"/>
    <col min="13832" max="14080" width="9" style="4"/>
    <col min="14081" max="14081" width="1.875" style="4" customWidth="1"/>
    <col min="14082" max="14082" width="5.625" style="4" customWidth="1"/>
    <col min="14083" max="14083" width="9.375" style="4" customWidth="1"/>
    <col min="14084" max="14084" width="10.625" style="4" customWidth="1"/>
    <col min="14085" max="14085" width="28.625" style="4" customWidth="1"/>
    <col min="14086" max="14086" width="73.875" style="4" customWidth="1"/>
    <col min="14087" max="14087" width="1.625" style="4" customWidth="1"/>
    <col min="14088" max="14336" width="9" style="4"/>
    <col min="14337" max="14337" width="1.875" style="4" customWidth="1"/>
    <col min="14338" max="14338" width="5.625" style="4" customWidth="1"/>
    <col min="14339" max="14339" width="9.375" style="4" customWidth="1"/>
    <col min="14340" max="14340" width="10.625" style="4" customWidth="1"/>
    <col min="14341" max="14341" width="28.625" style="4" customWidth="1"/>
    <col min="14342" max="14342" width="73.875" style="4" customWidth="1"/>
    <col min="14343" max="14343" width="1.625" style="4" customWidth="1"/>
    <col min="14344" max="14592" width="9" style="4"/>
    <col min="14593" max="14593" width="1.875" style="4" customWidth="1"/>
    <col min="14594" max="14594" width="5.625" style="4" customWidth="1"/>
    <col min="14595" max="14595" width="9.375" style="4" customWidth="1"/>
    <col min="14596" max="14596" width="10.625" style="4" customWidth="1"/>
    <col min="14597" max="14597" width="28.625" style="4" customWidth="1"/>
    <col min="14598" max="14598" width="73.875" style="4" customWidth="1"/>
    <col min="14599" max="14599" width="1.625" style="4" customWidth="1"/>
    <col min="14600" max="14848" width="9" style="4"/>
    <col min="14849" max="14849" width="1.875" style="4" customWidth="1"/>
    <col min="14850" max="14850" width="5.625" style="4" customWidth="1"/>
    <col min="14851" max="14851" width="9.375" style="4" customWidth="1"/>
    <col min="14852" max="14852" width="10.625" style="4" customWidth="1"/>
    <col min="14853" max="14853" width="28.625" style="4" customWidth="1"/>
    <col min="14854" max="14854" width="73.875" style="4" customWidth="1"/>
    <col min="14855" max="14855" width="1.625" style="4" customWidth="1"/>
    <col min="14856" max="15104" width="9" style="4"/>
    <col min="15105" max="15105" width="1.875" style="4" customWidth="1"/>
    <col min="15106" max="15106" width="5.625" style="4" customWidth="1"/>
    <col min="15107" max="15107" width="9.375" style="4" customWidth="1"/>
    <col min="15108" max="15108" width="10.625" style="4" customWidth="1"/>
    <col min="15109" max="15109" width="28.625" style="4" customWidth="1"/>
    <col min="15110" max="15110" width="73.875" style="4" customWidth="1"/>
    <col min="15111" max="15111" width="1.625" style="4" customWidth="1"/>
    <col min="15112" max="15360" width="9" style="4"/>
    <col min="15361" max="15361" width="1.875" style="4" customWidth="1"/>
    <col min="15362" max="15362" width="5.625" style="4" customWidth="1"/>
    <col min="15363" max="15363" width="9.375" style="4" customWidth="1"/>
    <col min="15364" max="15364" width="10.625" style="4" customWidth="1"/>
    <col min="15365" max="15365" width="28.625" style="4" customWidth="1"/>
    <col min="15366" max="15366" width="73.875" style="4" customWidth="1"/>
    <col min="15367" max="15367" width="1.625" style="4" customWidth="1"/>
    <col min="15368" max="15616" width="9" style="4"/>
    <col min="15617" max="15617" width="1.875" style="4" customWidth="1"/>
    <col min="15618" max="15618" width="5.625" style="4" customWidth="1"/>
    <col min="15619" max="15619" width="9.375" style="4" customWidth="1"/>
    <col min="15620" max="15620" width="10.625" style="4" customWidth="1"/>
    <col min="15621" max="15621" width="28.625" style="4" customWidth="1"/>
    <col min="15622" max="15622" width="73.875" style="4" customWidth="1"/>
    <col min="15623" max="15623" width="1.625" style="4" customWidth="1"/>
    <col min="15624" max="15872" width="9" style="4"/>
    <col min="15873" max="15873" width="1.875" style="4" customWidth="1"/>
    <col min="15874" max="15874" width="5.625" style="4" customWidth="1"/>
    <col min="15875" max="15875" width="9.375" style="4" customWidth="1"/>
    <col min="15876" max="15876" width="10.625" style="4" customWidth="1"/>
    <col min="15877" max="15877" width="28.625" style="4" customWidth="1"/>
    <col min="15878" max="15878" width="73.875" style="4" customWidth="1"/>
    <col min="15879" max="15879" width="1.625" style="4" customWidth="1"/>
    <col min="15880" max="16128" width="9" style="4"/>
    <col min="16129" max="16129" width="1.875" style="4" customWidth="1"/>
    <col min="16130" max="16130" width="5.625" style="4" customWidth="1"/>
    <col min="16131" max="16131" width="9.375" style="4" customWidth="1"/>
    <col min="16132" max="16132" width="10.625" style="4" customWidth="1"/>
    <col min="16133" max="16133" width="28.625" style="4" customWidth="1"/>
    <col min="16134" max="16134" width="73.875" style="4" customWidth="1"/>
    <col min="16135" max="16135" width="1.625" style="4" customWidth="1"/>
    <col min="16136" max="16384" width="9" style="4"/>
  </cols>
  <sheetData>
    <row r="1" spans="2:7" ht="19.5">
      <c r="B1" s="122" t="s">
        <v>7</v>
      </c>
      <c r="C1" s="122"/>
      <c r="D1" s="122"/>
      <c r="E1" s="122"/>
      <c r="F1" s="122"/>
    </row>
    <row r="3" spans="2:7">
      <c r="B3" s="5" t="s">
        <v>8</v>
      </c>
      <c r="C3" s="5" t="s">
        <v>9</v>
      </c>
      <c r="D3" s="6" t="s">
        <v>10</v>
      </c>
      <c r="E3" s="5" t="s">
        <v>11</v>
      </c>
      <c r="F3" s="5" t="s">
        <v>12</v>
      </c>
    </row>
    <row r="4" spans="2:7">
      <c r="B4" s="7">
        <v>1</v>
      </c>
      <c r="C4" s="3" t="s">
        <v>28</v>
      </c>
      <c r="D4" s="8">
        <v>43234</v>
      </c>
      <c r="E4" s="2" t="s">
        <v>14</v>
      </c>
      <c r="F4" s="2" t="s">
        <v>13</v>
      </c>
    </row>
    <row r="5" spans="2:7">
      <c r="B5" s="7">
        <v>1.1000000000000001</v>
      </c>
      <c r="C5" s="3" t="s">
        <v>28</v>
      </c>
      <c r="D5" s="8">
        <v>43241</v>
      </c>
      <c r="E5" s="2" t="s">
        <v>34</v>
      </c>
      <c r="F5" s="2" t="s">
        <v>35</v>
      </c>
    </row>
    <row r="6" spans="2:7" ht="36">
      <c r="B6" s="7">
        <v>1.2</v>
      </c>
      <c r="C6" s="3" t="s">
        <v>28</v>
      </c>
      <c r="D6" s="8">
        <v>43242</v>
      </c>
      <c r="E6" s="2" t="s">
        <v>34</v>
      </c>
      <c r="F6" s="2" t="s">
        <v>50</v>
      </c>
    </row>
    <row r="7" spans="2:7">
      <c r="B7" s="7">
        <v>1.3</v>
      </c>
      <c r="C7" s="3" t="s">
        <v>28</v>
      </c>
      <c r="D7" s="8">
        <v>43245</v>
      </c>
      <c r="E7" s="2" t="s">
        <v>34</v>
      </c>
      <c r="F7" s="2" t="s">
        <v>51</v>
      </c>
    </row>
    <row r="8" spans="2:7">
      <c r="B8" s="7">
        <v>1.4</v>
      </c>
      <c r="C8" s="2" t="s">
        <v>74</v>
      </c>
      <c r="D8" s="8">
        <v>43294</v>
      </c>
      <c r="E8" s="2" t="s">
        <v>34</v>
      </c>
      <c r="F8" s="2" t="s">
        <v>75</v>
      </c>
    </row>
    <row r="9" spans="2:7">
      <c r="B9" s="7">
        <v>1.5</v>
      </c>
      <c r="C9" s="2" t="s">
        <v>80</v>
      </c>
      <c r="D9" s="8">
        <v>43304</v>
      </c>
      <c r="E9" s="2" t="s">
        <v>81</v>
      </c>
      <c r="F9" s="2" t="s">
        <v>13</v>
      </c>
    </row>
    <row r="10" spans="2:7">
      <c r="B10" s="7">
        <v>1.6</v>
      </c>
      <c r="C10" s="2" t="s">
        <v>80</v>
      </c>
      <c r="D10" s="8">
        <v>43313</v>
      </c>
      <c r="E10" s="2" t="s">
        <v>125</v>
      </c>
      <c r="F10" s="2" t="s">
        <v>13</v>
      </c>
    </row>
    <row r="11" spans="2:7" ht="24">
      <c r="B11" s="7">
        <v>1.7</v>
      </c>
      <c r="C11" s="2" t="s">
        <v>74</v>
      </c>
      <c r="D11" s="8">
        <v>43374</v>
      </c>
      <c r="E11" s="2" t="s">
        <v>34</v>
      </c>
      <c r="F11" s="2" t="s">
        <v>146</v>
      </c>
    </row>
    <row r="12" spans="2:7" ht="24">
      <c r="B12" s="7">
        <v>1.8</v>
      </c>
      <c r="C12" s="2" t="s">
        <v>151</v>
      </c>
      <c r="D12" s="8">
        <v>43377</v>
      </c>
      <c r="E12" s="2" t="s">
        <v>125</v>
      </c>
      <c r="F12" s="2" t="s">
        <v>152</v>
      </c>
      <c r="G12" s="9"/>
    </row>
    <row r="13" spans="2:7" ht="24">
      <c r="B13" s="7">
        <v>1.9</v>
      </c>
      <c r="C13" s="2" t="s">
        <v>74</v>
      </c>
      <c r="D13" s="8">
        <v>43386</v>
      </c>
      <c r="E13" s="2" t="s">
        <v>34</v>
      </c>
      <c r="F13" s="2" t="s">
        <v>153</v>
      </c>
    </row>
    <row r="14" spans="2:7">
      <c r="B14" s="93" t="s">
        <v>161</v>
      </c>
      <c r="C14" s="2" t="s">
        <v>162</v>
      </c>
      <c r="D14" s="8">
        <v>43390</v>
      </c>
      <c r="E14" s="2" t="s">
        <v>163</v>
      </c>
      <c r="F14" s="2" t="s">
        <v>164</v>
      </c>
    </row>
    <row r="15" spans="2:7" ht="60">
      <c r="B15" s="93" t="s">
        <v>168</v>
      </c>
      <c r="C15" s="2" t="s">
        <v>167</v>
      </c>
      <c r="D15" s="8">
        <v>43487</v>
      </c>
      <c r="E15" s="2" t="s">
        <v>169</v>
      </c>
      <c r="F15" s="2" t="s">
        <v>166</v>
      </c>
    </row>
    <row r="16" spans="2:7" ht="24">
      <c r="B16" s="93" t="s">
        <v>185</v>
      </c>
      <c r="C16" s="2" t="s">
        <v>177</v>
      </c>
      <c r="D16" s="8">
        <v>43490</v>
      </c>
      <c r="E16" s="2" t="s">
        <v>178</v>
      </c>
      <c r="F16" s="2" t="s">
        <v>181</v>
      </c>
    </row>
    <row r="17" spans="2:6" ht="54" customHeight="1">
      <c r="B17" s="93" t="s">
        <v>186</v>
      </c>
      <c r="C17" s="2" t="s">
        <v>184</v>
      </c>
      <c r="D17" s="8">
        <v>43572</v>
      </c>
      <c r="E17" s="2" t="s">
        <v>183</v>
      </c>
      <c r="F17" s="2" t="s">
        <v>187</v>
      </c>
    </row>
    <row r="18" spans="2:6" ht="48">
      <c r="B18" s="93" t="s">
        <v>192</v>
      </c>
      <c r="C18" s="2" t="s">
        <v>193</v>
      </c>
      <c r="D18" s="8">
        <v>44008</v>
      </c>
      <c r="E18" s="2" t="s">
        <v>214</v>
      </c>
      <c r="F18" s="2" t="s">
        <v>213</v>
      </c>
    </row>
    <row r="19" spans="2:6">
      <c r="B19" s="7"/>
      <c r="C19" s="2"/>
      <c r="D19" s="8"/>
      <c r="E19" s="2"/>
      <c r="F19" s="2"/>
    </row>
    <row r="20" spans="2:6">
      <c r="B20" s="7"/>
      <c r="C20" s="2"/>
      <c r="D20" s="8"/>
      <c r="E20" s="2"/>
      <c r="F20" s="2"/>
    </row>
    <row r="21" spans="2:6">
      <c r="B21" s="7"/>
      <c r="C21" s="2"/>
      <c r="D21" s="8"/>
      <c r="E21" s="2"/>
      <c r="F21" s="2"/>
    </row>
    <row r="22" spans="2:6">
      <c r="B22" s="7"/>
      <c r="C22" s="2"/>
      <c r="D22" s="8"/>
      <c r="E22" s="2"/>
      <c r="F22" s="2"/>
    </row>
    <row r="23" spans="2:6">
      <c r="B23" s="7"/>
      <c r="C23" s="2"/>
      <c r="D23" s="8"/>
      <c r="E23" s="2"/>
      <c r="F23" s="2"/>
    </row>
    <row r="24" spans="2:6">
      <c r="B24" s="7"/>
      <c r="C24" s="2"/>
      <c r="D24" s="8"/>
      <c r="E24" s="2"/>
      <c r="F24" s="2"/>
    </row>
    <row r="25" spans="2:6">
      <c r="B25" s="7"/>
      <c r="C25" s="2"/>
      <c r="D25" s="8"/>
      <c r="E25" s="2"/>
      <c r="F25" s="2"/>
    </row>
    <row r="26" spans="2:6">
      <c r="B26" s="7"/>
      <c r="C26" s="2"/>
      <c r="D26" s="8"/>
      <c r="E26" s="2"/>
      <c r="F26" s="2"/>
    </row>
    <row r="27" spans="2:6">
      <c r="B27" s="7"/>
      <c r="C27" s="2"/>
      <c r="D27" s="8"/>
      <c r="E27" s="2"/>
      <c r="F27" s="2"/>
    </row>
    <row r="28" spans="2:6">
      <c r="B28" s="7"/>
      <c r="C28" s="2"/>
      <c r="D28" s="8"/>
      <c r="E28" s="2"/>
      <c r="F28" s="2"/>
    </row>
    <row r="29" spans="2:6">
      <c r="B29" s="7"/>
      <c r="C29" s="2"/>
      <c r="D29" s="8"/>
      <c r="E29" s="2"/>
      <c r="F29" s="2"/>
    </row>
    <row r="30" spans="2:6">
      <c r="B30" s="7"/>
      <c r="C30" s="2"/>
      <c r="D30" s="8"/>
      <c r="E30" s="2"/>
      <c r="F30" s="2"/>
    </row>
    <row r="31" spans="2:6">
      <c r="B31" s="7"/>
      <c r="C31" s="2"/>
      <c r="D31" s="8"/>
      <c r="E31" s="2"/>
      <c r="F31" s="2"/>
    </row>
    <row r="32" spans="2:6">
      <c r="B32" s="7"/>
      <c r="C32" s="2"/>
      <c r="D32" s="8"/>
      <c r="E32" s="2"/>
      <c r="F32" s="2"/>
    </row>
  </sheetData>
  <mergeCells count="1">
    <mergeCell ref="B1:F1"/>
  </mergeCells>
  <phoneticPr fontId="6"/>
  <pageMargins left="0.7" right="0.7" top="0.75" bottom="0.75" header="0.3" footer="0.3"/>
  <pageSetup paperSize="9" orientation="landscape" r:id="rId1"/>
  <headerFooter>
    <oddFooter>&amp;L&amp;8株式会社 ＪＳＯＬ
Copyright (c) 2015 JSOL Corporation. All Rights Reserved.&amp;C&amp;10&amp;P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M118"/>
  <sheetViews>
    <sheetView showGridLines="0" tabSelected="1" topLeftCell="A13" zoomScale="85" zoomScaleNormal="85" zoomScaleSheetLayoutView="85" workbookViewId="0">
      <selection activeCell="BC30" sqref="BC30"/>
    </sheetView>
  </sheetViews>
  <sheetFormatPr defaultColWidth="2.625" defaultRowHeight="15.75"/>
  <cols>
    <col min="1" max="50" width="2.625" style="13"/>
    <col min="51" max="51" width="2.875" style="13" bestFit="1" customWidth="1"/>
    <col min="52" max="52" width="2.375" style="13" customWidth="1"/>
    <col min="53" max="73" width="2.625" style="13"/>
    <col min="74" max="75" width="3.125" style="13" bestFit="1" customWidth="1"/>
    <col min="76" max="76" width="2.625" style="13"/>
    <col min="77" max="77" width="3.125" style="13" bestFit="1" customWidth="1"/>
    <col min="78" max="78" width="2.625" style="13"/>
    <col min="79" max="79" width="3.125" style="13" bestFit="1" customWidth="1"/>
    <col min="80" max="81" width="2.625" style="13"/>
    <col min="82" max="82" width="3.875" style="13" bestFit="1" customWidth="1"/>
    <col min="83" max="83" width="3.125" style="13" bestFit="1" customWidth="1"/>
    <col min="84" max="16384" width="2.625" style="13"/>
  </cols>
  <sheetData>
    <row r="1" spans="1:90" ht="13.5" customHeight="1">
      <c r="A1" s="132" t="s">
        <v>21</v>
      </c>
      <c r="B1" s="133"/>
      <c r="C1" s="133"/>
      <c r="D1" s="133"/>
      <c r="E1" s="133"/>
      <c r="F1" s="133"/>
      <c r="G1" s="133"/>
      <c r="H1" s="133"/>
      <c r="I1" s="133"/>
      <c r="J1" s="133"/>
      <c r="K1" s="134"/>
      <c r="L1" s="123" t="s">
        <v>4</v>
      </c>
      <c r="M1" s="124"/>
      <c r="N1" s="124"/>
      <c r="O1" s="124"/>
      <c r="P1" s="124"/>
      <c r="Q1" s="124"/>
      <c r="R1" s="124"/>
      <c r="S1" s="124"/>
      <c r="T1" s="125"/>
      <c r="U1" s="123" t="s">
        <v>36</v>
      </c>
      <c r="V1" s="124"/>
      <c r="W1" s="124"/>
      <c r="X1" s="124"/>
      <c r="Y1" s="124"/>
      <c r="Z1" s="124"/>
      <c r="AA1" s="124"/>
      <c r="AB1" s="124"/>
      <c r="AC1" s="125"/>
      <c r="AD1" s="123" t="s">
        <v>37</v>
      </c>
      <c r="AE1" s="124"/>
      <c r="AF1" s="124"/>
      <c r="AG1" s="124"/>
      <c r="AH1" s="124"/>
      <c r="AI1" s="124"/>
      <c r="AJ1" s="124"/>
      <c r="AK1" s="124"/>
      <c r="AL1" s="125"/>
      <c r="AM1" s="123" t="s">
        <v>0</v>
      </c>
      <c r="AN1" s="124"/>
      <c r="AO1" s="124"/>
      <c r="AP1" s="124"/>
      <c r="AQ1" s="124"/>
      <c r="AR1" s="125"/>
      <c r="AS1" s="123" t="s">
        <v>1</v>
      </c>
      <c r="AT1" s="124"/>
      <c r="AU1" s="124"/>
      <c r="AV1" s="124"/>
      <c r="AW1" s="124"/>
      <c r="AX1" s="125"/>
      <c r="AY1" s="123" t="s">
        <v>2</v>
      </c>
      <c r="AZ1" s="124"/>
      <c r="BA1" s="124"/>
      <c r="BB1" s="124"/>
      <c r="BC1" s="124"/>
      <c r="BD1" s="125"/>
      <c r="BE1" s="123" t="s">
        <v>3</v>
      </c>
      <c r="BF1" s="124"/>
      <c r="BG1" s="124"/>
      <c r="BH1" s="124"/>
      <c r="BI1" s="124"/>
      <c r="BJ1" s="125"/>
    </row>
    <row r="2" spans="1:90" ht="25.5" customHeight="1">
      <c r="A2" s="135"/>
      <c r="B2" s="136"/>
      <c r="C2" s="136"/>
      <c r="D2" s="136"/>
      <c r="E2" s="136"/>
      <c r="F2" s="136"/>
      <c r="G2" s="136"/>
      <c r="H2" s="136"/>
      <c r="I2" s="136"/>
      <c r="J2" s="136"/>
      <c r="K2" s="137"/>
      <c r="L2" s="126" t="str">
        <f>表紙!D4</f>
        <v>4S　デジタルトランスフォーメーション・プラットフォーム構築</v>
      </c>
      <c r="M2" s="127"/>
      <c r="N2" s="127"/>
      <c r="O2" s="127"/>
      <c r="P2" s="127"/>
      <c r="Q2" s="127"/>
      <c r="R2" s="127"/>
      <c r="S2" s="127"/>
      <c r="T2" s="128"/>
      <c r="U2" s="129" t="s">
        <v>52</v>
      </c>
      <c r="V2" s="130"/>
      <c r="W2" s="130"/>
      <c r="X2" s="130"/>
      <c r="Y2" s="130"/>
      <c r="Z2" s="130"/>
      <c r="AA2" s="130"/>
      <c r="AB2" s="130"/>
      <c r="AC2" s="131"/>
      <c r="AD2" s="126" t="s">
        <v>102</v>
      </c>
      <c r="AE2" s="130"/>
      <c r="AF2" s="130"/>
      <c r="AG2" s="130"/>
      <c r="AH2" s="130"/>
      <c r="AI2" s="130"/>
      <c r="AJ2" s="130"/>
      <c r="AK2" s="130"/>
      <c r="AL2" s="131"/>
      <c r="AM2" s="138" t="str">
        <f>改版履歴!C4</f>
        <v>JSOL後藤</v>
      </c>
      <c r="AN2" s="139"/>
      <c r="AO2" s="139"/>
      <c r="AP2" s="139"/>
      <c r="AQ2" s="139"/>
      <c r="AR2" s="140"/>
      <c r="AS2" s="141">
        <f>改版履歴!D4</f>
        <v>43234</v>
      </c>
      <c r="AT2" s="130"/>
      <c r="AU2" s="130"/>
      <c r="AV2" s="130"/>
      <c r="AW2" s="130"/>
      <c r="AX2" s="131"/>
      <c r="AY2" s="142" t="str">
        <f>INDEX(改版履歴!C4:C32,COUNTA(改版履歴!C4:C32))</f>
        <v>JSOL神田</v>
      </c>
      <c r="AZ2" s="139"/>
      <c r="BA2" s="139"/>
      <c r="BB2" s="139"/>
      <c r="BC2" s="139"/>
      <c r="BD2" s="140"/>
      <c r="BE2" s="141">
        <f>INDEX(改版履歴!D4:D32,COUNTA(改版履歴!D4:D32))</f>
        <v>44008</v>
      </c>
      <c r="BF2" s="143"/>
      <c r="BG2" s="143"/>
      <c r="BH2" s="143"/>
      <c r="BI2" s="143"/>
      <c r="BJ2" s="144"/>
    </row>
    <row r="4" spans="1:90">
      <c r="A4" s="123" t="s">
        <v>15</v>
      </c>
      <c r="B4" s="124"/>
      <c r="C4" s="124"/>
      <c r="D4" s="124"/>
      <c r="E4" s="124"/>
      <c r="F4" s="124"/>
      <c r="G4" s="125"/>
    </row>
    <row r="5" spans="1:90" s="12" customFormat="1" ht="13.5" customHeight="1">
      <c r="A5" s="151" t="s">
        <v>76</v>
      </c>
      <c r="B5" s="152"/>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c r="BG5" s="152"/>
      <c r="BH5" s="152"/>
      <c r="BI5" s="152"/>
      <c r="BJ5" s="152"/>
      <c r="BK5" s="152"/>
      <c r="BL5" s="152"/>
      <c r="BM5" s="152"/>
      <c r="BN5" s="152"/>
      <c r="BO5" s="152"/>
      <c r="BP5" s="152"/>
      <c r="BQ5" s="152"/>
      <c r="BR5" s="152"/>
      <c r="BS5" s="152"/>
      <c r="BT5" s="152"/>
      <c r="BU5" s="152"/>
      <c r="BV5" s="152"/>
      <c r="BW5" s="152"/>
      <c r="BX5" s="152"/>
      <c r="BY5" s="152"/>
      <c r="BZ5" s="152"/>
      <c r="CA5" s="152"/>
      <c r="CB5" s="152"/>
      <c r="CC5" s="152"/>
      <c r="CD5" s="152"/>
      <c r="CE5" s="152"/>
      <c r="CF5" s="152"/>
      <c r="CG5" s="152"/>
      <c r="CH5" s="152"/>
      <c r="CI5" s="153"/>
    </row>
    <row r="6" spans="1:90" s="12" customFormat="1" ht="13.5" customHeight="1">
      <c r="A6" s="154"/>
      <c r="B6" s="155"/>
      <c r="C6" s="155"/>
      <c r="D6" s="155"/>
      <c r="E6" s="155"/>
      <c r="F6" s="155"/>
      <c r="G6" s="155"/>
      <c r="H6" s="155"/>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5"/>
      <c r="BK6" s="155"/>
      <c r="BL6" s="155"/>
      <c r="BM6" s="155"/>
      <c r="BN6" s="155"/>
      <c r="BO6" s="155"/>
      <c r="BP6" s="155"/>
      <c r="BQ6" s="155"/>
      <c r="BR6" s="155"/>
      <c r="BS6" s="155"/>
      <c r="BT6" s="155"/>
      <c r="BU6" s="155"/>
      <c r="BV6" s="155"/>
      <c r="BW6" s="155"/>
      <c r="BX6" s="155"/>
      <c r="BY6" s="155"/>
      <c r="BZ6" s="155"/>
      <c r="CA6" s="155"/>
      <c r="CB6" s="155"/>
      <c r="CC6" s="155"/>
      <c r="CD6" s="155"/>
      <c r="CE6" s="155"/>
      <c r="CF6" s="155"/>
      <c r="CG6" s="155"/>
      <c r="CH6" s="155"/>
      <c r="CI6" s="156"/>
    </row>
    <row r="7" spans="1:90" s="12" customFormat="1" ht="13.5" customHeight="1">
      <c r="A7" s="157"/>
      <c r="B7" s="158"/>
      <c r="C7" s="158"/>
      <c r="D7" s="158"/>
      <c r="E7" s="158"/>
      <c r="F7" s="158"/>
      <c r="G7" s="158"/>
      <c r="H7" s="158"/>
      <c r="I7" s="158"/>
      <c r="J7" s="158"/>
      <c r="K7" s="158"/>
      <c r="L7" s="158"/>
      <c r="M7" s="158"/>
      <c r="N7" s="158"/>
      <c r="O7" s="158"/>
      <c r="P7" s="158"/>
      <c r="Q7" s="158"/>
      <c r="R7" s="158"/>
      <c r="S7" s="158"/>
      <c r="T7" s="158"/>
      <c r="U7" s="158"/>
      <c r="V7" s="158"/>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c r="BZ7" s="158"/>
      <c r="CA7" s="158"/>
      <c r="CB7" s="158"/>
      <c r="CC7" s="158"/>
      <c r="CD7" s="158"/>
      <c r="CE7" s="158"/>
      <c r="CF7" s="158"/>
      <c r="CG7" s="158"/>
      <c r="CH7" s="158"/>
      <c r="CI7" s="159"/>
    </row>
    <row r="8" spans="1:90" s="12" customFormat="1" ht="13.5" customHeight="1">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row>
    <row r="9" spans="1:90" s="17" customFormat="1" ht="13.5" customHeight="1">
      <c r="A9" s="160" t="s">
        <v>16</v>
      </c>
      <c r="B9" s="161"/>
      <c r="C9" s="161"/>
      <c r="D9" s="161"/>
      <c r="E9" s="161"/>
      <c r="F9" s="161"/>
      <c r="G9" s="161"/>
      <c r="H9" s="162"/>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5"/>
      <c r="BI9" s="15"/>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row>
    <row r="10" spans="1:90" s="18" customFormat="1">
      <c r="A10" s="163" t="s">
        <v>23</v>
      </c>
      <c r="B10" s="164"/>
      <c r="C10" s="164"/>
      <c r="D10" s="164"/>
      <c r="E10" s="164"/>
      <c r="F10" s="164"/>
      <c r="G10" s="164"/>
      <c r="H10" s="165"/>
      <c r="I10" s="166" t="s">
        <v>79</v>
      </c>
      <c r="J10" s="167"/>
      <c r="K10" s="167"/>
      <c r="L10" s="167"/>
      <c r="M10" s="167"/>
      <c r="N10" s="167"/>
      <c r="O10" s="167"/>
      <c r="P10" s="167"/>
      <c r="Q10" s="167"/>
      <c r="R10" s="167"/>
      <c r="S10" s="167"/>
      <c r="T10" s="167"/>
      <c r="U10" s="167"/>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c r="AR10" s="167"/>
      <c r="AS10" s="167"/>
      <c r="AT10" s="167"/>
      <c r="AU10" s="167"/>
      <c r="AV10" s="167"/>
      <c r="AW10" s="167"/>
      <c r="AX10" s="167"/>
      <c r="AY10" s="167"/>
      <c r="AZ10" s="167"/>
      <c r="BA10" s="167"/>
      <c r="BB10" s="167"/>
      <c r="BC10" s="167"/>
      <c r="BD10" s="167"/>
      <c r="BE10" s="167"/>
      <c r="BF10" s="167"/>
      <c r="BG10" s="167"/>
      <c r="BH10" s="167"/>
      <c r="BI10" s="167"/>
      <c r="BJ10" s="167"/>
      <c r="BK10" s="167"/>
      <c r="BL10" s="167"/>
      <c r="BM10" s="167"/>
      <c r="BN10" s="167"/>
      <c r="BO10" s="167"/>
      <c r="BP10" s="167"/>
      <c r="BQ10" s="167"/>
      <c r="BR10" s="167"/>
      <c r="BS10" s="167"/>
      <c r="BT10" s="167"/>
      <c r="BU10" s="167"/>
      <c r="BV10" s="167"/>
      <c r="BW10" s="167"/>
      <c r="BX10" s="167"/>
      <c r="BY10" s="167"/>
      <c r="BZ10" s="167"/>
      <c r="CA10" s="167"/>
      <c r="CB10" s="167"/>
      <c r="CC10" s="167"/>
      <c r="CD10" s="167"/>
      <c r="CE10" s="167"/>
      <c r="CF10" s="167"/>
      <c r="CG10" s="167"/>
      <c r="CH10" s="167"/>
      <c r="CI10" s="167"/>
      <c r="CJ10" s="167"/>
      <c r="CK10" s="167"/>
      <c r="CL10" s="168"/>
    </row>
    <row r="11" spans="1:90" s="18" customFormat="1">
      <c r="A11" s="163" t="s">
        <v>24</v>
      </c>
      <c r="B11" s="164"/>
      <c r="C11" s="164"/>
      <c r="D11" s="164"/>
      <c r="E11" s="164"/>
      <c r="F11" s="164"/>
      <c r="G11" s="164"/>
      <c r="H11" s="165"/>
      <c r="I11" s="169" t="s">
        <v>165</v>
      </c>
      <c r="J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70"/>
      <c r="BK11" s="170"/>
      <c r="BL11" s="170"/>
      <c r="BM11" s="170"/>
      <c r="BN11" s="170"/>
      <c r="BO11" s="170"/>
      <c r="BP11" s="170"/>
      <c r="BQ11" s="170"/>
      <c r="BR11" s="170"/>
      <c r="BS11" s="170"/>
      <c r="BT11" s="170"/>
      <c r="BU11" s="170"/>
      <c r="BV11" s="170"/>
      <c r="BW11" s="170"/>
      <c r="BX11" s="170"/>
      <c r="BY11" s="170"/>
      <c r="BZ11" s="170"/>
      <c r="CA11" s="170"/>
      <c r="CB11" s="170"/>
      <c r="CC11" s="170"/>
      <c r="CD11" s="170"/>
      <c r="CE11" s="170"/>
      <c r="CF11" s="170"/>
      <c r="CG11" s="170"/>
      <c r="CH11" s="170"/>
      <c r="CI11" s="170"/>
      <c r="CJ11" s="170"/>
      <c r="CK11" s="170"/>
      <c r="CL11" s="171"/>
    </row>
    <row r="12" spans="1:90" s="18" customFormat="1">
      <c r="A12" s="172" t="s">
        <v>25</v>
      </c>
      <c r="B12" s="146"/>
      <c r="C12" s="146"/>
      <c r="D12" s="146"/>
      <c r="E12" s="146"/>
      <c r="F12" s="146"/>
      <c r="G12" s="146"/>
      <c r="H12" s="147"/>
      <c r="I12" s="148" t="s">
        <v>38</v>
      </c>
      <c r="J12" s="149"/>
      <c r="K12" s="149"/>
      <c r="L12" s="149"/>
      <c r="M12" s="149"/>
      <c r="N12" s="149"/>
      <c r="O12" s="149"/>
      <c r="P12" s="149"/>
      <c r="Q12" s="149"/>
      <c r="R12" s="149"/>
      <c r="S12" s="149"/>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c r="BM12" s="149"/>
      <c r="BN12" s="149"/>
      <c r="BO12" s="149"/>
      <c r="BP12" s="149"/>
      <c r="BQ12" s="149"/>
      <c r="BR12" s="149"/>
      <c r="BS12" s="149"/>
      <c r="BT12" s="149"/>
      <c r="BU12" s="149"/>
      <c r="BV12" s="149"/>
      <c r="BW12" s="149"/>
      <c r="BX12" s="149"/>
      <c r="BY12" s="149"/>
      <c r="BZ12" s="149"/>
      <c r="CA12" s="149"/>
      <c r="CB12" s="149"/>
      <c r="CC12" s="149"/>
      <c r="CD12" s="149"/>
      <c r="CE12" s="149"/>
      <c r="CF12" s="149"/>
      <c r="CG12" s="149"/>
      <c r="CH12" s="149"/>
      <c r="CI12" s="149"/>
      <c r="CJ12" s="149"/>
      <c r="CK12" s="149"/>
      <c r="CL12" s="150"/>
    </row>
    <row r="13" spans="1:90" s="18" customFormat="1">
      <c r="A13" s="145" t="s">
        <v>17</v>
      </c>
      <c r="B13" s="146"/>
      <c r="C13" s="146"/>
      <c r="D13" s="146"/>
      <c r="E13" s="146"/>
      <c r="F13" s="146"/>
      <c r="G13" s="146"/>
      <c r="H13" s="147"/>
      <c r="I13" s="148" t="s">
        <v>39</v>
      </c>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c r="BM13" s="149"/>
      <c r="BN13" s="149"/>
      <c r="BO13" s="149"/>
      <c r="BP13" s="149"/>
      <c r="BQ13" s="149"/>
      <c r="BR13" s="149"/>
      <c r="BS13" s="149"/>
      <c r="BT13" s="149"/>
      <c r="BU13" s="149"/>
      <c r="BV13" s="149"/>
      <c r="BW13" s="149"/>
      <c r="BX13" s="149"/>
      <c r="BY13" s="149"/>
      <c r="BZ13" s="149"/>
      <c r="CA13" s="149"/>
      <c r="CB13" s="149"/>
      <c r="CC13" s="149"/>
      <c r="CD13" s="149"/>
      <c r="CE13" s="149"/>
      <c r="CF13" s="149"/>
      <c r="CG13" s="149"/>
      <c r="CH13" s="149"/>
      <c r="CI13" s="149"/>
      <c r="CJ13" s="149"/>
      <c r="CK13" s="149"/>
      <c r="CL13" s="150"/>
    </row>
    <row r="14" spans="1:90" s="18" customFormat="1">
      <c r="A14" s="145" t="s">
        <v>18</v>
      </c>
      <c r="B14" s="146"/>
      <c r="C14" s="146"/>
      <c r="D14" s="146"/>
      <c r="E14" s="146"/>
      <c r="F14" s="146"/>
      <c r="G14" s="146"/>
      <c r="H14" s="147"/>
      <c r="I14" s="148" t="s">
        <v>29</v>
      </c>
      <c r="J14" s="149"/>
      <c r="K14" s="149"/>
      <c r="L14" s="149"/>
      <c r="M14" s="149"/>
      <c r="N14" s="149"/>
      <c r="O14" s="149"/>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c r="BM14" s="149"/>
      <c r="BN14" s="149"/>
      <c r="BO14" s="149"/>
      <c r="BP14" s="149"/>
      <c r="BQ14" s="149"/>
      <c r="BR14" s="149"/>
      <c r="BS14" s="149"/>
      <c r="BT14" s="149"/>
      <c r="BU14" s="149"/>
      <c r="BV14" s="149"/>
      <c r="BW14" s="149"/>
      <c r="BX14" s="149"/>
      <c r="BY14" s="149"/>
      <c r="BZ14" s="149"/>
      <c r="CA14" s="149"/>
      <c r="CB14" s="149"/>
      <c r="CC14" s="149"/>
      <c r="CD14" s="149"/>
      <c r="CE14" s="149"/>
      <c r="CF14" s="149"/>
      <c r="CG14" s="149"/>
      <c r="CH14" s="149"/>
      <c r="CI14" s="149"/>
      <c r="CJ14" s="149"/>
      <c r="CK14" s="149"/>
      <c r="CL14" s="150"/>
    </row>
    <row r="15" spans="1:90" s="18" customFormat="1">
      <c r="A15" s="145" t="s">
        <v>19</v>
      </c>
      <c r="B15" s="146"/>
      <c r="C15" s="146"/>
      <c r="D15" s="146"/>
      <c r="E15" s="146"/>
      <c r="F15" s="146"/>
      <c r="G15" s="146"/>
      <c r="H15" s="147"/>
      <c r="I15" s="148" t="s">
        <v>32</v>
      </c>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c r="BP15" s="149"/>
      <c r="BQ15" s="149"/>
      <c r="BR15" s="149"/>
      <c r="BS15" s="149"/>
      <c r="BT15" s="149"/>
      <c r="BU15" s="149"/>
      <c r="BV15" s="149"/>
      <c r="BW15" s="149"/>
      <c r="BX15" s="149"/>
      <c r="BY15" s="149"/>
      <c r="BZ15" s="149"/>
      <c r="CA15" s="149"/>
      <c r="CB15" s="149"/>
      <c r="CC15" s="149"/>
      <c r="CD15" s="149"/>
      <c r="CE15" s="149"/>
      <c r="CF15" s="149"/>
      <c r="CG15" s="149"/>
      <c r="CH15" s="149"/>
      <c r="CI15" s="149"/>
      <c r="CJ15" s="149"/>
      <c r="CK15" s="149"/>
      <c r="CL15" s="150"/>
    </row>
    <row r="16" spans="1:90" s="19" customFormat="1" ht="63" customHeight="1">
      <c r="A16" s="173" t="s">
        <v>5</v>
      </c>
      <c r="B16" s="174"/>
      <c r="C16" s="174"/>
      <c r="D16" s="174"/>
      <c r="E16" s="174"/>
      <c r="F16" s="174"/>
      <c r="G16" s="174"/>
      <c r="H16" s="175"/>
      <c r="I16" s="176" t="s">
        <v>73</v>
      </c>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8"/>
    </row>
    <row r="17" spans="1:91" s="18" customForma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row>
    <row r="18" spans="1:91" s="18" customFormat="1">
      <c r="A18" s="160" t="s">
        <v>40</v>
      </c>
      <c r="B18" s="161"/>
      <c r="C18" s="161"/>
      <c r="D18" s="161"/>
      <c r="E18" s="161"/>
      <c r="F18" s="161"/>
      <c r="G18" s="161"/>
      <c r="H18" s="162"/>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160" t="s">
        <v>22</v>
      </c>
      <c r="AZ18" s="161"/>
      <c r="BA18" s="161"/>
      <c r="BB18" s="161"/>
      <c r="BC18" s="161"/>
      <c r="BD18" s="161"/>
      <c r="BE18" s="161"/>
      <c r="BF18" s="162"/>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row>
    <row r="19" spans="1:91" s="28" customFormat="1">
      <c r="A19" s="22"/>
      <c r="B19" s="23"/>
      <c r="C19" s="23"/>
      <c r="D19" s="23"/>
      <c r="E19" s="23"/>
      <c r="F19" s="23"/>
      <c r="G19" s="23"/>
      <c r="H19" s="23"/>
      <c r="I19" s="24"/>
      <c r="J19" s="23"/>
      <c r="K19" s="25"/>
      <c r="L19" s="26"/>
      <c r="M19" s="23"/>
      <c r="N19" s="23"/>
      <c r="O19" s="25"/>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7"/>
      <c r="AY19" s="22"/>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9"/>
    </row>
    <row r="20" spans="1:91" s="28" customFormat="1">
      <c r="A20" s="29"/>
      <c r="B20" s="30"/>
      <c r="C20" s="30"/>
      <c r="D20" s="30"/>
      <c r="E20" s="30"/>
      <c r="F20" s="30"/>
      <c r="G20" s="30"/>
      <c r="H20" s="30"/>
      <c r="I20" s="31"/>
      <c r="J20" s="30"/>
      <c r="K20" s="32"/>
      <c r="L20" s="33"/>
      <c r="M20" s="30"/>
      <c r="N20" s="30"/>
      <c r="O20" s="32"/>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4"/>
      <c r="AY20" s="29"/>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29"/>
    </row>
    <row r="21" spans="1:91" s="28" customFormat="1">
      <c r="A21" s="29"/>
      <c r="B21" s="30"/>
      <c r="C21" s="30"/>
      <c r="D21" s="30"/>
      <c r="E21" s="30"/>
      <c r="F21" s="30"/>
      <c r="G21" s="30"/>
      <c r="H21" s="30"/>
      <c r="I21" s="31"/>
      <c r="J21" s="30"/>
      <c r="K21" s="32"/>
      <c r="L21" s="33"/>
      <c r="M21" s="30"/>
      <c r="N21" s="30"/>
      <c r="O21" s="32"/>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4"/>
      <c r="AY21" s="29"/>
      <c r="AZ21" s="58" t="s">
        <v>30</v>
      </c>
      <c r="BA21" s="30"/>
      <c r="BB21" s="30" t="s">
        <v>41</v>
      </c>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29"/>
    </row>
    <row r="22" spans="1:91" s="28" customFormat="1">
      <c r="A22" s="29"/>
      <c r="B22" s="30"/>
      <c r="C22" s="30"/>
      <c r="D22" s="30"/>
      <c r="E22" s="30"/>
      <c r="F22" s="30"/>
      <c r="G22" s="30"/>
      <c r="H22" s="30"/>
      <c r="I22" s="31"/>
      <c r="J22" s="30"/>
      <c r="K22" s="32"/>
      <c r="L22" s="33"/>
      <c r="M22" s="30"/>
      <c r="N22" s="30"/>
      <c r="O22" s="32"/>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4"/>
      <c r="AY22" s="29"/>
      <c r="AZ22" s="58"/>
      <c r="BA22" s="57"/>
      <c r="BB22" s="57" t="s">
        <v>205</v>
      </c>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30"/>
      <c r="CD22" s="30"/>
      <c r="CE22" s="30"/>
      <c r="CF22" s="30"/>
      <c r="CG22" s="30"/>
      <c r="CH22" s="30"/>
      <c r="CI22" s="30"/>
      <c r="CJ22" s="30"/>
      <c r="CK22" s="30"/>
      <c r="CL22" s="30"/>
      <c r="CM22" s="29"/>
    </row>
    <row r="23" spans="1:91" s="28" customFormat="1">
      <c r="A23" s="29"/>
      <c r="B23" s="30"/>
      <c r="C23" s="30"/>
      <c r="D23" s="30"/>
      <c r="E23" s="30"/>
      <c r="F23" s="30"/>
      <c r="G23" s="30"/>
      <c r="H23" s="30"/>
      <c r="I23" s="31"/>
      <c r="J23" s="30"/>
      <c r="K23" s="32"/>
      <c r="L23" s="33"/>
      <c r="M23" s="30"/>
      <c r="N23" s="30"/>
      <c r="O23" s="32"/>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4"/>
      <c r="AY23" s="29"/>
      <c r="BA23" s="82"/>
      <c r="BB23" s="57"/>
      <c r="BC23" s="88" t="s">
        <v>179</v>
      </c>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30"/>
      <c r="CD23" s="30"/>
      <c r="CE23" s="30"/>
      <c r="CF23" s="30"/>
      <c r="CG23" s="30"/>
      <c r="CH23" s="30"/>
      <c r="CI23" s="30"/>
      <c r="CJ23" s="30"/>
      <c r="CK23" s="30"/>
      <c r="CL23" s="30"/>
      <c r="CM23" s="29"/>
    </row>
    <row r="24" spans="1:91" s="28" customFormat="1">
      <c r="A24" s="29"/>
      <c r="B24" s="30"/>
      <c r="C24" s="30"/>
      <c r="D24" s="30"/>
      <c r="E24" s="30"/>
      <c r="F24" s="30"/>
      <c r="G24" s="30"/>
      <c r="H24" s="30"/>
      <c r="I24" s="31"/>
      <c r="J24" s="30"/>
      <c r="K24" s="32"/>
      <c r="L24" s="33"/>
      <c r="M24" s="30"/>
      <c r="N24" s="30"/>
      <c r="O24" s="32"/>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4"/>
      <c r="AY24" s="29"/>
      <c r="AZ24" s="30"/>
      <c r="BA24" s="57"/>
      <c r="BB24" s="57"/>
      <c r="BC24" s="57" t="s">
        <v>53</v>
      </c>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30"/>
      <c r="CD24" s="30"/>
      <c r="CE24" s="30"/>
      <c r="CF24" s="30"/>
      <c r="CG24" s="30"/>
      <c r="CH24" s="30"/>
      <c r="CI24" s="30"/>
      <c r="CJ24" s="30"/>
      <c r="CK24" s="30"/>
      <c r="CL24" s="30"/>
      <c r="CM24" s="29"/>
    </row>
    <row r="25" spans="1:91" s="28" customFormat="1">
      <c r="A25" s="29"/>
      <c r="B25" s="30"/>
      <c r="C25" s="30"/>
      <c r="D25" s="30"/>
      <c r="E25" s="30"/>
      <c r="F25" s="30"/>
      <c r="G25" s="30"/>
      <c r="H25" s="30"/>
      <c r="I25" s="31"/>
      <c r="J25" s="30"/>
      <c r="K25" s="32"/>
      <c r="L25" s="33"/>
      <c r="M25" s="30"/>
      <c r="N25" s="30"/>
      <c r="O25" s="32"/>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4"/>
      <c r="AY25" s="29"/>
      <c r="BA25" s="82"/>
      <c r="BB25" s="82"/>
      <c r="BC25" s="82"/>
      <c r="BD25" s="57"/>
      <c r="BE25" s="57"/>
      <c r="BF25" s="57"/>
      <c r="BG25" s="57"/>
      <c r="BH25" s="82" t="s">
        <v>61</v>
      </c>
      <c r="BI25" s="57"/>
      <c r="BJ25" s="57"/>
      <c r="BK25" s="57"/>
      <c r="BL25" s="57"/>
      <c r="BM25" s="57"/>
      <c r="BN25" s="57"/>
      <c r="BO25" s="57"/>
      <c r="BP25" s="57"/>
      <c r="BQ25" s="57"/>
      <c r="BR25" s="57"/>
      <c r="BS25" s="57"/>
      <c r="BT25" s="57"/>
      <c r="BU25" s="57"/>
      <c r="BV25" s="57"/>
      <c r="BW25" s="57"/>
      <c r="BX25" s="57"/>
      <c r="BY25" s="57"/>
      <c r="BZ25" s="57"/>
      <c r="CA25" s="57"/>
      <c r="CB25" s="57"/>
      <c r="CC25" s="30"/>
      <c r="CD25" s="30"/>
      <c r="CE25" s="30"/>
      <c r="CF25" s="30"/>
      <c r="CG25" s="30"/>
      <c r="CH25" s="30"/>
      <c r="CI25" s="30"/>
      <c r="CJ25" s="30"/>
      <c r="CK25" s="30"/>
      <c r="CL25" s="30"/>
      <c r="CM25" s="29"/>
    </row>
    <row r="26" spans="1:91" s="28" customFormat="1">
      <c r="A26" s="29"/>
      <c r="B26" s="30"/>
      <c r="C26" s="30"/>
      <c r="D26" s="30"/>
      <c r="E26" s="30"/>
      <c r="F26" s="30"/>
      <c r="G26" s="30"/>
      <c r="H26" s="30"/>
      <c r="I26" s="31"/>
      <c r="J26" s="30"/>
      <c r="K26" s="32"/>
      <c r="L26" s="33"/>
      <c r="M26" s="30"/>
      <c r="N26" s="30"/>
      <c r="O26" s="32"/>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4"/>
      <c r="AY26" s="29"/>
      <c r="BA26" s="82"/>
      <c r="BB26" s="82"/>
      <c r="BC26" s="82"/>
      <c r="BD26" s="57"/>
      <c r="BE26" s="57"/>
      <c r="BF26" s="57"/>
      <c r="BG26" s="57"/>
      <c r="BH26" s="57"/>
      <c r="BI26" s="57" t="s">
        <v>62</v>
      </c>
      <c r="BJ26" s="57"/>
      <c r="BK26" s="57"/>
      <c r="BL26" s="57"/>
      <c r="BM26" s="57"/>
      <c r="BN26" s="57"/>
      <c r="BO26" s="57"/>
      <c r="BP26" s="57"/>
      <c r="BQ26" s="57"/>
      <c r="BR26" s="57"/>
      <c r="BS26" s="57"/>
      <c r="BT26" s="57"/>
      <c r="BU26" s="57"/>
      <c r="BV26" s="57"/>
      <c r="BW26" s="57"/>
      <c r="BX26" s="57"/>
      <c r="BY26" s="57"/>
      <c r="BZ26" s="57"/>
      <c r="CA26" s="57"/>
      <c r="CB26" s="57"/>
      <c r="CC26" s="30"/>
      <c r="CD26" s="30"/>
      <c r="CE26" s="30"/>
      <c r="CF26" s="30"/>
      <c r="CG26" s="30"/>
      <c r="CH26" s="30"/>
      <c r="CI26" s="30"/>
      <c r="CJ26" s="30"/>
      <c r="CK26" s="30"/>
      <c r="CL26" s="30"/>
      <c r="CM26" s="29"/>
    </row>
    <row r="27" spans="1:91" s="28" customFormat="1">
      <c r="A27" s="29"/>
      <c r="B27" s="30"/>
      <c r="C27" s="30"/>
      <c r="D27" s="30"/>
      <c r="E27" s="30"/>
      <c r="F27" s="30"/>
      <c r="G27" s="30"/>
      <c r="H27" s="30"/>
      <c r="I27" s="31"/>
      <c r="J27" s="30"/>
      <c r="K27" s="32"/>
      <c r="L27" s="33"/>
      <c r="M27" s="30"/>
      <c r="N27" s="30"/>
      <c r="O27" s="32"/>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4"/>
      <c r="AY27" s="29"/>
      <c r="AZ27" s="82"/>
      <c r="BA27" s="82"/>
      <c r="BB27" s="82"/>
      <c r="BC27" s="57" t="s">
        <v>42</v>
      </c>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30"/>
      <c r="CD27" s="30"/>
      <c r="CE27" s="30"/>
      <c r="CF27" s="30"/>
      <c r="CG27" s="30"/>
      <c r="CH27" s="30"/>
      <c r="CI27" s="30"/>
      <c r="CJ27" s="30"/>
      <c r="CK27" s="30"/>
      <c r="CL27" s="30"/>
      <c r="CM27" s="29"/>
    </row>
    <row r="28" spans="1:91" s="28" customFormat="1" ht="12.75" customHeight="1">
      <c r="A28" s="29"/>
      <c r="B28" s="30"/>
      <c r="C28" s="30"/>
      <c r="D28" s="30"/>
      <c r="E28" s="30"/>
      <c r="F28" s="30"/>
      <c r="G28" s="30"/>
      <c r="H28" s="30"/>
      <c r="I28" s="31"/>
      <c r="J28" s="30"/>
      <c r="K28" s="32"/>
      <c r="L28" s="30"/>
      <c r="M28" s="30"/>
      <c r="N28" s="30"/>
      <c r="O28" s="32"/>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4"/>
      <c r="AY28" s="29"/>
      <c r="AZ28" s="82"/>
      <c r="BA28" s="82"/>
      <c r="BB28" s="82"/>
      <c r="BC28" s="94" t="s">
        <v>160</v>
      </c>
      <c r="BD28" s="82"/>
      <c r="BE28" s="82"/>
      <c r="BF28" s="82"/>
      <c r="BG28" s="82"/>
      <c r="BH28" s="82"/>
      <c r="BI28" s="82"/>
      <c r="BJ28" s="82"/>
      <c r="BK28" s="82"/>
      <c r="BL28" s="57"/>
      <c r="BM28" s="57"/>
      <c r="BN28" s="57"/>
      <c r="BO28" s="57"/>
      <c r="BP28" s="57"/>
      <c r="BQ28" s="57"/>
      <c r="BR28" s="57"/>
      <c r="BS28" s="57"/>
      <c r="BT28" s="57"/>
      <c r="BU28" s="57"/>
      <c r="BV28" s="57"/>
      <c r="BW28" s="57"/>
      <c r="BX28" s="57"/>
      <c r="BY28" s="57"/>
      <c r="BZ28" s="57"/>
      <c r="CA28" s="57"/>
      <c r="CB28" s="57"/>
      <c r="CC28" s="30"/>
      <c r="CD28" s="30"/>
      <c r="CE28" s="30"/>
      <c r="CF28" s="30"/>
      <c r="CG28" s="30"/>
      <c r="CH28" s="30"/>
      <c r="CI28" s="30"/>
      <c r="CJ28" s="30"/>
      <c r="CK28" s="30"/>
      <c r="CL28" s="30"/>
      <c r="CM28" s="29"/>
    </row>
    <row r="29" spans="1:91" s="28" customFormat="1" ht="12.75" customHeight="1">
      <c r="A29" s="29"/>
      <c r="B29" s="30"/>
      <c r="C29" s="30"/>
      <c r="D29" s="30"/>
      <c r="E29" s="30"/>
      <c r="F29" s="30"/>
      <c r="G29" s="30"/>
      <c r="H29" s="30"/>
      <c r="I29" s="31"/>
      <c r="J29" s="30"/>
      <c r="K29" s="32"/>
      <c r="L29" s="30"/>
      <c r="M29" s="30"/>
      <c r="N29" s="30"/>
      <c r="O29" s="32"/>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4"/>
      <c r="AY29" s="29"/>
      <c r="BA29" s="82"/>
      <c r="BB29" s="82"/>
      <c r="BC29" s="94" t="s">
        <v>190</v>
      </c>
      <c r="BD29" s="82"/>
      <c r="BE29" s="57"/>
      <c r="BF29" s="57"/>
      <c r="BG29" s="57"/>
      <c r="BH29" s="57"/>
      <c r="BI29" s="57"/>
      <c r="BJ29" s="57"/>
      <c r="BK29" s="82"/>
      <c r="BL29" s="82"/>
      <c r="BM29" s="82"/>
      <c r="BN29" s="82"/>
      <c r="BO29" s="82"/>
      <c r="BP29" s="82"/>
      <c r="BQ29" s="82"/>
      <c r="BR29" s="82"/>
      <c r="BS29" s="82"/>
      <c r="BT29" s="82"/>
      <c r="BU29" s="82"/>
      <c r="BV29" s="82"/>
      <c r="BW29" s="82"/>
      <c r="BX29" s="82"/>
      <c r="BY29" s="82"/>
      <c r="BZ29" s="82"/>
      <c r="CA29" s="82"/>
      <c r="CB29" s="82"/>
      <c r="CJ29" s="30"/>
      <c r="CK29" s="30"/>
      <c r="CL29" s="30"/>
      <c r="CM29" s="29"/>
    </row>
    <row r="30" spans="1:91" s="28" customFormat="1" ht="12.75" customHeight="1">
      <c r="A30" s="29"/>
      <c r="B30" s="30"/>
      <c r="C30" s="30"/>
      <c r="D30" s="30"/>
      <c r="E30" s="30"/>
      <c r="F30" s="30"/>
      <c r="G30" s="30"/>
      <c r="H30" s="30"/>
      <c r="I30" s="31"/>
      <c r="J30" s="30"/>
      <c r="K30" s="32"/>
      <c r="L30" s="30"/>
      <c r="M30" s="30"/>
      <c r="N30" s="30"/>
      <c r="O30" s="32"/>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4"/>
      <c r="AY30" s="29"/>
      <c r="BA30" s="82"/>
      <c r="BB30" s="82"/>
      <c r="BC30" s="82" t="s">
        <v>154</v>
      </c>
      <c r="BD30" s="82"/>
      <c r="BE30" s="82"/>
      <c r="BF30" s="82"/>
      <c r="BG30" s="82"/>
      <c r="BH30" s="82"/>
      <c r="BI30" s="82"/>
      <c r="BJ30" s="82"/>
      <c r="BK30" s="82"/>
      <c r="BL30" s="82"/>
      <c r="BM30" s="82"/>
      <c r="BN30" s="82"/>
      <c r="BO30" s="82"/>
      <c r="BP30" s="82"/>
      <c r="BQ30" s="82"/>
      <c r="BR30" s="82"/>
      <c r="BS30" s="82"/>
      <c r="BT30" s="82"/>
      <c r="BU30" s="82"/>
      <c r="BV30" s="82"/>
      <c r="BW30" s="82"/>
      <c r="BX30" s="82"/>
      <c r="BY30" s="82"/>
      <c r="BZ30" s="82"/>
      <c r="CA30" s="82"/>
      <c r="CB30" s="82"/>
      <c r="CJ30" s="30"/>
      <c r="CK30" s="30"/>
      <c r="CL30" s="30"/>
      <c r="CM30" s="29"/>
    </row>
    <row r="31" spans="1:91" s="28" customFormat="1" ht="12.75" customHeight="1">
      <c r="A31" s="29"/>
      <c r="B31" s="30"/>
      <c r="C31" s="30"/>
      <c r="D31" s="30"/>
      <c r="E31" s="30"/>
      <c r="F31" s="30"/>
      <c r="G31" s="30"/>
      <c r="H31" s="30"/>
      <c r="I31" s="31"/>
      <c r="J31" s="30"/>
      <c r="K31" s="32"/>
      <c r="L31" s="30"/>
      <c r="M31" s="30"/>
      <c r="N31" s="30"/>
      <c r="O31" s="32"/>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4"/>
      <c r="AY31" s="29"/>
      <c r="BA31" s="82"/>
      <c r="BB31" s="82"/>
      <c r="BC31" s="82"/>
      <c r="BD31" s="82" t="s">
        <v>155</v>
      </c>
      <c r="BE31" s="82"/>
      <c r="BF31" s="82"/>
      <c r="BG31" s="82"/>
      <c r="BH31" s="82" t="s">
        <v>156</v>
      </c>
      <c r="BI31" s="82" t="s">
        <v>157</v>
      </c>
      <c r="BJ31" s="82"/>
      <c r="BK31" s="82"/>
      <c r="BL31" s="82"/>
      <c r="BM31" s="82"/>
      <c r="BN31" s="57"/>
      <c r="BO31" s="57"/>
      <c r="BP31" s="57"/>
      <c r="BQ31" s="57"/>
      <c r="BR31" s="58"/>
      <c r="BS31" s="57"/>
      <c r="BT31" s="57"/>
      <c r="BU31" s="57"/>
      <c r="BV31" s="57"/>
      <c r="BW31" s="57"/>
      <c r="BX31" s="57"/>
      <c r="BY31" s="57"/>
      <c r="BZ31" s="57"/>
      <c r="CA31" s="57"/>
      <c r="CB31" s="57"/>
      <c r="CC31" s="30"/>
      <c r="CD31" s="30"/>
      <c r="CE31" s="30"/>
      <c r="CF31" s="30"/>
      <c r="CG31" s="30"/>
      <c r="CH31" s="30"/>
      <c r="CI31" s="30"/>
      <c r="CJ31" s="30"/>
      <c r="CK31" s="30"/>
      <c r="CL31" s="30"/>
      <c r="CM31" s="29"/>
    </row>
    <row r="32" spans="1:91" s="28" customFormat="1" ht="12.75" customHeight="1">
      <c r="A32" s="29"/>
      <c r="B32" s="30"/>
      <c r="C32" s="30"/>
      <c r="D32" s="30"/>
      <c r="E32" s="30"/>
      <c r="F32" s="30"/>
      <c r="G32" s="30"/>
      <c r="H32" s="30"/>
      <c r="I32" s="31"/>
      <c r="J32" s="30"/>
      <c r="K32" s="32"/>
      <c r="L32" s="30"/>
      <c r="M32" s="30"/>
      <c r="N32" s="30"/>
      <c r="O32" s="32"/>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4"/>
      <c r="AY32" s="29"/>
      <c r="BA32" s="82"/>
      <c r="BB32" s="82"/>
      <c r="BC32" s="82"/>
      <c r="BD32" s="82" t="s">
        <v>158</v>
      </c>
      <c r="BE32" s="82"/>
      <c r="BF32" s="82"/>
      <c r="BG32" s="82"/>
      <c r="BH32" s="82" t="s">
        <v>156</v>
      </c>
      <c r="BI32" s="82" t="s">
        <v>159</v>
      </c>
      <c r="BJ32" s="82"/>
      <c r="BK32" s="82"/>
      <c r="BL32" s="82"/>
      <c r="BM32" s="82"/>
      <c r="BN32" s="57"/>
      <c r="BO32" s="57"/>
      <c r="BP32" s="57"/>
      <c r="BQ32" s="57"/>
      <c r="BR32" s="57"/>
      <c r="BS32" s="57"/>
      <c r="BT32" s="57"/>
      <c r="BU32" s="57"/>
      <c r="BV32" s="57"/>
      <c r="BW32" s="57"/>
      <c r="BX32" s="57"/>
      <c r="BY32" s="57"/>
      <c r="BZ32" s="57"/>
      <c r="CA32" s="57"/>
      <c r="CB32" s="57"/>
      <c r="CC32" s="30"/>
      <c r="CD32" s="30"/>
      <c r="CE32" s="30"/>
      <c r="CF32" s="30"/>
      <c r="CG32" s="30"/>
      <c r="CH32" s="30"/>
      <c r="CI32" s="30"/>
      <c r="CJ32" s="30"/>
      <c r="CK32" s="30"/>
      <c r="CL32" s="30"/>
      <c r="CM32" s="29"/>
    </row>
    <row r="33" spans="1:91" s="28" customFormat="1" ht="12.75" customHeight="1">
      <c r="A33" s="29"/>
      <c r="B33" s="30"/>
      <c r="C33" s="30"/>
      <c r="D33" s="30"/>
      <c r="E33" s="30"/>
      <c r="F33" s="30"/>
      <c r="G33" s="30"/>
      <c r="H33" s="30"/>
      <c r="I33" s="31"/>
      <c r="J33" s="30"/>
      <c r="K33" s="32"/>
      <c r="L33" s="30"/>
      <c r="M33" s="30"/>
      <c r="N33" s="30"/>
      <c r="O33" s="32"/>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4"/>
      <c r="AY33" s="29"/>
      <c r="BA33" s="82"/>
      <c r="BB33" s="82"/>
      <c r="BC33" s="82"/>
      <c r="BD33" s="82"/>
      <c r="BE33" s="82"/>
      <c r="BF33" s="82"/>
      <c r="BG33" s="82"/>
      <c r="BH33" s="82"/>
      <c r="BI33" s="82"/>
      <c r="BJ33" s="82"/>
      <c r="BK33" s="82"/>
      <c r="BL33" s="82"/>
      <c r="BM33" s="82"/>
      <c r="BN33" s="57"/>
      <c r="BO33" s="57"/>
      <c r="BP33" s="57"/>
      <c r="BQ33" s="57"/>
      <c r="BR33" s="57"/>
      <c r="BS33" s="57"/>
      <c r="BT33" s="57"/>
      <c r="BU33" s="57"/>
      <c r="BV33" s="57"/>
      <c r="BW33" s="57"/>
      <c r="BX33" s="57"/>
      <c r="BY33" s="57"/>
      <c r="BZ33" s="57"/>
      <c r="CA33" s="57"/>
      <c r="CB33" s="57"/>
      <c r="CC33" s="30"/>
      <c r="CD33" s="30"/>
      <c r="CE33" s="30"/>
      <c r="CF33" s="30"/>
      <c r="CG33" s="30"/>
      <c r="CH33" s="30"/>
      <c r="CI33" s="30"/>
      <c r="CJ33" s="30"/>
      <c r="CK33" s="30"/>
      <c r="CL33" s="30"/>
      <c r="CM33" s="29"/>
    </row>
    <row r="34" spans="1:91" s="28" customFormat="1" ht="12.75" customHeight="1">
      <c r="A34" s="29"/>
      <c r="B34" s="30"/>
      <c r="C34" s="30"/>
      <c r="D34" s="30"/>
      <c r="E34" s="30"/>
      <c r="F34" s="30"/>
      <c r="G34" s="30"/>
      <c r="H34" s="30"/>
      <c r="I34" s="31"/>
      <c r="J34" s="30"/>
      <c r="K34" s="32"/>
      <c r="L34" s="30"/>
      <c r="M34" s="30"/>
      <c r="N34" s="30"/>
      <c r="O34" s="32"/>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4"/>
      <c r="AY34" s="29"/>
      <c r="AZ34" s="83" t="s">
        <v>43</v>
      </c>
      <c r="BA34" s="82"/>
      <c r="BB34" s="57" t="s">
        <v>54</v>
      </c>
      <c r="BC34" s="82"/>
      <c r="BD34" s="57"/>
      <c r="BE34" s="82"/>
      <c r="BF34" s="82"/>
      <c r="BG34" s="82"/>
      <c r="BH34" s="82"/>
      <c r="BI34" s="82"/>
      <c r="BJ34" s="57"/>
      <c r="BK34" s="57"/>
      <c r="BL34" s="57"/>
      <c r="BM34" s="57"/>
      <c r="BN34" s="57"/>
      <c r="BO34" s="57"/>
      <c r="BP34" s="57"/>
      <c r="BQ34" s="57"/>
      <c r="BR34" s="57"/>
      <c r="BS34" s="57"/>
      <c r="BT34" s="57"/>
      <c r="BU34" s="57"/>
      <c r="BV34" s="57"/>
      <c r="BW34" s="57"/>
      <c r="BX34" s="57"/>
      <c r="BY34" s="57"/>
      <c r="BZ34" s="57"/>
      <c r="CA34" s="57"/>
      <c r="CB34" s="57"/>
      <c r="CC34" s="30"/>
      <c r="CD34" s="30"/>
      <c r="CE34" s="30"/>
      <c r="CF34" s="30"/>
      <c r="CG34" s="30"/>
      <c r="CH34" s="30"/>
      <c r="CI34" s="30"/>
      <c r="CJ34" s="30"/>
      <c r="CK34" s="30"/>
      <c r="CL34" s="30"/>
      <c r="CM34" s="29"/>
    </row>
    <row r="35" spans="1:91" s="28" customFormat="1" ht="12.75" customHeight="1">
      <c r="A35" s="29"/>
      <c r="B35" s="30"/>
      <c r="C35" s="30"/>
      <c r="D35" s="30"/>
      <c r="E35" s="30"/>
      <c r="F35" s="30"/>
      <c r="G35" s="30"/>
      <c r="H35" s="30"/>
      <c r="I35" s="31"/>
      <c r="J35" s="30"/>
      <c r="K35" s="32"/>
      <c r="L35" s="30"/>
      <c r="M35" s="30"/>
      <c r="N35" s="30"/>
      <c r="O35" s="32"/>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4"/>
      <c r="AY35" s="29"/>
      <c r="AZ35" s="84"/>
      <c r="BA35" s="82"/>
      <c r="BB35" s="57" t="s">
        <v>55</v>
      </c>
      <c r="BC35" s="82"/>
      <c r="BD35" s="82"/>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30"/>
      <c r="CD35" s="30"/>
      <c r="CE35" s="30"/>
      <c r="CF35" s="30"/>
      <c r="CG35" s="30"/>
      <c r="CH35" s="30"/>
      <c r="CI35" s="30"/>
      <c r="CJ35" s="30"/>
      <c r="CK35" s="30"/>
      <c r="CL35" s="30"/>
      <c r="CM35" s="29"/>
    </row>
    <row r="36" spans="1:91" s="28" customFormat="1" ht="12.75" customHeight="1">
      <c r="A36" s="29"/>
      <c r="B36" s="30"/>
      <c r="C36" s="30"/>
      <c r="D36" s="30"/>
      <c r="E36" s="30"/>
      <c r="F36" s="30"/>
      <c r="G36" s="30"/>
      <c r="H36" s="30"/>
      <c r="I36" s="31"/>
      <c r="J36" s="30"/>
      <c r="K36" s="32"/>
      <c r="L36" s="30"/>
      <c r="M36" s="30"/>
      <c r="N36" s="30"/>
      <c r="O36" s="32"/>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4"/>
      <c r="AY36" s="29"/>
      <c r="AZ36" s="84"/>
      <c r="BA36" s="82"/>
      <c r="BB36" s="82" t="s">
        <v>89</v>
      </c>
      <c r="BC36" s="82"/>
      <c r="BD36" s="82"/>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30"/>
      <c r="CD36" s="30"/>
      <c r="CE36" s="30"/>
      <c r="CF36" s="30"/>
      <c r="CG36" s="30"/>
      <c r="CH36" s="30"/>
      <c r="CI36" s="30"/>
      <c r="CJ36" s="30"/>
      <c r="CK36" s="30"/>
      <c r="CL36" s="30"/>
      <c r="CM36" s="29"/>
    </row>
    <row r="37" spans="1:91" s="28" customFormat="1" ht="12.75" customHeight="1">
      <c r="A37" s="29"/>
      <c r="B37" s="30"/>
      <c r="C37" s="30"/>
      <c r="D37" s="30"/>
      <c r="E37" s="30"/>
      <c r="F37" s="30"/>
      <c r="G37" s="30"/>
      <c r="H37" s="30"/>
      <c r="I37" s="31"/>
      <c r="J37" s="30"/>
      <c r="K37" s="32"/>
      <c r="L37" s="30"/>
      <c r="M37" s="30"/>
      <c r="N37" s="30"/>
      <c r="O37" s="32"/>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4"/>
      <c r="AY37" s="29"/>
      <c r="AZ37" s="84"/>
      <c r="BA37" s="82"/>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30"/>
      <c r="CD37" s="30"/>
      <c r="CE37" s="30"/>
      <c r="CF37" s="30"/>
      <c r="CG37" s="30"/>
      <c r="CH37" s="30"/>
      <c r="CI37" s="30"/>
      <c r="CJ37" s="30"/>
      <c r="CK37" s="30"/>
      <c r="CL37" s="30"/>
      <c r="CM37" s="29"/>
    </row>
    <row r="38" spans="1:91" s="28" customFormat="1" ht="12.75" customHeight="1">
      <c r="A38" s="29"/>
      <c r="B38" s="30"/>
      <c r="C38" s="30"/>
      <c r="D38" s="30"/>
      <c r="E38" s="30"/>
      <c r="F38" s="30"/>
      <c r="G38" s="30"/>
      <c r="H38" s="30"/>
      <c r="I38" s="31"/>
      <c r="J38" s="30"/>
      <c r="K38" s="32"/>
      <c r="L38" s="30"/>
      <c r="M38" s="30"/>
      <c r="N38" s="30"/>
      <c r="O38" s="32"/>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4"/>
      <c r="AY38" s="29"/>
      <c r="AZ38" s="58" t="s">
        <v>44</v>
      </c>
      <c r="BA38" s="82"/>
      <c r="BB38" s="57" t="s">
        <v>33</v>
      </c>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30"/>
      <c r="CD38" s="30"/>
      <c r="CE38" s="30"/>
      <c r="CF38" s="30"/>
      <c r="CG38" s="30"/>
      <c r="CH38" s="30"/>
      <c r="CI38" s="30"/>
      <c r="CJ38" s="30"/>
      <c r="CK38" s="30"/>
      <c r="CL38" s="30"/>
      <c r="CM38" s="29"/>
    </row>
    <row r="39" spans="1:91" s="28" customFormat="1" ht="12.75" customHeight="1">
      <c r="A39" s="29"/>
      <c r="B39" s="30"/>
      <c r="C39" s="30"/>
      <c r="D39" s="30"/>
      <c r="E39" s="30"/>
      <c r="F39" s="30"/>
      <c r="G39" s="30"/>
      <c r="H39" s="30"/>
      <c r="I39" s="31"/>
      <c r="J39" s="30"/>
      <c r="K39" s="32"/>
      <c r="L39" s="30"/>
      <c r="M39" s="30"/>
      <c r="N39" s="30"/>
      <c r="O39" s="32"/>
      <c r="P39" s="30"/>
      <c r="Q39" s="30"/>
      <c r="R39" s="30"/>
      <c r="S39" s="30"/>
      <c r="T39" s="30"/>
      <c r="U39" s="30"/>
      <c r="V39" s="30"/>
      <c r="W39" s="30"/>
      <c r="X39" s="30"/>
      <c r="Y39" s="30"/>
      <c r="Z39" s="30"/>
      <c r="AA39" s="30"/>
      <c r="AB39" s="30"/>
      <c r="AC39" s="30"/>
      <c r="AF39" s="30"/>
      <c r="AG39" s="30"/>
      <c r="AH39" s="30"/>
      <c r="AI39" s="30"/>
      <c r="AJ39" s="30"/>
      <c r="AK39" s="30"/>
      <c r="AL39" s="30"/>
      <c r="AM39" s="30"/>
      <c r="AN39" s="30"/>
      <c r="AO39" s="30"/>
      <c r="AP39" s="30"/>
      <c r="AQ39" s="30"/>
      <c r="AR39" s="30"/>
      <c r="AS39" s="30"/>
      <c r="AT39" s="30"/>
      <c r="AU39" s="30"/>
      <c r="AV39" s="30"/>
      <c r="AW39" s="30"/>
      <c r="AX39" s="34"/>
      <c r="AY39" s="29"/>
      <c r="AZ39" s="84"/>
      <c r="BA39" s="82"/>
      <c r="BB39" s="85" t="s">
        <v>58</v>
      </c>
      <c r="BC39" s="57"/>
      <c r="BD39" s="82"/>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30"/>
      <c r="CD39" s="30"/>
      <c r="CE39" s="30"/>
      <c r="CF39" s="30"/>
      <c r="CG39" s="30"/>
      <c r="CH39" s="30"/>
      <c r="CI39" s="30"/>
      <c r="CJ39" s="30"/>
      <c r="CK39" s="30"/>
      <c r="CL39" s="30"/>
      <c r="CM39" s="29"/>
    </row>
    <row r="40" spans="1:91" s="28" customFormat="1" ht="12.75" customHeight="1">
      <c r="A40" s="29"/>
      <c r="B40" s="30"/>
      <c r="C40" s="30"/>
      <c r="D40" s="30"/>
      <c r="E40" s="30"/>
      <c r="F40" s="30"/>
      <c r="G40" s="30"/>
      <c r="H40" s="30"/>
      <c r="I40" s="31"/>
      <c r="J40" s="30"/>
      <c r="K40" s="32"/>
      <c r="L40" s="30"/>
      <c r="M40" s="30"/>
      <c r="N40" s="30"/>
      <c r="O40" s="32"/>
      <c r="P40" s="30"/>
      <c r="Q40" s="30"/>
      <c r="R40" s="30"/>
      <c r="S40" s="30"/>
      <c r="T40" s="30"/>
      <c r="U40" s="30"/>
      <c r="V40" s="30"/>
      <c r="W40" s="30"/>
      <c r="X40" s="30"/>
      <c r="Y40" s="30"/>
      <c r="Z40" s="30"/>
      <c r="AA40" s="30"/>
      <c r="AB40" s="30"/>
      <c r="AC40" s="30"/>
      <c r="AF40" s="30"/>
      <c r="AG40" s="30"/>
      <c r="AH40" s="30"/>
      <c r="AI40" s="30"/>
      <c r="AJ40" s="30"/>
      <c r="AK40" s="30"/>
      <c r="AP40" s="30"/>
      <c r="AQ40" s="30"/>
      <c r="AR40" s="30"/>
      <c r="AS40" s="30"/>
      <c r="AT40" s="30"/>
      <c r="AU40" s="30"/>
      <c r="AV40" s="30"/>
      <c r="AW40" s="30"/>
      <c r="AX40" s="34"/>
      <c r="AY40" s="29"/>
      <c r="AZ40" s="82"/>
      <c r="BA40" s="82"/>
      <c r="BB40" s="86" t="s">
        <v>46</v>
      </c>
      <c r="BC40" s="82" t="s">
        <v>56</v>
      </c>
      <c r="BD40" s="82"/>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30"/>
      <c r="CD40" s="30"/>
      <c r="CE40" s="30"/>
      <c r="CF40" s="30"/>
      <c r="CG40" s="30"/>
      <c r="CH40" s="30"/>
      <c r="CI40" s="30"/>
      <c r="CJ40" s="30"/>
      <c r="CK40" s="30"/>
      <c r="CL40" s="30"/>
      <c r="CM40" s="29"/>
    </row>
    <row r="41" spans="1:91" s="28" customFormat="1" ht="12.75" customHeight="1">
      <c r="A41" s="29"/>
      <c r="B41" s="30"/>
      <c r="C41" s="30"/>
      <c r="D41" s="30"/>
      <c r="E41" s="30"/>
      <c r="F41" s="30"/>
      <c r="G41" s="30"/>
      <c r="H41" s="30"/>
      <c r="I41" s="31"/>
      <c r="J41" s="30"/>
      <c r="K41" s="32"/>
      <c r="L41" s="30"/>
      <c r="M41" s="30"/>
      <c r="N41" s="30"/>
      <c r="O41" s="32"/>
      <c r="P41" s="30"/>
      <c r="Q41" s="30"/>
      <c r="R41" s="30"/>
      <c r="S41" s="30"/>
      <c r="T41" s="30"/>
      <c r="U41" s="30"/>
      <c r="V41" s="30"/>
      <c r="W41" s="30"/>
      <c r="X41" s="30"/>
      <c r="Y41" s="30"/>
      <c r="Z41" s="30"/>
      <c r="AA41" s="30"/>
      <c r="AB41" s="30"/>
      <c r="AC41" s="30"/>
      <c r="AD41" s="30"/>
      <c r="AE41" s="30"/>
      <c r="AF41" s="30"/>
      <c r="AG41" s="30"/>
      <c r="AH41" s="30"/>
      <c r="AI41" s="30"/>
      <c r="AJ41" s="30"/>
      <c r="AK41" s="30"/>
      <c r="AP41" s="30"/>
      <c r="AQ41" s="30"/>
      <c r="AR41" s="30"/>
      <c r="AS41" s="30"/>
      <c r="AT41" s="30"/>
      <c r="AU41" s="30"/>
      <c r="AV41" s="30"/>
      <c r="AW41" s="30"/>
      <c r="AX41" s="34"/>
      <c r="AY41" s="29"/>
      <c r="AZ41" s="84"/>
      <c r="BA41" s="82"/>
      <c r="BB41" s="87" t="s">
        <v>45</v>
      </c>
      <c r="BC41" s="57" t="s">
        <v>57</v>
      </c>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30"/>
      <c r="CD41" s="30"/>
      <c r="CE41" s="30"/>
      <c r="CF41" s="30"/>
      <c r="CG41" s="30"/>
      <c r="CH41" s="30"/>
      <c r="CI41" s="30"/>
      <c r="CJ41" s="30"/>
      <c r="CK41" s="30"/>
      <c r="CL41" s="30"/>
      <c r="CM41" s="29"/>
    </row>
    <row r="42" spans="1:91" s="28" customFormat="1" ht="12.75" customHeight="1">
      <c r="A42" s="29"/>
      <c r="B42" s="30"/>
      <c r="C42" s="30"/>
      <c r="D42" s="30"/>
      <c r="E42" s="30"/>
      <c r="F42" s="30"/>
      <c r="G42" s="30"/>
      <c r="H42" s="30"/>
      <c r="I42" s="31"/>
      <c r="J42" s="30"/>
      <c r="K42" s="32"/>
      <c r="L42" s="30"/>
      <c r="M42" s="30"/>
      <c r="N42" s="30"/>
      <c r="O42" s="32"/>
      <c r="P42" s="30"/>
      <c r="Q42" s="30"/>
      <c r="R42" s="30"/>
      <c r="S42" s="30"/>
      <c r="T42" s="30"/>
      <c r="U42" s="30"/>
      <c r="V42" s="30"/>
      <c r="W42" s="30"/>
      <c r="X42" s="30"/>
      <c r="Y42" s="30"/>
      <c r="Z42" s="30"/>
      <c r="AA42" s="30"/>
      <c r="AB42" s="30"/>
      <c r="AC42" s="30"/>
      <c r="AD42" s="30"/>
      <c r="AE42" s="30"/>
      <c r="AF42" s="30"/>
      <c r="AG42" s="30"/>
      <c r="AH42" s="30"/>
      <c r="AI42" s="30"/>
      <c r="AJ42" s="30"/>
      <c r="AK42" s="30"/>
      <c r="AP42" s="30"/>
      <c r="AQ42" s="30"/>
      <c r="AR42" s="30"/>
      <c r="AS42" s="30"/>
      <c r="AT42" s="30"/>
      <c r="AU42" s="30"/>
      <c r="AV42" s="30"/>
      <c r="AW42" s="30"/>
      <c r="AX42" s="34"/>
      <c r="AY42" s="29"/>
      <c r="AZ42" s="82"/>
      <c r="BA42" s="82"/>
      <c r="BB42" s="82"/>
      <c r="BC42" s="82"/>
      <c r="BD42" s="57" t="s">
        <v>59</v>
      </c>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30"/>
      <c r="CD42" s="30"/>
      <c r="CE42" s="30"/>
      <c r="CF42" s="30"/>
      <c r="CG42" s="30"/>
      <c r="CH42" s="30"/>
      <c r="CI42" s="30"/>
      <c r="CJ42" s="30"/>
      <c r="CK42" s="30"/>
      <c r="CL42" s="30"/>
      <c r="CM42" s="29"/>
    </row>
    <row r="43" spans="1:91" s="28" customFormat="1" ht="12.75" customHeight="1">
      <c r="A43" s="29"/>
      <c r="B43" s="30"/>
      <c r="C43" s="30"/>
      <c r="D43" s="30"/>
      <c r="E43" s="30"/>
      <c r="F43" s="30"/>
      <c r="G43" s="30"/>
      <c r="H43" s="30"/>
      <c r="I43" s="31"/>
      <c r="J43" s="30"/>
      <c r="K43" s="32"/>
      <c r="L43" s="30"/>
      <c r="M43" s="30"/>
      <c r="N43" s="30"/>
      <c r="O43" s="32"/>
      <c r="P43" s="30"/>
      <c r="Q43" s="30"/>
      <c r="R43" s="30"/>
      <c r="S43" s="30"/>
      <c r="T43" s="30"/>
      <c r="U43" s="30"/>
      <c r="V43" s="30"/>
      <c r="W43" s="30"/>
      <c r="X43" s="30"/>
      <c r="Y43" s="30"/>
      <c r="Z43" s="30"/>
      <c r="AA43" s="30"/>
      <c r="AB43" s="30"/>
      <c r="AC43" s="30"/>
      <c r="AD43" s="30"/>
      <c r="AE43" s="30"/>
      <c r="AF43" s="30"/>
      <c r="AG43" s="30"/>
      <c r="AH43" s="30"/>
      <c r="AI43" s="30"/>
      <c r="AJ43" s="30"/>
      <c r="AK43" s="30"/>
      <c r="AP43" s="30"/>
      <c r="AQ43" s="30"/>
      <c r="AR43" s="30"/>
      <c r="AS43" s="30"/>
      <c r="AT43" s="30"/>
      <c r="AU43" s="30"/>
      <c r="AV43" s="30"/>
      <c r="AW43" s="30"/>
      <c r="AX43" s="34"/>
      <c r="AY43" s="29"/>
      <c r="AZ43" s="82"/>
      <c r="BA43" s="82"/>
      <c r="BB43" s="82"/>
      <c r="BC43" s="82"/>
      <c r="BD43" s="82" t="s">
        <v>60</v>
      </c>
      <c r="BE43" s="57"/>
      <c r="BF43" s="57"/>
      <c r="BG43" s="57"/>
      <c r="BH43" s="57"/>
      <c r="BI43" s="57"/>
      <c r="BJ43" s="57"/>
      <c r="BK43" s="57"/>
      <c r="BL43" s="57"/>
      <c r="BM43" s="57"/>
      <c r="BN43" s="57"/>
      <c r="BO43" s="57"/>
      <c r="BP43" s="57"/>
      <c r="BQ43" s="57"/>
      <c r="BR43" s="57"/>
      <c r="BS43" s="57"/>
      <c r="BT43" s="57"/>
      <c r="BU43" s="57"/>
      <c r="BV43" s="57"/>
      <c r="BW43" s="57"/>
      <c r="BX43" s="57"/>
      <c r="BY43" s="57"/>
      <c r="BZ43" s="57"/>
      <c r="CA43" s="57"/>
      <c r="CB43" s="57"/>
      <c r="CC43" s="30"/>
      <c r="CD43" s="30"/>
      <c r="CE43" s="30"/>
      <c r="CF43" s="30"/>
      <c r="CG43" s="30"/>
      <c r="CH43" s="30"/>
      <c r="CI43" s="30"/>
      <c r="CJ43" s="30"/>
      <c r="CK43" s="30"/>
      <c r="CL43" s="30"/>
      <c r="CM43" s="29"/>
    </row>
    <row r="44" spans="1:91" s="28" customFormat="1" ht="12.75" customHeight="1">
      <c r="A44" s="29"/>
      <c r="B44" s="30"/>
      <c r="C44" s="30"/>
      <c r="D44" s="30"/>
      <c r="E44" s="30"/>
      <c r="F44" s="30"/>
      <c r="G44" s="30"/>
      <c r="H44" s="30"/>
      <c r="I44" s="31"/>
      <c r="J44" s="30"/>
      <c r="K44" s="32"/>
      <c r="L44" s="30"/>
      <c r="M44" s="30"/>
      <c r="N44" s="30"/>
      <c r="O44" s="32"/>
      <c r="P44" s="30"/>
      <c r="Q44" s="30"/>
      <c r="R44" s="30"/>
      <c r="S44" s="30"/>
      <c r="T44" s="30"/>
      <c r="U44" s="30"/>
      <c r="V44" s="30"/>
      <c r="W44" s="30"/>
      <c r="X44" s="30"/>
      <c r="Y44" s="30"/>
      <c r="Z44" s="30"/>
      <c r="AA44" s="30"/>
      <c r="AB44" s="30"/>
      <c r="AC44" s="30"/>
      <c r="AD44" s="30"/>
      <c r="AE44" s="30"/>
      <c r="AF44" s="30"/>
      <c r="AG44" s="30"/>
      <c r="AH44" s="30"/>
      <c r="AI44" s="30"/>
      <c r="AJ44" s="30"/>
      <c r="AK44" s="30"/>
      <c r="AP44" s="30"/>
      <c r="AQ44" s="30"/>
      <c r="AR44" s="30"/>
      <c r="AS44" s="30"/>
      <c r="AT44" s="30"/>
      <c r="AU44" s="30"/>
      <c r="AV44" s="30"/>
      <c r="AW44" s="30"/>
      <c r="AX44" s="34"/>
      <c r="AY44" s="29"/>
      <c r="AZ44" s="84"/>
      <c r="BA44" s="82"/>
      <c r="BB44" s="57"/>
      <c r="BC44" s="57"/>
      <c r="BD44" s="57"/>
      <c r="BE44" s="57"/>
      <c r="BF44" s="57"/>
      <c r="BG44" s="57"/>
      <c r="BH44" s="57"/>
      <c r="BI44" s="57"/>
      <c r="BJ44" s="57"/>
      <c r="BK44" s="57"/>
      <c r="BL44" s="57"/>
      <c r="BM44" s="57"/>
      <c r="BN44" s="57"/>
      <c r="BO44" s="57"/>
      <c r="BP44" s="57"/>
      <c r="BQ44" s="57"/>
      <c r="BR44" s="57"/>
      <c r="BS44" s="57"/>
      <c r="BT44" s="57"/>
      <c r="BU44" s="57"/>
      <c r="BV44" s="82"/>
      <c r="BW44" s="57"/>
      <c r="BX44" s="57"/>
      <c r="BY44" s="57"/>
      <c r="BZ44" s="57"/>
      <c r="CA44" s="57"/>
      <c r="CB44" s="57"/>
      <c r="CC44" s="30"/>
      <c r="CD44" s="30"/>
      <c r="CE44" s="30"/>
      <c r="CF44" s="30"/>
      <c r="CG44" s="30"/>
      <c r="CH44" s="30"/>
      <c r="CI44" s="30"/>
      <c r="CJ44" s="30"/>
      <c r="CK44" s="30"/>
      <c r="CL44" s="30"/>
      <c r="CM44" s="29"/>
    </row>
    <row r="45" spans="1:91" s="28" customFormat="1" ht="12.75" customHeight="1">
      <c r="A45" s="29"/>
      <c r="B45" s="30"/>
      <c r="C45" s="30"/>
      <c r="D45" s="30"/>
      <c r="E45" s="30"/>
      <c r="F45" s="30"/>
      <c r="G45" s="30"/>
      <c r="H45" s="30"/>
      <c r="I45" s="31"/>
      <c r="J45" s="30"/>
      <c r="K45" s="32"/>
      <c r="L45" s="30"/>
      <c r="M45" s="30"/>
      <c r="N45" s="30"/>
      <c r="O45" s="32"/>
      <c r="P45" s="30"/>
      <c r="Q45" s="30"/>
      <c r="R45" s="30"/>
      <c r="S45" s="30"/>
      <c r="T45" s="30"/>
      <c r="U45" s="30"/>
      <c r="V45" s="30"/>
      <c r="W45" s="30"/>
      <c r="X45" s="30"/>
      <c r="Y45" s="30"/>
      <c r="Z45" s="30"/>
      <c r="AA45" s="30"/>
      <c r="AB45" s="30"/>
      <c r="AC45" s="30"/>
      <c r="AD45" s="30"/>
      <c r="AE45" s="30"/>
      <c r="AF45" s="30"/>
      <c r="AG45" s="30"/>
      <c r="AH45" s="30"/>
      <c r="AI45" s="30"/>
      <c r="AJ45" s="30"/>
      <c r="AK45" s="30"/>
      <c r="AP45" s="30"/>
      <c r="AQ45" s="30"/>
      <c r="AR45" s="30"/>
      <c r="AS45" s="30"/>
      <c r="AT45" s="30"/>
      <c r="AU45" s="30"/>
      <c r="AV45" s="30"/>
      <c r="AW45" s="30"/>
      <c r="AX45" s="34"/>
      <c r="AY45" s="29"/>
      <c r="AZ45" s="58" t="s">
        <v>47</v>
      </c>
      <c r="BA45" s="82"/>
      <c r="BB45" s="57" t="s">
        <v>48</v>
      </c>
      <c r="BC45" s="82"/>
      <c r="BD45" s="82"/>
      <c r="BE45" s="57"/>
      <c r="BF45" s="57"/>
      <c r="BG45" s="57"/>
      <c r="BH45" s="57"/>
      <c r="BI45" s="57"/>
      <c r="BJ45" s="57"/>
      <c r="BK45" s="57"/>
      <c r="BL45" s="57"/>
      <c r="BM45" s="57"/>
      <c r="BN45" s="57"/>
      <c r="BO45" s="57"/>
      <c r="BP45" s="57"/>
      <c r="BQ45" s="57"/>
      <c r="BR45" s="57"/>
      <c r="BS45" s="57"/>
      <c r="BT45" s="57"/>
      <c r="BU45" s="57"/>
      <c r="BV45" s="82"/>
      <c r="BW45" s="57"/>
      <c r="BX45" s="57"/>
      <c r="BY45" s="57"/>
      <c r="BZ45" s="57"/>
      <c r="CA45" s="57"/>
      <c r="CB45" s="57"/>
      <c r="CC45" s="30"/>
      <c r="CD45" s="30"/>
      <c r="CE45" s="30"/>
      <c r="CF45" s="30"/>
      <c r="CG45" s="30"/>
      <c r="CH45" s="30"/>
      <c r="CI45" s="30"/>
      <c r="CJ45" s="30"/>
      <c r="CK45" s="30"/>
      <c r="CL45" s="30"/>
      <c r="CM45" s="29"/>
    </row>
    <row r="46" spans="1:91" s="28" customFormat="1" ht="12.75" customHeight="1">
      <c r="A46" s="29"/>
      <c r="B46" s="30"/>
      <c r="C46" s="30"/>
      <c r="D46" s="30"/>
      <c r="E46" s="30"/>
      <c r="F46" s="30"/>
      <c r="G46" s="30"/>
      <c r="H46" s="30"/>
      <c r="I46" s="31"/>
      <c r="J46" s="30"/>
      <c r="K46" s="32"/>
      <c r="L46" s="30"/>
      <c r="M46" s="30"/>
      <c r="N46" s="30"/>
      <c r="O46" s="32"/>
      <c r="P46" s="30"/>
      <c r="Q46" s="30"/>
      <c r="R46" s="30"/>
      <c r="S46" s="30"/>
      <c r="T46" s="30"/>
      <c r="U46" s="30"/>
      <c r="V46" s="30"/>
      <c r="W46" s="30"/>
      <c r="X46" s="30"/>
      <c r="Y46" s="30"/>
      <c r="Z46" s="30"/>
      <c r="AA46" s="30"/>
      <c r="AB46" s="30"/>
      <c r="AC46" s="30"/>
      <c r="AD46" s="30"/>
      <c r="AE46" s="30"/>
      <c r="AF46" s="30"/>
      <c r="AG46" s="30"/>
      <c r="AH46" s="30"/>
      <c r="AI46" s="30"/>
      <c r="AJ46" s="30"/>
      <c r="AK46" s="30"/>
      <c r="AP46" s="30"/>
      <c r="AQ46" s="30"/>
      <c r="AR46" s="30"/>
      <c r="AS46" s="30"/>
      <c r="AT46" s="30"/>
      <c r="AU46" s="30"/>
      <c r="AV46" s="30"/>
      <c r="AW46" s="30"/>
      <c r="AX46" s="34"/>
      <c r="AY46" s="29"/>
      <c r="AZ46" s="82"/>
      <c r="BA46" s="82"/>
      <c r="BB46" s="57" t="s">
        <v>206</v>
      </c>
      <c r="BC46" s="82"/>
      <c r="BD46" s="82"/>
      <c r="BE46" s="57"/>
      <c r="BF46" s="57"/>
      <c r="BG46" s="57"/>
      <c r="BH46" s="57"/>
      <c r="BI46" s="57"/>
      <c r="BJ46" s="57"/>
      <c r="BK46" s="57"/>
      <c r="BL46" s="57"/>
      <c r="BM46" s="57"/>
      <c r="BN46" s="57"/>
      <c r="BO46" s="57"/>
      <c r="BP46" s="57"/>
      <c r="BQ46" s="57"/>
      <c r="BR46" s="57"/>
      <c r="BS46" s="57"/>
      <c r="BT46" s="57"/>
      <c r="BU46" s="57"/>
      <c r="BV46" s="82"/>
      <c r="BW46" s="57"/>
      <c r="BX46" s="57"/>
      <c r="BY46" s="57"/>
      <c r="BZ46" s="57"/>
      <c r="CA46" s="57"/>
      <c r="CB46" s="57"/>
      <c r="CC46" s="30"/>
      <c r="CD46" s="30"/>
      <c r="CE46" s="30"/>
      <c r="CF46" s="30"/>
      <c r="CG46" s="30"/>
      <c r="CH46" s="30"/>
      <c r="CI46" s="30"/>
      <c r="CJ46" s="30"/>
      <c r="CK46" s="30"/>
      <c r="CL46" s="30"/>
      <c r="CM46" s="29"/>
    </row>
    <row r="47" spans="1:91" s="28" customFormat="1" ht="12.75" customHeight="1">
      <c r="A47" s="29"/>
      <c r="B47" s="30"/>
      <c r="C47" s="30"/>
      <c r="D47" s="30"/>
      <c r="E47" s="30"/>
      <c r="F47" s="30"/>
      <c r="G47" s="30"/>
      <c r="H47" s="30"/>
      <c r="I47" s="31"/>
      <c r="J47" s="30"/>
      <c r="K47" s="32"/>
      <c r="L47" s="30"/>
      <c r="M47" s="30"/>
      <c r="N47" s="30"/>
      <c r="O47" s="32"/>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4"/>
      <c r="AY47" s="29"/>
      <c r="AZ47" s="82"/>
      <c r="BA47" s="82"/>
      <c r="BB47" s="82"/>
      <c r="BC47" s="87" t="s">
        <v>105</v>
      </c>
      <c r="BD47" s="57" t="s">
        <v>207</v>
      </c>
      <c r="BE47" s="82"/>
      <c r="BF47" s="82"/>
      <c r="BG47" s="57"/>
      <c r="BH47" s="57"/>
      <c r="BI47" s="57"/>
      <c r="BJ47" s="57"/>
      <c r="BK47" s="57"/>
      <c r="BL47" s="57"/>
      <c r="BM47" s="57"/>
      <c r="BN47" s="57"/>
      <c r="BO47" s="57"/>
      <c r="BP47" s="57"/>
      <c r="BQ47" s="57"/>
      <c r="BR47" s="57"/>
      <c r="BS47" s="57"/>
      <c r="BT47" s="57"/>
      <c r="BU47" s="57"/>
      <c r="BV47" s="57"/>
      <c r="BW47" s="57"/>
      <c r="BX47" s="57"/>
      <c r="BY47" s="57"/>
      <c r="BZ47" s="57"/>
      <c r="CA47" s="57"/>
      <c r="CB47" s="57"/>
      <c r="CC47" s="30"/>
      <c r="CD47" s="30"/>
      <c r="CE47" s="30"/>
      <c r="CF47" s="30"/>
      <c r="CG47" s="30"/>
      <c r="CH47" s="30"/>
      <c r="CI47" s="30"/>
      <c r="CJ47" s="30"/>
      <c r="CK47" s="30"/>
      <c r="CL47" s="30"/>
      <c r="CM47" s="29"/>
    </row>
    <row r="48" spans="1:91" s="28" customFormat="1" ht="12.75" customHeight="1">
      <c r="A48" s="29"/>
      <c r="B48" s="30"/>
      <c r="C48" s="30"/>
      <c r="D48" s="30"/>
      <c r="E48" s="30"/>
      <c r="F48" s="30"/>
      <c r="G48" s="30"/>
      <c r="H48" s="30"/>
      <c r="I48" s="31"/>
      <c r="J48" s="30"/>
      <c r="K48" s="32"/>
      <c r="L48" s="30"/>
      <c r="M48" s="30"/>
      <c r="N48" s="30"/>
      <c r="O48" s="32"/>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4"/>
      <c r="AY48" s="29"/>
      <c r="AZ48" s="82"/>
      <c r="BA48" s="82"/>
      <c r="BB48" s="82"/>
      <c r="BC48" s="86" t="s">
        <v>106</v>
      </c>
      <c r="BD48" s="82" t="s">
        <v>63</v>
      </c>
      <c r="BE48" s="82"/>
      <c r="BF48" s="82"/>
      <c r="BG48" s="57"/>
      <c r="BH48" s="57"/>
      <c r="BI48" s="57"/>
      <c r="BJ48" s="57"/>
      <c r="BK48" s="57"/>
      <c r="BL48" s="57"/>
      <c r="BM48" s="57"/>
      <c r="BN48" s="57"/>
      <c r="BO48" s="57"/>
      <c r="BP48" s="57"/>
      <c r="BQ48" s="57"/>
      <c r="BR48" s="57"/>
      <c r="BS48" s="57"/>
      <c r="BT48" s="57"/>
      <c r="BU48" s="57"/>
      <c r="BV48" s="82"/>
      <c r="BW48" s="82"/>
      <c r="BX48" s="82"/>
      <c r="BY48" s="82"/>
      <c r="BZ48" s="82"/>
      <c r="CA48" s="82"/>
      <c r="CB48" s="82"/>
      <c r="CF48" s="30"/>
      <c r="CG48" s="30"/>
      <c r="CH48" s="30"/>
      <c r="CI48" s="30"/>
      <c r="CJ48" s="30"/>
      <c r="CK48" s="30"/>
      <c r="CL48" s="30"/>
      <c r="CM48" s="29"/>
    </row>
    <row r="49" spans="1:91" s="28" customFormat="1" ht="12.75" customHeight="1">
      <c r="A49" s="29"/>
      <c r="B49" s="30"/>
      <c r="C49" s="30"/>
      <c r="D49" s="30"/>
      <c r="E49" s="30"/>
      <c r="F49" s="30"/>
      <c r="G49" s="30"/>
      <c r="H49" s="30"/>
      <c r="I49" s="31"/>
      <c r="J49" s="30"/>
      <c r="K49" s="32"/>
      <c r="L49" s="30"/>
      <c r="M49" s="30"/>
      <c r="N49" s="30"/>
      <c r="O49" s="32"/>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4"/>
      <c r="AY49" s="29"/>
      <c r="AZ49" s="82"/>
      <c r="BA49" s="82"/>
      <c r="BB49" s="82"/>
      <c r="BC49" s="82"/>
      <c r="BD49" s="82"/>
      <c r="BE49" s="82"/>
      <c r="BF49" s="82"/>
      <c r="BG49" s="57"/>
      <c r="BH49" s="57"/>
      <c r="BI49" s="57"/>
      <c r="BJ49" s="57"/>
      <c r="BK49" s="57"/>
      <c r="BL49" s="57"/>
      <c r="BM49" s="57"/>
      <c r="BN49" s="57"/>
      <c r="BO49" s="57"/>
      <c r="BP49" s="57"/>
      <c r="BQ49" s="57"/>
      <c r="BR49" s="57"/>
      <c r="BS49" s="57"/>
      <c r="BT49" s="57"/>
      <c r="BU49" s="57"/>
      <c r="BV49" s="82"/>
      <c r="BW49" s="82"/>
      <c r="BX49" s="82"/>
      <c r="BY49" s="82"/>
      <c r="BZ49" s="82"/>
      <c r="CA49" s="82"/>
      <c r="CB49" s="82"/>
      <c r="CF49" s="30"/>
      <c r="CG49" s="30"/>
      <c r="CH49" s="30"/>
      <c r="CI49" s="30"/>
      <c r="CJ49" s="30"/>
      <c r="CK49" s="30"/>
      <c r="CL49" s="30"/>
      <c r="CM49" s="29"/>
    </row>
    <row r="50" spans="1:91" s="28" customFormat="1" ht="12.75" customHeight="1">
      <c r="A50" s="29"/>
      <c r="B50" s="30"/>
      <c r="C50" s="30"/>
      <c r="D50" s="30"/>
      <c r="E50" s="30"/>
      <c r="F50" s="30"/>
      <c r="G50" s="30"/>
      <c r="H50" s="30"/>
      <c r="I50" s="31"/>
      <c r="J50" s="30"/>
      <c r="K50" s="32"/>
      <c r="L50" s="30"/>
      <c r="M50" s="30"/>
      <c r="N50" s="30"/>
      <c r="O50" s="32"/>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4"/>
      <c r="AY50" s="29"/>
      <c r="AZ50" s="82"/>
      <c r="BA50" s="82"/>
      <c r="BB50" s="82" t="s">
        <v>64</v>
      </c>
      <c r="BC50" s="82"/>
      <c r="BD50" s="82" t="s">
        <v>65</v>
      </c>
      <c r="BE50" s="57"/>
      <c r="BF50" s="82"/>
      <c r="BG50" s="57"/>
      <c r="BH50" s="57"/>
      <c r="BI50" s="57"/>
      <c r="BJ50" s="57"/>
      <c r="BK50" s="57"/>
      <c r="BL50" s="57"/>
      <c r="BM50" s="57"/>
      <c r="BN50" s="57"/>
      <c r="BO50" s="57"/>
      <c r="BP50" s="57"/>
      <c r="BQ50" s="57"/>
      <c r="BR50" s="57"/>
      <c r="BS50" s="57"/>
      <c r="BT50" s="57"/>
      <c r="BU50" s="57"/>
      <c r="BV50" s="82"/>
      <c r="BW50" s="82"/>
      <c r="BX50" s="82"/>
      <c r="BY50" s="82"/>
      <c r="BZ50" s="82"/>
      <c r="CA50" s="82"/>
      <c r="CB50" s="82"/>
      <c r="CF50" s="30"/>
      <c r="CG50" s="30"/>
      <c r="CH50" s="30"/>
      <c r="CI50" s="30"/>
      <c r="CJ50" s="30"/>
      <c r="CK50" s="30"/>
      <c r="CL50" s="30"/>
      <c r="CM50" s="29"/>
    </row>
    <row r="51" spans="1:91" s="28" customFormat="1" ht="12.75" customHeight="1">
      <c r="A51" s="29"/>
      <c r="B51" s="30"/>
      <c r="C51" s="30"/>
      <c r="D51" s="30"/>
      <c r="E51" s="30"/>
      <c r="F51" s="30"/>
      <c r="G51" s="30"/>
      <c r="H51" s="30"/>
      <c r="I51" s="31"/>
      <c r="J51" s="30"/>
      <c r="K51" s="32"/>
      <c r="L51" s="30"/>
      <c r="M51" s="30"/>
      <c r="N51" s="30"/>
      <c r="O51" s="32"/>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4"/>
      <c r="AY51" s="29"/>
      <c r="AZ51" s="82"/>
      <c r="BA51" s="57"/>
      <c r="BB51" s="82"/>
      <c r="BC51" s="57"/>
      <c r="BD51" s="82" t="s">
        <v>66</v>
      </c>
      <c r="BE51" s="57"/>
      <c r="BF51" s="82"/>
      <c r="BG51" s="57"/>
      <c r="BH51" s="57"/>
      <c r="BI51" s="57"/>
      <c r="BJ51" s="57"/>
      <c r="BK51" s="57"/>
      <c r="BL51" s="57"/>
      <c r="BM51" s="57"/>
      <c r="BN51" s="88"/>
      <c r="BO51" s="88"/>
      <c r="BP51" s="88"/>
      <c r="BQ51" s="88"/>
      <c r="BR51" s="88"/>
      <c r="BS51" s="88"/>
      <c r="BT51" s="57"/>
      <c r="BU51" s="57"/>
      <c r="BV51" s="82"/>
      <c r="BW51" s="82"/>
      <c r="BX51" s="82"/>
      <c r="BY51" s="82"/>
      <c r="BZ51" s="82"/>
      <c r="CA51" s="82"/>
      <c r="CB51" s="82"/>
      <c r="CF51" s="30"/>
      <c r="CG51" s="30"/>
      <c r="CH51" s="30"/>
      <c r="CI51" s="30"/>
      <c r="CJ51" s="30"/>
      <c r="CK51" s="30"/>
      <c r="CL51" s="30"/>
      <c r="CM51" s="29"/>
    </row>
    <row r="52" spans="1:91" s="28" customFormat="1" ht="12.75" customHeight="1">
      <c r="A52" s="29"/>
      <c r="B52" s="30"/>
      <c r="C52" s="30"/>
      <c r="D52" s="30"/>
      <c r="E52" s="30"/>
      <c r="F52" s="30"/>
      <c r="G52" s="30"/>
      <c r="H52" s="30"/>
      <c r="I52" s="31"/>
      <c r="J52" s="30"/>
      <c r="K52" s="32"/>
      <c r="L52" s="30"/>
      <c r="M52" s="30"/>
      <c r="N52" s="30"/>
      <c r="O52" s="32"/>
      <c r="P52" s="30"/>
      <c r="Q52" s="30"/>
      <c r="R52" s="30"/>
      <c r="S52" s="30"/>
      <c r="T52" s="30"/>
      <c r="U52" s="30"/>
      <c r="V52" s="30"/>
      <c r="W52" s="30"/>
      <c r="X52" s="30"/>
      <c r="Y52" s="30"/>
      <c r="Z52" s="30"/>
      <c r="AA52" s="30"/>
      <c r="AB52" s="30"/>
      <c r="AC52" s="30"/>
      <c r="AD52" s="30"/>
      <c r="AE52" s="30"/>
      <c r="AF52" s="30"/>
      <c r="AG52" s="30"/>
      <c r="AH52" s="30"/>
      <c r="AI52" s="30"/>
      <c r="AJ52" s="30"/>
      <c r="AK52" s="30"/>
      <c r="AL52" s="30"/>
      <c r="AM52" s="58"/>
      <c r="AN52" s="30"/>
      <c r="AO52" s="30"/>
      <c r="AP52" s="30"/>
      <c r="AQ52" s="30"/>
      <c r="AR52" s="30"/>
      <c r="AS52" s="30"/>
      <c r="AT52" s="30"/>
      <c r="AU52" s="30"/>
      <c r="AV52" s="30"/>
      <c r="AW52" s="30"/>
      <c r="AX52" s="34"/>
      <c r="AY52" s="29"/>
      <c r="AZ52" s="57"/>
      <c r="BA52" s="57"/>
      <c r="BB52" s="82"/>
      <c r="BC52" s="82"/>
      <c r="BD52" s="57" t="s">
        <v>103</v>
      </c>
      <c r="BE52" s="57"/>
      <c r="BF52" s="57"/>
      <c r="BG52" s="57"/>
      <c r="BH52" s="57"/>
      <c r="BI52" s="57"/>
      <c r="BJ52" s="57"/>
      <c r="BK52" s="57"/>
      <c r="BL52" s="57"/>
      <c r="BM52" s="57"/>
      <c r="BN52" s="57"/>
      <c r="BO52" s="57"/>
      <c r="BP52" s="57"/>
      <c r="BQ52" s="57"/>
      <c r="BR52" s="57"/>
      <c r="BS52" s="57"/>
      <c r="BT52" s="57"/>
      <c r="BU52" s="57"/>
      <c r="BV52" s="82"/>
      <c r="BW52" s="82"/>
      <c r="BX52" s="82"/>
      <c r="BY52" s="82"/>
      <c r="BZ52" s="82"/>
      <c r="CA52" s="82"/>
      <c r="CB52" s="82"/>
      <c r="CF52" s="30"/>
      <c r="CG52" s="30"/>
      <c r="CH52" s="30"/>
      <c r="CI52" s="30"/>
      <c r="CJ52" s="30"/>
      <c r="CK52" s="30"/>
      <c r="CL52" s="30"/>
      <c r="CM52" s="29"/>
    </row>
    <row r="53" spans="1:91" s="28" customFormat="1" ht="12.75" customHeight="1">
      <c r="A53" s="29"/>
      <c r="B53" s="30"/>
      <c r="C53" s="30"/>
      <c r="D53" s="30"/>
      <c r="E53" s="30"/>
      <c r="F53" s="30"/>
      <c r="G53" s="30"/>
      <c r="H53" s="30"/>
      <c r="I53" s="31"/>
      <c r="J53" s="30"/>
      <c r="K53" s="32"/>
      <c r="L53" s="30"/>
      <c r="M53" s="30"/>
      <c r="N53" s="30"/>
      <c r="O53" s="32"/>
      <c r="P53" s="30"/>
      <c r="Q53" s="30"/>
      <c r="R53" s="30"/>
      <c r="S53" s="30"/>
      <c r="T53" s="30"/>
      <c r="U53" s="30"/>
      <c r="V53" s="30"/>
      <c r="W53" s="30"/>
      <c r="X53" s="30"/>
      <c r="Y53" s="30"/>
      <c r="Z53" s="30"/>
      <c r="AA53" s="30"/>
      <c r="AB53" s="30"/>
      <c r="AC53" s="30"/>
      <c r="AD53" s="30"/>
      <c r="AE53" s="30"/>
      <c r="AF53" s="30"/>
      <c r="AG53" s="30"/>
      <c r="AH53" s="30"/>
      <c r="AI53" s="30"/>
      <c r="AJ53" s="30"/>
      <c r="AK53" s="30"/>
      <c r="AL53" s="30"/>
      <c r="AP53" s="30"/>
      <c r="AQ53" s="30"/>
      <c r="AR53" s="30"/>
      <c r="AS53" s="30"/>
      <c r="AT53" s="30"/>
      <c r="AU53" s="30"/>
      <c r="AV53" s="30"/>
      <c r="AW53" s="30"/>
      <c r="AX53" s="34"/>
      <c r="AY53" s="29"/>
      <c r="AZ53" s="57"/>
      <c r="BA53" s="57"/>
      <c r="BB53" s="82"/>
      <c r="BC53" s="57"/>
      <c r="BD53" s="57"/>
      <c r="BE53" s="57"/>
      <c r="BF53" s="57"/>
      <c r="BG53" s="57"/>
      <c r="BH53" s="57"/>
      <c r="BI53" s="57"/>
      <c r="BJ53" s="57"/>
      <c r="BK53" s="57"/>
      <c r="BL53" s="57"/>
      <c r="BM53" s="57"/>
      <c r="BN53" s="57"/>
      <c r="BO53" s="57"/>
      <c r="BP53" s="57"/>
      <c r="BQ53" s="57"/>
      <c r="BR53" s="57"/>
      <c r="BS53" s="57"/>
      <c r="BT53" s="57"/>
      <c r="BU53" s="57"/>
      <c r="BV53" s="82"/>
      <c r="BW53" s="82"/>
      <c r="BX53" s="82"/>
      <c r="BY53" s="82"/>
      <c r="BZ53" s="82"/>
      <c r="CA53" s="82"/>
      <c r="CB53" s="82"/>
      <c r="CF53" s="30"/>
      <c r="CG53" s="30"/>
      <c r="CH53" s="30"/>
      <c r="CI53" s="30"/>
      <c r="CJ53" s="30"/>
      <c r="CK53" s="30"/>
      <c r="CL53" s="30"/>
      <c r="CM53" s="29"/>
    </row>
    <row r="54" spans="1:91" s="28" customFormat="1" ht="12.75" customHeight="1">
      <c r="A54" s="29"/>
      <c r="B54" s="30"/>
      <c r="C54" s="30"/>
      <c r="D54" s="30"/>
      <c r="E54" s="30"/>
      <c r="F54" s="30"/>
      <c r="G54" s="30"/>
      <c r="H54" s="30"/>
      <c r="I54" s="31"/>
      <c r="J54" s="30"/>
      <c r="K54" s="32"/>
      <c r="L54" s="30"/>
      <c r="M54" s="30"/>
      <c r="N54" s="30"/>
      <c r="O54" s="32"/>
      <c r="P54" s="30"/>
      <c r="Q54" s="30"/>
      <c r="R54" s="30"/>
      <c r="S54" s="30"/>
      <c r="T54" s="30"/>
      <c r="U54" s="30"/>
      <c r="V54" s="30"/>
      <c r="W54" s="30"/>
      <c r="X54" s="30"/>
      <c r="Y54" s="30"/>
      <c r="Z54" s="30"/>
      <c r="AA54" s="30"/>
      <c r="AB54" s="30"/>
      <c r="AC54" s="30"/>
      <c r="AD54" s="30"/>
      <c r="AE54" s="30"/>
      <c r="AF54" s="30"/>
      <c r="AG54" s="30"/>
      <c r="AH54" s="30"/>
      <c r="AI54" s="30"/>
      <c r="AJ54" s="30"/>
      <c r="AK54" s="30"/>
      <c r="AL54" s="30"/>
      <c r="AN54" s="30"/>
      <c r="AO54" s="30"/>
      <c r="AP54" s="30"/>
      <c r="AQ54" s="30"/>
      <c r="AR54" s="30"/>
      <c r="AS54" s="30"/>
      <c r="AT54" s="30"/>
      <c r="AU54" s="30"/>
      <c r="AV54" s="30"/>
      <c r="AW54" s="30"/>
      <c r="AX54" s="34"/>
      <c r="AY54" s="29"/>
      <c r="AZ54" s="82"/>
      <c r="BA54" s="82"/>
      <c r="BB54" s="82" t="s">
        <v>107</v>
      </c>
      <c r="BC54" s="82"/>
      <c r="BD54" s="88"/>
      <c r="BE54" s="88"/>
      <c r="BF54" s="88"/>
      <c r="BG54" s="88"/>
      <c r="BH54" s="88"/>
      <c r="BI54" s="88"/>
      <c r="BJ54" s="88"/>
      <c r="BK54" s="88"/>
      <c r="BL54" s="88"/>
      <c r="BM54" s="88"/>
      <c r="BN54" s="57"/>
      <c r="BO54" s="57"/>
      <c r="BP54" s="57"/>
      <c r="BQ54" s="57"/>
      <c r="BR54" s="57"/>
      <c r="BS54" s="57"/>
      <c r="BT54" s="57"/>
      <c r="BU54" s="57"/>
      <c r="BV54" s="57"/>
      <c r="BW54" s="57"/>
      <c r="BX54" s="57"/>
      <c r="BY54" s="57"/>
      <c r="BZ54" s="57"/>
      <c r="CA54" s="57"/>
      <c r="CB54" s="57"/>
      <c r="CC54" s="30"/>
      <c r="CD54" s="30"/>
      <c r="CE54" s="30"/>
      <c r="CF54" s="30"/>
      <c r="CG54" s="30"/>
      <c r="CH54" s="30"/>
      <c r="CI54" s="30"/>
      <c r="CJ54" s="30"/>
      <c r="CK54" s="30"/>
      <c r="CL54" s="30"/>
      <c r="CM54" s="29"/>
    </row>
    <row r="55" spans="1:91" s="28" customFormat="1" ht="12.75" customHeight="1">
      <c r="A55" s="29"/>
      <c r="B55" s="30"/>
      <c r="C55" s="30"/>
      <c r="D55" s="30"/>
      <c r="E55" s="30"/>
      <c r="F55" s="30"/>
      <c r="G55" s="30"/>
      <c r="H55" s="30"/>
      <c r="I55" s="31"/>
      <c r="J55" s="30"/>
      <c r="K55" s="32"/>
      <c r="L55" s="30"/>
      <c r="M55" s="30"/>
      <c r="N55" s="30"/>
      <c r="O55" s="32"/>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4"/>
      <c r="AY55" s="29"/>
      <c r="AZ55" s="82"/>
      <c r="BA55" s="82"/>
      <c r="BB55" s="82"/>
      <c r="BC55" s="82" t="s">
        <v>108</v>
      </c>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30"/>
      <c r="CD55" s="30"/>
      <c r="CE55" s="30"/>
      <c r="CF55" s="30"/>
      <c r="CG55" s="30"/>
      <c r="CH55" s="30"/>
      <c r="CI55" s="30"/>
      <c r="CJ55" s="30"/>
      <c r="CK55" s="30"/>
      <c r="CL55" s="30"/>
      <c r="CM55" s="29"/>
    </row>
    <row r="56" spans="1:91" s="28" customFormat="1" ht="12.75" customHeight="1">
      <c r="A56" s="29"/>
      <c r="B56" s="30"/>
      <c r="C56" s="30"/>
      <c r="D56" s="30"/>
      <c r="E56" s="30"/>
      <c r="F56" s="30"/>
      <c r="G56" s="30"/>
      <c r="H56" s="30"/>
      <c r="I56" s="31"/>
      <c r="J56" s="30"/>
      <c r="K56" s="32"/>
      <c r="L56" s="30"/>
      <c r="M56" s="30"/>
      <c r="N56" s="30"/>
      <c r="O56" s="32"/>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4"/>
      <c r="AY56" s="29"/>
      <c r="AZ56" s="82"/>
      <c r="BA56" s="82"/>
      <c r="BB56" s="88"/>
      <c r="BC56" s="82"/>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30"/>
      <c r="CD56" s="30"/>
      <c r="CE56" s="30"/>
      <c r="CF56" s="30"/>
      <c r="CG56" s="30"/>
      <c r="CH56" s="30"/>
      <c r="CI56" s="30"/>
      <c r="CJ56" s="30"/>
      <c r="CK56" s="30"/>
      <c r="CL56" s="30"/>
      <c r="CM56" s="29"/>
    </row>
    <row r="57" spans="1:91" s="28" customFormat="1" ht="12.75" customHeight="1">
      <c r="A57" s="29"/>
      <c r="B57" s="30"/>
      <c r="C57" s="30"/>
      <c r="D57" s="30"/>
      <c r="E57" s="30"/>
      <c r="F57" s="30"/>
      <c r="G57" s="30"/>
      <c r="H57" s="30"/>
      <c r="I57" s="31"/>
      <c r="J57" s="30"/>
      <c r="K57" s="32"/>
      <c r="L57" s="30"/>
      <c r="M57" s="30"/>
      <c r="N57" s="30"/>
      <c r="O57" s="32"/>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4"/>
      <c r="AY57" s="29"/>
      <c r="AZ57" s="82"/>
      <c r="BA57" s="82"/>
      <c r="BB57" s="82" t="s">
        <v>130</v>
      </c>
      <c r="BC57" s="82"/>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30"/>
      <c r="CD57" s="30"/>
      <c r="CE57" s="30"/>
      <c r="CF57" s="30"/>
      <c r="CG57" s="30"/>
      <c r="CH57" s="30"/>
      <c r="CI57" s="30"/>
      <c r="CJ57" s="30"/>
      <c r="CK57" s="30"/>
      <c r="CL57" s="30"/>
      <c r="CM57" s="29"/>
    </row>
    <row r="58" spans="1:91" s="28" customFormat="1" ht="12.75" customHeight="1">
      <c r="A58" s="29"/>
      <c r="B58" s="30"/>
      <c r="C58" s="30"/>
      <c r="D58" s="30"/>
      <c r="E58" s="30"/>
      <c r="F58" s="30"/>
      <c r="G58" s="30"/>
      <c r="H58" s="30"/>
      <c r="I58" s="31"/>
      <c r="J58" s="30"/>
      <c r="K58" s="32"/>
      <c r="L58" s="33"/>
      <c r="M58" s="30"/>
      <c r="N58" s="30"/>
      <c r="O58" s="32"/>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4"/>
      <c r="AY58" s="29"/>
      <c r="AZ58" s="82"/>
      <c r="BA58" s="82"/>
      <c r="BB58" s="82"/>
      <c r="BC58" s="82"/>
      <c r="BD58" s="82"/>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30"/>
      <c r="CD58" s="30"/>
      <c r="CE58" s="30"/>
      <c r="CF58" s="30"/>
      <c r="CG58" s="30"/>
      <c r="CH58" s="30"/>
      <c r="CI58" s="30"/>
      <c r="CJ58" s="30"/>
      <c r="CK58" s="30"/>
      <c r="CL58" s="30"/>
      <c r="CM58" s="29"/>
    </row>
    <row r="59" spans="1:91" s="28" customFormat="1" ht="12.75" customHeight="1">
      <c r="A59" s="29"/>
      <c r="B59" s="30"/>
      <c r="C59" s="30"/>
      <c r="D59" s="30"/>
      <c r="E59" s="30"/>
      <c r="F59" s="30"/>
      <c r="G59" s="30"/>
      <c r="H59" s="30"/>
      <c r="I59" s="31"/>
      <c r="J59" s="30"/>
      <c r="K59" s="32"/>
      <c r="L59" s="33"/>
      <c r="M59" s="30"/>
      <c r="N59" s="30"/>
      <c r="O59" s="32"/>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4"/>
      <c r="AY59" s="29"/>
      <c r="AZ59" s="82"/>
      <c r="BA59" s="82"/>
      <c r="BB59" s="82"/>
      <c r="BC59" s="82"/>
      <c r="BD59" s="57"/>
      <c r="BE59" s="57"/>
      <c r="BF59" s="57"/>
      <c r="BG59" s="57"/>
      <c r="BH59" s="57"/>
      <c r="BI59" s="57"/>
      <c r="BJ59" s="57"/>
      <c r="BK59" s="57"/>
      <c r="BL59" s="57"/>
      <c r="BM59" s="57"/>
      <c r="BN59" s="57"/>
      <c r="BO59" s="57"/>
      <c r="BP59" s="57"/>
      <c r="BQ59" s="57"/>
      <c r="BR59" s="57"/>
      <c r="BS59" s="57"/>
      <c r="BT59" s="57"/>
      <c r="BU59" s="57"/>
      <c r="BV59" s="57"/>
      <c r="BW59" s="57"/>
      <c r="BX59" s="57"/>
      <c r="BY59" s="57"/>
      <c r="BZ59" s="57"/>
      <c r="CA59" s="57"/>
      <c r="CB59" s="57"/>
      <c r="CC59" s="30"/>
      <c r="CD59" s="30"/>
      <c r="CE59" s="30"/>
      <c r="CF59" s="30"/>
      <c r="CG59" s="30"/>
      <c r="CH59" s="30"/>
      <c r="CI59" s="30"/>
      <c r="CJ59" s="30"/>
      <c r="CK59" s="30"/>
      <c r="CL59" s="30"/>
      <c r="CM59" s="29"/>
    </row>
    <row r="60" spans="1:91" s="28" customFormat="1">
      <c r="A60" s="29"/>
      <c r="B60" s="30"/>
      <c r="C60" s="30"/>
      <c r="D60" s="30"/>
      <c r="E60" s="30"/>
      <c r="F60" s="30"/>
      <c r="G60" s="30"/>
      <c r="H60" s="30"/>
      <c r="I60" s="31"/>
      <c r="J60" s="30"/>
      <c r="K60" s="32"/>
      <c r="L60" s="33"/>
      <c r="M60" s="30"/>
      <c r="N60" s="30"/>
      <c r="O60" s="32"/>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4"/>
      <c r="AY60" s="29"/>
      <c r="AZ60" s="58" t="s">
        <v>31</v>
      </c>
      <c r="BA60" s="82"/>
      <c r="BB60" s="82" t="s">
        <v>209</v>
      </c>
      <c r="BC60" s="82"/>
      <c r="BD60" s="82"/>
      <c r="BE60" s="57"/>
      <c r="BF60" s="57"/>
      <c r="BG60" s="57"/>
      <c r="BH60" s="57"/>
      <c r="BI60" s="57"/>
      <c r="BJ60" s="57"/>
      <c r="BK60" s="57"/>
      <c r="BL60" s="57"/>
      <c r="BM60" s="57"/>
      <c r="BN60" s="82"/>
      <c r="BO60" s="82"/>
      <c r="BP60" s="82"/>
      <c r="BQ60" s="82"/>
      <c r="BR60" s="82"/>
      <c r="BS60" s="82"/>
      <c r="BT60" s="82"/>
      <c r="BU60" s="82"/>
      <c r="BV60" s="82"/>
      <c r="BW60" s="82"/>
      <c r="BX60" s="82"/>
      <c r="BY60" s="82"/>
      <c r="BZ60" s="82"/>
      <c r="CA60" s="82"/>
      <c r="CB60" s="57"/>
      <c r="CC60" s="30"/>
      <c r="CD60" s="30"/>
      <c r="CE60" s="30"/>
      <c r="CF60" s="30"/>
      <c r="CG60" s="30"/>
      <c r="CH60" s="30"/>
      <c r="CI60" s="30"/>
      <c r="CJ60" s="30"/>
      <c r="CK60" s="30"/>
      <c r="CL60" s="30"/>
      <c r="CM60" s="29"/>
    </row>
    <row r="61" spans="1:91" s="28" customFormat="1">
      <c r="A61" s="29"/>
      <c r="B61" s="30"/>
      <c r="C61" s="30"/>
      <c r="D61" s="30"/>
      <c r="E61" s="30"/>
      <c r="F61" s="30"/>
      <c r="G61" s="30"/>
      <c r="H61" s="30"/>
      <c r="I61" s="31"/>
      <c r="J61" s="30"/>
      <c r="K61" s="32"/>
      <c r="L61" s="33"/>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4"/>
      <c r="AY61" s="35"/>
      <c r="AZ61" s="82"/>
      <c r="BA61" s="82"/>
      <c r="BB61" s="82" t="s">
        <v>208</v>
      </c>
      <c r="BC61" s="82"/>
      <c r="BD61" s="82"/>
      <c r="BE61" s="57"/>
      <c r="BF61" s="57"/>
      <c r="BG61" s="57"/>
      <c r="BH61" s="57"/>
      <c r="BI61" s="57"/>
      <c r="BJ61" s="57"/>
      <c r="BK61" s="57"/>
      <c r="BL61" s="57"/>
      <c r="BM61" s="57"/>
      <c r="BN61" s="82"/>
      <c r="BO61" s="82"/>
      <c r="BP61" s="82"/>
      <c r="BQ61" s="82"/>
      <c r="BR61" s="82"/>
      <c r="BS61" s="82"/>
      <c r="BT61" s="82"/>
      <c r="BU61" s="82"/>
      <c r="BV61" s="82"/>
      <c r="BW61" s="82"/>
      <c r="BX61" s="82"/>
      <c r="BY61" s="82"/>
      <c r="BZ61" s="82"/>
      <c r="CA61" s="82"/>
      <c r="CB61" s="57"/>
      <c r="CC61" s="30"/>
      <c r="CD61" s="30"/>
      <c r="CE61" s="30"/>
      <c r="CF61" s="30"/>
      <c r="CG61" s="30"/>
      <c r="CH61" s="30"/>
      <c r="CI61" s="30"/>
      <c r="CJ61" s="30"/>
      <c r="CK61" s="30"/>
      <c r="CL61" s="30"/>
      <c r="CM61" s="29"/>
    </row>
    <row r="62" spans="1:91" s="28" customFormat="1">
      <c r="A62" s="29"/>
      <c r="B62" s="30"/>
      <c r="C62" s="30"/>
      <c r="D62" s="30"/>
      <c r="E62" s="30"/>
      <c r="F62" s="30"/>
      <c r="G62" s="30"/>
      <c r="H62" s="30"/>
      <c r="I62" s="31"/>
      <c r="J62" s="30"/>
      <c r="K62" s="32"/>
      <c r="L62" s="33"/>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4"/>
      <c r="AY62" s="36"/>
      <c r="AZ62" s="57"/>
      <c r="BA62" s="57"/>
      <c r="BB62" s="82" t="s">
        <v>67</v>
      </c>
      <c r="BC62" s="82"/>
      <c r="BD62" s="82"/>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30"/>
      <c r="CD62" s="30"/>
      <c r="CE62" s="30"/>
      <c r="CF62" s="30"/>
      <c r="CG62" s="30"/>
      <c r="CH62" s="30"/>
      <c r="CI62" s="30"/>
      <c r="CJ62" s="30"/>
      <c r="CK62" s="30"/>
      <c r="CL62" s="30"/>
      <c r="CM62" s="29"/>
    </row>
    <row r="63" spans="1:91" s="28" customFormat="1">
      <c r="A63" s="29"/>
      <c r="B63" s="30"/>
      <c r="C63" s="30"/>
      <c r="D63" s="30"/>
      <c r="E63" s="30"/>
      <c r="F63" s="30"/>
      <c r="G63" s="30"/>
      <c r="H63" s="30"/>
      <c r="I63" s="31"/>
      <c r="J63" s="30"/>
      <c r="K63" s="32"/>
      <c r="L63" s="33"/>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4"/>
      <c r="AY63" s="29"/>
      <c r="BA63" s="82"/>
      <c r="BB63" s="94" t="s">
        <v>160</v>
      </c>
      <c r="BC63" s="82"/>
      <c r="BD63" s="82"/>
      <c r="BE63" s="82"/>
      <c r="BF63" s="82"/>
      <c r="BG63" s="82"/>
      <c r="BH63" s="82"/>
      <c r="BI63" s="82"/>
      <c r="BJ63" s="82"/>
      <c r="BK63" s="82"/>
      <c r="BL63" s="82"/>
      <c r="BM63" s="82"/>
      <c r="BN63" s="57"/>
      <c r="BO63" s="57"/>
      <c r="BP63" s="57"/>
      <c r="BQ63" s="57"/>
      <c r="BR63" s="57"/>
      <c r="BS63" s="57"/>
      <c r="BT63" s="57"/>
      <c r="BU63" s="57"/>
      <c r="BV63" s="57"/>
      <c r="BW63" s="57"/>
      <c r="BX63" s="57"/>
      <c r="BY63" s="57"/>
      <c r="BZ63" s="57"/>
      <c r="CA63" s="57"/>
      <c r="CB63" s="57"/>
      <c r="CC63" s="30"/>
      <c r="CD63" s="30"/>
      <c r="CE63" s="30"/>
      <c r="CF63" s="30"/>
      <c r="CG63" s="30"/>
      <c r="CH63" s="30"/>
      <c r="CI63" s="30"/>
      <c r="CJ63" s="30"/>
      <c r="CK63" s="30"/>
      <c r="CL63" s="30"/>
      <c r="CM63" s="29"/>
    </row>
    <row r="64" spans="1:91" s="28" customFormat="1">
      <c r="A64" s="29"/>
      <c r="B64" s="30"/>
      <c r="C64" s="30"/>
      <c r="D64" s="30"/>
      <c r="E64" s="30"/>
      <c r="F64" s="30"/>
      <c r="G64" s="30"/>
      <c r="H64" s="30"/>
      <c r="I64" s="31"/>
      <c r="J64" s="30"/>
      <c r="K64" s="32"/>
      <c r="L64" s="33"/>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4"/>
      <c r="AY64" s="29"/>
      <c r="BA64" s="82"/>
      <c r="BB64" s="94" t="s">
        <v>190</v>
      </c>
      <c r="BC64" s="82"/>
      <c r="BD64" s="57"/>
      <c r="BE64" s="57"/>
      <c r="BF64" s="57"/>
      <c r="BG64" s="57"/>
      <c r="BH64" s="57"/>
      <c r="BI64" s="57"/>
      <c r="BJ64" s="82"/>
      <c r="BK64" s="82"/>
      <c r="BL64" s="82"/>
      <c r="BM64" s="82"/>
      <c r="BN64" s="57"/>
      <c r="BO64" s="57"/>
      <c r="BP64" s="57"/>
      <c r="BQ64" s="57"/>
      <c r="BR64" s="57"/>
      <c r="BS64" s="57"/>
      <c r="BT64" s="57"/>
      <c r="BU64" s="57"/>
      <c r="BV64" s="57"/>
      <c r="BW64" s="57"/>
      <c r="BX64" s="57"/>
      <c r="BY64" s="57"/>
      <c r="BZ64" s="57"/>
      <c r="CA64" s="57"/>
      <c r="CB64" s="57"/>
      <c r="CC64" s="30"/>
      <c r="CD64" s="30"/>
      <c r="CE64" s="30"/>
      <c r="CF64" s="30"/>
      <c r="CG64" s="30"/>
      <c r="CH64" s="30"/>
      <c r="CI64" s="30"/>
      <c r="CJ64" s="30"/>
      <c r="CK64" s="30"/>
      <c r="CL64" s="30"/>
      <c r="CM64" s="29"/>
    </row>
    <row r="65" spans="1:91" s="28" customFormat="1">
      <c r="A65" s="29"/>
      <c r="B65" s="30"/>
      <c r="C65" s="30"/>
      <c r="D65" s="30"/>
      <c r="E65" s="30"/>
      <c r="F65" s="30"/>
      <c r="G65" s="30"/>
      <c r="H65" s="30"/>
      <c r="I65" s="31"/>
      <c r="J65" s="30"/>
      <c r="K65" s="32"/>
      <c r="L65" s="33"/>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4"/>
      <c r="AY65" s="29"/>
      <c r="AZ65" s="57"/>
      <c r="BA65" s="57"/>
      <c r="BB65" s="82" t="s">
        <v>154</v>
      </c>
      <c r="BC65" s="82"/>
      <c r="BD65" s="82"/>
      <c r="BE65" s="82"/>
      <c r="BF65" s="82"/>
      <c r="BG65" s="82"/>
      <c r="BH65" s="82"/>
      <c r="BI65" s="82"/>
      <c r="BJ65" s="57"/>
      <c r="BK65" s="57"/>
      <c r="BL65" s="57"/>
      <c r="BM65" s="57"/>
      <c r="BN65" s="57"/>
      <c r="BO65" s="57"/>
      <c r="BP65" s="57"/>
      <c r="BQ65" s="57"/>
      <c r="BR65" s="57"/>
      <c r="BS65" s="57"/>
      <c r="BT65" s="57"/>
      <c r="BU65" s="57"/>
      <c r="BV65" s="57"/>
      <c r="BW65" s="57"/>
      <c r="BX65" s="57"/>
      <c r="BY65" s="57"/>
      <c r="BZ65" s="57"/>
      <c r="CA65" s="57"/>
      <c r="CB65" s="57"/>
      <c r="CC65" s="30"/>
      <c r="CD65" s="30"/>
      <c r="CE65" s="30"/>
      <c r="CF65" s="30"/>
      <c r="CG65" s="30"/>
      <c r="CH65" s="30"/>
      <c r="CI65" s="30"/>
      <c r="CJ65" s="30"/>
      <c r="CK65" s="30"/>
      <c r="CL65" s="30"/>
      <c r="CM65" s="29"/>
    </row>
    <row r="66" spans="1:91" s="28" customFormat="1">
      <c r="A66" s="29"/>
      <c r="B66" s="30"/>
      <c r="C66" s="30"/>
      <c r="D66" s="30"/>
      <c r="E66" s="30"/>
      <c r="F66" s="30"/>
      <c r="G66" s="30"/>
      <c r="H66" s="30"/>
      <c r="I66" s="31"/>
      <c r="J66" s="30"/>
      <c r="K66" s="32"/>
      <c r="L66" s="33"/>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4"/>
      <c r="AY66" s="29"/>
      <c r="BA66" s="82"/>
      <c r="BB66" s="82"/>
      <c r="BC66" s="82" t="s">
        <v>155</v>
      </c>
      <c r="BD66" s="82"/>
      <c r="BE66" s="82"/>
      <c r="BF66" s="82"/>
      <c r="BG66" s="82" t="s">
        <v>156</v>
      </c>
      <c r="BH66" s="82" t="s">
        <v>157</v>
      </c>
      <c r="BI66" s="82"/>
      <c r="BJ66" s="57"/>
      <c r="BK66" s="57"/>
      <c r="BL66" s="57"/>
      <c r="BM66" s="57"/>
      <c r="BN66" s="57"/>
      <c r="BO66" s="57"/>
      <c r="BP66" s="57"/>
      <c r="BQ66" s="57"/>
      <c r="BR66" s="57"/>
      <c r="BS66" s="57"/>
      <c r="BT66" s="57"/>
      <c r="BU66" s="57"/>
      <c r="BV66" s="57"/>
      <c r="BW66" s="57"/>
      <c r="BX66" s="57"/>
      <c r="BY66" s="57"/>
      <c r="BZ66" s="57"/>
      <c r="CA66" s="57"/>
      <c r="CB66" s="57"/>
      <c r="CC66" s="30"/>
      <c r="CD66" s="30"/>
      <c r="CE66" s="30"/>
      <c r="CF66" s="30"/>
      <c r="CG66" s="30"/>
      <c r="CH66" s="30"/>
      <c r="CI66" s="30"/>
      <c r="CJ66" s="30"/>
      <c r="CK66" s="30"/>
      <c r="CL66" s="30"/>
      <c r="CM66" s="29"/>
    </row>
    <row r="67" spans="1:91" s="28" customFormat="1">
      <c r="A67" s="29"/>
      <c r="B67" s="30"/>
      <c r="C67" s="30"/>
      <c r="D67" s="30"/>
      <c r="E67" s="30"/>
      <c r="F67" s="30"/>
      <c r="G67" s="30"/>
      <c r="H67" s="30"/>
      <c r="I67" s="31"/>
      <c r="J67" s="30"/>
      <c r="K67" s="32"/>
      <c r="L67" s="33"/>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4"/>
      <c r="AY67" s="29"/>
      <c r="BA67" s="82"/>
      <c r="BB67" s="82"/>
      <c r="BC67" s="82" t="s">
        <v>158</v>
      </c>
      <c r="BD67" s="82"/>
      <c r="BE67" s="82"/>
      <c r="BF67" s="82"/>
      <c r="BG67" s="82" t="s">
        <v>156</v>
      </c>
      <c r="BH67" s="82" t="s">
        <v>159</v>
      </c>
      <c r="BI67" s="82"/>
      <c r="BJ67" s="57"/>
      <c r="BK67" s="57"/>
      <c r="BL67" s="57"/>
      <c r="BM67" s="57"/>
      <c r="BN67" s="57"/>
      <c r="BO67" s="57"/>
      <c r="BP67" s="57"/>
      <c r="BQ67" s="57"/>
      <c r="BR67" s="82"/>
      <c r="BS67" s="82"/>
      <c r="BT67" s="57"/>
      <c r="BU67" s="57"/>
      <c r="BV67" s="57"/>
      <c r="BW67" s="57"/>
      <c r="BX67" s="57"/>
      <c r="BY67" s="82"/>
      <c r="BZ67" s="57"/>
      <c r="CA67" s="57"/>
      <c r="CB67" s="57"/>
      <c r="CC67" s="30"/>
      <c r="CD67" s="30"/>
      <c r="CE67" s="30"/>
      <c r="CF67" s="30"/>
      <c r="CG67" s="30"/>
      <c r="CH67" s="30"/>
      <c r="CI67" s="30"/>
      <c r="CJ67" s="30"/>
      <c r="CK67" s="30"/>
      <c r="CL67" s="30"/>
      <c r="CM67" s="29"/>
    </row>
    <row r="68" spans="1:91" s="28" customFormat="1">
      <c r="A68" s="29"/>
      <c r="B68" s="30"/>
      <c r="C68" s="30"/>
      <c r="D68" s="30"/>
      <c r="E68" s="30"/>
      <c r="F68" s="30"/>
      <c r="G68" s="30"/>
      <c r="H68" s="30"/>
      <c r="I68" s="31"/>
      <c r="J68" s="30"/>
      <c r="K68" s="32"/>
      <c r="L68" s="33"/>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4"/>
      <c r="AY68" s="29"/>
      <c r="BA68" s="82"/>
      <c r="BB68" s="82"/>
      <c r="BC68" s="82"/>
      <c r="BD68" s="82"/>
      <c r="BE68" s="82"/>
      <c r="BF68" s="82"/>
      <c r="BG68" s="57"/>
      <c r="BH68" s="57"/>
      <c r="BI68" s="57"/>
      <c r="BJ68" s="57"/>
      <c r="BK68" s="57"/>
      <c r="BL68" s="57"/>
      <c r="BM68" s="57"/>
      <c r="BN68" s="57"/>
      <c r="BO68" s="57"/>
      <c r="BP68" s="57"/>
      <c r="BQ68" s="57"/>
      <c r="BR68" s="57"/>
      <c r="BS68" s="57"/>
      <c r="BT68" s="57"/>
      <c r="BU68" s="57"/>
      <c r="BV68" s="57"/>
      <c r="BW68" s="57"/>
      <c r="BX68" s="57"/>
      <c r="BY68" s="57"/>
      <c r="BZ68" s="57"/>
      <c r="CA68" s="57"/>
      <c r="CB68" s="57"/>
      <c r="CC68" s="30"/>
      <c r="CD68" s="30"/>
      <c r="CE68" s="30"/>
      <c r="CF68" s="30"/>
      <c r="CG68" s="30"/>
      <c r="CH68" s="30"/>
      <c r="CI68" s="30"/>
      <c r="CJ68" s="30"/>
      <c r="CK68" s="30"/>
      <c r="CL68" s="30"/>
      <c r="CM68" s="29"/>
    </row>
    <row r="69" spans="1:91" s="28" customFormat="1">
      <c r="A69" s="29"/>
      <c r="B69" s="30"/>
      <c r="C69" s="30"/>
      <c r="D69" s="30"/>
      <c r="E69" s="30"/>
      <c r="F69" s="30"/>
      <c r="G69" s="30"/>
      <c r="H69" s="30"/>
      <c r="I69" s="31"/>
      <c r="J69" s="30"/>
      <c r="K69" s="32"/>
      <c r="L69" s="33"/>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4"/>
      <c r="AY69" s="29"/>
      <c r="AZ69" s="82"/>
      <c r="BA69" s="82"/>
      <c r="BB69" s="57" t="s">
        <v>70</v>
      </c>
      <c r="BC69" s="89"/>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30"/>
      <c r="CJ69" s="30"/>
      <c r="CK69" s="30"/>
      <c r="CL69" s="30"/>
      <c r="CM69" s="29"/>
    </row>
    <row r="70" spans="1:91" s="28" customFormat="1">
      <c r="A70" s="29"/>
      <c r="B70" s="30"/>
      <c r="C70" s="30"/>
      <c r="D70" s="30"/>
      <c r="E70" s="30"/>
      <c r="F70" s="30"/>
      <c r="G70" s="30"/>
      <c r="H70" s="30"/>
      <c r="I70" s="31"/>
      <c r="J70" s="30"/>
      <c r="K70" s="32"/>
      <c r="L70" s="33"/>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4"/>
      <c r="AY70" s="29"/>
      <c r="AZ70" s="82"/>
      <c r="BA70" s="82"/>
      <c r="BB70" s="82" t="s">
        <v>130</v>
      </c>
      <c r="BC70" s="89"/>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c r="CK70" s="30"/>
      <c r="CL70" s="30"/>
      <c r="CM70" s="29"/>
    </row>
    <row r="71" spans="1:91" s="28" customFormat="1">
      <c r="A71" s="29"/>
      <c r="B71" s="30"/>
      <c r="C71" s="30"/>
      <c r="D71" s="30"/>
      <c r="E71" s="30"/>
      <c r="F71" s="30"/>
      <c r="G71" s="30"/>
      <c r="H71" s="30"/>
      <c r="I71" s="31"/>
      <c r="J71" s="30"/>
      <c r="K71" s="32"/>
      <c r="L71" s="33"/>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4"/>
      <c r="AY71" s="29"/>
      <c r="AZ71" s="82"/>
      <c r="BA71" s="82"/>
      <c r="BB71" s="82"/>
      <c r="BC71" s="82"/>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30"/>
      <c r="CK71" s="30"/>
      <c r="CL71" s="30"/>
      <c r="CM71" s="29"/>
    </row>
    <row r="72" spans="1:91" s="28" customFormat="1">
      <c r="A72" s="29"/>
      <c r="B72" s="30"/>
      <c r="C72" s="30"/>
      <c r="D72" s="30"/>
      <c r="E72" s="30"/>
      <c r="F72" s="30"/>
      <c r="G72" s="30"/>
      <c r="H72" s="30"/>
      <c r="I72" s="31"/>
      <c r="J72" s="30"/>
      <c r="K72" s="32"/>
      <c r="L72" s="33"/>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4"/>
      <c r="AY72" s="29"/>
      <c r="AZ72" s="58" t="s">
        <v>68</v>
      </c>
      <c r="BA72" s="82"/>
      <c r="BB72" s="89" t="s">
        <v>210</v>
      </c>
      <c r="BC72" s="82"/>
      <c r="BE72" s="30"/>
      <c r="BF72" s="30"/>
      <c r="BG72" s="30"/>
      <c r="BH72" s="30"/>
      <c r="BI72" s="30"/>
      <c r="BJ72" s="30"/>
      <c r="BK72" s="30"/>
      <c r="BL72" s="30"/>
      <c r="BM72" s="30"/>
      <c r="BN72" s="30"/>
      <c r="BO72" s="30"/>
      <c r="BP72" s="30"/>
      <c r="BQ72" s="30"/>
      <c r="BR72" s="30"/>
      <c r="BS72" s="30"/>
      <c r="BT72" s="30"/>
      <c r="BU72" s="30"/>
      <c r="BV72" s="30"/>
      <c r="BW72" s="30"/>
      <c r="BY72" s="57"/>
      <c r="BZ72" s="57"/>
      <c r="CA72" s="57"/>
      <c r="CB72" s="30"/>
      <c r="CC72" s="30"/>
      <c r="CD72" s="30"/>
      <c r="CE72" s="30"/>
      <c r="CF72" s="30"/>
      <c r="CG72" s="30"/>
      <c r="CH72" s="30"/>
      <c r="CI72" s="30"/>
      <c r="CJ72" s="30"/>
      <c r="CK72" s="30"/>
      <c r="CL72" s="30"/>
      <c r="CM72" s="29"/>
    </row>
    <row r="73" spans="1:91" s="28" customFormat="1">
      <c r="A73" s="29"/>
      <c r="B73" s="30"/>
      <c r="C73" s="30"/>
      <c r="D73" s="30"/>
      <c r="E73" s="30"/>
      <c r="F73" s="30"/>
      <c r="G73" s="30"/>
      <c r="H73" s="30"/>
      <c r="I73" s="31"/>
      <c r="J73" s="30"/>
      <c r="K73" s="32"/>
      <c r="L73" s="33"/>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4"/>
      <c r="AY73" s="29"/>
      <c r="AZ73" s="82"/>
      <c r="BA73" s="82"/>
      <c r="BB73" s="82" t="s">
        <v>69</v>
      </c>
      <c r="BC73" s="82"/>
      <c r="BD73" s="30"/>
      <c r="BF73" s="30"/>
      <c r="BG73" s="30"/>
      <c r="BH73" s="30"/>
      <c r="BI73" s="30"/>
      <c r="BJ73" s="30"/>
      <c r="BK73" s="30"/>
      <c r="BL73" s="30"/>
      <c r="BM73" s="30"/>
      <c r="BN73" s="30"/>
      <c r="BO73" s="30"/>
      <c r="BP73" s="30"/>
      <c r="BQ73" s="30"/>
      <c r="BR73" s="30"/>
      <c r="BS73" s="30"/>
      <c r="BT73" s="30"/>
      <c r="BU73" s="30"/>
      <c r="BV73" s="30"/>
      <c r="BW73" s="30"/>
      <c r="BX73" s="30"/>
      <c r="BY73" s="30"/>
      <c r="BZ73" s="57"/>
      <c r="CA73" s="30"/>
      <c r="CC73" s="30"/>
      <c r="CD73" s="30"/>
      <c r="CE73" s="30"/>
      <c r="CF73" s="30"/>
      <c r="CG73" s="30"/>
      <c r="CH73" s="30"/>
      <c r="CI73" s="30"/>
      <c r="CJ73" s="30"/>
      <c r="CK73" s="30"/>
      <c r="CL73" s="30"/>
      <c r="CM73" s="29"/>
    </row>
    <row r="74" spans="1:91" s="28" customFormat="1">
      <c r="A74" s="29"/>
      <c r="B74" s="30"/>
      <c r="C74" s="30"/>
      <c r="D74" s="30"/>
      <c r="E74" s="30"/>
      <c r="F74" s="30"/>
      <c r="G74" s="30"/>
      <c r="H74" s="30"/>
      <c r="I74" s="31"/>
      <c r="J74" s="30"/>
      <c r="K74" s="32"/>
      <c r="L74" s="33"/>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4"/>
      <c r="AY74" s="29"/>
      <c r="AZ74" s="82"/>
      <c r="BA74" s="82"/>
      <c r="BB74" s="82" t="s">
        <v>127</v>
      </c>
      <c r="BC74" s="82"/>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C74" s="30"/>
      <c r="CD74" s="30"/>
      <c r="CE74" s="30"/>
      <c r="CF74" s="30"/>
      <c r="CG74" s="30"/>
      <c r="CH74" s="30"/>
      <c r="CI74" s="30"/>
      <c r="CJ74" s="30"/>
      <c r="CK74" s="30"/>
      <c r="CL74" s="30"/>
      <c r="CM74" s="29"/>
    </row>
    <row r="75" spans="1:91" s="28" customFormat="1">
      <c r="A75" s="29"/>
      <c r="B75" s="30"/>
      <c r="C75" s="30"/>
      <c r="D75" s="30"/>
      <c r="E75" s="30"/>
      <c r="F75" s="30"/>
      <c r="G75" s="30"/>
      <c r="H75" s="30"/>
      <c r="I75" s="31"/>
      <c r="J75" s="30"/>
      <c r="K75" s="32"/>
      <c r="L75" s="33"/>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4"/>
      <c r="AY75" s="29"/>
      <c r="AZ75" s="82"/>
      <c r="BA75" s="82"/>
      <c r="BB75" s="82" t="s">
        <v>130</v>
      </c>
      <c r="BC75" s="82"/>
      <c r="BD75" s="30"/>
      <c r="BE75" s="30"/>
      <c r="BF75" s="30"/>
      <c r="BG75" s="30"/>
      <c r="BH75" s="30"/>
      <c r="BI75" s="30"/>
      <c r="BJ75" s="30"/>
      <c r="BK75" s="30"/>
      <c r="BL75" s="30"/>
      <c r="BM75" s="30"/>
      <c r="BN75" s="30"/>
      <c r="BO75" s="30"/>
      <c r="BP75" s="30"/>
      <c r="BQ75" s="30"/>
      <c r="BR75" s="30"/>
      <c r="BS75" s="30"/>
      <c r="BT75" s="30"/>
      <c r="BU75" s="30"/>
      <c r="BV75" s="30"/>
      <c r="BW75" s="30"/>
      <c r="CB75" s="30"/>
      <c r="CC75" s="30"/>
      <c r="CD75" s="30"/>
      <c r="CE75" s="30"/>
      <c r="CF75" s="30"/>
      <c r="CG75" s="30"/>
      <c r="CH75" s="30"/>
      <c r="CI75" s="30"/>
      <c r="CJ75" s="30"/>
      <c r="CK75" s="30"/>
      <c r="CL75" s="30"/>
      <c r="CM75" s="29"/>
    </row>
    <row r="76" spans="1:91" s="28" customFormat="1">
      <c r="A76" s="29"/>
      <c r="B76" s="30"/>
      <c r="C76" s="30"/>
      <c r="D76" s="30"/>
      <c r="E76" s="30"/>
      <c r="F76" s="30"/>
      <c r="G76" s="30"/>
      <c r="H76" s="30"/>
      <c r="I76" s="31"/>
      <c r="J76" s="30"/>
      <c r="K76" s="32"/>
      <c r="L76" s="33"/>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4"/>
      <c r="AY76" s="29"/>
      <c r="AZ76" s="82"/>
      <c r="BA76" s="82"/>
      <c r="BB76" s="82"/>
      <c r="BC76" s="57"/>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30"/>
      <c r="CJ76" s="30"/>
      <c r="CK76" s="30"/>
      <c r="CL76" s="30"/>
      <c r="CM76" s="29"/>
    </row>
    <row r="77" spans="1:91" s="28" customFormat="1">
      <c r="A77" s="29"/>
      <c r="B77" s="30"/>
      <c r="C77" s="30"/>
      <c r="D77" s="30"/>
      <c r="E77" s="30"/>
      <c r="F77" s="30"/>
      <c r="G77" s="30"/>
      <c r="H77" s="30"/>
      <c r="I77" s="31"/>
      <c r="J77" s="30"/>
      <c r="K77" s="32"/>
      <c r="L77" s="33"/>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4"/>
      <c r="AY77" s="29"/>
      <c r="AZ77" s="58" t="s">
        <v>144</v>
      </c>
      <c r="BA77" s="57"/>
      <c r="BB77" s="89" t="s">
        <v>211</v>
      </c>
      <c r="BC77" s="82"/>
      <c r="BD77" s="30"/>
      <c r="BE77" s="30"/>
      <c r="BF77" s="30"/>
      <c r="BG77" s="30"/>
      <c r="BH77" s="30"/>
      <c r="BI77" s="30"/>
      <c r="BJ77" s="30"/>
      <c r="BK77" s="30"/>
      <c r="BL77" s="30"/>
      <c r="BM77" s="30"/>
      <c r="BN77" s="30"/>
      <c r="BO77" s="30"/>
      <c r="BP77" s="30"/>
      <c r="BQ77" s="30"/>
      <c r="BR77" s="30"/>
      <c r="BS77" s="30"/>
      <c r="BT77" s="30"/>
      <c r="BU77" s="30"/>
      <c r="BV77" s="30"/>
      <c r="BW77" s="30"/>
      <c r="BX77" s="30"/>
      <c r="BZ77" s="30"/>
      <c r="CA77" s="30"/>
      <c r="CB77" s="30"/>
      <c r="CC77" s="30"/>
      <c r="CD77" s="30"/>
      <c r="CE77" s="30"/>
      <c r="CF77" s="30"/>
      <c r="CG77" s="30"/>
      <c r="CH77" s="30"/>
      <c r="CI77" s="30"/>
      <c r="CJ77" s="30"/>
      <c r="CK77" s="30"/>
      <c r="CL77" s="30"/>
      <c r="CM77" s="29"/>
    </row>
    <row r="78" spans="1:91" s="28" customFormat="1">
      <c r="A78" s="29"/>
      <c r="B78" s="30"/>
      <c r="C78" s="30"/>
      <c r="D78" s="30"/>
      <c r="E78" s="30"/>
      <c r="F78" s="30"/>
      <c r="G78" s="30"/>
      <c r="H78" s="30"/>
      <c r="I78" s="31"/>
      <c r="J78" s="30"/>
      <c r="K78" s="32"/>
      <c r="L78" s="33"/>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4"/>
      <c r="AY78" s="29"/>
      <c r="AZ78" s="57"/>
      <c r="BA78" s="57"/>
      <c r="BB78" s="57" t="s">
        <v>71</v>
      </c>
      <c r="BC78" s="57"/>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30"/>
      <c r="CJ78" s="30"/>
      <c r="CK78" s="30"/>
      <c r="CL78" s="30"/>
      <c r="CM78" s="29"/>
    </row>
    <row r="79" spans="1:91" s="28" customFormat="1">
      <c r="A79" s="29"/>
      <c r="B79" s="30"/>
      <c r="C79" s="30"/>
      <c r="D79" s="30"/>
      <c r="E79" s="30"/>
      <c r="F79" s="30"/>
      <c r="G79" s="30"/>
      <c r="H79" s="30"/>
      <c r="I79" s="31"/>
      <c r="J79" s="30"/>
      <c r="K79" s="32"/>
      <c r="L79" s="33"/>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4"/>
      <c r="AY79" s="29"/>
      <c r="AZ79" s="82"/>
      <c r="BA79" s="82"/>
      <c r="BB79" s="82" t="s">
        <v>72</v>
      </c>
      <c r="BC79" s="82"/>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30"/>
      <c r="CJ79" s="30"/>
      <c r="CK79" s="30"/>
      <c r="CL79" s="30"/>
      <c r="CM79" s="29"/>
    </row>
    <row r="80" spans="1:91" s="28" customFormat="1">
      <c r="A80" s="29"/>
      <c r="B80" s="30"/>
      <c r="C80" s="30"/>
      <c r="D80" s="30"/>
      <c r="E80" s="30"/>
      <c r="F80" s="30"/>
      <c r="G80" s="30"/>
      <c r="H80" s="30"/>
      <c r="I80" s="31"/>
      <c r="J80" s="30"/>
      <c r="K80" s="32"/>
      <c r="L80" s="33"/>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4"/>
      <c r="AY80" s="29"/>
      <c r="AZ80" s="82"/>
      <c r="BA80" s="82"/>
      <c r="BB80" s="82" t="s">
        <v>101</v>
      </c>
      <c r="BC80" s="82"/>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30"/>
      <c r="CJ80" s="30"/>
      <c r="CK80" s="30"/>
      <c r="CL80" s="30"/>
      <c r="CM80" s="29"/>
    </row>
    <row r="81" spans="1:91" s="28" customFormat="1">
      <c r="A81" s="29"/>
      <c r="B81" s="30"/>
      <c r="C81" s="30"/>
      <c r="D81" s="30"/>
      <c r="E81" s="30"/>
      <c r="F81" s="30"/>
      <c r="G81" s="30"/>
      <c r="H81" s="30"/>
      <c r="I81" s="31"/>
      <c r="J81" s="30"/>
      <c r="K81" s="32"/>
      <c r="L81" s="33"/>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4"/>
      <c r="AY81" s="29"/>
      <c r="AZ81" s="82"/>
      <c r="BA81" s="82"/>
      <c r="BB81" s="82"/>
      <c r="BC81" s="82"/>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30"/>
      <c r="CJ81" s="30"/>
      <c r="CK81" s="30"/>
      <c r="CL81" s="30"/>
      <c r="CM81" s="29"/>
    </row>
    <row r="82" spans="1:91" s="28" customFormat="1">
      <c r="A82" s="29"/>
      <c r="B82" s="30"/>
      <c r="C82" s="30"/>
      <c r="D82" s="30"/>
      <c r="E82" s="30"/>
      <c r="F82" s="30"/>
      <c r="G82" s="30"/>
      <c r="H82" s="30"/>
      <c r="I82" s="31"/>
      <c r="J82" s="30"/>
      <c r="K82" s="32"/>
      <c r="L82" s="33"/>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4"/>
      <c r="AY82" s="29"/>
      <c r="AZ82" s="90" t="s">
        <v>188</v>
      </c>
      <c r="BA82" s="115"/>
      <c r="BB82" s="116" t="s">
        <v>212</v>
      </c>
      <c r="BC82" s="62"/>
      <c r="BD82" s="115"/>
      <c r="BE82" s="115"/>
      <c r="BF82" s="115"/>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29"/>
    </row>
    <row r="83" spans="1:91" s="28" customFormat="1">
      <c r="A83" s="29"/>
      <c r="B83" s="30"/>
      <c r="C83" s="30"/>
      <c r="D83" s="30"/>
      <c r="E83" s="30"/>
      <c r="F83" s="30"/>
      <c r="G83" s="30"/>
      <c r="H83" s="30"/>
      <c r="I83" s="31"/>
      <c r="J83" s="30"/>
      <c r="K83" s="32"/>
      <c r="L83" s="33"/>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4"/>
      <c r="AY83" s="29"/>
      <c r="AZ83" s="115"/>
      <c r="BA83" s="115"/>
      <c r="BB83" s="115" t="s">
        <v>204</v>
      </c>
      <c r="BC83" s="115"/>
      <c r="BD83" s="62"/>
      <c r="BE83" s="115"/>
      <c r="BF83" s="115"/>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29"/>
    </row>
    <row r="84" spans="1:91" s="28" customFormat="1">
      <c r="A84" s="29"/>
      <c r="B84" s="30"/>
      <c r="C84" s="30"/>
      <c r="D84" s="30"/>
      <c r="E84" s="30"/>
      <c r="F84" s="30"/>
      <c r="G84" s="30"/>
      <c r="H84" s="30"/>
      <c r="I84" s="31"/>
      <c r="J84" s="30"/>
      <c r="K84" s="32"/>
      <c r="L84" s="33"/>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4"/>
      <c r="AY84" s="29"/>
      <c r="AZ84" s="62"/>
      <c r="BA84" s="62"/>
      <c r="BB84" s="62" t="s">
        <v>194</v>
      </c>
      <c r="BC84" s="62"/>
      <c r="BD84" s="62"/>
      <c r="BE84" s="115"/>
      <c r="BF84" s="115"/>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c r="CF84" s="30"/>
      <c r="CG84" s="30"/>
      <c r="CH84" s="30"/>
      <c r="CI84" s="30"/>
      <c r="CJ84" s="30"/>
      <c r="CK84" s="30"/>
      <c r="CL84" s="30"/>
      <c r="CM84" s="29"/>
    </row>
    <row r="85" spans="1:91" s="28" customFormat="1">
      <c r="A85" s="29"/>
      <c r="B85" s="30"/>
      <c r="C85" s="30"/>
      <c r="D85" s="30"/>
      <c r="E85" s="30"/>
      <c r="F85" s="30"/>
      <c r="G85" s="30"/>
      <c r="H85" s="30"/>
      <c r="I85" s="31"/>
      <c r="J85" s="30"/>
      <c r="K85" s="32"/>
      <c r="L85" s="33"/>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4"/>
      <c r="AY85" s="29"/>
      <c r="AZ85" s="62"/>
      <c r="BA85" s="62"/>
      <c r="BB85" s="92" t="s">
        <v>190</v>
      </c>
      <c r="BC85" s="62"/>
      <c r="BD85" s="62"/>
      <c r="BE85" s="115"/>
      <c r="BF85" s="115"/>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c r="CH85" s="30"/>
      <c r="CI85" s="30"/>
      <c r="CJ85" s="30"/>
      <c r="CK85" s="30"/>
      <c r="CL85" s="30"/>
      <c r="CM85" s="29"/>
    </row>
    <row r="86" spans="1:91" s="28" customFormat="1">
      <c r="A86" s="29"/>
      <c r="B86" s="30"/>
      <c r="C86" s="30"/>
      <c r="D86" s="30"/>
      <c r="E86" s="30"/>
      <c r="F86" s="30"/>
      <c r="G86" s="30"/>
      <c r="H86" s="30"/>
      <c r="I86" s="31"/>
      <c r="J86" s="30"/>
      <c r="K86" s="32"/>
      <c r="L86" s="33"/>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4"/>
      <c r="AY86" s="29"/>
      <c r="AZ86" s="62"/>
      <c r="BA86" s="62"/>
      <c r="BB86" s="62" t="s">
        <v>154</v>
      </c>
      <c r="BC86" s="62"/>
      <c r="BD86" s="115"/>
      <c r="BE86" s="115"/>
      <c r="BF86" s="115"/>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c r="CH86" s="30"/>
      <c r="CI86" s="30"/>
      <c r="CJ86" s="30"/>
      <c r="CK86" s="30"/>
      <c r="CL86" s="30"/>
      <c r="CM86" s="29"/>
    </row>
    <row r="87" spans="1:91" s="28" customFormat="1">
      <c r="A87" s="29"/>
      <c r="B87" s="30"/>
      <c r="C87" s="30"/>
      <c r="D87" s="30"/>
      <c r="E87" s="30"/>
      <c r="F87" s="30"/>
      <c r="G87" s="30"/>
      <c r="H87" s="30"/>
      <c r="I87" s="31"/>
      <c r="J87" s="30"/>
      <c r="K87" s="32"/>
      <c r="L87" s="33"/>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4"/>
      <c r="AY87" s="29"/>
      <c r="AZ87" s="62"/>
      <c r="BA87" s="62"/>
      <c r="BB87" s="62"/>
      <c r="BC87" s="62" t="s">
        <v>155</v>
      </c>
      <c r="BD87" s="115"/>
      <c r="BE87" s="115"/>
      <c r="BF87" s="62"/>
      <c r="BG87" s="82" t="s">
        <v>156</v>
      </c>
      <c r="BH87" s="62" t="s">
        <v>157</v>
      </c>
      <c r="BI87" s="115"/>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c r="CH87" s="30"/>
      <c r="CI87" s="30"/>
      <c r="CJ87" s="30"/>
      <c r="CK87" s="30"/>
      <c r="CL87" s="30"/>
      <c r="CM87" s="29"/>
    </row>
    <row r="88" spans="1:91" s="28" customFormat="1">
      <c r="A88" s="29"/>
      <c r="B88" s="30"/>
      <c r="C88" s="30"/>
      <c r="D88" s="30"/>
      <c r="E88" s="30"/>
      <c r="F88" s="30"/>
      <c r="G88" s="30"/>
      <c r="H88" s="30"/>
      <c r="I88" s="31"/>
      <c r="J88" s="30"/>
      <c r="K88" s="32"/>
      <c r="L88" s="33"/>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4"/>
      <c r="AY88" s="29"/>
      <c r="AZ88" s="62"/>
      <c r="BA88" s="62"/>
      <c r="BB88" s="62"/>
      <c r="BC88" s="62" t="s">
        <v>158</v>
      </c>
      <c r="BD88" s="115"/>
      <c r="BE88" s="115"/>
      <c r="BF88" s="62"/>
      <c r="BG88" s="82" t="s">
        <v>156</v>
      </c>
      <c r="BH88" s="62" t="s">
        <v>189</v>
      </c>
      <c r="BI88" s="115"/>
      <c r="BJ88" s="30"/>
      <c r="BK88" s="30"/>
      <c r="BL88" s="30"/>
      <c r="BM88" s="30"/>
      <c r="BN88" s="30"/>
      <c r="BO88" s="30"/>
      <c r="BP88" s="30"/>
      <c r="BQ88" s="30"/>
      <c r="BR88" s="30"/>
      <c r="BS88" s="30"/>
      <c r="BT88" s="30"/>
      <c r="BU88" s="30"/>
      <c r="BV88" s="30"/>
      <c r="BW88" s="30"/>
      <c r="BX88" s="30"/>
      <c r="BY88" s="30"/>
      <c r="BZ88" s="30"/>
      <c r="CA88" s="30"/>
      <c r="CB88" s="30"/>
      <c r="CC88" s="30"/>
      <c r="CD88" s="30"/>
      <c r="CE88" s="30"/>
      <c r="CF88" s="30"/>
      <c r="CG88" s="30"/>
      <c r="CH88" s="30"/>
      <c r="CI88" s="30"/>
      <c r="CJ88" s="30"/>
      <c r="CK88" s="30"/>
      <c r="CL88" s="30"/>
      <c r="CM88" s="29"/>
    </row>
    <row r="89" spans="1:91" s="28" customFormat="1">
      <c r="A89" s="29"/>
      <c r="B89" s="30"/>
      <c r="C89" s="30"/>
      <c r="D89" s="30"/>
      <c r="E89" s="30"/>
      <c r="F89" s="30"/>
      <c r="G89" s="30"/>
      <c r="H89" s="30"/>
      <c r="I89" s="31"/>
      <c r="J89" s="30"/>
      <c r="K89" s="32"/>
      <c r="L89" s="33"/>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4"/>
      <c r="AY89" s="29"/>
      <c r="AZ89" s="115"/>
      <c r="BA89" s="115"/>
      <c r="BB89" s="115" t="s">
        <v>195</v>
      </c>
      <c r="BC89" s="115"/>
      <c r="BD89" s="62"/>
      <c r="BE89" s="115"/>
      <c r="BF89" s="115"/>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29"/>
    </row>
    <row r="90" spans="1:91" s="28" customFormat="1">
      <c r="A90" s="29"/>
      <c r="B90" s="30"/>
      <c r="C90" s="30"/>
      <c r="D90" s="30"/>
      <c r="E90" s="30"/>
      <c r="F90" s="30"/>
      <c r="G90" s="30"/>
      <c r="H90" s="30"/>
      <c r="I90" s="31"/>
      <c r="J90" s="30"/>
      <c r="K90" s="32"/>
      <c r="L90" s="33"/>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4"/>
      <c r="AY90" s="29"/>
      <c r="AZ90" s="115"/>
      <c r="BA90" s="115"/>
      <c r="BB90" s="115" t="s">
        <v>191</v>
      </c>
      <c r="BC90" s="115"/>
      <c r="BD90" s="62"/>
      <c r="BE90" s="115"/>
      <c r="BF90" s="115"/>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30"/>
      <c r="CJ90" s="30"/>
      <c r="CK90" s="30"/>
      <c r="CL90" s="30"/>
      <c r="CM90" s="29"/>
    </row>
    <row r="91" spans="1:91" s="28" customFormat="1">
      <c r="A91" s="29"/>
      <c r="B91" s="30"/>
      <c r="C91" s="30"/>
      <c r="D91" s="30"/>
      <c r="E91" s="30"/>
      <c r="F91" s="30"/>
      <c r="G91" s="30"/>
      <c r="H91" s="30"/>
      <c r="I91" s="31"/>
      <c r="J91" s="30"/>
      <c r="K91" s="32"/>
      <c r="L91" s="33"/>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4"/>
      <c r="AY91" s="29"/>
      <c r="AZ91" s="82"/>
      <c r="BA91" s="82"/>
      <c r="BB91" s="82"/>
      <c r="BC91" s="82"/>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29"/>
    </row>
    <row r="92" spans="1:91" s="28" customFormat="1">
      <c r="A92" s="29"/>
      <c r="B92" s="30"/>
      <c r="C92" s="30"/>
      <c r="D92" s="30"/>
      <c r="E92" s="30"/>
      <c r="F92" s="30"/>
      <c r="G92" s="30"/>
      <c r="H92" s="30"/>
      <c r="I92" s="31"/>
      <c r="J92" s="30"/>
      <c r="K92" s="32"/>
      <c r="L92" s="33"/>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4"/>
      <c r="AY92" s="35"/>
      <c r="BB92" s="82"/>
      <c r="BC92" s="82"/>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30"/>
      <c r="CJ92" s="30"/>
      <c r="CK92" s="30"/>
      <c r="CL92" s="30"/>
      <c r="CM92" s="29"/>
    </row>
    <row r="93" spans="1:91" s="28" customFormat="1">
      <c r="A93" s="29"/>
      <c r="B93" s="30"/>
      <c r="C93" s="30"/>
      <c r="D93" s="30"/>
      <c r="E93" s="30"/>
      <c r="F93" s="30"/>
      <c r="G93" s="30"/>
      <c r="H93" s="30"/>
      <c r="I93" s="31"/>
      <c r="J93" s="30"/>
      <c r="K93" s="32"/>
      <c r="L93" s="33"/>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4"/>
      <c r="AY93" s="29"/>
      <c r="AZ93" s="82" t="s">
        <v>139</v>
      </c>
      <c r="BA93" s="82"/>
      <c r="BB93" s="82"/>
      <c r="BC93" s="57"/>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30"/>
      <c r="CJ93" s="30"/>
      <c r="CK93" s="30"/>
      <c r="CL93" s="30"/>
      <c r="CM93" s="29"/>
    </row>
    <row r="94" spans="1:91" s="28" customFormat="1">
      <c r="A94" s="29"/>
      <c r="B94" s="30"/>
      <c r="C94" s="30"/>
      <c r="D94" s="30"/>
      <c r="E94" s="30"/>
      <c r="F94" s="30"/>
      <c r="G94" s="30"/>
      <c r="H94" s="30"/>
      <c r="I94" s="31"/>
      <c r="J94" s="30"/>
      <c r="K94" s="32"/>
      <c r="L94" s="33"/>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4"/>
      <c r="AY94" s="29"/>
      <c r="AZ94" s="82"/>
      <c r="BA94" s="82"/>
      <c r="BB94" s="82" t="s">
        <v>133</v>
      </c>
      <c r="BC94" s="82"/>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30"/>
      <c r="CJ94" s="30"/>
      <c r="CK94" s="30"/>
      <c r="CL94" s="30"/>
      <c r="CM94" s="29"/>
    </row>
    <row r="95" spans="1:91" s="28" customFormat="1">
      <c r="A95" s="29"/>
      <c r="B95" s="30"/>
      <c r="C95" s="30"/>
      <c r="D95" s="30"/>
      <c r="E95" s="30"/>
      <c r="F95" s="30"/>
      <c r="G95" s="30"/>
      <c r="H95" s="30"/>
      <c r="I95" s="31"/>
      <c r="J95" s="30"/>
      <c r="K95" s="32"/>
      <c r="L95" s="33"/>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4"/>
      <c r="AY95" s="35"/>
      <c r="AZ95" s="82"/>
      <c r="BA95" s="82"/>
      <c r="BB95" s="82" t="s">
        <v>132</v>
      </c>
      <c r="BC95" s="82"/>
      <c r="BF95" s="30"/>
      <c r="BG95" s="30"/>
      <c r="BH95" s="30"/>
      <c r="BI95" s="30"/>
      <c r="BJ95" s="30"/>
      <c r="BK95" s="30"/>
      <c r="BL95" s="30"/>
      <c r="BM95" s="30"/>
      <c r="BN95" s="30"/>
      <c r="BO95" s="30"/>
      <c r="BP95" s="30"/>
      <c r="BQ95" s="30"/>
      <c r="BR95" s="30"/>
      <c r="BS95" s="30"/>
      <c r="BT95" s="30"/>
      <c r="BU95" s="30"/>
      <c r="BV95" s="30"/>
      <c r="BW95" s="30"/>
      <c r="BX95" s="30"/>
      <c r="BY95" s="30"/>
      <c r="BZ95" s="30"/>
      <c r="CA95" s="30"/>
      <c r="CL95" s="30"/>
      <c r="CM95" s="29"/>
    </row>
    <row r="96" spans="1:91" s="28" customFormat="1">
      <c r="A96" s="29"/>
      <c r="B96" s="30"/>
      <c r="C96" s="30"/>
      <c r="D96" s="30"/>
      <c r="E96" s="30"/>
      <c r="F96" s="30"/>
      <c r="G96" s="30"/>
      <c r="H96" s="30"/>
      <c r="I96" s="31"/>
      <c r="J96" s="30"/>
      <c r="K96" s="32"/>
      <c r="L96" s="33"/>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4"/>
      <c r="AY96" s="35"/>
      <c r="AZ96" s="82"/>
      <c r="BA96" s="82"/>
      <c r="BB96" s="82" t="s">
        <v>143</v>
      </c>
      <c r="BC96" s="82"/>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30"/>
      <c r="CJ96" s="30"/>
      <c r="CK96" s="30"/>
      <c r="CL96" s="30"/>
      <c r="CM96" s="29"/>
    </row>
    <row r="97" spans="1:91" s="28" customFormat="1">
      <c r="A97" s="29"/>
      <c r="B97" s="30"/>
      <c r="C97" s="30"/>
      <c r="D97" s="30"/>
      <c r="E97" s="30"/>
      <c r="F97" s="30"/>
      <c r="G97" s="30"/>
      <c r="H97" s="30"/>
      <c r="I97" s="31"/>
      <c r="J97" s="30"/>
      <c r="K97" s="32"/>
      <c r="L97" s="33"/>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4"/>
      <c r="AY97" s="35"/>
      <c r="AZ97" s="57"/>
      <c r="BA97" s="57"/>
      <c r="BB97" s="82"/>
      <c r="BC97" s="82" t="s">
        <v>145</v>
      </c>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30"/>
      <c r="CJ97" s="30"/>
      <c r="CK97" s="30"/>
      <c r="CL97" s="30"/>
      <c r="CM97" s="29"/>
    </row>
    <row r="98" spans="1:91" s="28" customFormat="1">
      <c r="A98" s="29"/>
      <c r="B98" s="30"/>
      <c r="C98" s="30"/>
      <c r="D98" s="30"/>
      <c r="E98" s="30"/>
      <c r="F98" s="30"/>
      <c r="G98" s="30"/>
      <c r="H98" s="30"/>
      <c r="I98" s="31"/>
      <c r="J98" s="30"/>
      <c r="K98" s="32"/>
      <c r="L98" s="33"/>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4"/>
      <c r="AY98" s="35"/>
      <c r="AZ98" s="57"/>
      <c r="BA98" s="57"/>
      <c r="BB98" s="82" t="s">
        <v>131</v>
      </c>
      <c r="BC98" s="82"/>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30"/>
      <c r="CJ98" s="30"/>
      <c r="CK98" s="30"/>
      <c r="CL98" s="30"/>
      <c r="CM98" s="29"/>
    </row>
    <row r="99" spans="1:91" s="28" customFormat="1">
      <c r="A99" s="29"/>
      <c r="B99" s="30"/>
      <c r="C99" s="30"/>
      <c r="D99" s="30"/>
      <c r="E99" s="30"/>
      <c r="F99" s="30"/>
      <c r="G99" s="30"/>
      <c r="H99" s="30"/>
      <c r="I99" s="31"/>
      <c r="J99" s="30"/>
      <c r="K99" s="32"/>
      <c r="L99" s="33"/>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4"/>
      <c r="AY99" s="35"/>
      <c r="AZ99" s="57"/>
      <c r="BA99" s="57"/>
      <c r="BB99" s="82"/>
      <c r="BC99" s="82" t="s">
        <v>138</v>
      </c>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30"/>
      <c r="CJ99" s="30"/>
      <c r="CK99" s="30"/>
      <c r="CL99" s="30"/>
      <c r="CM99" s="29"/>
    </row>
    <row r="100" spans="1:91" s="28" customFormat="1">
      <c r="A100" s="29"/>
      <c r="B100" s="30"/>
      <c r="C100" s="30"/>
      <c r="D100" s="30"/>
      <c r="E100" s="30"/>
      <c r="F100" s="30"/>
      <c r="G100" s="30"/>
      <c r="H100" s="30"/>
      <c r="I100" s="31"/>
      <c r="J100" s="30"/>
      <c r="K100" s="32"/>
      <c r="L100" s="33"/>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4"/>
      <c r="AY100" s="35"/>
      <c r="BB100" s="82" t="s">
        <v>182</v>
      </c>
      <c r="BC100" s="82"/>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29"/>
    </row>
    <row r="101" spans="1:91" s="28" customFormat="1">
      <c r="A101" s="29"/>
      <c r="B101" s="30"/>
      <c r="C101" s="30"/>
      <c r="D101" s="30"/>
      <c r="E101" s="30"/>
      <c r="F101" s="30"/>
      <c r="G101" s="30"/>
      <c r="H101" s="30"/>
      <c r="I101" s="31"/>
      <c r="J101" s="30"/>
      <c r="K101" s="32"/>
      <c r="L101" s="33"/>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4"/>
      <c r="AY101" s="35"/>
      <c r="AZ101" s="30"/>
      <c r="BA101" s="30"/>
      <c r="BB101" s="30"/>
      <c r="BC101" s="62"/>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30"/>
      <c r="CJ101" s="30"/>
      <c r="CK101" s="30"/>
      <c r="CL101" s="30"/>
      <c r="CM101" s="29"/>
    </row>
    <row r="102" spans="1:91" s="28" customFormat="1">
      <c r="A102" s="37"/>
      <c r="B102" s="38"/>
      <c r="C102" s="38"/>
      <c r="D102" s="38"/>
      <c r="E102" s="38"/>
      <c r="F102" s="38"/>
      <c r="G102" s="38"/>
      <c r="H102" s="38"/>
      <c r="I102" s="39"/>
      <c r="J102" s="38"/>
      <c r="K102" s="40"/>
      <c r="L102" s="40"/>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41"/>
      <c r="AY102" s="37"/>
      <c r="AZ102" s="38"/>
      <c r="BA102" s="38"/>
      <c r="BB102" s="38"/>
      <c r="BC102" s="38"/>
      <c r="BD102" s="38"/>
      <c r="BE102" s="38"/>
      <c r="BF102" s="38"/>
      <c r="BG102" s="38"/>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c r="CD102" s="38"/>
      <c r="CE102" s="38"/>
      <c r="CF102" s="38"/>
      <c r="CG102" s="38"/>
      <c r="CH102" s="38"/>
      <c r="CI102" s="38"/>
      <c r="CJ102" s="38"/>
      <c r="CK102" s="38"/>
      <c r="CL102" s="38"/>
      <c r="CM102" s="29"/>
    </row>
    <row r="103" spans="1:91" s="28" customFormat="1">
      <c r="A103" s="53" t="s">
        <v>49</v>
      </c>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c r="BU103" s="54"/>
      <c r="BV103" s="54"/>
      <c r="BW103" s="54"/>
      <c r="BX103" s="54"/>
      <c r="BY103" s="54"/>
      <c r="BZ103" s="54"/>
      <c r="CA103" s="54"/>
      <c r="CB103" s="54"/>
      <c r="CC103" s="54"/>
      <c r="CD103" s="54"/>
      <c r="CE103" s="54"/>
      <c r="CF103" s="54"/>
      <c r="CG103" s="54"/>
      <c r="CH103" s="54"/>
      <c r="CI103" s="54"/>
      <c r="CJ103" s="54"/>
      <c r="CK103" s="54"/>
      <c r="CL103" s="54"/>
      <c r="CM103" s="29"/>
    </row>
    <row r="104" spans="1:91" s="28" customFormat="1">
      <c r="A104" s="22"/>
      <c r="B104" s="23"/>
      <c r="C104" s="23"/>
      <c r="D104" s="23"/>
      <c r="E104" s="23"/>
      <c r="F104" s="23"/>
      <c r="G104" s="23"/>
      <c r="H104" s="23"/>
      <c r="I104" s="24"/>
      <c r="J104" s="23"/>
      <c r="K104" s="25"/>
      <c r="L104" s="26"/>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9"/>
    </row>
    <row r="105" spans="1:91" s="28" customFormat="1">
      <c r="A105" s="29"/>
      <c r="B105" s="30"/>
      <c r="C105" s="30"/>
      <c r="D105" s="30"/>
      <c r="E105" s="30"/>
      <c r="F105" s="30"/>
      <c r="G105" s="30"/>
      <c r="H105" s="30"/>
      <c r="I105" s="31"/>
      <c r="J105" s="30"/>
      <c r="K105" s="32"/>
      <c r="L105" s="33"/>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29"/>
    </row>
    <row r="106" spans="1:91" s="28" customFormat="1">
      <c r="A106" s="29"/>
      <c r="B106" s="30"/>
      <c r="C106" s="30"/>
      <c r="D106" s="30"/>
      <c r="E106" s="30"/>
      <c r="F106" s="30"/>
      <c r="G106" s="30"/>
      <c r="H106" s="30"/>
      <c r="I106" s="31"/>
      <c r="J106" s="30"/>
      <c r="K106" s="32"/>
      <c r="L106" s="33"/>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29"/>
    </row>
    <row r="107" spans="1:91" s="28" customFormat="1">
      <c r="A107" s="29"/>
      <c r="B107" s="30"/>
      <c r="C107" s="30"/>
      <c r="D107" s="30"/>
      <c r="E107" s="30"/>
      <c r="F107" s="30"/>
      <c r="G107" s="30"/>
      <c r="H107" s="30"/>
      <c r="I107" s="30"/>
      <c r="J107" s="30"/>
      <c r="K107" s="42"/>
      <c r="L107" s="43"/>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29"/>
    </row>
    <row r="108" spans="1:91" s="28" customFormat="1">
      <c r="A108" s="29"/>
      <c r="B108" s="30"/>
      <c r="C108" s="30"/>
      <c r="D108" s="30"/>
      <c r="E108" s="30"/>
      <c r="F108" s="30"/>
      <c r="G108" s="30"/>
      <c r="H108" s="30"/>
      <c r="I108" s="30"/>
      <c r="J108" s="30"/>
      <c r="K108" s="42"/>
      <c r="L108" s="43"/>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29"/>
    </row>
    <row r="109" spans="1:91" s="28" customFormat="1">
      <c r="A109" s="29"/>
      <c r="B109" s="30"/>
      <c r="C109" s="30"/>
      <c r="D109" s="30"/>
      <c r="E109" s="30"/>
      <c r="F109" s="30"/>
      <c r="G109" s="30"/>
      <c r="H109" s="30"/>
      <c r="I109" s="30"/>
      <c r="J109" s="30"/>
      <c r="K109" s="42"/>
      <c r="L109" s="43"/>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29"/>
    </row>
    <row r="110" spans="1:91" s="28" customFormat="1">
      <c r="A110" s="29"/>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29"/>
    </row>
    <row r="111" spans="1:91" s="28" customFormat="1">
      <c r="A111" s="29"/>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29"/>
    </row>
    <row r="112" spans="1:91" s="28" customFormat="1">
      <c r="A112" s="29"/>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29"/>
    </row>
    <row r="113" spans="1:91">
      <c r="A113" s="44"/>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5"/>
      <c r="BK113" s="45"/>
      <c r="BL113" s="45"/>
      <c r="BM113" s="45"/>
      <c r="BN113" s="45"/>
      <c r="BO113" s="45"/>
      <c r="BP113" s="45"/>
      <c r="BQ113" s="45"/>
      <c r="BR113" s="45"/>
      <c r="BS113" s="45"/>
      <c r="BT113" s="45"/>
      <c r="BU113" s="45"/>
      <c r="BV113" s="45"/>
      <c r="BW113" s="45"/>
      <c r="BX113" s="45"/>
      <c r="BY113" s="45"/>
      <c r="BZ113" s="45"/>
      <c r="CA113" s="45"/>
      <c r="CB113" s="45"/>
      <c r="CC113" s="45"/>
      <c r="CD113" s="45"/>
      <c r="CE113" s="45"/>
      <c r="CF113" s="45"/>
      <c r="CG113" s="45"/>
      <c r="CH113" s="45"/>
      <c r="CI113" s="45"/>
      <c r="CJ113" s="45"/>
      <c r="CK113" s="45"/>
      <c r="CL113" s="45"/>
      <c r="CM113" s="51"/>
    </row>
    <row r="114" spans="1:91">
      <c r="A114" s="44"/>
      <c r="B114" s="45"/>
      <c r="C114" s="45"/>
      <c r="D114" s="45"/>
      <c r="E114" s="45"/>
      <c r="F114" s="45"/>
      <c r="G114" s="45"/>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row>
    <row r="115" spans="1:91">
      <c r="A115" s="123" t="s">
        <v>5</v>
      </c>
      <c r="B115" s="124"/>
      <c r="C115" s="124"/>
      <c r="D115" s="124"/>
      <c r="E115" s="124"/>
      <c r="F115" s="124"/>
      <c r="G115" s="125"/>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row>
    <row r="116" spans="1:91">
      <c r="A116" s="48"/>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49"/>
      <c r="BY116" s="49"/>
      <c r="BZ116" s="49"/>
      <c r="CA116" s="49"/>
      <c r="CB116" s="49"/>
      <c r="CC116" s="49"/>
      <c r="CD116" s="49"/>
      <c r="CE116" s="49"/>
      <c r="CF116" s="49"/>
      <c r="CG116" s="49"/>
      <c r="CH116" s="49"/>
      <c r="CI116" s="49"/>
      <c r="CJ116" s="49"/>
      <c r="CK116" s="49"/>
      <c r="CL116" s="50"/>
    </row>
    <row r="117" spans="1:91">
      <c r="A117" s="51"/>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52"/>
    </row>
    <row r="118" spans="1:91">
      <c r="A118" s="44"/>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45"/>
      <c r="BJ118" s="45"/>
      <c r="BK118" s="45"/>
      <c r="BL118" s="45"/>
      <c r="BM118" s="45"/>
      <c r="BN118" s="45"/>
      <c r="BO118" s="45"/>
      <c r="BP118" s="45"/>
      <c r="BQ118" s="45"/>
      <c r="BR118" s="45"/>
      <c r="BS118" s="45"/>
      <c r="BT118" s="45"/>
      <c r="BU118" s="45"/>
      <c r="BV118" s="45"/>
      <c r="BW118" s="45"/>
      <c r="BX118" s="45"/>
      <c r="BY118" s="45"/>
      <c r="BZ118" s="45"/>
      <c r="CA118" s="45"/>
      <c r="CB118" s="45"/>
      <c r="CC118" s="45"/>
      <c r="CD118" s="45"/>
      <c r="CE118" s="45"/>
      <c r="CF118" s="45"/>
      <c r="CG118" s="45"/>
      <c r="CH118" s="45"/>
      <c r="CI118" s="45"/>
      <c r="CJ118" s="45"/>
      <c r="CK118" s="45"/>
      <c r="CL118" s="46"/>
    </row>
  </sheetData>
  <mergeCells count="35">
    <mergeCell ref="A14:H14"/>
    <mergeCell ref="I14:CL14"/>
    <mergeCell ref="A115:G115"/>
    <mergeCell ref="A15:H15"/>
    <mergeCell ref="I15:CL15"/>
    <mergeCell ref="A16:H16"/>
    <mergeCell ref="I16:CL16"/>
    <mergeCell ref="A18:H18"/>
    <mergeCell ref="AY18:BF18"/>
    <mergeCell ref="A13:H13"/>
    <mergeCell ref="I13:CL13"/>
    <mergeCell ref="A4:G4"/>
    <mergeCell ref="A5:CI7"/>
    <mergeCell ref="A9:H9"/>
    <mergeCell ref="A10:H10"/>
    <mergeCell ref="I10:CL10"/>
    <mergeCell ref="A11:H11"/>
    <mergeCell ref="I11:CL11"/>
    <mergeCell ref="A12:H12"/>
    <mergeCell ref="I12:CL12"/>
    <mergeCell ref="AY1:BD1"/>
    <mergeCell ref="BE1:BJ1"/>
    <mergeCell ref="L2:T2"/>
    <mergeCell ref="U2:AC2"/>
    <mergeCell ref="A1:K2"/>
    <mergeCell ref="L1:T1"/>
    <mergeCell ref="U1:AC1"/>
    <mergeCell ref="AD1:AL1"/>
    <mergeCell ref="AM1:AR1"/>
    <mergeCell ref="AD2:AL2"/>
    <mergeCell ref="AM2:AR2"/>
    <mergeCell ref="AS2:AX2"/>
    <mergeCell ref="AY2:BD2"/>
    <mergeCell ref="BE2:BJ2"/>
    <mergeCell ref="AS1:AX1"/>
  </mergeCells>
  <phoneticPr fontId="6"/>
  <pageMargins left="0.39" right="0.4" top="0.98425196850393704" bottom="0.41" header="0.51181102362204722" footer="0.17"/>
  <pageSetup paperSize="8" scale="58" orientation="portrait" horizontalDpi="300" verticalDpi="300" r:id="rId1"/>
  <headerFooter alignWithMargins="0"/>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64"/>
  <sheetViews>
    <sheetView zoomScale="85" zoomScaleNormal="85" workbookViewId="0">
      <selection activeCell="D28" sqref="D28"/>
    </sheetView>
  </sheetViews>
  <sheetFormatPr defaultColWidth="2.625" defaultRowHeight="15.75"/>
  <cols>
    <col min="1" max="50" width="2.625" style="13"/>
    <col min="51" max="51" width="2.875" style="13" bestFit="1" customWidth="1"/>
    <col min="52" max="52" width="2.375" style="13" customWidth="1"/>
    <col min="53" max="73" width="2.625" style="13"/>
    <col min="74" max="75" width="3.125" style="13" bestFit="1" customWidth="1"/>
    <col min="76" max="76" width="2.625" style="13"/>
    <col min="77" max="77" width="3.125" style="13" bestFit="1" customWidth="1"/>
    <col min="78" max="78" width="2.625" style="13"/>
    <col min="79" max="79" width="3.125" style="13" bestFit="1" customWidth="1"/>
    <col min="80" max="81" width="2.625" style="13"/>
    <col min="82" max="82" width="3.875" style="13" bestFit="1" customWidth="1"/>
    <col min="83" max="83" width="3.125" style="13" bestFit="1" customWidth="1"/>
    <col min="84" max="16384" width="2.625" style="13"/>
  </cols>
  <sheetData>
    <row r="1" spans="1:91" ht="13.5" customHeight="1">
      <c r="A1" s="132" t="s">
        <v>21</v>
      </c>
      <c r="B1" s="133"/>
      <c r="C1" s="133"/>
      <c r="D1" s="133"/>
      <c r="E1" s="133"/>
      <c r="F1" s="133"/>
      <c r="G1" s="133"/>
      <c r="H1" s="133"/>
      <c r="I1" s="133"/>
      <c r="J1" s="133"/>
      <c r="K1" s="134"/>
      <c r="L1" s="123" t="s">
        <v>4</v>
      </c>
      <c r="M1" s="124"/>
      <c r="N1" s="124"/>
      <c r="O1" s="124"/>
      <c r="P1" s="124"/>
      <c r="Q1" s="124"/>
      <c r="R1" s="124"/>
      <c r="S1" s="124"/>
      <c r="T1" s="125"/>
      <c r="U1" s="123" t="s">
        <v>36</v>
      </c>
      <c r="V1" s="124"/>
      <c r="W1" s="124"/>
      <c r="X1" s="124"/>
      <c r="Y1" s="124"/>
      <c r="Z1" s="124"/>
      <c r="AA1" s="124"/>
      <c r="AB1" s="124"/>
      <c r="AC1" s="125"/>
      <c r="AD1" s="123" t="s">
        <v>37</v>
      </c>
      <c r="AE1" s="124"/>
      <c r="AF1" s="124"/>
      <c r="AG1" s="124"/>
      <c r="AH1" s="124"/>
      <c r="AI1" s="124"/>
      <c r="AJ1" s="124"/>
      <c r="AK1" s="124"/>
      <c r="AL1" s="125"/>
      <c r="AM1" s="123" t="s">
        <v>0</v>
      </c>
      <c r="AN1" s="124"/>
      <c r="AO1" s="124"/>
      <c r="AP1" s="124"/>
      <c r="AQ1" s="124"/>
      <c r="AR1" s="125"/>
      <c r="AS1" s="123" t="s">
        <v>1</v>
      </c>
      <c r="AT1" s="124"/>
      <c r="AU1" s="124"/>
      <c r="AV1" s="124"/>
      <c r="AW1" s="124"/>
      <c r="AX1" s="125"/>
      <c r="AY1" s="123" t="s">
        <v>2</v>
      </c>
      <c r="AZ1" s="124"/>
      <c r="BA1" s="124"/>
      <c r="BB1" s="124"/>
      <c r="BC1" s="124"/>
      <c r="BD1" s="125"/>
      <c r="BE1" s="123" t="s">
        <v>3</v>
      </c>
      <c r="BF1" s="124"/>
      <c r="BG1" s="124"/>
      <c r="BH1" s="124"/>
      <c r="BI1" s="124"/>
      <c r="BJ1" s="125"/>
    </row>
    <row r="2" spans="1:91" ht="25.5" customHeight="1">
      <c r="A2" s="135"/>
      <c r="B2" s="136"/>
      <c r="C2" s="136"/>
      <c r="D2" s="136"/>
      <c r="E2" s="136"/>
      <c r="F2" s="136"/>
      <c r="G2" s="136"/>
      <c r="H2" s="136"/>
      <c r="I2" s="136"/>
      <c r="J2" s="136"/>
      <c r="K2" s="137"/>
      <c r="L2" s="126" t="str">
        <f>表紙!D4</f>
        <v>4S　デジタルトランスフォーメーション・プラットフォーム構築</v>
      </c>
      <c r="M2" s="127"/>
      <c r="N2" s="127"/>
      <c r="O2" s="127"/>
      <c r="P2" s="127"/>
      <c r="Q2" s="127"/>
      <c r="R2" s="127"/>
      <c r="S2" s="127"/>
      <c r="T2" s="128"/>
      <c r="U2" s="129" t="s">
        <v>52</v>
      </c>
      <c r="V2" s="130"/>
      <c r="W2" s="130"/>
      <c r="X2" s="130"/>
      <c r="Y2" s="130"/>
      <c r="Z2" s="130"/>
      <c r="AA2" s="130"/>
      <c r="AB2" s="130"/>
      <c r="AC2" s="131"/>
      <c r="AD2" s="126" t="s">
        <v>78</v>
      </c>
      <c r="AE2" s="130"/>
      <c r="AF2" s="130"/>
      <c r="AG2" s="130"/>
      <c r="AH2" s="130"/>
      <c r="AI2" s="130"/>
      <c r="AJ2" s="130"/>
      <c r="AK2" s="130"/>
      <c r="AL2" s="131"/>
      <c r="AM2" s="138" t="str">
        <f>改版履歴!C4</f>
        <v>JSOL後藤</v>
      </c>
      <c r="AN2" s="139"/>
      <c r="AO2" s="139"/>
      <c r="AP2" s="139"/>
      <c r="AQ2" s="139"/>
      <c r="AR2" s="140"/>
      <c r="AS2" s="141">
        <f>改版履歴!D4</f>
        <v>43234</v>
      </c>
      <c r="AT2" s="130"/>
      <c r="AU2" s="130"/>
      <c r="AV2" s="130"/>
      <c r="AW2" s="130"/>
      <c r="AX2" s="131"/>
      <c r="AY2" s="142" t="str">
        <f>INDEX(改版履歴!C4:C32,COUNTA(改版履歴!C4:C32))</f>
        <v>JSOL神田</v>
      </c>
      <c r="AZ2" s="139"/>
      <c r="BA2" s="139"/>
      <c r="BB2" s="139"/>
      <c r="BC2" s="139"/>
      <c r="BD2" s="140"/>
      <c r="BE2" s="141">
        <f>INDEX(改版履歴!D4:D32,COUNTA(改版履歴!D4:D32))</f>
        <v>44008</v>
      </c>
      <c r="BF2" s="143"/>
      <c r="BG2" s="143"/>
      <c r="BH2" s="143"/>
      <c r="BI2" s="143"/>
      <c r="BJ2" s="144"/>
    </row>
    <row r="4" spans="1:91">
      <c r="A4" s="179" t="s">
        <v>82</v>
      </c>
      <c r="B4" s="179"/>
      <c r="C4" s="179"/>
      <c r="D4" s="179"/>
      <c r="E4" s="179"/>
      <c r="F4" s="179"/>
      <c r="G4" s="179"/>
      <c r="H4" s="179"/>
      <c r="I4" s="179"/>
      <c r="J4" s="179"/>
      <c r="K4" s="179"/>
      <c r="L4" s="179"/>
      <c r="M4" s="179"/>
    </row>
    <row r="5" spans="1:91" s="28" customFormat="1">
      <c r="A5" s="22"/>
      <c r="B5" s="23"/>
      <c r="C5" s="23"/>
      <c r="D5" s="23"/>
      <c r="E5" s="23"/>
      <c r="F5" s="23"/>
      <c r="G5" s="23"/>
      <c r="H5" s="23"/>
      <c r="I5" s="24"/>
      <c r="J5" s="23"/>
      <c r="K5" s="25"/>
      <c r="L5" s="26"/>
      <c r="M5" s="23"/>
      <c r="N5" s="23"/>
      <c r="O5" s="25"/>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9"/>
    </row>
    <row r="6" spans="1:91" s="28" customFormat="1" ht="13.5" customHeight="1">
      <c r="A6" s="29"/>
      <c r="B6" s="61" t="s">
        <v>83</v>
      </c>
      <c r="C6" s="30"/>
      <c r="D6" s="30"/>
      <c r="E6" s="30"/>
      <c r="F6" s="30"/>
      <c r="G6" s="30"/>
      <c r="H6" s="30"/>
      <c r="I6" s="31"/>
      <c r="J6" s="30"/>
      <c r="K6" s="32"/>
      <c r="L6" s="33"/>
      <c r="M6" s="30"/>
      <c r="N6" s="30"/>
      <c r="O6" s="32"/>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29"/>
    </row>
    <row r="7" spans="1:91" s="28" customFormat="1">
      <c r="A7" s="29"/>
      <c r="B7" s="30"/>
      <c r="C7" s="30"/>
      <c r="D7" s="66"/>
      <c r="AV7" s="30"/>
      <c r="AW7" s="30"/>
      <c r="AX7" s="30"/>
      <c r="AY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29"/>
    </row>
    <row r="8" spans="1:91" s="28" customFormat="1">
      <c r="A8" s="29"/>
      <c r="B8" s="30"/>
      <c r="C8" s="66" t="s">
        <v>86</v>
      </c>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29"/>
    </row>
    <row r="9" spans="1:91" s="28" customFormat="1">
      <c r="A9" s="29"/>
      <c r="B9" s="30"/>
      <c r="C9" s="66" t="s">
        <v>91</v>
      </c>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29"/>
    </row>
    <row r="10" spans="1:91" s="28" customFormat="1">
      <c r="A10" s="29"/>
      <c r="B10" s="30"/>
      <c r="C10" s="63" t="s">
        <v>84</v>
      </c>
      <c r="D10" s="64"/>
      <c r="E10" s="64"/>
      <c r="F10" s="64"/>
      <c r="G10" s="64"/>
      <c r="H10" s="64"/>
      <c r="I10" s="64"/>
      <c r="J10" s="64"/>
      <c r="K10" s="65"/>
      <c r="L10" s="67" t="s">
        <v>87</v>
      </c>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9"/>
      <c r="AV10" s="30"/>
      <c r="AW10" s="30"/>
      <c r="AX10" s="30"/>
      <c r="AY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29"/>
    </row>
    <row r="11" spans="1:91" s="28" customFormat="1">
      <c r="A11" s="29"/>
      <c r="B11" s="30"/>
      <c r="C11" s="63" t="s">
        <v>85</v>
      </c>
      <c r="D11" s="64"/>
      <c r="E11" s="64"/>
      <c r="F11" s="64"/>
      <c r="G11" s="64"/>
      <c r="H11" s="64"/>
      <c r="I11" s="64"/>
      <c r="J11" s="64"/>
      <c r="K11" s="65"/>
      <c r="L11" s="67" t="s">
        <v>88</v>
      </c>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9"/>
      <c r="AV11" s="30"/>
      <c r="AW11" s="30"/>
      <c r="AX11" s="30"/>
      <c r="AY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29"/>
    </row>
    <row r="12" spans="1:91" s="28" customFormat="1" ht="12.75" customHeight="1">
      <c r="A12" s="29"/>
      <c r="B12" s="30"/>
      <c r="C12" s="63" t="s">
        <v>85</v>
      </c>
      <c r="D12" s="64"/>
      <c r="E12" s="64"/>
      <c r="F12" s="64"/>
      <c r="G12" s="64"/>
      <c r="H12" s="64"/>
      <c r="I12" s="64"/>
      <c r="J12" s="64"/>
      <c r="K12" s="65"/>
      <c r="L12" s="67" t="s">
        <v>142</v>
      </c>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9"/>
      <c r="AV12" s="30"/>
      <c r="AW12" s="30"/>
      <c r="AX12" s="30"/>
      <c r="AY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29"/>
    </row>
    <row r="13" spans="1:91" s="28" customFormat="1" ht="12.75" customHeight="1">
      <c r="A13" s="29"/>
      <c r="B13" s="30"/>
      <c r="AS13" s="30"/>
      <c r="AT13" s="30"/>
      <c r="AU13" s="30"/>
      <c r="AV13" s="30"/>
      <c r="AW13" s="30"/>
      <c r="AX13" s="30"/>
      <c r="AY13" s="30"/>
      <c r="AZ13" s="55"/>
      <c r="BB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29"/>
    </row>
    <row r="14" spans="1:91" s="28" customFormat="1" ht="12.75" customHeight="1">
      <c r="A14" s="29"/>
      <c r="B14" s="30"/>
      <c r="C14" s="30" t="s">
        <v>90</v>
      </c>
      <c r="D14" s="30"/>
      <c r="E14" s="30"/>
      <c r="F14" s="30"/>
      <c r="G14" s="30"/>
      <c r="H14" s="30"/>
      <c r="I14" s="31"/>
      <c r="J14" s="30"/>
      <c r="K14" s="32"/>
      <c r="L14" s="30"/>
      <c r="M14" s="30"/>
      <c r="N14" s="30"/>
      <c r="O14" s="32"/>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55"/>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29"/>
    </row>
    <row r="15" spans="1:91" s="28" customFormat="1" ht="12.75" customHeight="1">
      <c r="A15" s="29"/>
      <c r="B15" s="30"/>
      <c r="C15" s="30"/>
      <c r="D15" s="30"/>
      <c r="E15" s="30"/>
      <c r="F15" s="30"/>
      <c r="G15" s="30"/>
      <c r="H15" s="30"/>
      <c r="I15" s="31"/>
      <c r="J15" s="30"/>
      <c r="K15" s="32"/>
      <c r="L15" s="30"/>
      <c r="M15" s="30"/>
      <c r="N15" s="30"/>
      <c r="O15" s="32"/>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56"/>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29"/>
    </row>
    <row r="16" spans="1:91" s="28" customFormat="1" ht="12.75" customHeight="1">
      <c r="A16" s="29"/>
      <c r="B16" s="30"/>
      <c r="C16" s="30"/>
      <c r="D16" s="30"/>
      <c r="E16" s="30"/>
      <c r="F16" s="30"/>
      <c r="G16" s="30"/>
      <c r="H16" s="30"/>
      <c r="I16" s="31"/>
      <c r="J16" s="30"/>
      <c r="K16" s="32"/>
      <c r="L16" s="30"/>
      <c r="M16" s="30"/>
      <c r="N16" s="30"/>
      <c r="O16" s="32"/>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55"/>
      <c r="BB16" s="60"/>
      <c r="BC16" s="57"/>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29"/>
    </row>
    <row r="17" spans="1:91" s="28" customFormat="1" ht="12.75" customHeight="1">
      <c r="A17" s="29"/>
      <c r="B17" s="77" t="s">
        <v>121</v>
      </c>
      <c r="C17" s="30"/>
      <c r="D17" s="30"/>
      <c r="E17" s="30"/>
      <c r="F17" s="30"/>
      <c r="G17" s="30"/>
      <c r="H17" s="30"/>
      <c r="I17" s="31"/>
      <c r="J17" s="30"/>
      <c r="K17" s="32"/>
      <c r="L17" s="30"/>
      <c r="M17" s="30"/>
      <c r="N17" s="30"/>
      <c r="O17" s="32"/>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55"/>
      <c r="BB17" s="60"/>
      <c r="BC17" s="57"/>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29"/>
    </row>
    <row r="18" spans="1:91" s="28" customFormat="1" ht="12.75" customHeight="1">
      <c r="A18" s="29"/>
      <c r="B18" s="30"/>
      <c r="C18" s="30"/>
      <c r="D18" s="30"/>
      <c r="E18" s="30"/>
      <c r="F18" s="30"/>
      <c r="G18" s="30"/>
      <c r="H18" s="30"/>
      <c r="I18" s="31"/>
      <c r="J18" s="30"/>
      <c r="K18" s="32"/>
      <c r="L18" s="30"/>
      <c r="M18" s="30"/>
      <c r="N18" s="30"/>
      <c r="O18" s="32"/>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55"/>
      <c r="BB18" s="60"/>
      <c r="BC18" s="57"/>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29"/>
    </row>
    <row r="19" spans="1:91" s="28" customFormat="1" ht="12.75" customHeight="1">
      <c r="A19" s="29"/>
      <c r="B19" s="30"/>
      <c r="D19" s="30" t="s">
        <v>110</v>
      </c>
      <c r="E19" s="30"/>
      <c r="F19" s="30"/>
      <c r="G19" s="30"/>
      <c r="H19" s="30"/>
      <c r="I19" s="31"/>
      <c r="J19" s="30"/>
      <c r="K19" s="32"/>
      <c r="L19" s="30"/>
      <c r="M19" s="30"/>
      <c r="N19" s="30"/>
      <c r="O19" s="32"/>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55"/>
      <c r="BB19" s="60"/>
      <c r="BC19" s="57"/>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29"/>
    </row>
    <row r="20" spans="1:91" s="28" customFormat="1" ht="12.75" customHeight="1">
      <c r="A20" s="29"/>
      <c r="B20" s="30"/>
      <c r="D20" s="30"/>
      <c r="E20" s="30"/>
      <c r="F20" s="30"/>
      <c r="G20" s="30"/>
      <c r="H20" s="30"/>
      <c r="I20" s="31"/>
      <c r="J20" s="30"/>
      <c r="K20" s="32"/>
      <c r="L20" s="30"/>
      <c r="M20" s="30"/>
      <c r="N20" s="30"/>
      <c r="O20" s="32"/>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55"/>
      <c r="BB20" s="60"/>
      <c r="BC20" s="57"/>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29"/>
    </row>
    <row r="21" spans="1:91" s="28" customFormat="1" ht="12.75" customHeight="1">
      <c r="A21" s="29"/>
      <c r="B21" s="30"/>
      <c r="D21" s="30"/>
      <c r="E21" s="30" t="s">
        <v>104</v>
      </c>
      <c r="F21" s="30" t="s">
        <v>109</v>
      </c>
      <c r="G21" s="30"/>
      <c r="H21" s="30"/>
      <c r="I21" s="31"/>
      <c r="J21" s="30"/>
      <c r="K21" s="32"/>
      <c r="L21" s="30"/>
      <c r="M21" s="30"/>
      <c r="N21" s="30"/>
      <c r="O21" s="32"/>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55"/>
      <c r="BB21" s="60"/>
      <c r="BC21" s="57"/>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29"/>
    </row>
    <row r="22" spans="1:91" s="28" customFormat="1" ht="12.75" customHeight="1">
      <c r="A22" s="29"/>
      <c r="B22" s="30"/>
      <c r="D22" s="30"/>
      <c r="E22" s="30" t="s">
        <v>104</v>
      </c>
      <c r="F22" s="30" t="s">
        <v>111</v>
      </c>
      <c r="G22" s="30"/>
      <c r="H22" s="30"/>
      <c r="I22" s="31"/>
      <c r="J22" s="30"/>
      <c r="K22" s="32"/>
      <c r="L22" s="30"/>
      <c r="M22" s="30"/>
      <c r="N22" s="30"/>
      <c r="O22" s="32"/>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55"/>
      <c r="BB22" s="60"/>
      <c r="BC22" s="57"/>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29"/>
    </row>
    <row r="23" spans="1:91" s="28" customFormat="1" ht="12.75" customHeight="1">
      <c r="A23" s="29"/>
      <c r="B23" s="30"/>
      <c r="D23" s="30"/>
      <c r="E23" s="30"/>
      <c r="F23" s="30"/>
      <c r="G23" s="30"/>
      <c r="H23" s="30"/>
      <c r="I23" s="31"/>
      <c r="J23" s="30"/>
      <c r="K23" s="32"/>
      <c r="L23" s="30"/>
      <c r="M23" s="30"/>
      <c r="N23" s="30"/>
      <c r="O23" s="32"/>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55"/>
      <c r="BB23" s="60"/>
      <c r="BC23" s="57"/>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29"/>
    </row>
    <row r="24" spans="1:91" s="28" customFormat="1" ht="12.75" customHeight="1">
      <c r="A24" s="29"/>
      <c r="B24" s="30"/>
      <c r="D24" s="30" t="s">
        <v>115</v>
      </c>
      <c r="E24" s="30"/>
      <c r="F24" s="30"/>
      <c r="G24" s="30"/>
      <c r="H24" s="30"/>
      <c r="I24" s="31"/>
      <c r="J24" s="30"/>
      <c r="K24" s="32"/>
      <c r="L24" s="30"/>
      <c r="M24" s="30"/>
      <c r="N24" s="30"/>
      <c r="O24" s="32"/>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55"/>
      <c r="BB24" s="60"/>
      <c r="BC24" s="57"/>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29"/>
    </row>
    <row r="25" spans="1:91" s="28" customFormat="1" ht="12.75" customHeight="1">
      <c r="A25" s="29"/>
      <c r="B25" s="30"/>
      <c r="D25" s="30"/>
      <c r="E25" s="30"/>
      <c r="F25" s="30"/>
      <c r="G25" s="30"/>
      <c r="H25" s="30"/>
      <c r="I25" s="31"/>
      <c r="J25" s="30"/>
      <c r="K25" s="32"/>
      <c r="L25" s="30"/>
      <c r="M25" s="30"/>
      <c r="N25" s="30"/>
      <c r="O25" s="32"/>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55"/>
      <c r="BB25" s="60"/>
      <c r="BC25" s="57"/>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29"/>
    </row>
    <row r="26" spans="1:91" s="28" customFormat="1" ht="12.75" customHeight="1">
      <c r="A26" s="29"/>
      <c r="B26" s="30"/>
      <c r="C26" s="30"/>
      <c r="E26" s="30" t="s">
        <v>112</v>
      </c>
      <c r="F26" s="28" t="s">
        <v>116</v>
      </c>
      <c r="G26" s="30"/>
      <c r="H26" s="30"/>
      <c r="I26" s="31"/>
      <c r="J26" s="30"/>
      <c r="K26" s="32"/>
      <c r="L26" s="30"/>
      <c r="M26" s="30"/>
      <c r="N26" s="30"/>
      <c r="O26" s="32"/>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55"/>
      <c r="BB26" s="60"/>
      <c r="BC26" s="57"/>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29"/>
    </row>
    <row r="27" spans="1:91" s="28" customFormat="1" ht="12.75" customHeight="1">
      <c r="A27" s="29"/>
      <c r="B27" s="30"/>
      <c r="C27" s="30"/>
      <c r="E27" s="30"/>
      <c r="F27" s="63" t="s">
        <v>84</v>
      </c>
      <c r="G27" s="64"/>
      <c r="H27" s="64"/>
      <c r="I27" s="64"/>
      <c r="J27" s="64"/>
      <c r="K27" s="64"/>
      <c r="L27" s="64"/>
      <c r="M27" s="64"/>
      <c r="N27" s="65"/>
      <c r="O27" s="67" t="s">
        <v>87</v>
      </c>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9"/>
      <c r="AV27" s="30"/>
      <c r="AW27" s="30"/>
      <c r="AX27" s="30"/>
      <c r="AY27" s="30"/>
      <c r="AZ27" s="55"/>
      <c r="BB27" s="60"/>
      <c r="BC27" s="57"/>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29"/>
    </row>
    <row r="28" spans="1:91" s="28" customFormat="1" ht="12.75" customHeight="1">
      <c r="A28" s="29"/>
      <c r="B28" s="30"/>
      <c r="C28" s="30"/>
      <c r="E28" s="30"/>
      <c r="F28" s="63" t="s">
        <v>85</v>
      </c>
      <c r="G28" s="64"/>
      <c r="H28" s="64"/>
      <c r="I28" s="64"/>
      <c r="J28" s="64"/>
      <c r="K28" s="64"/>
      <c r="L28" s="64"/>
      <c r="M28" s="64"/>
      <c r="N28" s="65"/>
      <c r="O28" s="67" t="s">
        <v>113</v>
      </c>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9"/>
      <c r="AV28" s="30"/>
      <c r="AW28" s="30"/>
      <c r="AX28" s="30"/>
      <c r="AY28" s="30"/>
      <c r="AZ28" s="55"/>
      <c r="BB28" s="60"/>
      <c r="BC28" s="57"/>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29"/>
    </row>
    <row r="29" spans="1:91" s="28" customFormat="1" ht="12.75" customHeight="1">
      <c r="A29" s="29"/>
      <c r="B29" s="30"/>
      <c r="C29" s="30"/>
      <c r="E29" s="30"/>
      <c r="F29" s="63" t="s">
        <v>85</v>
      </c>
      <c r="G29" s="64"/>
      <c r="H29" s="64"/>
      <c r="I29" s="64"/>
      <c r="J29" s="64"/>
      <c r="K29" s="64"/>
      <c r="L29" s="64"/>
      <c r="M29" s="64"/>
      <c r="N29" s="65"/>
      <c r="O29" s="67" t="s">
        <v>114</v>
      </c>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9"/>
      <c r="AV29" s="30"/>
      <c r="AW29" s="30"/>
      <c r="AX29" s="30"/>
      <c r="AY29" s="30"/>
      <c r="AZ29" s="55"/>
      <c r="BB29" s="60"/>
      <c r="BC29" s="57"/>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29"/>
    </row>
    <row r="30" spans="1:91" s="28" customFormat="1" ht="12.75" customHeight="1">
      <c r="A30" s="29"/>
      <c r="B30" s="30"/>
      <c r="C30" s="30"/>
      <c r="E30" s="30"/>
      <c r="G30" s="30"/>
      <c r="H30" s="30"/>
      <c r="I30" s="31"/>
      <c r="J30" s="30"/>
      <c r="K30" s="32"/>
      <c r="L30" s="30"/>
      <c r="M30" s="30"/>
      <c r="N30" s="30"/>
      <c r="O30" s="32"/>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55"/>
      <c r="BB30" s="60"/>
      <c r="BC30" s="57"/>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29"/>
    </row>
    <row r="31" spans="1:91" s="28" customFormat="1" ht="12.75" customHeight="1">
      <c r="A31" s="29"/>
      <c r="B31" s="30"/>
      <c r="C31" s="30"/>
      <c r="E31" s="30" t="s">
        <v>112</v>
      </c>
      <c r="F31" s="28" t="s">
        <v>117</v>
      </c>
      <c r="G31" s="30"/>
      <c r="H31" s="30"/>
      <c r="I31" s="31"/>
      <c r="J31" s="30"/>
      <c r="K31" s="32"/>
      <c r="L31" s="30"/>
      <c r="M31" s="30"/>
      <c r="N31" s="30"/>
      <c r="O31" s="32"/>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55"/>
      <c r="BB31" s="60"/>
      <c r="BC31" s="57"/>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29"/>
    </row>
    <row r="32" spans="1:91" s="28" customFormat="1" ht="12.75" customHeight="1">
      <c r="A32" s="29"/>
      <c r="B32" s="30"/>
      <c r="C32" s="30"/>
      <c r="E32" s="30"/>
      <c r="G32" s="30"/>
      <c r="H32" s="30"/>
      <c r="I32" s="31"/>
      <c r="J32" s="30"/>
      <c r="K32" s="32"/>
      <c r="L32" s="30"/>
      <c r="M32" s="30"/>
      <c r="N32" s="30"/>
      <c r="O32" s="32"/>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55"/>
      <c r="BB32" s="60"/>
      <c r="BC32" s="57"/>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29"/>
    </row>
    <row r="33" spans="1:91" s="28" customFormat="1" ht="12.75" customHeight="1">
      <c r="A33" s="29"/>
      <c r="B33" s="30"/>
      <c r="C33" s="30"/>
      <c r="D33" s="30" t="s">
        <v>118</v>
      </c>
      <c r="E33" s="30"/>
      <c r="G33" s="30"/>
      <c r="H33" s="30"/>
      <c r="I33" s="31"/>
      <c r="J33" s="30"/>
      <c r="K33" s="32"/>
      <c r="L33" s="30"/>
      <c r="M33" s="30"/>
      <c r="N33" s="30"/>
      <c r="O33" s="32"/>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55"/>
      <c r="BB33" s="60"/>
      <c r="BC33" s="57"/>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29"/>
    </row>
    <row r="34" spans="1:91" s="28" customFormat="1" ht="12.75" customHeight="1">
      <c r="A34" s="29"/>
      <c r="B34" s="30"/>
      <c r="C34" s="30"/>
      <c r="E34" s="30"/>
      <c r="G34" s="30"/>
      <c r="H34" s="30"/>
      <c r="I34" s="31"/>
      <c r="J34" s="30"/>
      <c r="K34" s="32"/>
      <c r="L34" s="30"/>
      <c r="M34" s="30"/>
      <c r="N34" s="30"/>
      <c r="O34" s="32"/>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55"/>
      <c r="BB34" s="60"/>
      <c r="BC34" s="57"/>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29"/>
    </row>
    <row r="35" spans="1:91" s="28" customFormat="1" ht="12.75" customHeight="1">
      <c r="A35" s="29"/>
      <c r="B35" s="30"/>
      <c r="C35" s="30"/>
      <c r="D35" s="30"/>
      <c r="E35" s="30" t="s">
        <v>119</v>
      </c>
      <c r="F35" s="30"/>
      <c r="G35" s="30"/>
      <c r="H35" s="30"/>
      <c r="I35" s="31"/>
      <c r="J35" s="30"/>
      <c r="K35" s="32"/>
      <c r="L35" s="30"/>
      <c r="M35" s="30"/>
      <c r="N35" s="30"/>
      <c r="O35" s="32"/>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55"/>
      <c r="BB35" s="60"/>
      <c r="BC35" s="57"/>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29"/>
    </row>
    <row r="36" spans="1:91" s="28" customFormat="1" ht="12.75" customHeight="1">
      <c r="A36" s="29"/>
      <c r="B36" s="30"/>
      <c r="C36" s="30"/>
      <c r="D36" s="30"/>
      <c r="E36" s="30"/>
      <c r="F36" s="30"/>
      <c r="G36" s="30"/>
      <c r="H36" s="30"/>
      <c r="I36" s="31"/>
      <c r="J36" s="30"/>
      <c r="K36" s="32"/>
      <c r="L36" s="30"/>
      <c r="M36" s="30"/>
      <c r="N36" s="30"/>
      <c r="O36" s="32"/>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55"/>
      <c r="BB36" s="60"/>
      <c r="BC36" s="57"/>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29"/>
    </row>
    <row r="37" spans="1:91" s="28" customFormat="1" ht="12.75" customHeight="1">
      <c r="A37" s="29"/>
      <c r="B37" s="30"/>
      <c r="C37" s="30"/>
      <c r="D37" s="30"/>
      <c r="E37" s="30" t="s">
        <v>120</v>
      </c>
      <c r="F37" s="30"/>
      <c r="G37" s="30"/>
      <c r="H37" s="30"/>
      <c r="I37" s="31"/>
      <c r="J37" s="30"/>
      <c r="K37" s="32"/>
      <c r="L37" s="30"/>
      <c r="M37" s="30"/>
      <c r="N37" s="30"/>
      <c r="O37" s="32"/>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55"/>
      <c r="BB37" s="60"/>
      <c r="BC37" s="57"/>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29"/>
    </row>
    <row r="38" spans="1:91" s="28" customFormat="1" ht="12.75" customHeight="1">
      <c r="A38" s="29"/>
      <c r="B38" s="30"/>
      <c r="C38" s="30"/>
      <c r="D38" s="30"/>
      <c r="E38" s="70"/>
      <c r="F38" s="30"/>
      <c r="G38" s="30"/>
      <c r="H38" s="30"/>
      <c r="I38" s="31"/>
      <c r="J38" s="30"/>
      <c r="K38" s="32"/>
      <c r="L38" s="30"/>
      <c r="M38" s="30"/>
      <c r="N38" s="30"/>
      <c r="O38" s="32"/>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55"/>
      <c r="BB38" s="60"/>
      <c r="BC38" s="57"/>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29"/>
    </row>
    <row r="39" spans="1:91" s="28" customFormat="1" ht="12.75" customHeight="1">
      <c r="A39" s="29"/>
      <c r="B39" s="30"/>
      <c r="C39" s="30"/>
      <c r="D39" s="30"/>
      <c r="E39" s="30"/>
      <c r="F39" s="30"/>
      <c r="G39" s="30"/>
      <c r="H39" s="30"/>
      <c r="I39" s="31"/>
      <c r="J39" s="30"/>
      <c r="K39" s="32"/>
      <c r="L39" s="30"/>
      <c r="M39" s="30"/>
      <c r="N39" s="30"/>
      <c r="O39" s="32"/>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55"/>
      <c r="BB39" s="60"/>
      <c r="BC39" s="57"/>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29"/>
    </row>
    <row r="40" spans="1:91" s="28" customFormat="1" ht="12.75" customHeight="1">
      <c r="A40" s="29"/>
      <c r="B40" s="61" t="s">
        <v>126</v>
      </c>
      <c r="C40" s="30"/>
      <c r="D40" s="30"/>
      <c r="E40" s="30"/>
      <c r="F40" s="30"/>
      <c r="G40" s="30"/>
      <c r="H40" s="30"/>
      <c r="I40" s="31"/>
      <c r="J40" s="30"/>
      <c r="K40" s="32"/>
      <c r="L40" s="30"/>
      <c r="M40" s="30"/>
      <c r="N40" s="30"/>
      <c r="O40" s="32"/>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BB40" s="59"/>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29"/>
    </row>
    <row r="41" spans="1:91" s="28" customFormat="1" ht="12.75" customHeight="1">
      <c r="A41" s="29"/>
      <c r="B41" s="30"/>
      <c r="D41" s="30"/>
      <c r="E41" s="30"/>
      <c r="F41" s="30"/>
      <c r="G41" s="30"/>
      <c r="H41" s="30"/>
      <c r="I41" s="31"/>
      <c r="J41" s="30"/>
      <c r="K41" s="32"/>
      <c r="L41" s="30"/>
      <c r="M41" s="30"/>
      <c r="N41" s="30"/>
      <c r="O41" s="32"/>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55"/>
      <c r="BB41" s="31"/>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29"/>
    </row>
    <row r="42" spans="1:91" s="28" customFormat="1" ht="12.75" customHeight="1">
      <c r="A42" s="29"/>
      <c r="B42" s="30"/>
      <c r="C42" s="30"/>
      <c r="D42" s="30" t="s">
        <v>128</v>
      </c>
      <c r="E42" s="30"/>
      <c r="F42" s="30"/>
      <c r="G42" s="30"/>
      <c r="H42" s="30"/>
      <c r="I42" s="31"/>
      <c r="J42" s="30"/>
      <c r="K42" s="32"/>
      <c r="L42" s="30"/>
      <c r="M42" s="30"/>
      <c r="N42" s="30"/>
      <c r="O42" s="32"/>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29"/>
    </row>
    <row r="43" spans="1:91" s="28" customFormat="1" ht="12.75" customHeight="1">
      <c r="A43" s="29"/>
      <c r="B43" s="30"/>
      <c r="C43" s="30"/>
      <c r="D43" s="30"/>
      <c r="E43" s="30"/>
      <c r="F43" s="30"/>
      <c r="G43" s="30"/>
      <c r="H43" s="30"/>
      <c r="I43" s="31"/>
      <c r="J43" s="30"/>
      <c r="K43" s="32"/>
      <c r="L43" s="30"/>
      <c r="M43" s="30"/>
      <c r="N43" s="30"/>
      <c r="O43" s="32"/>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29"/>
    </row>
    <row r="44" spans="1:91" s="28" customFormat="1" ht="12.75" customHeight="1">
      <c r="A44" s="29"/>
      <c r="B44" s="30"/>
      <c r="C44" s="30"/>
      <c r="D44" s="30" t="s">
        <v>129</v>
      </c>
      <c r="E44" s="30"/>
      <c r="F44" s="30"/>
      <c r="G44" s="30"/>
      <c r="H44" s="30"/>
      <c r="I44" s="31"/>
      <c r="J44" s="30"/>
      <c r="K44" s="32"/>
      <c r="L44" s="30"/>
      <c r="M44" s="30"/>
      <c r="N44" s="30"/>
      <c r="O44" s="32"/>
      <c r="P44" s="30"/>
      <c r="Q44" s="30"/>
      <c r="R44" s="30"/>
      <c r="S44" s="30"/>
      <c r="T44" s="30"/>
      <c r="U44" s="30"/>
      <c r="V44" s="30"/>
      <c r="W44" s="30"/>
      <c r="X44" s="30"/>
      <c r="Y44" s="30"/>
      <c r="Z44" s="30"/>
      <c r="AA44" s="30"/>
      <c r="AB44" s="30"/>
      <c r="AC44" s="30"/>
      <c r="AF44" s="30"/>
      <c r="AG44" s="30"/>
      <c r="AH44" s="30"/>
      <c r="AI44" s="30"/>
      <c r="AJ44" s="30"/>
      <c r="AK44" s="30"/>
      <c r="AL44" s="30"/>
      <c r="AM44" s="30"/>
      <c r="AN44" s="30"/>
      <c r="AO44" s="30"/>
      <c r="AP44" s="30"/>
      <c r="AQ44" s="30"/>
      <c r="AR44" s="30"/>
      <c r="AS44" s="30"/>
      <c r="AT44" s="30"/>
      <c r="AU44" s="30"/>
      <c r="AV44" s="30"/>
      <c r="AW44" s="30"/>
      <c r="AX44" s="30"/>
      <c r="AY44" s="30"/>
      <c r="AZ44" s="55"/>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29"/>
    </row>
    <row r="45" spans="1:91" s="28" customFormat="1" ht="12.75" customHeight="1">
      <c r="A45" s="29"/>
      <c r="B45" s="30"/>
      <c r="C45" s="30"/>
      <c r="D45" s="30"/>
      <c r="E45" s="30"/>
      <c r="F45" s="30"/>
      <c r="G45" s="30"/>
      <c r="H45" s="30"/>
      <c r="I45" s="31"/>
      <c r="J45" s="30"/>
      <c r="K45" s="32"/>
      <c r="L45" s="30"/>
      <c r="M45" s="30"/>
      <c r="N45" s="30"/>
      <c r="O45" s="32"/>
      <c r="P45" s="30"/>
      <c r="Q45" s="30"/>
      <c r="R45" s="30"/>
      <c r="S45" s="30"/>
      <c r="T45" s="30"/>
      <c r="U45" s="30"/>
      <c r="V45" s="30"/>
      <c r="W45" s="30"/>
      <c r="X45" s="30"/>
      <c r="Y45" s="30"/>
      <c r="Z45" s="30"/>
      <c r="AA45" s="30"/>
      <c r="AB45" s="30"/>
      <c r="AC45" s="30"/>
      <c r="AF45" s="30"/>
      <c r="AG45" s="30"/>
      <c r="AH45" s="30"/>
      <c r="AI45" s="30"/>
      <c r="AJ45" s="30"/>
      <c r="AK45" s="30"/>
      <c r="AP45" s="30"/>
      <c r="AQ45" s="30"/>
      <c r="AR45" s="30"/>
      <c r="AS45" s="30"/>
      <c r="AT45" s="30"/>
      <c r="AU45" s="30"/>
      <c r="AV45" s="30"/>
      <c r="AW45" s="30"/>
      <c r="AX45" s="30"/>
      <c r="AY45" s="30"/>
      <c r="AZ45" s="56"/>
      <c r="BB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29"/>
    </row>
    <row r="46" spans="1:91" s="28" customFormat="1" ht="12.75" customHeight="1">
      <c r="A46" s="29"/>
      <c r="F46" s="30"/>
      <c r="G46" s="30"/>
      <c r="H46" s="30"/>
      <c r="I46" s="31"/>
      <c r="J46" s="30"/>
      <c r="K46" s="32"/>
      <c r="L46" s="30"/>
      <c r="M46" s="30"/>
      <c r="N46" s="30"/>
      <c r="O46" s="32"/>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29"/>
    </row>
    <row r="47" spans="1:91" s="28" customFormat="1" ht="12.75" customHeight="1">
      <c r="A47" s="29"/>
      <c r="B47" s="61" t="s">
        <v>134</v>
      </c>
      <c r="C47" s="30"/>
      <c r="D47" s="30"/>
      <c r="E47" s="30"/>
      <c r="F47" s="30"/>
      <c r="G47" s="30"/>
      <c r="H47" s="30"/>
      <c r="I47" s="31"/>
      <c r="J47" s="30"/>
      <c r="K47" s="32"/>
      <c r="L47" s="30"/>
      <c r="M47" s="30"/>
      <c r="N47" s="30"/>
      <c r="O47" s="32"/>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c r="CL47" s="30"/>
      <c r="CM47" s="29"/>
    </row>
    <row r="48" spans="1:91" s="28" customFormat="1" ht="12.75" customHeight="1">
      <c r="A48" s="29"/>
      <c r="B48" s="30"/>
      <c r="D48" s="30"/>
      <c r="E48" s="30"/>
      <c r="F48" s="30"/>
      <c r="G48" s="30"/>
      <c r="H48" s="30"/>
      <c r="I48" s="31"/>
      <c r="J48" s="30"/>
      <c r="K48" s="32"/>
      <c r="L48" s="30"/>
      <c r="M48" s="30"/>
      <c r="N48" s="30"/>
      <c r="O48" s="32"/>
      <c r="P48" s="30"/>
      <c r="Q48" s="30"/>
      <c r="R48" s="30"/>
      <c r="S48" s="30"/>
      <c r="T48" s="30"/>
      <c r="U48" s="30"/>
      <c r="V48" s="30"/>
      <c r="W48" s="30"/>
      <c r="X48" s="30"/>
      <c r="Y48" s="30"/>
      <c r="Z48" s="30"/>
      <c r="AA48" s="30"/>
      <c r="AB48" s="30"/>
      <c r="AC48" s="30"/>
      <c r="AD48" s="30"/>
      <c r="AE48" s="30"/>
      <c r="AF48" s="30"/>
      <c r="AG48" s="30"/>
      <c r="AH48" s="30"/>
      <c r="AI48" s="30"/>
      <c r="AJ48" s="30"/>
      <c r="AK48" s="30"/>
      <c r="AP48" s="30"/>
      <c r="AQ48" s="30"/>
      <c r="AR48" s="30"/>
      <c r="AS48" s="30"/>
      <c r="AT48" s="30"/>
      <c r="AU48" s="30"/>
      <c r="AV48" s="30"/>
      <c r="AW48" s="30"/>
      <c r="AX48" s="30"/>
      <c r="AY48" s="30"/>
      <c r="BB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c r="CL48" s="30"/>
      <c r="CM48" s="29"/>
    </row>
    <row r="49" spans="1:91" s="28" customFormat="1" ht="12.75" customHeight="1">
      <c r="A49" s="29"/>
      <c r="B49" s="30"/>
      <c r="C49" s="30"/>
      <c r="D49" s="30" t="s">
        <v>135</v>
      </c>
      <c r="E49" s="30"/>
      <c r="F49" s="30"/>
      <c r="G49" s="30"/>
      <c r="H49" s="30"/>
      <c r="I49" s="31"/>
      <c r="J49" s="30"/>
      <c r="K49" s="32"/>
      <c r="L49" s="30"/>
      <c r="M49" s="30"/>
      <c r="N49" s="30"/>
      <c r="O49" s="32"/>
      <c r="P49" s="30"/>
      <c r="Q49" s="30"/>
      <c r="R49" s="30"/>
      <c r="S49" s="30"/>
      <c r="T49" s="30"/>
      <c r="U49" s="30"/>
      <c r="V49" s="30"/>
      <c r="W49" s="30"/>
      <c r="X49" s="30"/>
      <c r="Y49" s="30"/>
      <c r="Z49" s="30"/>
      <c r="AA49" s="30"/>
      <c r="AB49" s="30"/>
      <c r="AC49" s="30"/>
      <c r="AD49" s="30"/>
      <c r="AE49" s="30"/>
      <c r="AF49" s="30"/>
      <c r="AG49" s="30"/>
      <c r="AH49" s="30"/>
      <c r="AI49" s="30"/>
      <c r="AJ49" s="30"/>
      <c r="AK49" s="30"/>
      <c r="AP49" s="30"/>
      <c r="AQ49" s="30"/>
      <c r="AR49" s="30"/>
      <c r="AS49" s="30"/>
      <c r="AT49" s="30"/>
      <c r="AU49" s="30"/>
      <c r="AV49" s="30"/>
      <c r="AW49" s="30"/>
      <c r="AX49" s="30"/>
      <c r="AY49" s="30"/>
      <c r="BC49" s="59"/>
      <c r="BG49" s="30"/>
      <c r="BH49" s="30"/>
      <c r="BI49" s="30"/>
      <c r="BJ49" s="30"/>
      <c r="BK49" s="30"/>
      <c r="BL49" s="30"/>
      <c r="BM49" s="30"/>
      <c r="BN49" s="30"/>
      <c r="BO49" s="30"/>
      <c r="BP49" s="30"/>
      <c r="BQ49" s="30"/>
      <c r="BR49" s="30"/>
      <c r="BS49" s="30"/>
      <c r="BT49" s="30"/>
      <c r="BU49" s="30"/>
      <c r="BW49" s="30"/>
      <c r="BX49" s="30"/>
      <c r="BY49" s="30"/>
      <c r="BZ49" s="30"/>
      <c r="CA49" s="30"/>
      <c r="CB49" s="30"/>
      <c r="CC49" s="30"/>
      <c r="CD49" s="30"/>
      <c r="CE49" s="30"/>
      <c r="CF49" s="30"/>
      <c r="CG49" s="30"/>
      <c r="CH49" s="30"/>
      <c r="CI49" s="30"/>
      <c r="CJ49" s="30"/>
      <c r="CK49" s="30"/>
      <c r="CL49" s="30"/>
      <c r="CM49" s="29"/>
    </row>
    <row r="50" spans="1:91" s="28" customFormat="1" ht="12.75" customHeight="1">
      <c r="A50" s="29"/>
      <c r="B50" s="30"/>
      <c r="C50" s="30"/>
      <c r="D50" s="30"/>
      <c r="E50" s="30"/>
      <c r="F50" s="30"/>
      <c r="G50" s="30"/>
      <c r="H50" s="30"/>
      <c r="I50" s="31"/>
      <c r="J50" s="30"/>
      <c r="K50" s="32"/>
      <c r="L50" s="30"/>
      <c r="M50" s="30"/>
      <c r="N50" s="30"/>
      <c r="O50" s="32"/>
      <c r="P50" s="30"/>
      <c r="Q50" s="30"/>
      <c r="R50" s="30"/>
      <c r="S50" s="30"/>
      <c r="T50" s="30"/>
      <c r="U50" s="30"/>
      <c r="V50" s="30"/>
      <c r="W50" s="30"/>
      <c r="X50" s="30"/>
      <c r="Y50" s="30"/>
      <c r="Z50" s="30"/>
      <c r="AA50" s="30"/>
      <c r="AB50" s="30"/>
      <c r="AC50" s="30"/>
      <c r="AD50" s="30"/>
      <c r="AE50" s="30"/>
      <c r="AF50" s="30"/>
      <c r="AG50" s="30"/>
      <c r="AH50" s="30"/>
      <c r="AI50" s="30"/>
      <c r="AJ50" s="30"/>
      <c r="AK50" s="30"/>
      <c r="AP50" s="30"/>
      <c r="AQ50" s="30"/>
      <c r="AR50" s="30"/>
      <c r="AS50" s="30"/>
      <c r="AT50" s="30"/>
      <c r="AU50" s="30"/>
      <c r="AV50" s="30"/>
      <c r="AW50" s="30"/>
      <c r="AX50" s="30"/>
      <c r="AY50" s="30"/>
      <c r="BC50" s="59"/>
      <c r="BG50" s="30"/>
      <c r="BH50" s="30"/>
      <c r="BI50" s="30"/>
      <c r="BJ50" s="30"/>
      <c r="BK50" s="30"/>
      <c r="BL50" s="30"/>
      <c r="BM50" s="30"/>
      <c r="BN50" s="30"/>
      <c r="BO50" s="30"/>
      <c r="BP50" s="30"/>
      <c r="BQ50" s="30"/>
      <c r="BR50" s="30"/>
      <c r="BS50" s="30"/>
      <c r="BT50" s="30"/>
      <c r="BU50" s="30"/>
      <c r="BW50" s="30"/>
      <c r="BX50" s="30"/>
      <c r="BY50" s="30"/>
      <c r="BZ50" s="30"/>
      <c r="CA50" s="30"/>
      <c r="CB50" s="30"/>
      <c r="CC50" s="30"/>
      <c r="CD50" s="30"/>
      <c r="CE50" s="30"/>
      <c r="CF50" s="30"/>
      <c r="CG50" s="30"/>
      <c r="CH50" s="30"/>
      <c r="CI50" s="30"/>
      <c r="CJ50" s="30"/>
      <c r="CK50" s="30"/>
      <c r="CL50" s="30"/>
      <c r="CM50" s="29"/>
    </row>
    <row r="51" spans="1:91" s="28" customFormat="1" ht="12.75" customHeight="1">
      <c r="A51" s="29"/>
      <c r="B51" s="30"/>
      <c r="C51" s="30"/>
      <c r="D51" s="30" t="s">
        <v>136</v>
      </c>
      <c r="E51" s="30"/>
      <c r="F51" s="30"/>
      <c r="G51" s="30"/>
      <c r="H51" s="30"/>
      <c r="I51" s="31"/>
      <c r="J51" s="30"/>
      <c r="K51" s="32"/>
      <c r="L51" s="30"/>
      <c r="M51" s="30"/>
      <c r="N51" s="30"/>
      <c r="O51" s="32"/>
      <c r="P51" s="30"/>
      <c r="Q51" s="30"/>
      <c r="R51" s="30"/>
      <c r="S51" s="30"/>
      <c r="T51" s="30"/>
      <c r="U51" s="30"/>
      <c r="V51" s="30"/>
      <c r="W51" s="30"/>
      <c r="X51" s="30"/>
      <c r="Y51" s="30"/>
      <c r="Z51" s="30"/>
      <c r="AA51" s="30"/>
      <c r="AB51" s="30"/>
      <c r="AC51" s="30"/>
      <c r="AD51" s="30"/>
      <c r="AE51" s="30"/>
      <c r="AF51" s="30"/>
      <c r="AG51" s="30"/>
      <c r="AH51" s="30"/>
      <c r="AI51" s="30"/>
      <c r="AJ51" s="30"/>
      <c r="AK51" s="30"/>
      <c r="AP51" s="30"/>
      <c r="AQ51" s="30"/>
      <c r="AR51" s="30"/>
      <c r="AS51" s="30"/>
      <c r="AT51" s="30"/>
      <c r="AU51" s="30"/>
      <c r="AV51" s="30"/>
      <c r="AW51" s="30"/>
      <c r="AX51" s="30"/>
      <c r="AY51" s="30"/>
      <c r="BG51" s="30"/>
      <c r="BH51" s="30"/>
      <c r="BI51" s="30"/>
      <c r="BJ51" s="30"/>
      <c r="BK51" s="30"/>
      <c r="BL51" s="30"/>
      <c r="BM51" s="30"/>
      <c r="BN51" s="30"/>
      <c r="BO51" s="30"/>
      <c r="BP51" s="30"/>
      <c r="BQ51" s="30"/>
      <c r="BR51" s="30"/>
      <c r="BS51" s="30"/>
      <c r="BT51" s="30"/>
      <c r="BU51" s="30"/>
      <c r="BW51" s="30"/>
      <c r="BX51" s="30"/>
      <c r="BY51" s="30"/>
      <c r="BZ51" s="30"/>
      <c r="CA51" s="30"/>
      <c r="CB51" s="30"/>
      <c r="CC51" s="30"/>
      <c r="CD51" s="30"/>
      <c r="CE51" s="30"/>
      <c r="CF51" s="30"/>
      <c r="CG51" s="30"/>
      <c r="CH51" s="30"/>
      <c r="CI51" s="30"/>
      <c r="CJ51" s="30"/>
      <c r="CK51" s="30"/>
      <c r="CL51" s="30"/>
      <c r="CM51" s="29"/>
    </row>
    <row r="52" spans="1:91" s="28" customFormat="1" ht="12.75" customHeight="1">
      <c r="A52" s="29"/>
      <c r="B52" s="30"/>
      <c r="C52" s="30"/>
      <c r="D52" s="30"/>
      <c r="E52" s="70"/>
      <c r="F52" s="30"/>
      <c r="G52" s="30"/>
      <c r="H52" s="30"/>
      <c r="I52" s="31"/>
      <c r="J52" s="30"/>
      <c r="K52" s="32"/>
      <c r="L52" s="30"/>
      <c r="M52" s="30"/>
      <c r="N52" s="30"/>
      <c r="O52" s="32"/>
      <c r="P52" s="30"/>
      <c r="Q52" s="30"/>
      <c r="R52" s="30"/>
      <c r="S52" s="30"/>
      <c r="T52" s="30"/>
      <c r="U52" s="30"/>
      <c r="V52" s="30"/>
      <c r="W52" s="30"/>
      <c r="X52" s="30"/>
      <c r="Y52" s="30"/>
      <c r="Z52" s="30"/>
      <c r="AA52" s="30"/>
      <c r="AB52" s="30"/>
      <c r="AC52" s="30"/>
      <c r="AD52" s="30"/>
      <c r="AE52" s="30"/>
      <c r="AF52" s="30"/>
      <c r="AG52" s="30"/>
      <c r="AH52" s="30"/>
      <c r="AI52" s="30"/>
      <c r="AJ52" s="30"/>
      <c r="AK52" s="30"/>
      <c r="AP52" s="30"/>
      <c r="AQ52" s="30"/>
      <c r="AR52" s="30"/>
      <c r="AS52" s="30"/>
      <c r="AT52" s="30"/>
      <c r="AU52" s="30"/>
      <c r="AV52" s="30"/>
      <c r="AW52" s="30"/>
      <c r="AX52" s="30"/>
      <c r="AY52" s="30"/>
      <c r="BE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29"/>
    </row>
    <row r="53" spans="1:91" s="28" customFormat="1" ht="12.75" customHeight="1">
      <c r="A53" s="29"/>
      <c r="B53" s="30"/>
      <c r="C53" s="30"/>
      <c r="D53" s="30"/>
      <c r="E53" s="30"/>
      <c r="F53" s="30"/>
      <c r="G53" s="30"/>
      <c r="H53" s="30"/>
      <c r="I53" s="31"/>
      <c r="J53" s="30"/>
      <c r="K53" s="32"/>
      <c r="L53" s="30"/>
      <c r="M53" s="30"/>
      <c r="N53" s="30"/>
      <c r="O53" s="32"/>
      <c r="P53" s="30"/>
      <c r="Q53" s="30"/>
      <c r="R53" s="30"/>
      <c r="S53" s="30"/>
      <c r="T53" s="30"/>
      <c r="U53" s="30"/>
      <c r="V53" s="30"/>
      <c r="W53" s="30"/>
      <c r="X53" s="30"/>
      <c r="Y53" s="30"/>
      <c r="Z53" s="30"/>
      <c r="AA53" s="30"/>
      <c r="AB53" s="30"/>
      <c r="AC53" s="30"/>
      <c r="AD53" s="30"/>
      <c r="AE53" s="30"/>
      <c r="AF53" s="30"/>
      <c r="AG53" s="30"/>
      <c r="AH53" s="30"/>
      <c r="AI53" s="30"/>
      <c r="AJ53" s="30"/>
      <c r="AK53" s="30"/>
      <c r="AP53" s="30"/>
      <c r="AQ53" s="30"/>
      <c r="AR53" s="30"/>
      <c r="AS53" s="30"/>
      <c r="AT53" s="30"/>
      <c r="AU53" s="30"/>
      <c r="AV53" s="30"/>
      <c r="AW53" s="30"/>
      <c r="AX53" s="30"/>
      <c r="AY53" s="30"/>
      <c r="BA53" s="30"/>
      <c r="BC53" s="30"/>
      <c r="BE53" s="30"/>
      <c r="BG53" s="30"/>
      <c r="BH53" s="30"/>
      <c r="BI53" s="30"/>
      <c r="BJ53" s="30"/>
      <c r="BK53" s="30"/>
      <c r="BL53" s="30"/>
      <c r="BM53" s="30"/>
      <c r="BN53" s="30"/>
      <c r="BO53" s="30"/>
      <c r="BP53" s="30"/>
      <c r="BQ53" s="30"/>
      <c r="BR53" s="30"/>
      <c r="BS53" s="30"/>
      <c r="BT53" s="30"/>
      <c r="BU53" s="30"/>
      <c r="CF53" s="30"/>
      <c r="CG53" s="30"/>
      <c r="CH53" s="30"/>
      <c r="CI53" s="30"/>
      <c r="CJ53" s="30"/>
      <c r="CK53" s="30"/>
      <c r="CL53" s="30"/>
      <c r="CM53" s="29"/>
    </row>
    <row r="54" spans="1:91" s="28" customFormat="1" ht="12.75" customHeight="1">
      <c r="A54" s="29"/>
      <c r="B54" s="30"/>
      <c r="C54" s="30"/>
      <c r="D54" s="30"/>
      <c r="E54" s="30"/>
      <c r="F54" s="30"/>
      <c r="G54" s="30"/>
      <c r="H54" s="30"/>
      <c r="I54" s="31"/>
      <c r="J54" s="30"/>
      <c r="K54" s="32"/>
      <c r="L54" s="30"/>
      <c r="M54" s="30"/>
      <c r="N54" s="30"/>
      <c r="O54" s="32"/>
      <c r="P54" s="30"/>
      <c r="Q54" s="30"/>
      <c r="R54" s="30"/>
      <c r="S54" s="30"/>
      <c r="T54" s="30"/>
      <c r="U54" s="30"/>
      <c r="V54" s="30"/>
      <c r="W54" s="30"/>
      <c r="X54" s="30"/>
      <c r="Y54" s="30"/>
      <c r="Z54" s="30"/>
      <c r="AA54" s="30"/>
      <c r="AB54" s="30"/>
      <c r="AC54" s="30"/>
      <c r="AD54" s="30"/>
      <c r="AE54" s="30"/>
      <c r="AF54" s="30"/>
      <c r="AG54" s="30"/>
      <c r="AH54" s="30"/>
      <c r="AI54" s="30"/>
      <c r="AJ54" s="30"/>
      <c r="AK54" s="30"/>
      <c r="AP54" s="30"/>
      <c r="AQ54" s="30"/>
      <c r="AR54" s="30"/>
      <c r="AS54" s="30"/>
      <c r="AT54" s="30"/>
      <c r="AU54" s="30"/>
      <c r="AV54" s="30"/>
      <c r="AW54" s="30"/>
      <c r="AX54" s="30"/>
      <c r="AY54" s="30"/>
      <c r="BA54" s="30"/>
      <c r="BC54" s="30"/>
      <c r="BE54" s="30"/>
      <c r="BG54" s="30"/>
      <c r="BH54" s="30"/>
      <c r="BI54" s="30"/>
      <c r="BJ54" s="30"/>
      <c r="BK54" s="30"/>
      <c r="BL54" s="30"/>
      <c r="BM54" s="30"/>
      <c r="BN54" s="30"/>
      <c r="BO54" s="30"/>
      <c r="BP54" s="30"/>
      <c r="BQ54" s="30"/>
      <c r="BR54" s="30"/>
      <c r="BS54" s="30"/>
      <c r="BT54" s="30"/>
      <c r="BU54" s="30"/>
      <c r="CF54" s="30"/>
      <c r="CG54" s="30"/>
      <c r="CH54" s="30"/>
      <c r="CI54" s="30"/>
      <c r="CJ54" s="30"/>
      <c r="CK54" s="30"/>
      <c r="CL54" s="30"/>
      <c r="CM54" s="29"/>
    </row>
    <row r="55" spans="1:91" s="28" customFormat="1" ht="12.75" customHeight="1">
      <c r="A55" s="29"/>
      <c r="B55" s="30"/>
      <c r="C55" s="30"/>
      <c r="D55" s="30"/>
      <c r="E55" s="30"/>
      <c r="F55" s="30"/>
      <c r="G55" s="30"/>
      <c r="H55" s="30"/>
      <c r="I55" s="31"/>
      <c r="J55" s="30"/>
      <c r="K55" s="32"/>
      <c r="L55" s="30"/>
      <c r="M55" s="30"/>
      <c r="N55" s="30"/>
      <c r="O55" s="32"/>
      <c r="P55" s="30"/>
      <c r="Q55" s="30"/>
      <c r="R55" s="30"/>
      <c r="S55" s="30"/>
      <c r="T55" s="30"/>
      <c r="U55" s="30"/>
      <c r="V55" s="30"/>
      <c r="W55" s="30"/>
      <c r="X55" s="30"/>
      <c r="Y55" s="30"/>
      <c r="Z55" s="30"/>
      <c r="AA55" s="30"/>
      <c r="AB55" s="30"/>
      <c r="AC55" s="30"/>
      <c r="AD55" s="30"/>
      <c r="AE55" s="30"/>
      <c r="AF55" s="30"/>
      <c r="AG55" s="30"/>
      <c r="AH55" s="30"/>
      <c r="AI55" s="30"/>
      <c r="AJ55" s="30"/>
      <c r="AK55" s="30"/>
      <c r="AP55" s="30"/>
      <c r="AQ55" s="30"/>
      <c r="AR55" s="30"/>
      <c r="AS55" s="30"/>
      <c r="AT55" s="30"/>
      <c r="AU55" s="30"/>
      <c r="AV55" s="30"/>
      <c r="AW55" s="30"/>
      <c r="AX55" s="30"/>
      <c r="AY55" s="30"/>
      <c r="BA55" s="30"/>
      <c r="BC55" s="30"/>
      <c r="BE55" s="30"/>
      <c r="BG55" s="30"/>
      <c r="BH55" s="30"/>
      <c r="BI55" s="30"/>
      <c r="BJ55" s="30"/>
      <c r="BK55" s="30"/>
      <c r="BL55" s="30"/>
      <c r="BM55" s="30"/>
      <c r="BN55" s="30"/>
      <c r="BO55" s="30"/>
      <c r="BP55" s="30"/>
      <c r="BQ55" s="30"/>
      <c r="BR55" s="30"/>
      <c r="BS55" s="30"/>
      <c r="BT55" s="30"/>
      <c r="BU55" s="30"/>
      <c r="CF55" s="30"/>
      <c r="CG55" s="30"/>
      <c r="CH55" s="30"/>
      <c r="CI55" s="30"/>
      <c r="CJ55" s="30"/>
      <c r="CK55" s="30"/>
      <c r="CL55" s="30"/>
      <c r="CM55" s="29"/>
    </row>
    <row r="56" spans="1:91" s="28" customFormat="1" ht="12.75" customHeight="1">
      <c r="A56" s="29"/>
      <c r="B56" s="30"/>
      <c r="C56" s="30"/>
      <c r="D56" s="30"/>
      <c r="E56" s="30"/>
      <c r="F56" s="30"/>
      <c r="G56" s="30"/>
      <c r="H56" s="30"/>
      <c r="I56" s="31"/>
      <c r="J56" s="30"/>
      <c r="K56" s="32"/>
      <c r="L56" s="30"/>
      <c r="M56" s="30"/>
      <c r="N56" s="30"/>
      <c r="O56" s="32"/>
      <c r="P56" s="30"/>
      <c r="Q56" s="30"/>
      <c r="R56" s="30"/>
      <c r="S56" s="30"/>
      <c r="T56" s="30"/>
      <c r="U56" s="30"/>
      <c r="V56" s="30"/>
      <c r="W56" s="30"/>
      <c r="X56" s="30"/>
      <c r="Y56" s="30"/>
      <c r="Z56" s="30"/>
      <c r="AA56" s="30"/>
      <c r="AB56" s="30"/>
      <c r="AC56" s="30"/>
      <c r="AD56" s="30"/>
      <c r="AE56" s="30"/>
      <c r="AF56" s="30"/>
      <c r="AG56" s="30"/>
      <c r="AH56" s="30"/>
      <c r="AI56" s="30"/>
      <c r="AJ56" s="30"/>
      <c r="AK56" s="30"/>
      <c r="AP56" s="30"/>
      <c r="AQ56" s="30"/>
      <c r="AR56" s="30"/>
      <c r="AS56" s="30"/>
      <c r="AT56" s="30"/>
      <c r="AU56" s="30"/>
      <c r="AV56" s="30"/>
      <c r="AW56" s="30"/>
      <c r="AX56" s="30"/>
      <c r="AY56" s="30"/>
      <c r="BA56" s="30"/>
      <c r="BC56" s="30"/>
      <c r="BE56" s="30"/>
      <c r="BG56" s="30"/>
      <c r="BH56" s="30"/>
      <c r="BI56" s="30"/>
      <c r="BJ56" s="30"/>
      <c r="BK56" s="30"/>
      <c r="BL56" s="30"/>
      <c r="BM56" s="30"/>
      <c r="BN56" s="30"/>
      <c r="BO56" s="30"/>
      <c r="BP56" s="30"/>
      <c r="BQ56" s="30"/>
      <c r="BR56" s="30"/>
      <c r="BS56" s="30"/>
      <c r="BT56" s="30"/>
      <c r="BU56" s="30"/>
      <c r="CF56" s="30"/>
      <c r="CG56" s="30"/>
      <c r="CH56" s="30"/>
      <c r="CI56" s="30"/>
      <c r="CJ56" s="30"/>
      <c r="CK56" s="30"/>
      <c r="CL56" s="30"/>
      <c r="CM56" s="29"/>
    </row>
    <row r="57" spans="1:91" s="28" customFormat="1" ht="12.75" customHeight="1">
      <c r="A57" s="29"/>
      <c r="B57" s="30"/>
      <c r="C57" s="30"/>
      <c r="D57" s="30"/>
      <c r="E57" s="30"/>
      <c r="F57" s="30"/>
      <c r="G57" s="30"/>
      <c r="H57" s="30"/>
      <c r="I57" s="31"/>
      <c r="J57" s="30"/>
      <c r="K57" s="32"/>
      <c r="L57" s="30"/>
      <c r="M57" s="30"/>
      <c r="N57" s="30"/>
      <c r="O57" s="32"/>
      <c r="P57" s="30"/>
      <c r="Q57" s="30"/>
      <c r="R57" s="30"/>
      <c r="S57" s="30"/>
      <c r="T57" s="30"/>
      <c r="U57" s="30"/>
      <c r="V57" s="30"/>
      <c r="W57" s="30"/>
      <c r="X57" s="30"/>
      <c r="Y57" s="30"/>
      <c r="Z57" s="30"/>
      <c r="AA57" s="30"/>
      <c r="AB57" s="30"/>
      <c r="AC57" s="30"/>
      <c r="AD57" s="30"/>
      <c r="AE57" s="30"/>
      <c r="AF57" s="30"/>
      <c r="AG57" s="30"/>
      <c r="AH57" s="30"/>
      <c r="AI57" s="30"/>
      <c r="AJ57" s="30"/>
      <c r="AK57" s="30"/>
      <c r="AP57" s="30"/>
      <c r="AQ57" s="30"/>
      <c r="AR57" s="30"/>
      <c r="AS57" s="30"/>
      <c r="AT57" s="30"/>
      <c r="AU57" s="30"/>
      <c r="AV57" s="30"/>
      <c r="AW57" s="30"/>
      <c r="AX57" s="30"/>
      <c r="AY57" s="30"/>
      <c r="BA57" s="30"/>
      <c r="BC57" s="30"/>
      <c r="BE57" s="30"/>
      <c r="BG57" s="30"/>
      <c r="BH57" s="30"/>
      <c r="BI57" s="30"/>
      <c r="BJ57" s="30"/>
      <c r="BK57" s="30"/>
      <c r="BL57" s="30"/>
      <c r="BM57" s="30"/>
      <c r="BN57" s="30"/>
      <c r="BO57" s="30"/>
      <c r="BP57" s="30"/>
      <c r="BQ57" s="30"/>
      <c r="BR57" s="30"/>
      <c r="BS57" s="30"/>
      <c r="BT57" s="30"/>
      <c r="BU57" s="30"/>
      <c r="CF57" s="30"/>
      <c r="CG57" s="30"/>
      <c r="CH57" s="30"/>
      <c r="CI57" s="30"/>
      <c r="CJ57" s="30"/>
      <c r="CK57" s="30"/>
      <c r="CL57" s="30"/>
      <c r="CM57" s="29"/>
    </row>
    <row r="58" spans="1:91" s="28" customFormat="1" ht="12.75" customHeight="1">
      <c r="A58" s="29"/>
      <c r="B58" s="30"/>
      <c r="C58" s="30"/>
      <c r="D58" s="30"/>
      <c r="E58" s="30"/>
      <c r="F58" s="30"/>
      <c r="G58" s="30"/>
      <c r="H58" s="30"/>
      <c r="I58" s="31"/>
      <c r="J58" s="30"/>
      <c r="K58" s="32"/>
      <c r="L58" s="30"/>
      <c r="M58" s="30"/>
      <c r="N58" s="30"/>
      <c r="O58" s="32"/>
      <c r="P58" s="30"/>
      <c r="Q58" s="30"/>
      <c r="R58" s="30"/>
      <c r="S58" s="30"/>
      <c r="T58" s="30"/>
      <c r="U58" s="30"/>
      <c r="V58" s="30"/>
      <c r="W58" s="30"/>
      <c r="X58" s="30"/>
      <c r="Y58" s="30"/>
      <c r="Z58" s="30"/>
      <c r="AA58" s="30"/>
      <c r="AB58" s="30"/>
      <c r="AC58" s="30"/>
      <c r="AD58" s="30"/>
      <c r="AE58" s="30"/>
      <c r="AF58" s="30"/>
      <c r="AG58" s="30"/>
      <c r="AH58" s="30"/>
      <c r="AI58" s="30"/>
      <c r="AJ58" s="30"/>
      <c r="AK58" s="30"/>
      <c r="AP58" s="30"/>
      <c r="AQ58" s="30"/>
      <c r="AR58" s="30"/>
      <c r="AS58" s="30"/>
      <c r="AT58" s="30"/>
      <c r="AU58" s="30"/>
      <c r="AV58" s="30"/>
      <c r="AW58" s="30"/>
      <c r="AX58" s="30"/>
      <c r="AY58" s="30"/>
      <c r="BA58" s="30"/>
      <c r="BC58" s="30"/>
      <c r="BE58" s="30"/>
      <c r="BG58" s="30"/>
      <c r="BH58" s="30"/>
      <c r="BI58" s="30"/>
      <c r="BJ58" s="30"/>
      <c r="BK58" s="30"/>
      <c r="BL58" s="30"/>
      <c r="BM58" s="30"/>
      <c r="BN58" s="30"/>
      <c r="BO58" s="30"/>
      <c r="BP58" s="30"/>
      <c r="BQ58" s="30"/>
      <c r="BR58" s="30"/>
      <c r="BS58" s="30"/>
      <c r="BT58" s="30"/>
      <c r="BU58" s="30"/>
      <c r="CF58" s="30"/>
      <c r="CG58" s="30"/>
      <c r="CH58" s="30"/>
      <c r="CI58" s="30"/>
      <c r="CJ58" s="30"/>
      <c r="CK58" s="30"/>
      <c r="CL58" s="30"/>
      <c r="CM58" s="29"/>
    </row>
    <row r="59" spans="1:91" s="28" customFormat="1" ht="12.75" customHeight="1">
      <c r="A59" s="29"/>
      <c r="B59" s="30"/>
      <c r="C59" s="30"/>
      <c r="D59" s="30"/>
      <c r="E59" s="30"/>
      <c r="F59" s="30"/>
      <c r="G59" s="30"/>
      <c r="H59" s="30"/>
      <c r="I59" s="31"/>
      <c r="J59" s="30"/>
      <c r="K59" s="32"/>
      <c r="L59" s="30"/>
      <c r="M59" s="30"/>
      <c r="N59" s="30"/>
      <c r="O59" s="32"/>
      <c r="P59" s="30"/>
      <c r="Q59" s="30"/>
      <c r="R59" s="30"/>
      <c r="S59" s="30"/>
      <c r="T59" s="30"/>
      <c r="U59" s="30"/>
      <c r="V59" s="30"/>
      <c r="W59" s="30"/>
      <c r="X59" s="30"/>
      <c r="Y59" s="30"/>
      <c r="Z59" s="30"/>
      <c r="AA59" s="30"/>
      <c r="AB59" s="30"/>
      <c r="AC59" s="30"/>
      <c r="AD59" s="30"/>
      <c r="AE59" s="30"/>
      <c r="AF59" s="30"/>
      <c r="AG59" s="30"/>
      <c r="AH59" s="30"/>
      <c r="AI59" s="30"/>
      <c r="AJ59" s="30"/>
      <c r="AK59" s="30"/>
      <c r="AP59" s="30"/>
      <c r="AQ59" s="30"/>
      <c r="AR59" s="30"/>
      <c r="AS59" s="30"/>
      <c r="AT59" s="30"/>
      <c r="AU59" s="30"/>
      <c r="AV59" s="30"/>
      <c r="AW59" s="30"/>
      <c r="AX59" s="30"/>
      <c r="AY59" s="30"/>
      <c r="BA59" s="30"/>
      <c r="BC59" s="30"/>
      <c r="BE59" s="30"/>
      <c r="BG59" s="30"/>
      <c r="BH59" s="30"/>
      <c r="BI59" s="30"/>
      <c r="BJ59" s="30"/>
      <c r="BK59" s="30"/>
      <c r="BL59" s="30"/>
      <c r="BM59" s="30"/>
      <c r="BN59" s="30"/>
      <c r="BO59" s="30"/>
      <c r="BP59" s="30"/>
      <c r="BQ59" s="30"/>
      <c r="BR59" s="30"/>
      <c r="BS59" s="30"/>
      <c r="BT59" s="30"/>
      <c r="BU59" s="30"/>
      <c r="CF59" s="30"/>
      <c r="CG59" s="30"/>
      <c r="CH59" s="30"/>
      <c r="CI59" s="30"/>
      <c r="CJ59" s="30"/>
      <c r="CK59" s="30"/>
      <c r="CL59" s="30"/>
      <c r="CM59" s="29"/>
    </row>
    <row r="60" spans="1:91" s="28" customFormat="1" ht="12.75" customHeight="1">
      <c r="A60" s="29"/>
      <c r="B60" s="30"/>
      <c r="C60" s="30"/>
      <c r="D60" s="30"/>
      <c r="E60" s="30"/>
      <c r="F60" s="30"/>
      <c r="G60" s="30"/>
      <c r="H60" s="30"/>
      <c r="I60" s="31"/>
      <c r="J60" s="30"/>
      <c r="K60" s="32"/>
      <c r="L60" s="30"/>
      <c r="M60" s="30"/>
      <c r="N60" s="30"/>
      <c r="O60" s="32"/>
      <c r="P60" s="30"/>
      <c r="Q60" s="30"/>
      <c r="R60" s="30"/>
      <c r="S60" s="30"/>
      <c r="T60" s="30"/>
      <c r="U60" s="30"/>
      <c r="V60" s="30"/>
      <c r="W60" s="30"/>
      <c r="X60" s="30"/>
      <c r="Y60" s="30"/>
      <c r="Z60" s="30"/>
      <c r="AA60" s="30"/>
      <c r="AB60" s="30"/>
      <c r="AC60" s="30"/>
      <c r="AD60" s="30"/>
      <c r="AE60" s="30"/>
      <c r="AF60" s="30"/>
      <c r="AG60" s="30"/>
      <c r="AH60" s="30"/>
      <c r="AI60" s="30"/>
      <c r="AJ60" s="30"/>
      <c r="AK60" s="30"/>
      <c r="AP60" s="30"/>
      <c r="AQ60" s="30"/>
      <c r="AR60" s="30"/>
      <c r="AS60" s="30"/>
      <c r="AT60" s="30"/>
      <c r="AU60" s="30"/>
      <c r="AV60" s="30"/>
      <c r="AW60" s="30"/>
      <c r="AX60" s="30"/>
      <c r="AY60" s="30"/>
      <c r="BA60" s="30"/>
      <c r="BC60" s="30"/>
      <c r="BE60" s="30"/>
      <c r="BG60" s="30"/>
      <c r="BH60" s="30"/>
      <c r="BI60" s="30"/>
      <c r="BJ60" s="30"/>
      <c r="BK60" s="30"/>
      <c r="BL60" s="30"/>
      <c r="BM60" s="30"/>
      <c r="BN60" s="30"/>
      <c r="BO60" s="30"/>
      <c r="BP60" s="30"/>
      <c r="BQ60" s="30"/>
      <c r="BR60" s="30"/>
      <c r="BS60" s="30"/>
      <c r="BT60" s="30"/>
      <c r="BU60" s="30"/>
      <c r="CF60" s="30"/>
      <c r="CG60" s="30"/>
      <c r="CH60" s="30"/>
      <c r="CI60" s="30"/>
      <c r="CJ60" s="30"/>
      <c r="CK60" s="30"/>
      <c r="CL60" s="30"/>
      <c r="CM60" s="29"/>
    </row>
    <row r="61" spans="1:91" s="28" customFormat="1" ht="12.75" customHeight="1">
      <c r="A61" s="29"/>
      <c r="B61" s="30"/>
      <c r="C61" s="30"/>
      <c r="D61" s="30"/>
      <c r="E61" s="30"/>
      <c r="F61" s="30"/>
      <c r="G61" s="30"/>
      <c r="H61" s="30"/>
      <c r="I61" s="31"/>
      <c r="J61" s="30"/>
      <c r="K61" s="32"/>
      <c r="L61" s="30"/>
      <c r="M61" s="30"/>
      <c r="N61" s="30"/>
      <c r="O61" s="32"/>
      <c r="P61" s="30"/>
      <c r="Q61" s="30"/>
      <c r="R61" s="30"/>
      <c r="S61" s="30"/>
      <c r="T61" s="30"/>
      <c r="U61" s="30"/>
      <c r="V61" s="30"/>
      <c r="W61" s="30"/>
      <c r="X61" s="30"/>
      <c r="Y61" s="30"/>
      <c r="Z61" s="30"/>
      <c r="AA61" s="30"/>
      <c r="AB61" s="30"/>
      <c r="AC61" s="30"/>
      <c r="AD61" s="30"/>
      <c r="AE61" s="30"/>
      <c r="AF61" s="30"/>
      <c r="AG61" s="30"/>
      <c r="AH61" s="30"/>
      <c r="AI61" s="30"/>
      <c r="AJ61" s="30"/>
      <c r="AK61" s="30"/>
      <c r="AP61" s="30"/>
      <c r="AQ61" s="30"/>
      <c r="AR61" s="30"/>
      <c r="AS61" s="30"/>
      <c r="AT61" s="30"/>
      <c r="AU61" s="30"/>
      <c r="AV61" s="30"/>
      <c r="AW61" s="30"/>
      <c r="AX61" s="30"/>
      <c r="AY61" s="30"/>
      <c r="BA61" s="30"/>
      <c r="BC61" s="30"/>
      <c r="BE61" s="30"/>
      <c r="BG61" s="30"/>
      <c r="BH61" s="30"/>
      <c r="BI61" s="30"/>
      <c r="BJ61" s="30"/>
      <c r="BK61" s="30"/>
      <c r="BL61" s="30"/>
      <c r="BM61" s="30"/>
      <c r="BN61" s="30"/>
      <c r="BO61" s="30"/>
      <c r="BP61" s="30"/>
      <c r="BQ61" s="30"/>
      <c r="BR61" s="30"/>
      <c r="BS61" s="30"/>
      <c r="BT61" s="30"/>
      <c r="BU61" s="30"/>
      <c r="CF61" s="30"/>
      <c r="CG61" s="30"/>
      <c r="CH61" s="30"/>
      <c r="CI61" s="30"/>
      <c r="CJ61" s="30"/>
      <c r="CK61" s="30"/>
      <c r="CL61" s="30"/>
      <c r="CM61" s="29"/>
    </row>
    <row r="62" spans="1:91" s="28" customFormat="1" ht="12.75" customHeight="1">
      <c r="A62" s="29"/>
      <c r="B62" s="30"/>
      <c r="C62" s="30"/>
      <c r="D62" s="30"/>
      <c r="E62" s="30"/>
      <c r="F62" s="30"/>
      <c r="G62" s="30"/>
      <c r="H62" s="30"/>
      <c r="I62" s="31"/>
      <c r="J62" s="30"/>
      <c r="K62" s="32"/>
      <c r="L62" s="30"/>
      <c r="M62" s="30"/>
      <c r="N62" s="30"/>
      <c r="O62" s="32"/>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D62" s="30"/>
      <c r="BE62" s="30"/>
      <c r="BF62" s="30"/>
      <c r="BG62" s="30"/>
      <c r="BH62" s="30"/>
      <c r="BI62" s="30"/>
      <c r="BJ62" s="30"/>
      <c r="BK62" s="30"/>
      <c r="BL62" s="30"/>
      <c r="BM62" s="30"/>
      <c r="BN62" s="30"/>
      <c r="BO62" s="30"/>
      <c r="BP62" s="30"/>
      <c r="BQ62" s="30"/>
      <c r="BR62" s="30"/>
      <c r="BS62" s="30"/>
      <c r="BT62" s="30"/>
      <c r="BU62" s="30"/>
      <c r="CF62" s="30"/>
      <c r="CG62" s="30"/>
      <c r="CH62" s="30"/>
      <c r="CI62" s="30"/>
      <c r="CJ62" s="30"/>
      <c r="CK62" s="30"/>
      <c r="CL62" s="30"/>
      <c r="CM62" s="29"/>
    </row>
    <row r="63" spans="1:91" s="28" customFormat="1" ht="12.75" customHeight="1">
      <c r="A63" s="29"/>
      <c r="B63" s="30"/>
      <c r="C63" s="30"/>
      <c r="D63" s="30"/>
      <c r="E63" s="30"/>
      <c r="F63" s="30"/>
      <c r="G63" s="30"/>
      <c r="H63" s="30"/>
      <c r="I63" s="31"/>
      <c r="J63" s="30"/>
      <c r="K63" s="32"/>
      <c r="L63" s="30"/>
      <c r="M63" s="30"/>
      <c r="N63" s="30"/>
      <c r="O63" s="32"/>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C63" s="30"/>
      <c r="BD63" s="30"/>
      <c r="BE63" s="30"/>
      <c r="BF63" s="30"/>
      <c r="BG63" s="30"/>
      <c r="BH63" s="30"/>
      <c r="BI63" s="30"/>
      <c r="BJ63" s="30"/>
      <c r="BK63" s="30"/>
      <c r="BL63" s="30"/>
      <c r="BM63" s="30"/>
      <c r="BN63" s="30"/>
      <c r="BO63" s="30"/>
      <c r="BP63" s="30"/>
      <c r="BQ63" s="30"/>
      <c r="BR63" s="30"/>
      <c r="BS63" s="30"/>
      <c r="BT63" s="30"/>
      <c r="BU63" s="30"/>
      <c r="CF63" s="30"/>
      <c r="CG63" s="30"/>
      <c r="CH63" s="30"/>
      <c r="CI63" s="30"/>
      <c r="CJ63" s="30"/>
      <c r="CK63" s="30"/>
      <c r="CL63" s="30"/>
      <c r="CM63" s="29"/>
    </row>
    <row r="64" spans="1:91">
      <c r="A64" s="44"/>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6"/>
    </row>
  </sheetData>
  <mergeCells count="16">
    <mergeCell ref="A4:M4"/>
    <mergeCell ref="AY1:BD1"/>
    <mergeCell ref="BE1:BJ1"/>
    <mergeCell ref="L2:T2"/>
    <mergeCell ref="U2:AC2"/>
    <mergeCell ref="AD2:AL2"/>
    <mergeCell ref="AM2:AR2"/>
    <mergeCell ref="AS2:AX2"/>
    <mergeCell ref="AY2:BD2"/>
    <mergeCell ref="BE2:BJ2"/>
    <mergeCell ref="A1:K2"/>
    <mergeCell ref="L1:T1"/>
    <mergeCell ref="U1:AC1"/>
    <mergeCell ref="AD1:AL1"/>
    <mergeCell ref="AM1:AR1"/>
    <mergeCell ref="AS1:AX1"/>
  </mergeCells>
  <phoneticPr fontId="6"/>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V48"/>
  <sheetViews>
    <sheetView showGridLines="0" view="pageBreakPreview" zoomScale="85" zoomScaleNormal="70" zoomScaleSheetLayoutView="85" workbookViewId="0">
      <selection sqref="A1:K2"/>
    </sheetView>
  </sheetViews>
  <sheetFormatPr defaultColWidth="2.625" defaultRowHeight="15.75"/>
  <cols>
    <col min="1" max="10" width="2.625" style="76" customWidth="1"/>
    <col min="11" max="16" width="3.25" style="76" customWidth="1"/>
    <col min="17" max="30" width="2.625" style="76" customWidth="1"/>
    <col min="31" max="54" width="2.625" style="73" customWidth="1"/>
    <col min="55" max="16384" width="2.625" style="73"/>
  </cols>
  <sheetData>
    <row r="1" spans="1:152" s="13" customFormat="1" ht="13.5" customHeight="1">
      <c r="A1" s="132" t="s">
        <v>21</v>
      </c>
      <c r="B1" s="133"/>
      <c r="C1" s="133"/>
      <c r="D1" s="133"/>
      <c r="E1" s="133"/>
      <c r="F1" s="133"/>
      <c r="G1" s="133"/>
      <c r="H1" s="133"/>
      <c r="I1" s="133"/>
      <c r="J1" s="133"/>
      <c r="K1" s="134"/>
      <c r="L1" s="123" t="s">
        <v>4</v>
      </c>
      <c r="M1" s="124"/>
      <c r="N1" s="124"/>
      <c r="O1" s="124"/>
      <c r="P1" s="124"/>
      <c r="Q1" s="124"/>
      <c r="R1" s="124"/>
      <c r="S1" s="124"/>
      <c r="T1" s="125"/>
      <c r="U1" s="123" t="s">
        <v>36</v>
      </c>
      <c r="V1" s="124"/>
      <c r="W1" s="124"/>
      <c r="X1" s="124"/>
      <c r="Y1" s="124"/>
      <c r="Z1" s="124"/>
      <c r="AA1" s="124"/>
      <c r="AB1" s="124"/>
      <c r="AC1" s="125"/>
      <c r="AD1" s="123" t="s">
        <v>37</v>
      </c>
      <c r="AE1" s="124"/>
      <c r="AF1" s="124"/>
      <c r="AG1" s="124"/>
      <c r="AH1" s="124"/>
      <c r="AI1" s="124"/>
      <c r="AJ1" s="124"/>
      <c r="AK1" s="124"/>
      <c r="AL1" s="125"/>
      <c r="AM1" s="123" t="s">
        <v>0</v>
      </c>
      <c r="AN1" s="124"/>
      <c r="AO1" s="124"/>
      <c r="AP1" s="124"/>
      <c r="AQ1" s="124"/>
      <c r="AR1" s="125"/>
      <c r="AS1" s="123" t="s">
        <v>1</v>
      </c>
      <c r="AT1" s="124"/>
      <c r="AU1" s="124"/>
      <c r="AV1" s="124"/>
      <c r="AW1" s="124"/>
      <c r="AX1" s="125"/>
      <c r="AY1" s="123" t="s">
        <v>2</v>
      </c>
      <c r="AZ1" s="124"/>
      <c r="BA1" s="124"/>
      <c r="BB1" s="124"/>
      <c r="BC1" s="124"/>
      <c r="BD1" s="125"/>
      <c r="BE1" s="123" t="s">
        <v>3</v>
      </c>
      <c r="BF1" s="124"/>
      <c r="BG1" s="124"/>
      <c r="BH1" s="124"/>
      <c r="BI1" s="124"/>
      <c r="BJ1" s="125"/>
    </row>
    <row r="2" spans="1:152" s="13" customFormat="1" ht="25.5" customHeight="1">
      <c r="A2" s="135"/>
      <c r="B2" s="136"/>
      <c r="C2" s="136"/>
      <c r="D2" s="136"/>
      <c r="E2" s="136"/>
      <c r="F2" s="136"/>
      <c r="G2" s="136"/>
      <c r="H2" s="136"/>
      <c r="I2" s="136"/>
      <c r="J2" s="136"/>
      <c r="K2" s="137"/>
      <c r="L2" s="126" t="str">
        <f>表紙!D4</f>
        <v>4S　デジタルトランスフォーメーション・プラットフォーム構築</v>
      </c>
      <c r="M2" s="127"/>
      <c r="N2" s="127"/>
      <c r="O2" s="127"/>
      <c r="P2" s="127"/>
      <c r="Q2" s="127"/>
      <c r="R2" s="127"/>
      <c r="S2" s="127"/>
      <c r="T2" s="128"/>
      <c r="U2" s="129" t="s">
        <v>52</v>
      </c>
      <c r="V2" s="130"/>
      <c r="W2" s="130"/>
      <c r="X2" s="130"/>
      <c r="Y2" s="130"/>
      <c r="Z2" s="130"/>
      <c r="AA2" s="130"/>
      <c r="AB2" s="130"/>
      <c r="AC2" s="131"/>
      <c r="AD2" s="126" t="s">
        <v>78</v>
      </c>
      <c r="AE2" s="130"/>
      <c r="AF2" s="130"/>
      <c r="AG2" s="130"/>
      <c r="AH2" s="130"/>
      <c r="AI2" s="130"/>
      <c r="AJ2" s="130"/>
      <c r="AK2" s="130"/>
      <c r="AL2" s="131"/>
      <c r="AM2" s="138" t="str">
        <f>改版履歴!C4</f>
        <v>JSOL後藤</v>
      </c>
      <c r="AN2" s="139"/>
      <c r="AO2" s="139"/>
      <c r="AP2" s="139"/>
      <c r="AQ2" s="139"/>
      <c r="AR2" s="140"/>
      <c r="AS2" s="141">
        <f>改版履歴!D4</f>
        <v>43234</v>
      </c>
      <c r="AT2" s="130"/>
      <c r="AU2" s="130"/>
      <c r="AV2" s="130"/>
      <c r="AW2" s="130"/>
      <c r="AX2" s="131"/>
      <c r="AY2" s="142" t="str">
        <f>INDEX(改版履歴!C4:C32,COUNTA(改版履歴!C4:C32))</f>
        <v>JSOL神田</v>
      </c>
      <c r="AZ2" s="139"/>
      <c r="BA2" s="139"/>
      <c r="BB2" s="139"/>
      <c r="BC2" s="139"/>
      <c r="BD2" s="140"/>
      <c r="BE2" s="141">
        <f>INDEX(改版履歴!D4:D32,COUNTA(改版履歴!D4:D32))</f>
        <v>44008</v>
      </c>
      <c r="BF2" s="143"/>
      <c r="BG2" s="143"/>
      <c r="BH2" s="143"/>
      <c r="BI2" s="143"/>
      <c r="BJ2" s="144"/>
    </row>
    <row r="3" spans="1:152" ht="13.5" customHeight="1">
      <c r="A3" s="71"/>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row>
    <row r="4" spans="1:152" ht="13.5" customHeight="1">
      <c r="A4" s="187" t="s">
        <v>92</v>
      </c>
      <c r="B4" s="187"/>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row>
    <row r="5" spans="1:152" ht="13.5" customHeight="1">
      <c r="A5" s="186" t="s">
        <v>122</v>
      </c>
      <c r="B5" s="186"/>
      <c r="C5" s="186"/>
      <c r="D5" s="186"/>
      <c r="E5" s="186"/>
      <c r="F5" s="186"/>
      <c r="G5" s="186"/>
      <c r="H5" s="186"/>
      <c r="I5" s="186"/>
      <c r="J5" s="186"/>
      <c r="K5" s="186"/>
      <c r="L5" s="186"/>
      <c r="M5" s="186"/>
      <c r="N5" s="18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row>
    <row r="6" spans="1:152" ht="13.5" customHeight="1">
      <c r="A6" s="186"/>
      <c r="B6" s="186"/>
      <c r="C6" s="186"/>
      <c r="D6" s="186"/>
      <c r="E6" s="186"/>
      <c r="F6" s="186"/>
      <c r="G6" s="186"/>
      <c r="H6" s="186"/>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row>
    <row r="7" spans="1:152" ht="13.5" customHeight="1">
      <c r="A7" s="186"/>
      <c r="B7" s="186"/>
      <c r="C7" s="186"/>
      <c r="D7" s="186"/>
      <c r="E7" s="186"/>
      <c r="F7" s="186"/>
      <c r="G7" s="186"/>
      <c r="H7" s="186"/>
      <c r="I7" s="186"/>
      <c r="J7" s="186"/>
      <c r="K7" s="186"/>
      <c r="L7" s="186"/>
      <c r="M7" s="186"/>
      <c r="N7" s="186"/>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row>
    <row r="8" spans="1:152" ht="13.5" customHeight="1">
      <c r="A8" s="188" t="s">
        <v>95</v>
      </c>
      <c r="B8" s="189"/>
      <c r="C8" s="189"/>
      <c r="D8" s="189"/>
      <c r="E8" s="189"/>
      <c r="F8" s="189"/>
      <c r="G8" s="189"/>
      <c r="H8" s="189"/>
      <c r="I8" s="190"/>
      <c r="J8" s="186" t="s">
        <v>98</v>
      </c>
      <c r="K8" s="186"/>
      <c r="L8" s="186"/>
      <c r="M8" s="186"/>
      <c r="N8" s="186"/>
      <c r="O8" s="186"/>
      <c r="P8" s="186"/>
      <c r="Q8" s="186"/>
      <c r="R8" s="186"/>
      <c r="S8" s="186"/>
      <c r="T8" s="186"/>
      <c r="U8" s="186"/>
      <c r="V8" s="186"/>
      <c r="W8" s="186"/>
      <c r="X8" s="186"/>
      <c r="Y8" s="186"/>
      <c r="Z8" s="186"/>
      <c r="AA8" s="186"/>
      <c r="AB8" s="186"/>
      <c r="AC8" s="186"/>
      <c r="AD8" s="186"/>
      <c r="AE8" s="186"/>
      <c r="AF8" s="186"/>
      <c r="AG8" s="186"/>
      <c r="AH8" s="186"/>
      <c r="AI8" s="186"/>
      <c r="AJ8" s="186"/>
      <c r="AK8" s="186"/>
      <c r="AL8" s="186"/>
      <c r="AM8" s="186"/>
      <c r="AN8" s="186"/>
      <c r="AO8" s="186"/>
      <c r="AP8" s="186"/>
      <c r="AQ8" s="186"/>
      <c r="AR8" s="186"/>
      <c r="AS8" s="186"/>
      <c r="AT8" s="186"/>
      <c r="AU8" s="186"/>
    </row>
    <row r="9" spans="1:152" ht="13.5" customHeight="1">
      <c r="A9" s="191" t="s">
        <v>93</v>
      </c>
      <c r="B9" s="192"/>
      <c r="C9" s="192"/>
      <c r="D9" s="192"/>
      <c r="E9" s="192"/>
      <c r="F9" s="192"/>
      <c r="G9" s="192"/>
      <c r="H9" s="192"/>
      <c r="I9" s="193"/>
      <c r="J9" s="197" t="s">
        <v>97</v>
      </c>
      <c r="K9" s="197"/>
      <c r="L9" s="197"/>
      <c r="M9" s="197"/>
      <c r="N9" s="197"/>
      <c r="O9" s="197"/>
      <c r="P9" s="197"/>
      <c r="Q9" s="197"/>
      <c r="R9" s="197"/>
      <c r="S9" s="197"/>
      <c r="T9" s="197"/>
      <c r="U9" s="197"/>
      <c r="V9" s="197"/>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7"/>
    </row>
    <row r="10" spans="1:152" ht="13.5" customHeight="1">
      <c r="A10" s="194"/>
      <c r="B10" s="195"/>
      <c r="C10" s="195"/>
      <c r="D10" s="195"/>
      <c r="E10" s="195"/>
      <c r="F10" s="195"/>
      <c r="G10" s="195"/>
      <c r="H10" s="195"/>
      <c r="I10" s="196"/>
      <c r="J10" s="197"/>
      <c r="K10" s="197"/>
      <c r="L10" s="197"/>
      <c r="M10" s="197"/>
      <c r="N10" s="197"/>
      <c r="O10" s="197"/>
      <c r="P10" s="197"/>
      <c r="Q10" s="197"/>
      <c r="R10" s="197"/>
      <c r="S10" s="197"/>
      <c r="T10" s="197"/>
      <c r="U10" s="197"/>
      <c r="V10" s="197"/>
      <c r="W10" s="197"/>
      <c r="X10" s="197"/>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row>
    <row r="11" spans="1:152" ht="13.5" customHeight="1">
      <c r="A11" s="74" t="s">
        <v>96</v>
      </c>
      <c r="B11" s="184" t="s">
        <v>94</v>
      </c>
      <c r="C11" s="184"/>
      <c r="D11" s="184"/>
      <c r="E11" s="184"/>
      <c r="F11" s="184"/>
      <c r="G11" s="184"/>
      <c r="H11" s="184"/>
      <c r="I11" s="184"/>
      <c r="J11" s="197"/>
      <c r="K11" s="197"/>
      <c r="L11" s="197"/>
      <c r="M11" s="197"/>
      <c r="N11" s="197"/>
      <c r="O11" s="197"/>
      <c r="P11" s="197"/>
      <c r="Q11" s="197"/>
      <c r="R11" s="197"/>
      <c r="S11" s="197"/>
      <c r="T11" s="197"/>
      <c r="U11" s="197"/>
      <c r="V11" s="197"/>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row>
    <row r="12" spans="1:152" ht="18.75">
      <c r="A12" s="75">
        <v>1</v>
      </c>
      <c r="B12" s="180" t="s">
        <v>99</v>
      </c>
      <c r="C12" s="181"/>
      <c r="D12" s="181"/>
      <c r="E12" s="181"/>
      <c r="F12" s="181"/>
      <c r="G12" s="181"/>
      <c r="H12" s="181"/>
      <c r="I12" s="182"/>
      <c r="J12" s="183" t="s">
        <v>123</v>
      </c>
      <c r="K12" s="183"/>
      <c r="L12" s="183"/>
      <c r="M12" s="183"/>
      <c r="N12" s="183"/>
      <c r="O12" s="183"/>
      <c r="P12" s="183"/>
      <c r="Q12" s="183"/>
      <c r="R12" s="183"/>
      <c r="S12" s="183"/>
      <c r="T12" s="183"/>
      <c r="U12" s="183"/>
      <c r="V12" s="183"/>
      <c r="W12" s="183"/>
      <c r="X12" s="183"/>
      <c r="Y12" s="183"/>
      <c r="Z12" s="183"/>
      <c r="AA12" s="183"/>
      <c r="AB12" s="183"/>
      <c r="AC12" s="183"/>
      <c r="AD12" s="183"/>
      <c r="AE12" s="183"/>
      <c r="AF12" s="183"/>
      <c r="AG12" s="183"/>
      <c r="AH12" s="183"/>
      <c r="AI12" s="183"/>
      <c r="AJ12" s="183"/>
      <c r="AK12" s="183"/>
      <c r="AL12" s="183"/>
      <c r="AM12" s="183"/>
      <c r="AN12" s="183"/>
      <c r="AO12" s="183"/>
      <c r="AP12" s="183"/>
      <c r="AQ12" s="183"/>
      <c r="AR12" s="183"/>
      <c r="AS12" s="183"/>
      <c r="AT12" s="183"/>
      <c r="AU12" s="183"/>
    </row>
    <row r="13" spans="1:152" s="76" customFormat="1">
      <c r="A13" s="184" t="s">
        <v>5</v>
      </c>
      <c r="B13" s="184"/>
      <c r="C13" s="184"/>
      <c r="D13" s="184"/>
      <c r="E13" s="184"/>
      <c r="F13" s="184"/>
      <c r="G13" s="184"/>
      <c r="H13" s="184"/>
      <c r="I13" s="184"/>
      <c r="J13" s="185"/>
      <c r="K13" s="185"/>
      <c r="L13" s="185"/>
      <c r="M13" s="185"/>
      <c r="N13" s="185"/>
      <c r="O13" s="185"/>
      <c r="P13" s="185"/>
      <c r="Q13" s="185"/>
      <c r="R13" s="185"/>
      <c r="S13" s="185"/>
      <c r="T13" s="185"/>
      <c r="U13" s="185"/>
      <c r="V13" s="185"/>
      <c r="W13" s="185"/>
      <c r="X13" s="185"/>
      <c r="Y13" s="185"/>
      <c r="Z13" s="185"/>
      <c r="AA13" s="185"/>
      <c r="AB13" s="185"/>
      <c r="AC13" s="185"/>
      <c r="AD13" s="185"/>
      <c r="AE13" s="185"/>
      <c r="AF13" s="185"/>
      <c r="AG13" s="185"/>
      <c r="AH13" s="185"/>
      <c r="AI13" s="185"/>
      <c r="AJ13" s="185"/>
      <c r="AK13" s="185"/>
      <c r="AL13" s="185"/>
      <c r="AM13" s="185"/>
      <c r="AN13" s="185"/>
      <c r="AO13" s="185"/>
      <c r="AP13" s="185"/>
      <c r="AQ13" s="185"/>
      <c r="AR13" s="185"/>
      <c r="AS13" s="185"/>
      <c r="AT13" s="185"/>
      <c r="AU13" s="185"/>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3"/>
      <c r="CF13" s="73"/>
      <c r="CG13" s="73"/>
      <c r="CH13" s="73"/>
      <c r="CI13" s="73"/>
      <c r="CJ13" s="73"/>
      <c r="CK13" s="73"/>
      <c r="CL13" s="73"/>
      <c r="CM13" s="73"/>
      <c r="CN13" s="73"/>
      <c r="CO13" s="73"/>
      <c r="CP13" s="73"/>
      <c r="CQ13" s="73"/>
      <c r="CR13" s="73"/>
      <c r="CS13" s="73"/>
      <c r="CT13" s="73"/>
      <c r="CU13" s="73"/>
      <c r="CV13" s="73"/>
      <c r="CW13" s="73"/>
      <c r="CX13" s="73"/>
      <c r="CY13" s="73"/>
      <c r="CZ13" s="73"/>
      <c r="DA13" s="73"/>
      <c r="DB13" s="73"/>
      <c r="DC13" s="73"/>
      <c r="DD13" s="73"/>
      <c r="DE13" s="73"/>
      <c r="DF13" s="73"/>
      <c r="DG13" s="73"/>
      <c r="DH13" s="73"/>
      <c r="DI13" s="73"/>
      <c r="DJ13" s="73"/>
      <c r="DK13" s="73"/>
      <c r="DL13" s="73"/>
      <c r="DM13" s="73"/>
      <c r="DN13" s="73"/>
      <c r="DO13" s="73"/>
      <c r="DP13" s="73"/>
      <c r="DQ13" s="73"/>
      <c r="DR13" s="73"/>
      <c r="DS13" s="73"/>
      <c r="DT13" s="73"/>
      <c r="DU13" s="73"/>
      <c r="DV13" s="73"/>
      <c r="DW13" s="73"/>
      <c r="DX13" s="73"/>
      <c r="DY13" s="73"/>
      <c r="DZ13" s="73"/>
      <c r="EA13" s="73"/>
      <c r="EB13" s="73"/>
      <c r="EC13" s="73"/>
      <c r="ED13" s="73"/>
      <c r="EE13" s="73"/>
      <c r="EF13" s="73"/>
      <c r="EG13" s="73"/>
      <c r="EH13" s="73"/>
      <c r="EI13" s="73"/>
      <c r="EJ13" s="73"/>
      <c r="EK13" s="73"/>
      <c r="EL13" s="73"/>
      <c r="EM13" s="73"/>
      <c r="EN13" s="73"/>
      <c r="EO13" s="73"/>
      <c r="EP13" s="73"/>
      <c r="EQ13" s="73"/>
      <c r="ER13" s="73"/>
      <c r="ES13" s="73"/>
      <c r="ET13" s="73"/>
      <c r="EU13" s="73"/>
      <c r="EV13" s="73"/>
    </row>
    <row r="14" spans="1:152" s="76" customFormat="1">
      <c r="A14" s="186" t="s">
        <v>124</v>
      </c>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c r="AA14" s="186"/>
      <c r="AB14" s="186"/>
      <c r="AC14" s="186"/>
      <c r="AD14" s="186"/>
      <c r="AE14" s="186"/>
      <c r="AF14" s="186"/>
      <c r="AG14" s="186"/>
      <c r="AH14" s="186"/>
      <c r="AI14" s="186"/>
      <c r="AJ14" s="186"/>
      <c r="AK14" s="186"/>
      <c r="AL14" s="186"/>
      <c r="AM14" s="186"/>
      <c r="AN14" s="186"/>
      <c r="AO14" s="186"/>
      <c r="AP14" s="186"/>
      <c r="AQ14" s="186"/>
      <c r="AR14" s="186"/>
      <c r="AS14" s="186"/>
      <c r="AT14" s="186"/>
      <c r="AU14" s="186"/>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c r="CC14" s="73"/>
      <c r="CD14" s="73"/>
      <c r="CE14" s="73"/>
      <c r="CF14" s="73"/>
      <c r="CG14" s="73"/>
      <c r="CH14" s="73"/>
      <c r="CI14" s="73"/>
      <c r="CJ14" s="73"/>
      <c r="CK14" s="73"/>
      <c r="CL14" s="73"/>
      <c r="CM14" s="73"/>
      <c r="CN14" s="73"/>
      <c r="CO14" s="73"/>
      <c r="CP14" s="73"/>
      <c r="CQ14" s="73"/>
      <c r="CR14" s="73"/>
      <c r="CS14" s="73"/>
      <c r="CT14" s="73"/>
      <c r="CU14" s="73"/>
      <c r="CV14" s="73"/>
      <c r="CW14" s="73"/>
      <c r="CX14" s="73"/>
      <c r="CY14" s="73"/>
      <c r="CZ14" s="73"/>
      <c r="DA14" s="73"/>
      <c r="DB14" s="73"/>
      <c r="DC14" s="73"/>
      <c r="DD14" s="73"/>
      <c r="DE14" s="73"/>
      <c r="DF14" s="73"/>
      <c r="DG14" s="73"/>
      <c r="DH14" s="73"/>
      <c r="DI14" s="73"/>
      <c r="DJ14" s="73"/>
      <c r="DK14" s="73"/>
      <c r="DL14" s="73"/>
      <c r="DM14" s="73"/>
      <c r="DN14" s="73"/>
      <c r="DO14" s="73"/>
      <c r="DP14" s="73"/>
      <c r="DQ14" s="73"/>
      <c r="DR14" s="73"/>
      <c r="DS14" s="73"/>
      <c r="DT14" s="73"/>
      <c r="DU14" s="73"/>
      <c r="DV14" s="73"/>
      <c r="DW14" s="73"/>
      <c r="DX14" s="73"/>
      <c r="DY14" s="73"/>
      <c r="DZ14" s="73"/>
      <c r="EA14" s="73"/>
      <c r="EB14" s="73"/>
      <c r="EC14" s="73"/>
      <c r="ED14" s="73"/>
      <c r="EE14" s="73"/>
      <c r="EF14" s="73"/>
      <c r="EG14" s="73"/>
      <c r="EH14" s="73"/>
      <c r="EI14" s="73"/>
      <c r="EJ14" s="73"/>
      <c r="EK14" s="73"/>
      <c r="EL14" s="73"/>
      <c r="EM14" s="73"/>
      <c r="EN14" s="73"/>
      <c r="EO14" s="73"/>
      <c r="EP14" s="73"/>
      <c r="EQ14" s="73"/>
      <c r="ER14" s="73"/>
      <c r="ES14" s="73"/>
      <c r="ET14" s="73"/>
      <c r="EU14" s="73"/>
      <c r="EV14" s="73"/>
    </row>
    <row r="15" spans="1:152" s="76" customFormat="1">
      <c r="A15" s="186"/>
      <c r="B15" s="186"/>
      <c r="C15" s="186"/>
      <c r="D15" s="186"/>
      <c r="E15" s="186"/>
      <c r="F15" s="186"/>
      <c r="G15" s="186"/>
      <c r="H15" s="186"/>
      <c r="I15" s="186"/>
      <c r="J15" s="186"/>
      <c r="K15" s="186"/>
      <c r="L15" s="186"/>
      <c r="M15" s="186"/>
      <c r="N15" s="186"/>
      <c r="O15" s="186"/>
      <c r="P15" s="186"/>
      <c r="Q15" s="186"/>
      <c r="R15" s="186"/>
      <c r="S15" s="186"/>
      <c r="T15" s="186"/>
      <c r="U15" s="186"/>
      <c r="V15" s="186"/>
      <c r="W15" s="186"/>
      <c r="X15" s="186"/>
      <c r="Y15" s="186"/>
      <c r="Z15" s="186"/>
      <c r="AA15" s="186"/>
      <c r="AB15" s="186"/>
      <c r="AC15" s="186"/>
      <c r="AD15" s="186"/>
      <c r="AE15" s="186"/>
      <c r="AF15" s="186"/>
      <c r="AG15" s="186"/>
      <c r="AH15" s="186"/>
      <c r="AI15" s="186"/>
      <c r="AJ15" s="186"/>
      <c r="AK15" s="186"/>
      <c r="AL15" s="186"/>
      <c r="AM15" s="186"/>
      <c r="AN15" s="186"/>
      <c r="AO15" s="186"/>
      <c r="AP15" s="186"/>
      <c r="AQ15" s="186"/>
      <c r="AR15" s="186"/>
      <c r="AS15" s="186"/>
      <c r="AT15" s="186"/>
      <c r="AU15" s="186"/>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c r="CC15" s="73"/>
      <c r="CD15" s="73"/>
      <c r="CE15" s="73"/>
      <c r="CF15" s="73"/>
      <c r="CG15" s="73"/>
      <c r="CH15" s="73"/>
      <c r="CI15" s="73"/>
      <c r="CJ15" s="73"/>
      <c r="CK15" s="73"/>
      <c r="CL15" s="73"/>
      <c r="CM15" s="73"/>
      <c r="CN15" s="73"/>
      <c r="CO15" s="73"/>
      <c r="CP15" s="73"/>
      <c r="CQ15" s="73"/>
      <c r="CR15" s="73"/>
      <c r="CS15" s="73"/>
      <c r="CT15" s="73"/>
      <c r="CU15" s="73"/>
      <c r="CV15" s="73"/>
      <c r="CW15" s="73"/>
      <c r="CX15" s="73"/>
      <c r="CY15" s="73"/>
      <c r="CZ15" s="73"/>
      <c r="DA15" s="73"/>
      <c r="DB15" s="73"/>
      <c r="DC15" s="73"/>
      <c r="DD15" s="73"/>
      <c r="DE15" s="73"/>
      <c r="DF15" s="73"/>
      <c r="DG15" s="73"/>
      <c r="DH15" s="73"/>
      <c r="DI15" s="73"/>
      <c r="DJ15" s="73"/>
      <c r="DK15" s="73"/>
      <c r="DL15" s="73"/>
      <c r="DM15" s="73"/>
      <c r="DN15" s="73"/>
      <c r="DO15" s="73"/>
      <c r="DP15" s="73"/>
      <c r="DQ15" s="73"/>
      <c r="DR15" s="73"/>
      <c r="DS15" s="73"/>
      <c r="DT15" s="73"/>
      <c r="DU15" s="73"/>
      <c r="DV15" s="73"/>
      <c r="DW15" s="73"/>
      <c r="DX15" s="73"/>
      <c r="DY15" s="73"/>
      <c r="DZ15" s="73"/>
      <c r="EA15" s="73"/>
      <c r="EB15" s="73"/>
      <c r="EC15" s="73"/>
      <c r="ED15" s="73"/>
      <c r="EE15" s="73"/>
      <c r="EF15" s="73"/>
      <c r="EG15" s="73"/>
      <c r="EH15" s="73"/>
      <c r="EI15" s="73"/>
      <c r="EJ15" s="73"/>
      <c r="EK15" s="73"/>
      <c r="EL15" s="73"/>
      <c r="EM15" s="73"/>
      <c r="EN15" s="73"/>
      <c r="EO15" s="73"/>
      <c r="EP15" s="73"/>
      <c r="EQ15" s="73"/>
      <c r="ER15" s="73"/>
      <c r="ES15" s="73"/>
      <c r="ET15" s="73"/>
      <c r="EU15" s="73"/>
      <c r="EV15" s="73"/>
    </row>
    <row r="16" spans="1:152" s="76" customFormat="1">
      <c r="A16" s="186"/>
      <c r="B16" s="186"/>
      <c r="C16" s="186"/>
      <c r="D16" s="186"/>
      <c r="E16" s="186"/>
      <c r="F16" s="186"/>
      <c r="G16" s="186"/>
      <c r="H16" s="186"/>
      <c r="I16" s="186"/>
      <c r="J16" s="186"/>
      <c r="K16" s="186"/>
      <c r="L16" s="186"/>
      <c r="M16" s="186"/>
      <c r="N16" s="186"/>
      <c r="O16" s="186"/>
      <c r="P16" s="186"/>
      <c r="Q16" s="186"/>
      <c r="R16" s="186"/>
      <c r="S16" s="186"/>
      <c r="T16" s="186"/>
      <c r="U16" s="186"/>
      <c r="V16" s="186"/>
      <c r="W16" s="186"/>
      <c r="X16" s="186"/>
      <c r="Y16" s="186"/>
      <c r="Z16" s="186"/>
      <c r="AA16" s="186"/>
      <c r="AB16" s="186"/>
      <c r="AC16" s="186"/>
      <c r="AD16" s="186"/>
      <c r="AE16" s="186"/>
      <c r="AF16" s="186"/>
      <c r="AG16" s="186"/>
      <c r="AH16" s="186"/>
      <c r="AI16" s="186"/>
      <c r="AJ16" s="186"/>
      <c r="AK16" s="186"/>
      <c r="AL16" s="186"/>
      <c r="AM16" s="186"/>
      <c r="AN16" s="186"/>
      <c r="AO16" s="186"/>
      <c r="AP16" s="186"/>
      <c r="AQ16" s="186"/>
      <c r="AR16" s="186"/>
      <c r="AS16" s="186"/>
      <c r="AT16" s="186"/>
      <c r="AU16" s="186"/>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c r="CC16" s="73"/>
      <c r="CD16" s="73"/>
      <c r="CE16" s="73"/>
      <c r="CF16" s="73"/>
      <c r="CG16" s="73"/>
      <c r="CH16" s="73"/>
      <c r="CI16" s="73"/>
      <c r="CJ16" s="73"/>
      <c r="CK16" s="73"/>
      <c r="CL16" s="73"/>
      <c r="CM16" s="73"/>
      <c r="CN16" s="73"/>
      <c r="CO16" s="73"/>
      <c r="CP16" s="73"/>
      <c r="CQ16" s="73"/>
      <c r="CR16" s="73"/>
      <c r="CS16" s="73"/>
      <c r="CT16" s="73"/>
      <c r="CU16" s="73"/>
      <c r="CV16" s="73"/>
      <c r="CW16" s="73"/>
      <c r="CX16" s="73"/>
      <c r="CY16" s="73"/>
      <c r="CZ16" s="73"/>
      <c r="DA16" s="73"/>
      <c r="DB16" s="73"/>
      <c r="DC16" s="73"/>
      <c r="DD16" s="73"/>
      <c r="DE16" s="73"/>
      <c r="DF16" s="73"/>
      <c r="DG16" s="73"/>
      <c r="DH16" s="73"/>
      <c r="DI16" s="73"/>
      <c r="DJ16" s="73"/>
      <c r="DK16" s="73"/>
      <c r="DL16" s="73"/>
      <c r="DM16" s="73"/>
      <c r="DN16" s="73"/>
      <c r="DO16" s="73"/>
      <c r="DP16" s="73"/>
      <c r="DQ16" s="73"/>
      <c r="DR16" s="73"/>
      <c r="DS16" s="73"/>
      <c r="DT16" s="73"/>
      <c r="DU16" s="73"/>
      <c r="DV16" s="73"/>
      <c r="DW16" s="73"/>
      <c r="DX16" s="73"/>
      <c r="DY16" s="73"/>
      <c r="DZ16" s="73"/>
      <c r="EA16" s="73"/>
      <c r="EB16" s="73"/>
      <c r="EC16" s="73"/>
      <c r="ED16" s="73"/>
      <c r="EE16" s="73"/>
      <c r="EF16" s="73"/>
      <c r="EG16" s="73"/>
      <c r="EH16" s="73"/>
      <c r="EI16" s="73"/>
      <c r="EJ16" s="73"/>
      <c r="EK16" s="73"/>
      <c r="EL16" s="73"/>
      <c r="EM16" s="73"/>
      <c r="EN16" s="73"/>
      <c r="EO16" s="73"/>
      <c r="EP16" s="73"/>
      <c r="EQ16" s="73"/>
      <c r="ER16" s="73"/>
      <c r="ES16" s="73"/>
      <c r="ET16" s="73"/>
      <c r="EU16" s="73"/>
      <c r="EV16" s="73"/>
    </row>
    <row r="17" spans="1:152" ht="9.75" customHeight="1">
      <c r="A17" s="78"/>
      <c r="B17" s="79"/>
      <c r="C17" s="79"/>
      <c r="D17" s="79"/>
      <c r="E17" s="79"/>
      <c r="F17" s="79"/>
      <c r="G17" s="79"/>
      <c r="H17" s="79"/>
      <c r="I17" s="79"/>
      <c r="J17" s="79"/>
      <c r="K17" s="79"/>
      <c r="L17" s="79"/>
      <c r="M17" s="79"/>
      <c r="N17" s="79"/>
      <c r="O17" s="79"/>
      <c r="P17" s="79"/>
      <c r="Q17" s="79"/>
      <c r="R17" s="79"/>
      <c r="S17" s="79"/>
      <c r="T17" s="80"/>
      <c r="U17" s="80"/>
      <c r="V17" s="80"/>
      <c r="W17" s="80"/>
      <c r="X17" s="80"/>
      <c r="Y17" s="80"/>
      <c r="Z17" s="80"/>
      <c r="AA17" s="80"/>
      <c r="AB17" s="80"/>
      <c r="AC17" s="80"/>
      <c r="AD17" s="80"/>
      <c r="AE17" s="81"/>
      <c r="AF17" s="81"/>
      <c r="AG17" s="81"/>
      <c r="AH17" s="81"/>
      <c r="AI17" s="81"/>
      <c r="AJ17" s="81"/>
      <c r="AK17" s="81"/>
      <c r="AL17" s="81"/>
      <c r="AM17" s="81"/>
      <c r="AN17" s="81"/>
      <c r="AO17" s="81"/>
      <c r="AP17" s="81"/>
      <c r="AQ17" s="81"/>
      <c r="AR17" s="81"/>
      <c r="AS17" s="81"/>
      <c r="AT17" s="81"/>
      <c r="AU17" s="81"/>
    </row>
    <row r="18" spans="1:152" ht="13.5" customHeight="1">
      <c r="A18" s="187" t="s">
        <v>92</v>
      </c>
      <c r="B18" s="187"/>
      <c r="C18" s="187"/>
      <c r="D18" s="187"/>
      <c r="E18" s="187"/>
      <c r="F18" s="187"/>
      <c r="G18" s="187"/>
      <c r="H18" s="187"/>
      <c r="I18" s="187"/>
      <c r="J18" s="187"/>
      <c r="K18" s="187"/>
      <c r="L18" s="187"/>
      <c r="M18" s="187"/>
      <c r="N18" s="187"/>
      <c r="O18" s="187"/>
      <c r="P18" s="187"/>
      <c r="Q18" s="187"/>
      <c r="R18" s="187"/>
      <c r="S18" s="187"/>
      <c r="T18" s="187"/>
      <c r="U18" s="187"/>
      <c r="V18" s="187"/>
      <c r="W18" s="187"/>
      <c r="X18" s="187"/>
      <c r="Y18" s="187"/>
      <c r="Z18" s="187"/>
      <c r="AA18" s="187"/>
      <c r="AB18" s="187"/>
      <c r="AC18" s="187"/>
      <c r="AD18" s="187"/>
      <c r="AE18" s="187"/>
      <c r="AF18" s="187"/>
      <c r="AG18" s="187"/>
      <c r="AH18" s="187"/>
      <c r="AI18" s="187"/>
      <c r="AJ18" s="187"/>
      <c r="AK18" s="187"/>
      <c r="AL18" s="187"/>
      <c r="AM18" s="187"/>
      <c r="AN18" s="187"/>
      <c r="AO18" s="187"/>
      <c r="AP18" s="187"/>
      <c r="AQ18" s="187"/>
      <c r="AR18" s="187"/>
      <c r="AS18" s="187"/>
      <c r="AT18" s="187"/>
      <c r="AU18" s="187"/>
    </row>
    <row r="19" spans="1:152" ht="13.5" customHeight="1">
      <c r="A19" s="186" t="s">
        <v>150</v>
      </c>
      <c r="B19" s="186"/>
      <c r="C19" s="186"/>
      <c r="D19" s="186"/>
      <c r="E19" s="186"/>
      <c r="F19" s="186"/>
      <c r="G19" s="186"/>
      <c r="H19" s="186"/>
      <c r="I19" s="186"/>
      <c r="J19" s="186"/>
      <c r="K19" s="186"/>
      <c r="L19" s="186"/>
      <c r="M19" s="186"/>
      <c r="N19" s="186"/>
      <c r="O19" s="186"/>
      <c r="P19" s="186"/>
      <c r="Q19" s="186"/>
      <c r="R19" s="186"/>
      <c r="S19" s="186"/>
      <c r="T19" s="186"/>
      <c r="U19" s="186"/>
      <c r="V19" s="186"/>
      <c r="W19" s="186"/>
      <c r="X19" s="186"/>
      <c r="Y19" s="186"/>
      <c r="Z19" s="186"/>
      <c r="AA19" s="186"/>
      <c r="AB19" s="186"/>
      <c r="AC19" s="186"/>
      <c r="AD19" s="186"/>
      <c r="AE19" s="186"/>
      <c r="AF19" s="186"/>
      <c r="AG19" s="186"/>
      <c r="AH19" s="186"/>
      <c r="AI19" s="186"/>
      <c r="AJ19" s="186"/>
      <c r="AK19" s="186"/>
      <c r="AL19" s="186"/>
      <c r="AM19" s="186"/>
      <c r="AN19" s="186"/>
      <c r="AO19" s="186"/>
      <c r="AP19" s="186"/>
      <c r="AQ19" s="186"/>
      <c r="AR19" s="186"/>
      <c r="AS19" s="186"/>
      <c r="AT19" s="186"/>
      <c r="AU19" s="186"/>
    </row>
    <row r="20" spans="1:152" ht="13.5" customHeight="1">
      <c r="A20" s="186"/>
      <c r="B20" s="186"/>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186"/>
      <c r="AD20" s="186"/>
      <c r="AE20" s="186"/>
      <c r="AF20" s="186"/>
      <c r="AG20" s="186"/>
      <c r="AH20" s="186"/>
      <c r="AI20" s="186"/>
      <c r="AJ20" s="186"/>
      <c r="AK20" s="186"/>
      <c r="AL20" s="186"/>
      <c r="AM20" s="186"/>
      <c r="AN20" s="186"/>
      <c r="AO20" s="186"/>
      <c r="AP20" s="186"/>
      <c r="AQ20" s="186"/>
      <c r="AR20" s="186"/>
      <c r="AS20" s="186"/>
      <c r="AT20" s="186"/>
      <c r="AU20" s="186"/>
    </row>
    <row r="21" spans="1:152" ht="13.5" customHeight="1">
      <c r="A21" s="186"/>
      <c r="B21" s="186"/>
      <c r="C21" s="186"/>
      <c r="D21" s="186"/>
      <c r="E21" s="186"/>
      <c r="F21" s="186"/>
      <c r="G21" s="186"/>
      <c r="H21" s="186"/>
      <c r="I21" s="186"/>
      <c r="J21" s="186"/>
      <c r="K21" s="186"/>
      <c r="L21" s="186"/>
      <c r="M21" s="186"/>
      <c r="N21" s="186"/>
      <c r="O21" s="186"/>
      <c r="P21" s="186"/>
      <c r="Q21" s="186"/>
      <c r="R21" s="186"/>
      <c r="S21" s="186"/>
      <c r="T21" s="186"/>
      <c r="U21" s="186"/>
      <c r="V21" s="186"/>
      <c r="W21" s="186"/>
      <c r="X21" s="186"/>
      <c r="Y21" s="186"/>
      <c r="Z21" s="186"/>
      <c r="AA21" s="186"/>
      <c r="AB21" s="186"/>
      <c r="AC21" s="186"/>
      <c r="AD21" s="186"/>
      <c r="AE21" s="186"/>
      <c r="AF21" s="186"/>
      <c r="AG21" s="186"/>
      <c r="AH21" s="186"/>
      <c r="AI21" s="186"/>
      <c r="AJ21" s="186"/>
      <c r="AK21" s="186"/>
      <c r="AL21" s="186"/>
      <c r="AM21" s="186"/>
      <c r="AN21" s="186"/>
      <c r="AO21" s="186"/>
      <c r="AP21" s="186"/>
      <c r="AQ21" s="186"/>
      <c r="AR21" s="186"/>
      <c r="AS21" s="186"/>
      <c r="AT21" s="186"/>
      <c r="AU21" s="186"/>
    </row>
    <row r="22" spans="1:152" ht="13.5" customHeight="1">
      <c r="A22" s="188" t="s">
        <v>95</v>
      </c>
      <c r="B22" s="189"/>
      <c r="C22" s="189"/>
      <c r="D22" s="189"/>
      <c r="E22" s="189"/>
      <c r="F22" s="189"/>
      <c r="G22" s="189"/>
      <c r="H22" s="189"/>
      <c r="I22" s="190"/>
      <c r="J22" s="186" t="s">
        <v>180</v>
      </c>
      <c r="K22" s="186"/>
      <c r="L22" s="186"/>
      <c r="M22" s="186"/>
      <c r="N22" s="186"/>
      <c r="O22" s="186"/>
      <c r="P22" s="186"/>
      <c r="Q22" s="186"/>
      <c r="R22" s="186"/>
      <c r="S22" s="186"/>
      <c r="T22" s="186"/>
      <c r="U22" s="186"/>
      <c r="V22" s="186"/>
      <c r="W22" s="186"/>
      <c r="X22" s="186"/>
      <c r="Y22" s="186"/>
      <c r="Z22" s="186"/>
      <c r="AA22" s="186"/>
      <c r="AB22" s="186"/>
      <c r="AC22" s="186"/>
      <c r="AD22" s="186"/>
      <c r="AE22" s="186"/>
      <c r="AF22" s="186"/>
      <c r="AG22" s="186"/>
      <c r="AH22" s="186"/>
      <c r="AI22" s="186"/>
      <c r="AJ22" s="186"/>
      <c r="AK22" s="186"/>
      <c r="AL22" s="186"/>
      <c r="AM22" s="186"/>
      <c r="AN22" s="186"/>
      <c r="AO22" s="186"/>
      <c r="AP22" s="186"/>
      <c r="AQ22" s="186"/>
      <c r="AR22" s="186"/>
      <c r="AS22" s="186"/>
      <c r="AT22" s="186"/>
      <c r="AU22" s="186"/>
    </row>
    <row r="23" spans="1:152" ht="13.5" customHeight="1">
      <c r="A23" s="191" t="s">
        <v>93</v>
      </c>
      <c r="B23" s="192"/>
      <c r="C23" s="192"/>
      <c r="D23" s="192"/>
      <c r="E23" s="192"/>
      <c r="F23" s="192"/>
      <c r="G23" s="192"/>
      <c r="H23" s="192"/>
      <c r="I23" s="193"/>
      <c r="J23" s="197" t="s">
        <v>97</v>
      </c>
      <c r="K23" s="197"/>
      <c r="L23" s="197"/>
      <c r="M23" s="197"/>
      <c r="N23" s="197"/>
      <c r="O23" s="197"/>
      <c r="P23" s="197"/>
      <c r="Q23" s="197"/>
      <c r="R23" s="197"/>
      <c r="S23" s="197"/>
      <c r="T23" s="197"/>
      <c r="U23" s="197"/>
      <c r="V23" s="197"/>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row>
    <row r="24" spans="1:152" ht="13.5" customHeight="1">
      <c r="A24" s="194"/>
      <c r="B24" s="195"/>
      <c r="C24" s="195"/>
      <c r="D24" s="195"/>
      <c r="E24" s="195"/>
      <c r="F24" s="195"/>
      <c r="G24" s="195"/>
      <c r="H24" s="195"/>
      <c r="I24" s="196"/>
      <c r="J24" s="197"/>
      <c r="K24" s="197"/>
      <c r="L24" s="197"/>
      <c r="M24" s="197"/>
      <c r="N24" s="197"/>
      <c r="O24" s="197"/>
      <c r="P24" s="197"/>
      <c r="Q24" s="197"/>
      <c r="R24" s="197"/>
      <c r="S24" s="197"/>
      <c r="T24" s="197"/>
      <c r="U24" s="197"/>
      <c r="V24" s="197"/>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row>
    <row r="25" spans="1:152" ht="13.5" customHeight="1">
      <c r="A25" s="74" t="s">
        <v>96</v>
      </c>
      <c r="B25" s="184" t="s">
        <v>94</v>
      </c>
      <c r="C25" s="184"/>
      <c r="D25" s="184"/>
      <c r="E25" s="184"/>
      <c r="F25" s="184"/>
      <c r="G25" s="184"/>
      <c r="H25" s="184"/>
      <c r="I25" s="184"/>
      <c r="J25" s="197"/>
      <c r="K25" s="197"/>
      <c r="L25" s="197"/>
      <c r="M25" s="197"/>
      <c r="N25" s="197"/>
      <c r="O25" s="197"/>
      <c r="P25" s="197"/>
      <c r="Q25" s="197"/>
      <c r="R25" s="197"/>
      <c r="S25" s="197"/>
      <c r="T25" s="197"/>
      <c r="U25" s="197"/>
      <c r="V25" s="197"/>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row>
    <row r="26" spans="1:152" ht="18.75">
      <c r="A26" s="75">
        <v>1</v>
      </c>
      <c r="B26" s="180" t="s">
        <v>99</v>
      </c>
      <c r="C26" s="181"/>
      <c r="D26" s="181"/>
      <c r="E26" s="181"/>
      <c r="F26" s="181"/>
      <c r="G26" s="181"/>
      <c r="H26" s="181"/>
      <c r="I26" s="182"/>
      <c r="J26" s="183" t="s">
        <v>100</v>
      </c>
      <c r="K26" s="183"/>
      <c r="L26" s="183"/>
      <c r="M26" s="183"/>
      <c r="N26" s="183"/>
      <c r="O26" s="183"/>
      <c r="P26" s="183"/>
      <c r="Q26" s="183"/>
      <c r="R26" s="183"/>
      <c r="S26" s="183"/>
      <c r="T26" s="183"/>
      <c r="U26" s="183"/>
      <c r="V26" s="183"/>
      <c r="W26" s="183"/>
      <c r="X26" s="183"/>
      <c r="Y26" s="183"/>
      <c r="Z26" s="183"/>
      <c r="AA26" s="183"/>
      <c r="AB26" s="183"/>
      <c r="AC26" s="183"/>
      <c r="AD26" s="183"/>
      <c r="AE26" s="183"/>
      <c r="AF26" s="183"/>
      <c r="AG26" s="183"/>
      <c r="AH26" s="183"/>
      <c r="AI26" s="183"/>
      <c r="AJ26" s="183"/>
      <c r="AK26" s="183"/>
      <c r="AL26" s="183"/>
      <c r="AM26" s="183"/>
      <c r="AN26" s="183"/>
      <c r="AO26" s="183"/>
      <c r="AP26" s="183"/>
      <c r="AQ26" s="183"/>
      <c r="AR26" s="183"/>
      <c r="AS26" s="183"/>
      <c r="AT26" s="183"/>
      <c r="AU26" s="183"/>
    </row>
    <row r="27" spans="1:152" ht="18.75">
      <c r="A27" s="91">
        <v>2</v>
      </c>
      <c r="B27" s="199" t="s">
        <v>147</v>
      </c>
      <c r="C27" s="200"/>
      <c r="D27" s="200"/>
      <c r="E27" s="200"/>
      <c r="F27" s="200"/>
      <c r="G27" s="200"/>
      <c r="H27" s="200"/>
      <c r="I27" s="201"/>
      <c r="J27" s="202" t="s">
        <v>148</v>
      </c>
      <c r="K27" s="202"/>
      <c r="L27" s="202"/>
      <c r="M27" s="202"/>
      <c r="N27" s="202"/>
      <c r="O27" s="202"/>
      <c r="P27" s="202"/>
      <c r="Q27" s="202"/>
      <c r="R27" s="202"/>
      <c r="S27" s="202"/>
      <c r="T27" s="202"/>
      <c r="U27" s="202"/>
      <c r="V27" s="202"/>
      <c r="W27" s="202"/>
      <c r="X27" s="202"/>
      <c r="Y27" s="202"/>
      <c r="Z27" s="202"/>
      <c r="AA27" s="202"/>
      <c r="AB27" s="202"/>
      <c r="AC27" s="202"/>
      <c r="AD27" s="202"/>
      <c r="AE27" s="202"/>
      <c r="AF27" s="202"/>
      <c r="AG27" s="202"/>
      <c r="AH27" s="202"/>
      <c r="AI27" s="202"/>
      <c r="AJ27" s="202"/>
      <c r="AK27" s="202"/>
      <c r="AL27" s="202"/>
      <c r="AM27" s="202"/>
      <c r="AN27" s="202"/>
      <c r="AO27" s="202"/>
      <c r="AP27" s="202"/>
      <c r="AQ27" s="202"/>
      <c r="AR27" s="202"/>
      <c r="AS27" s="202"/>
      <c r="AT27" s="202"/>
      <c r="AU27" s="202"/>
    </row>
    <row r="28" spans="1:152" ht="18.75">
      <c r="A28" s="91">
        <v>3</v>
      </c>
      <c r="B28" s="203" t="s">
        <v>170</v>
      </c>
      <c r="C28" s="204"/>
      <c r="D28" s="204"/>
      <c r="E28" s="204"/>
      <c r="F28" s="204"/>
      <c r="G28" s="204"/>
      <c r="H28" s="204"/>
      <c r="I28" s="205"/>
      <c r="J28" s="206" t="s">
        <v>174</v>
      </c>
      <c r="K28" s="206"/>
      <c r="L28" s="206"/>
      <c r="M28" s="206"/>
      <c r="N28" s="206"/>
      <c r="O28" s="206"/>
      <c r="P28" s="206"/>
      <c r="Q28" s="206"/>
      <c r="R28" s="206"/>
      <c r="S28" s="206"/>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73" t="s">
        <v>173</v>
      </c>
    </row>
    <row r="29" spans="1:152" ht="18.75">
      <c r="A29" s="91">
        <v>4</v>
      </c>
      <c r="B29" s="203" t="s">
        <v>171</v>
      </c>
      <c r="C29" s="204"/>
      <c r="D29" s="204"/>
      <c r="E29" s="204"/>
      <c r="F29" s="204"/>
      <c r="G29" s="204"/>
      <c r="H29" s="204"/>
      <c r="I29" s="205"/>
      <c r="J29" s="206" t="s">
        <v>175</v>
      </c>
      <c r="K29" s="206"/>
      <c r="L29" s="206"/>
      <c r="M29" s="206"/>
      <c r="N29" s="206"/>
      <c r="O29" s="206"/>
      <c r="P29" s="206"/>
      <c r="Q29" s="206"/>
      <c r="R29" s="206"/>
      <c r="S29" s="206"/>
      <c r="T29" s="206"/>
      <c r="U29" s="206"/>
      <c r="V29" s="206"/>
      <c r="W29" s="206"/>
      <c r="X29" s="206"/>
      <c r="Y29" s="206"/>
      <c r="Z29" s="206"/>
      <c r="AA29" s="206"/>
      <c r="AB29" s="206"/>
      <c r="AC29" s="206"/>
      <c r="AD29" s="206"/>
      <c r="AE29" s="206"/>
      <c r="AF29" s="206"/>
      <c r="AG29" s="206"/>
      <c r="AH29" s="206"/>
      <c r="AI29" s="206"/>
      <c r="AJ29" s="206"/>
      <c r="AK29" s="206"/>
      <c r="AL29" s="206"/>
      <c r="AM29" s="206"/>
      <c r="AN29" s="206"/>
      <c r="AO29" s="206"/>
      <c r="AP29" s="206"/>
      <c r="AQ29" s="206"/>
      <c r="AR29" s="206"/>
      <c r="AS29" s="206"/>
      <c r="AT29" s="206"/>
      <c r="AU29" s="206"/>
      <c r="AV29" s="73" t="s">
        <v>173</v>
      </c>
    </row>
    <row r="30" spans="1:152" ht="18.75">
      <c r="A30" s="91">
        <v>5</v>
      </c>
      <c r="B30" s="203" t="s">
        <v>172</v>
      </c>
      <c r="C30" s="204"/>
      <c r="D30" s="204"/>
      <c r="E30" s="204"/>
      <c r="F30" s="204"/>
      <c r="G30" s="204"/>
      <c r="H30" s="204"/>
      <c r="I30" s="205"/>
      <c r="J30" s="206" t="s">
        <v>176</v>
      </c>
      <c r="K30" s="206"/>
      <c r="L30" s="206"/>
      <c r="M30" s="206"/>
      <c r="N30" s="206"/>
      <c r="O30" s="206"/>
      <c r="P30" s="206"/>
      <c r="Q30" s="206"/>
      <c r="R30" s="206"/>
      <c r="S30" s="206"/>
      <c r="T30" s="206"/>
      <c r="U30" s="206"/>
      <c r="V30" s="206"/>
      <c r="W30" s="206"/>
      <c r="X30" s="206"/>
      <c r="Y30" s="206"/>
      <c r="Z30" s="206"/>
      <c r="AA30" s="206"/>
      <c r="AB30" s="206"/>
      <c r="AC30" s="206"/>
      <c r="AD30" s="206"/>
      <c r="AE30" s="206"/>
      <c r="AF30" s="206"/>
      <c r="AG30" s="206"/>
      <c r="AH30" s="206"/>
      <c r="AI30" s="206"/>
      <c r="AJ30" s="206"/>
      <c r="AK30" s="206"/>
      <c r="AL30" s="206"/>
      <c r="AM30" s="206"/>
      <c r="AN30" s="206"/>
      <c r="AO30" s="206"/>
      <c r="AP30" s="206"/>
      <c r="AQ30" s="206"/>
      <c r="AR30" s="206"/>
      <c r="AS30" s="206"/>
      <c r="AT30" s="206"/>
      <c r="AU30" s="206"/>
      <c r="AV30" s="73" t="s">
        <v>173</v>
      </c>
    </row>
    <row r="31" spans="1:152" s="76" customFormat="1">
      <c r="A31" s="184" t="s">
        <v>5</v>
      </c>
      <c r="B31" s="184"/>
      <c r="C31" s="184"/>
      <c r="D31" s="184"/>
      <c r="E31" s="184"/>
      <c r="F31" s="184"/>
      <c r="G31" s="184"/>
      <c r="H31" s="184"/>
      <c r="I31" s="184"/>
      <c r="J31" s="198" t="s">
        <v>149</v>
      </c>
      <c r="K31" s="198"/>
      <c r="L31" s="198"/>
      <c r="M31" s="198"/>
      <c r="N31" s="198"/>
      <c r="O31" s="198"/>
      <c r="P31" s="198"/>
      <c r="Q31" s="198"/>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c r="CC31" s="73"/>
      <c r="CD31" s="73"/>
      <c r="CE31" s="73"/>
      <c r="CF31" s="73"/>
      <c r="CG31" s="73"/>
      <c r="CH31" s="73"/>
      <c r="CI31" s="73"/>
      <c r="CJ31" s="73"/>
      <c r="CK31" s="73"/>
      <c r="CL31" s="73"/>
      <c r="CM31" s="73"/>
      <c r="CN31" s="73"/>
      <c r="CO31" s="73"/>
      <c r="CP31" s="73"/>
      <c r="CQ31" s="73"/>
      <c r="CR31" s="73"/>
      <c r="CS31" s="73"/>
      <c r="CT31" s="73"/>
      <c r="CU31" s="73"/>
      <c r="CV31" s="73"/>
      <c r="CW31" s="73"/>
      <c r="CX31" s="73"/>
      <c r="CY31" s="73"/>
      <c r="CZ31" s="73"/>
      <c r="DA31" s="73"/>
      <c r="DB31" s="73"/>
      <c r="DC31" s="73"/>
      <c r="DD31" s="73"/>
      <c r="DE31" s="73"/>
      <c r="DF31" s="73"/>
      <c r="DG31" s="73"/>
      <c r="DH31" s="73"/>
      <c r="DI31" s="73"/>
      <c r="DJ31" s="73"/>
      <c r="DK31" s="73"/>
      <c r="DL31" s="73"/>
      <c r="DM31" s="73"/>
      <c r="DN31" s="73"/>
      <c r="DO31" s="73"/>
      <c r="DP31" s="73"/>
      <c r="DQ31" s="73"/>
      <c r="DR31" s="73"/>
      <c r="DS31" s="73"/>
      <c r="DT31" s="73"/>
      <c r="DU31" s="73"/>
      <c r="DV31" s="73"/>
      <c r="DW31" s="73"/>
      <c r="DX31" s="73"/>
      <c r="DY31" s="73"/>
      <c r="DZ31" s="73"/>
      <c r="EA31" s="73"/>
      <c r="EB31" s="73"/>
      <c r="EC31" s="73"/>
      <c r="ED31" s="73"/>
      <c r="EE31" s="73"/>
      <c r="EF31" s="73"/>
      <c r="EG31" s="73"/>
      <c r="EH31" s="73"/>
      <c r="EI31" s="73"/>
      <c r="EJ31" s="73"/>
      <c r="EK31" s="73"/>
      <c r="EL31" s="73"/>
      <c r="EM31" s="73"/>
      <c r="EN31" s="73"/>
      <c r="EO31" s="73"/>
      <c r="EP31" s="73"/>
      <c r="EQ31" s="73"/>
      <c r="ER31" s="73"/>
      <c r="ES31" s="73"/>
      <c r="ET31" s="73"/>
      <c r="EU31" s="73"/>
      <c r="EV31" s="73"/>
    </row>
    <row r="32" spans="1:152" s="76" customFormat="1">
      <c r="A32" s="186" t="s">
        <v>124</v>
      </c>
      <c r="B32" s="186"/>
      <c r="C32" s="186"/>
      <c r="D32" s="186"/>
      <c r="E32" s="186"/>
      <c r="F32" s="186"/>
      <c r="G32" s="186"/>
      <c r="H32" s="186"/>
      <c r="I32" s="186"/>
      <c r="J32" s="186"/>
      <c r="K32" s="186"/>
      <c r="L32" s="186"/>
      <c r="M32" s="186"/>
      <c r="N32" s="186"/>
      <c r="O32" s="186"/>
      <c r="P32" s="18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c r="CC32" s="73"/>
      <c r="CD32" s="73"/>
      <c r="CE32" s="73"/>
      <c r="CF32" s="73"/>
      <c r="CG32" s="73"/>
      <c r="CH32" s="73"/>
      <c r="CI32" s="73"/>
      <c r="CJ32" s="73"/>
      <c r="CK32" s="73"/>
      <c r="CL32" s="73"/>
      <c r="CM32" s="73"/>
      <c r="CN32" s="73"/>
      <c r="CO32" s="73"/>
      <c r="CP32" s="73"/>
      <c r="CQ32" s="73"/>
      <c r="CR32" s="73"/>
      <c r="CS32" s="73"/>
      <c r="CT32" s="73"/>
      <c r="CU32" s="73"/>
      <c r="CV32" s="73"/>
      <c r="CW32" s="73"/>
      <c r="CX32" s="73"/>
      <c r="CY32" s="73"/>
      <c r="CZ32" s="73"/>
      <c r="DA32" s="73"/>
      <c r="DB32" s="73"/>
      <c r="DC32" s="73"/>
      <c r="DD32" s="73"/>
      <c r="DE32" s="73"/>
      <c r="DF32" s="73"/>
      <c r="DG32" s="73"/>
      <c r="DH32" s="73"/>
      <c r="DI32" s="73"/>
      <c r="DJ32" s="73"/>
      <c r="DK32" s="73"/>
      <c r="DL32" s="73"/>
      <c r="DM32" s="73"/>
      <c r="DN32" s="73"/>
      <c r="DO32" s="73"/>
      <c r="DP32" s="73"/>
      <c r="DQ32" s="73"/>
      <c r="DR32" s="73"/>
      <c r="DS32" s="73"/>
      <c r="DT32" s="73"/>
      <c r="DU32" s="73"/>
      <c r="DV32" s="73"/>
      <c r="DW32" s="73"/>
      <c r="DX32" s="73"/>
      <c r="DY32" s="73"/>
      <c r="DZ32" s="73"/>
      <c r="EA32" s="73"/>
      <c r="EB32" s="73"/>
      <c r="EC32" s="73"/>
      <c r="ED32" s="73"/>
      <c r="EE32" s="73"/>
      <c r="EF32" s="73"/>
      <c r="EG32" s="73"/>
      <c r="EH32" s="73"/>
      <c r="EI32" s="73"/>
      <c r="EJ32" s="73"/>
      <c r="EK32" s="73"/>
      <c r="EL32" s="73"/>
      <c r="EM32" s="73"/>
      <c r="EN32" s="73"/>
      <c r="EO32" s="73"/>
      <c r="EP32" s="73"/>
      <c r="EQ32" s="73"/>
      <c r="ER32" s="73"/>
      <c r="ES32" s="73"/>
      <c r="ET32" s="73"/>
      <c r="EU32" s="73"/>
      <c r="EV32" s="73"/>
    </row>
    <row r="33" spans="1:152" s="76" customFormat="1">
      <c r="A33" s="186"/>
      <c r="B33" s="186"/>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c r="CC33" s="73"/>
      <c r="CD33" s="73"/>
      <c r="CE33" s="73"/>
      <c r="CF33" s="73"/>
      <c r="CG33" s="73"/>
      <c r="CH33" s="73"/>
      <c r="CI33" s="73"/>
      <c r="CJ33" s="73"/>
      <c r="CK33" s="73"/>
      <c r="CL33" s="73"/>
      <c r="CM33" s="73"/>
      <c r="CN33" s="73"/>
      <c r="CO33" s="73"/>
      <c r="CP33" s="73"/>
      <c r="CQ33" s="73"/>
      <c r="CR33" s="73"/>
      <c r="CS33" s="73"/>
      <c r="CT33" s="73"/>
      <c r="CU33" s="73"/>
      <c r="CV33" s="73"/>
      <c r="CW33" s="73"/>
      <c r="CX33" s="73"/>
      <c r="CY33" s="73"/>
      <c r="CZ33" s="73"/>
      <c r="DA33" s="73"/>
      <c r="DB33" s="73"/>
      <c r="DC33" s="73"/>
      <c r="DD33" s="73"/>
      <c r="DE33" s="73"/>
      <c r="DF33" s="73"/>
      <c r="DG33" s="73"/>
      <c r="DH33" s="73"/>
      <c r="DI33" s="73"/>
      <c r="DJ33" s="73"/>
      <c r="DK33" s="73"/>
      <c r="DL33" s="73"/>
      <c r="DM33" s="73"/>
      <c r="DN33" s="73"/>
      <c r="DO33" s="73"/>
      <c r="DP33" s="73"/>
      <c r="DQ33" s="73"/>
      <c r="DR33" s="73"/>
      <c r="DS33" s="73"/>
      <c r="DT33" s="73"/>
      <c r="DU33" s="73"/>
      <c r="DV33" s="73"/>
      <c r="DW33" s="73"/>
      <c r="DX33" s="73"/>
      <c r="DY33" s="73"/>
      <c r="DZ33" s="73"/>
      <c r="EA33" s="73"/>
      <c r="EB33" s="73"/>
      <c r="EC33" s="73"/>
      <c r="ED33" s="73"/>
      <c r="EE33" s="73"/>
      <c r="EF33" s="73"/>
      <c r="EG33" s="73"/>
      <c r="EH33" s="73"/>
      <c r="EI33" s="73"/>
      <c r="EJ33" s="73"/>
      <c r="EK33" s="73"/>
      <c r="EL33" s="73"/>
      <c r="EM33" s="73"/>
      <c r="EN33" s="73"/>
      <c r="EO33" s="73"/>
      <c r="EP33" s="73"/>
      <c r="EQ33" s="73"/>
      <c r="ER33" s="73"/>
      <c r="ES33" s="73"/>
      <c r="ET33" s="73"/>
      <c r="EU33" s="73"/>
      <c r="EV33" s="73"/>
    </row>
    <row r="34" spans="1:152" s="76" customFormat="1">
      <c r="A34" s="186"/>
      <c r="B34" s="186"/>
      <c r="C34" s="186"/>
      <c r="D34" s="186"/>
      <c r="E34" s="186"/>
      <c r="F34" s="186"/>
      <c r="G34" s="186"/>
      <c r="H34" s="186"/>
      <c r="I34" s="186"/>
      <c r="J34" s="186"/>
      <c r="K34" s="186"/>
      <c r="L34" s="186"/>
      <c r="M34" s="186"/>
      <c r="N34" s="186"/>
      <c r="O34" s="186"/>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c r="CC34" s="73"/>
      <c r="CD34" s="73"/>
      <c r="CE34" s="73"/>
      <c r="CF34" s="73"/>
      <c r="CG34" s="73"/>
      <c r="CH34" s="73"/>
      <c r="CI34" s="73"/>
      <c r="CJ34" s="73"/>
      <c r="CK34" s="73"/>
      <c r="CL34" s="73"/>
      <c r="CM34" s="73"/>
      <c r="CN34" s="73"/>
      <c r="CO34" s="73"/>
      <c r="CP34" s="73"/>
      <c r="CQ34" s="73"/>
      <c r="CR34" s="73"/>
      <c r="CS34" s="73"/>
      <c r="CT34" s="73"/>
      <c r="CU34" s="73"/>
      <c r="CV34" s="73"/>
      <c r="CW34" s="73"/>
      <c r="CX34" s="73"/>
      <c r="CY34" s="73"/>
      <c r="CZ34" s="73"/>
      <c r="DA34" s="73"/>
      <c r="DB34" s="73"/>
      <c r="DC34" s="73"/>
      <c r="DD34" s="73"/>
      <c r="DE34" s="73"/>
      <c r="DF34" s="73"/>
      <c r="DG34" s="73"/>
      <c r="DH34" s="73"/>
      <c r="DI34" s="73"/>
      <c r="DJ34" s="73"/>
      <c r="DK34" s="73"/>
      <c r="DL34" s="73"/>
      <c r="DM34" s="73"/>
      <c r="DN34" s="73"/>
      <c r="DO34" s="73"/>
      <c r="DP34" s="73"/>
      <c r="DQ34" s="73"/>
      <c r="DR34" s="73"/>
      <c r="DS34" s="73"/>
      <c r="DT34" s="73"/>
      <c r="DU34" s="73"/>
      <c r="DV34" s="73"/>
      <c r="DW34" s="73"/>
      <c r="DX34" s="73"/>
      <c r="DY34" s="73"/>
      <c r="DZ34" s="73"/>
      <c r="EA34" s="73"/>
      <c r="EB34" s="73"/>
      <c r="EC34" s="73"/>
      <c r="ED34" s="73"/>
      <c r="EE34" s="73"/>
      <c r="EF34" s="73"/>
      <c r="EG34" s="73"/>
      <c r="EH34" s="73"/>
      <c r="EI34" s="73"/>
      <c r="EJ34" s="73"/>
      <c r="EK34" s="73"/>
      <c r="EL34" s="73"/>
      <c r="EM34" s="73"/>
      <c r="EN34" s="73"/>
      <c r="EO34" s="73"/>
      <c r="EP34" s="73"/>
      <c r="EQ34" s="73"/>
      <c r="ER34" s="73"/>
      <c r="ES34" s="73"/>
      <c r="ET34" s="73"/>
      <c r="EU34" s="73"/>
      <c r="EV34" s="73"/>
    </row>
    <row r="35" spans="1:152" ht="9.75" customHeight="1">
      <c r="A35" s="78"/>
      <c r="B35" s="79"/>
      <c r="C35" s="79"/>
      <c r="D35" s="79"/>
      <c r="E35" s="79"/>
      <c r="F35" s="79"/>
      <c r="G35" s="79"/>
      <c r="H35" s="79"/>
      <c r="I35" s="79"/>
      <c r="J35" s="79"/>
      <c r="K35" s="79"/>
      <c r="L35" s="79"/>
      <c r="M35" s="79"/>
      <c r="N35" s="79"/>
      <c r="O35" s="79"/>
      <c r="P35" s="79"/>
      <c r="Q35" s="79"/>
      <c r="R35" s="79"/>
      <c r="S35" s="79"/>
      <c r="T35" s="80"/>
      <c r="U35" s="80"/>
      <c r="V35" s="80"/>
      <c r="W35" s="80"/>
      <c r="X35" s="80"/>
      <c r="Y35" s="80"/>
      <c r="Z35" s="80"/>
      <c r="AA35" s="80"/>
      <c r="AB35" s="80"/>
      <c r="AC35" s="80"/>
      <c r="AD35" s="80"/>
      <c r="AE35" s="81"/>
      <c r="AF35" s="81"/>
      <c r="AG35" s="81"/>
      <c r="AH35" s="81"/>
      <c r="AI35" s="81"/>
      <c r="AJ35" s="81"/>
      <c r="AK35" s="81"/>
      <c r="AL35" s="81"/>
      <c r="AM35" s="81"/>
      <c r="AN35" s="81"/>
      <c r="AO35" s="81"/>
      <c r="AP35" s="81"/>
      <c r="AQ35" s="81"/>
      <c r="AR35" s="81"/>
      <c r="AS35" s="81"/>
      <c r="AT35" s="81"/>
      <c r="AU35" s="81"/>
    </row>
    <row r="36" spans="1:152" ht="13.5" customHeight="1">
      <c r="A36" s="187" t="s">
        <v>92</v>
      </c>
      <c r="B36" s="187"/>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c r="AA36" s="187"/>
      <c r="AB36" s="187"/>
      <c r="AC36" s="187"/>
      <c r="AD36" s="187"/>
      <c r="AE36" s="187"/>
      <c r="AF36" s="187"/>
      <c r="AG36" s="187"/>
      <c r="AH36" s="187"/>
      <c r="AI36" s="187"/>
      <c r="AJ36" s="187"/>
      <c r="AK36" s="187"/>
      <c r="AL36" s="187"/>
      <c r="AM36" s="187"/>
      <c r="AN36" s="187"/>
      <c r="AO36" s="187"/>
      <c r="AP36" s="187"/>
      <c r="AQ36" s="187"/>
      <c r="AR36" s="187"/>
      <c r="AS36" s="187"/>
      <c r="AT36" s="187"/>
      <c r="AU36" s="187"/>
    </row>
    <row r="37" spans="1:152" ht="13.5" customHeight="1">
      <c r="A37" s="186" t="s">
        <v>141</v>
      </c>
      <c r="B37" s="186"/>
      <c r="C37" s="186"/>
      <c r="D37" s="186"/>
      <c r="E37" s="186"/>
      <c r="F37" s="186"/>
      <c r="G37" s="186"/>
      <c r="H37" s="186"/>
      <c r="I37" s="186"/>
      <c r="J37" s="186"/>
      <c r="K37" s="186"/>
      <c r="L37" s="186"/>
      <c r="M37" s="186"/>
      <c r="N37" s="186"/>
      <c r="O37" s="186"/>
      <c r="P37" s="186"/>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row>
    <row r="38" spans="1:152" ht="13.5" customHeight="1">
      <c r="A38" s="186"/>
      <c r="B38" s="186"/>
      <c r="C38" s="186"/>
      <c r="D38" s="186"/>
      <c r="E38" s="186"/>
      <c r="F38" s="186"/>
      <c r="G38" s="186"/>
      <c r="H38" s="186"/>
      <c r="I38" s="186"/>
      <c r="J38" s="186"/>
      <c r="K38" s="186"/>
      <c r="L38" s="186"/>
      <c r="M38" s="186"/>
      <c r="N38" s="186"/>
      <c r="O38" s="186"/>
      <c r="P38" s="186"/>
      <c r="Q38" s="186"/>
      <c r="R38" s="186"/>
      <c r="S38" s="186"/>
      <c r="T38" s="186"/>
      <c r="U38" s="186"/>
      <c r="V38" s="186"/>
      <c r="W38" s="186"/>
      <c r="X38" s="186"/>
      <c r="Y38" s="186"/>
      <c r="Z38" s="186"/>
      <c r="AA38" s="186"/>
      <c r="AB38" s="186"/>
      <c r="AC38" s="186"/>
      <c r="AD38" s="186"/>
      <c r="AE38" s="186"/>
      <c r="AF38" s="186"/>
      <c r="AG38" s="186"/>
      <c r="AH38" s="186"/>
      <c r="AI38" s="186"/>
      <c r="AJ38" s="186"/>
      <c r="AK38" s="186"/>
      <c r="AL38" s="186"/>
      <c r="AM38" s="186"/>
      <c r="AN38" s="186"/>
      <c r="AO38" s="186"/>
      <c r="AP38" s="186"/>
      <c r="AQ38" s="186"/>
      <c r="AR38" s="186"/>
      <c r="AS38" s="186"/>
      <c r="AT38" s="186"/>
      <c r="AU38" s="186"/>
    </row>
    <row r="39" spans="1:152" ht="13.5" customHeight="1">
      <c r="A39" s="186"/>
      <c r="B39" s="186"/>
      <c r="C39" s="186"/>
      <c r="D39" s="186"/>
      <c r="E39" s="186"/>
      <c r="F39" s="186"/>
      <c r="G39" s="186"/>
      <c r="H39" s="186"/>
      <c r="I39" s="186"/>
      <c r="J39" s="186"/>
      <c r="K39" s="186"/>
      <c r="L39" s="186"/>
      <c r="M39" s="186"/>
      <c r="N39" s="186"/>
      <c r="O39" s="186"/>
      <c r="P39" s="186"/>
      <c r="Q39" s="186"/>
      <c r="R39" s="186"/>
      <c r="S39" s="186"/>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row>
    <row r="40" spans="1:152" ht="13.5" customHeight="1">
      <c r="A40" s="188" t="s">
        <v>95</v>
      </c>
      <c r="B40" s="189"/>
      <c r="C40" s="189"/>
      <c r="D40" s="189"/>
      <c r="E40" s="189"/>
      <c r="F40" s="189"/>
      <c r="G40" s="189"/>
      <c r="H40" s="189"/>
      <c r="I40" s="190"/>
      <c r="J40" s="186" t="s">
        <v>98</v>
      </c>
      <c r="K40" s="186"/>
      <c r="L40" s="186"/>
      <c r="M40" s="186"/>
      <c r="N40" s="186"/>
      <c r="O40" s="186"/>
      <c r="P40" s="186"/>
      <c r="Q40" s="186"/>
      <c r="R40" s="186"/>
      <c r="S40" s="186"/>
      <c r="T40" s="186"/>
      <c r="U40" s="186"/>
      <c r="V40" s="186"/>
      <c r="W40" s="186"/>
      <c r="X40" s="186"/>
      <c r="Y40" s="186"/>
      <c r="Z40" s="186"/>
      <c r="AA40" s="186"/>
      <c r="AB40" s="186"/>
      <c r="AC40" s="186"/>
      <c r="AD40" s="186"/>
      <c r="AE40" s="186"/>
      <c r="AF40" s="186"/>
      <c r="AG40" s="186"/>
      <c r="AH40" s="186"/>
      <c r="AI40" s="186"/>
      <c r="AJ40" s="186"/>
      <c r="AK40" s="186"/>
      <c r="AL40" s="186"/>
      <c r="AM40" s="186"/>
      <c r="AN40" s="186"/>
      <c r="AO40" s="186"/>
      <c r="AP40" s="186"/>
      <c r="AQ40" s="186"/>
      <c r="AR40" s="186"/>
      <c r="AS40" s="186"/>
      <c r="AT40" s="186"/>
      <c r="AU40" s="186"/>
    </row>
    <row r="41" spans="1:152" ht="13.5" customHeight="1">
      <c r="A41" s="191" t="s">
        <v>93</v>
      </c>
      <c r="B41" s="192"/>
      <c r="C41" s="192"/>
      <c r="D41" s="192"/>
      <c r="E41" s="192"/>
      <c r="F41" s="192"/>
      <c r="G41" s="192"/>
      <c r="H41" s="192"/>
      <c r="I41" s="193"/>
      <c r="J41" s="197" t="s">
        <v>97</v>
      </c>
      <c r="K41" s="197"/>
      <c r="L41" s="197"/>
      <c r="M41" s="197"/>
      <c r="N41" s="197"/>
      <c r="O41" s="197"/>
      <c r="P41" s="197"/>
      <c r="Q41" s="197"/>
      <c r="R41" s="197"/>
      <c r="S41" s="197"/>
      <c r="T41" s="197"/>
      <c r="U41" s="197"/>
      <c r="V41" s="197"/>
      <c r="W41" s="197"/>
      <c r="X41" s="197"/>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row>
    <row r="42" spans="1:152" ht="13.5" customHeight="1">
      <c r="A42" s="194"/>
      <c r="B42" s="195"/>
      <c r="C42" s="195"/>
      <c r="D42" s="195"/>
      <c r="E42" s="195"/>
      <c r="F42" s="195"/>
      <c r="G42" s="195"/>
      <c r="H42" s="195"/>
      <c r="I42" s="196"/>
      <c r="J42" s="197"/>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row>
    <row r="43" spans="1:152" ht="13.5" customHeight="1">
      <c r="A43" s="74" t="s">
        <v>96</v>
      </c>
      <c r="B43" s="184" t="s">
        <v>94</v>
      </c>
      <c r="C43" s="184"/>
      <c r="D43" s="184"/>
      <c r="E43" s="184"/>
      <c r="F43" s="184"/>
      <c r="G43" s="184"/>
      <c r="H43" s="184"/>
      <c r="I43" s="184"/>
      <c r="J43" s="197"/>
      <c r="K43" s="197"/>
      <c r="L43" s="197"/>
      <c r="M43" s="197"/>
      <c r="N43" s="197"/>
      <c r="O43" s="197"/>
      <c r="P43" s="197"/>
      <c r="Q43" s="197"/>
      <c r="R43" s="197"/>
      <c r="S43" s="197"/>
      <c r="T43" s="197"/>
      <c r="U43" s="197"/>
      <c r="V43" s="197"/>
      <c r="W43" s="197"/>
      <c r="X43" s="197"/>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row>
    <row r="44" spans="1:152" ht="18.75">
      <c r="A44" s="75">
        <v>1</v>
      </c>
      <c r="B44" s="180" t="s">
        <v>99</v>
      </c>
      <c r="C44" s="181"/>
      <c r="D44" s="181"/>
      <c r="E44" s="181"/>
      <c r="F44" s="181"/>
      <c r="G44" s="181"/>
      <c r="H44" s="181"/>
      <c r="I44" s="182"/>
      <c r="J44" s="183" t="s">
        <v>137</v>
      </c>
      <c r="K44" s="183"/>
      <c r="L44" s="183"/>
      <c r="M44" s="183"/>
      <c r="N44" s="183"/>
      <c r="O44" s="183"/>
      <c r="P44" s="183"/>
      <c r="Q44" s="183"/>
      <c r="R44" s="183"/>
      <c r="S44" s="183"/>
      <c r="T44" s="183"/>
      <c r="U44" s="183"/>
      <c r="V44" s="183"/>
      <c r="W44" s="183"/>
      <c r="X44" s="183"/>
      <c r="Y44" s="183"/>
      <c r="Z44" s="183"/>
      <c r="AA44" s="183"/>
      <c r="AB44" s="183"/>
      <c r="AC44" s="183"/>
      <c r="AD44" s="183"/>
      <c r="AE44" s="183"/>
      <c r="AF44" s="183"/>
      <c r="AG44" s="183"/>
      <c r="AH44" s="183"/>
      <c r="AI44" s="183"/>
      <c r="AJ44" s="183"/>
      <c r="AK44" s="183"/>
      <c r="AL44" s="183"/>
      <c r="AM44" s="183"/>
      <c r="AN44" s="183"/>
      <c r="AO44" s="183"/>
      <c r="AP44" s="183"/>
      <c r="AQ44" s="183"/>
      <c r="AR44" s="183"/>
      <c r="AS44" s="183"/>
      <c r="AT44" s="183"/>
      <c r="AU44" s="183"/>
    </row>
    <row r="45" spans="1:152" s="76" customFormat="1">
      <c r="A45" s="184" t="s">
        <v>5</v>
      </c>
      <c r="B45" s="184"/>
      <c r="C45" s="184"/>
      <c r="D45" s="184"/>
      <c r="E45" s="184"/>
      <c r="F45" s="184"/>
      <c r="G45" s="184"/>
      <c r="H45" s="184"/>
      <c r="I45" s="184"/>
      <c r="J45" s="185"/>
      <c r="K45" s="185"/>
      <c r="L45" s="185"/>
      <c r="M45" s="185"/>
      <c r="N45" s="185"/>
      <c r="O45" s="185"/>
      <c r="P45" s="185"/>
      <c r="Q45" s="185"/>
      <c r="R45" s="185"/>
      <c r="S45" s="185"/>
      <c r="T45" s="185"/>
      <c r="U45" s="185"/>
      <c r="V45" s="185"/>
      <c r="W45" s="185"/>
      <c r="X45" s="185"/>
      <c r="Y45" s="185"/>
      <c r="Z45" s="185"/>
      <c r="AA45" s="185"/>
      <c r="AB45" s="185"/>
      <c r="AC45" s="185"/>
      <c r="AD45" s="185"/>
      <c r="AE45" s="185"/>
      <c r="AF45" s="185"/>
      <c r="AG45" s="185"/>
      <c r="AH45" s="185"/>
      <c r="AI45" s="185"/>
      <c r="AJ45" s="185"/>
      <c r="AK45" s="185"/>
      <c r="AL45" s="185"/>
      <c r="AM45" s="185"/>
      <c r="AN45" s="185"/>
      <c r="AO45" s="185"/>
      <c r="AP45" s="185"/>
      <c r="AQ45" s="185"/>
      <c r="AR45" s="185"/>
      <c r="AS45" s="185"/>
      <c r="AT45" s="185"/>
      <c r="AU45" s="185"/>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c r="CC45" s="73"/>
      <c r="CD45" s="73"/>
      <c r="CE45" s="73"/>
      <c r="CF45" s="73"/>
      <c r="CG45" s="73"/>
      <c r="CH45" s="73"/>
      <c r="CI45" s="73"/>
      <c r="CJ45" s="73"/>
      <c r="CK45" s="73"/>
      <c r="CL45" s="73"/>
      <c r="CM45" s="73"/>
      <c r="CN45" s="73"/>
      <c r="CO45" s="73"/>
      <c r="CP45" s="73"/>
      <c r="CQ45" s="73"/>
      <c r="CR45" s="73"/>
      <c r="CS45" s="73"/>
      <c r="CT45" s="73"/>
      <c r="CU45" s="73"/>
      <c r="CV45" s="73"/>
      <c r="CW45" s="73"/>
      <c r="CX45" s="73"/>
      <c r="CY45" s="73"/>
      <c r="CZ45" s="73"/>
      <c r="DA45" s="73"/>
      <c r="DB45" s="73"/>
      <c r="DC45" s="73"/>
      <c r="DD45" s="73"/>
      <c r="DE45" s="73"/>
      <c r="DF45" s="73"/>
      <c r="DG45" s="73"/>
      <c r="DH45" s="73"/>
      <c r="DI45" s="73"/>
      <c r="DJ45" s="73"/>
      <c r="DK45" s="73"/>
      <c r="DL45" s="73"/>
      <c r="DM45" s="73"/>
      <c r="DN45" s="73"/>
      <c r="DO45" s="73"/>
      <c r="DP45" s="73"/>
      <c r="DQ45" s="73"/>
      <c r="DR45" s="73"/>
      <c r="DS45" s="73"/>
      <c r="DT45" s="73"/>
      <c r="DU45" s="73"/>
      <c r="DV45" s="73"/>
      <c r="DW45" s="73"/>
      <c r="DX45" s="73"/>
      <c r="DY45" s="73"/>
      <c r="DZ45" s="73"/>
      <c r="EA45" s="73"/>
      <c r="EB45" s="73"/>
      <c r="EC45" s="73"/>
      <c r="ED45" s="73"/>
      <c r="EE45" s="73"/>
      <c r="EF45" s="73"/>
      <c r="EG45" s="73"/>
      <c r="EH45" s="73"/>
      <c r="EI45" s="73"/>
      <c r="EJ45" s="73"/>
      <c r="EK45" s="73"/>
      <c r="EL45" s="73"/>
      <c r="EM45" s="73"/>
      <c r="EN45" s="73"/>
      <c r="EO45" s="73"/>
      <c r="EP45" s="73"/>
      <c r="EQ45" s="73"/>
      <c r="ER45" s="73"/>
      <c r="ES45" s="73"/>
      <c r="ET45" s="73"/>
      <c r="EU45" s="73"/>
      <c r="EV45" s="73"/>
    </row>
    <row r="46" spans="1:152" s="76" customFormat="1">
      <c r="A46" s="186" t="s">
        <v>140</v>
      </c>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86"/>
      <c r="AT46" s="186"/>
      <c r="AU46" s="186"/>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c r="CC46" s="73"/>
      <c r="CD46" s="73"/>
      <c r="CE46" s="73"/>
      <c r="CF46" s="73"/>
      <c r="CG46" s="73"/>
      <c r="CH46" s="73"/>
      <c r="CI46" s="73"/>
      <c r="CJ46" s="73"/>
      <c r="CK46" s="73"/>
      <c r="CL46" s="73"/>
      <c r="CM46" s="73"/>
      <c r="CN46" s="73"/>
      <c r="CO46" s="73"/>
      <c r="CP46" s="73"/>
      <c r="CQ46" s="73"/>
      <c r="CR46" s="73"/>
      <c r="CS46" s="73"/>
      <c r="CT46" s="73"/>
      <c r="CU46" s="73"/>
      <c r="CV46" s="73"/>
      <c r="CW46" s="73"/>
      <c r="CX46" s="73"/>
      <c r="CY46" s="73"/>
      <c r="CZ46" s="73"/>
      <c r="DA46" s="73"/>
      <c r="DB46" s="73"/>
      <c r="DC46" s="73"/>
      <c r="DD46" s="73"/>
      <c r="DE46" s="73"/>
      <c r="DF46" s="73"/>
      <c r="DG46" s="73"/>
      <c r="DH46" s="73"/>
      <c r="DI46" s="73"/>
      <c r="DJ46" s="73"/>
      <c r="DK46" s="73"/>
      <c r="DL46" s="73"/>
      <c r="DM46" s="73"/>
      <c r="DN46" s="73"/>
      <c r="DO46" s="73"/>
      <c r="DP46" s="73"/>
      <c r="DQ46" s="73"/>
      <c r="DR46" s="73"/>
      <c r="DS46" s="73"/>
      <c r="DT46" s="73"/>
      <c r="DU46" s="73"/>
      <c r="DV46" s="73"/>
      <c r="DW46" s="73"/>
      <c r="DX46" s="73"/>
      <c r="DY46" s="73"/>
      <c r="DZ46" s="73"/>
      <c r="EA46" s="73"/>
      <c r="EB46" s="73"/>
      <c r="EC46" s="73"/>
      <c r="ED46" s="73"/>
      <c r="EE46" s="73"/>
      <c r="EF46" s="73"/>
      <c r="EG46" s="73"/>
      <c r="EH46" s="73"/>
      <c r="EI46" s="73"/>
      <c r="EJ46" s="73"/>
      <c r="EK46" s="73"/>
      <c r="EL46" s="73"/>
      <c r="EM46" s="73"/>
      <c r="EN46" s="73"/>
      <c r="EO46" s="73"/>
      <c r="EP46" s="73"/>
      <c r="EQ46" s="73"/>
      <c r="ER46" s="73"/>
      <c r="ES46" s="73"/>
      <c r="ET46" s="73"/>
      <c r="EU46" s="73"/>
      <c r="EV46" s="73"/>
    </row>
    <row r="47" spans="1:152" s="76" customFormat="1">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c r="CC47" s="73"/>
      <c r="CD47" s="73"/>
      <c r="CE47" s="73"/>
      <c r="CF47" s="73"/>
      <c r="CG47" s="73"/>
      <c r="CH47" s="73"/>
      <c r="CI47" s="73"/>
      <c r="CJ47" s="73"/>
      <c r="CK47" s="73"/>
      <c r="CL47" s="73"/>
      <c r="CM47" s="73"/>
      <c r="CN47" s="73"/>
      <c r="CO47" s="73"/>
      <c r="CP47" s="73"/>
      <c r="CQ47" s="73"/>
      <c r="CR47" s="73"/>
      <c r="CS47" s="73"/>
      <c r="CT47" s="73"/>
      <c r="CU47" s="73"/>
      <c r="CV47" s="73"/>
      <c r="CW47" s="73"/>
      <c r="CX47" s="73"/>
      <c r="CY47" s="73"/>
      <c r="CZ47" s="73"/>
      <c r="DA47" s="73"/>
      <c r="DB47" s="73"/>
      <c r="DC47" s="73"/>
      <c r="DD47" s="73"/>
      <c r="DE47" s="73"/>
      <c r="DF47" s="73"/>
      <c r="DG47" s="73"/>
      <c r="DH47" s="73"/>
      <c r="DI47" s="73"/>
      <c r="DJ47" s="73"/>
      <c r="DK47" s="73"/>
      <c r="DL47" s="73"/>
      <c r="DM47" s="73"/>
      <c r="DN47" s="73"/>
      <c r="DO47" s="73"/>
      <c r="DP47" s="73"/>
      <c r="DQ47" s="73"/>
      <c r="DR47" s="73"/>
      <c r="DS47" s="73"/>
      <c r="DT47" s="73"/>
      <c r="DU47" s="73"/>
      <c r="DV47" s="73"/>
      <c r="DW47" s="73"/>
      <c r="DX47" s="73"/>
      <c r="DY47" s="73"/>
      <c r="DZ47" s="73"/>
      <c r="EA47" s="73"/>
      <c r="EB47" s="73"/>
      <c r="EC47" s="73"/>
      <c r="ED47" s="73"/>
      <c r="EE47" s="73"/>
      <c r="EF47" s="73"/>
      <c r="EG47" s="73"/>
      <c r="EH47" s="73"/>
      <c r="EI47" s="73"/>
      <c r="EJ47" s="73"/>
      <c r="EK47" s="73"/>
      <c r="EL47" s="73"/>
      <c r="EM47" s="73"/>
      <c r="EN47" s="73"/>
      <c r="EO47" s="73"/>
      <c r="EP47" s="73"/>
      <c r="EQ47" s="73"/>
      <c r="ER47" s="73"/>
      <c r="ES47" s="73"/>
      <c r="ET47" s="73"/>
      <c r="EU47" s="73"/>
      <c r="EV47" s="73"/>
    </row>
    <row r="48" spans="1:152" s="76" customFormat="1">
      <c r="A48" s="186"/>
      <c r="B48" s="186"/>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c r="CC48" s="73"/>
      <c r="CD48" s="73"/>
      <c r="CE48" s="73"/>
      <c r="CF48" s="73"/>
      <c r="CG48" s="73"/>
      <c r="CH48" s="73"/>
      <c r="CI48" s="73"/>
      <c r="CJ48" s="73"/>
      <c r="CK48" s="73"/>
      <c r="CL48" s="73"/>
      <c r="CM48" s="73"/>
      <c r="CN48" s="73"/>
      <c r="CO48" s="73"/>
      <c r="CP48" s="73"/>
      <c r="CQ48" s="73"/>
      <c r="CR48" s="73"/>
      <c r="CS48" s="73"/>
      <c r="CT48" s="73"/>
      <c r="CU48" s="73"/>
      <c r="CV48" s="73"/>
      <c r="CW48" s="73"/>
      <c r="CX48" s="73"/>
      <c r="CY48" s="73"/>
      <c r="CZ48" s="73"/>
      <c r="DA48" s="73"/>
      <c r="DB48" s="73"/>
      <c r="DC48" s="73"/>
      <c r="DD48" s="73"/>
      <c r="DE48" s="73"/>
      <c r="DF48" s="73"/>
      <c r="DG48" s="73"/>
      <c r="DH48" s="73"/>
      <c r="DI48" s="73"/>
      <c r="DJ48" s="73"/>
      <c r="DK48" s="73"/>
      <c r="DL48" s="73"/>
      <c r="DM48" s="73"/>
      <c r="DN48" s="73"/>
      <c r="DO48" s="73"/>
      <c r="DP48" s="73"/>
      <c r="DQ48" s="73"/>
      <c r="DR48" s="73"/>
      <c r="DS48" s="73"/>
      <c r="DT48" s="73"/>
      <c r="DU48" s="73"/>
      <c r="DV48" s="73"/>
      <c r="DW48" s="73"/>
      <c r="DX48" s="73"/>
      <c r="DY48" s="73"/>
      <c r="DZ48" s="73"/>
      <c r="EA48" s="73"/>
      <c r="EB48" s="73"/>
      <c r="EC48" s="73"/>
      <c r="ED48" s="73"/>
      <c r="EE48" s="73"/>
      <c r="EF48" s="73"/>
      <c r="EG48" s="73"/>
      <c r="EH48" s="73"/>
      <c r="EI48" s="73"/>
      <c r="EJ48" s="73"/>
      <c r="EK48" s="73"/>
      <c r="EL48" s="73"/>
      <c r="EM48" s="73"/>
      <c r="EN48" s="73"/>
      <c r="EO48" s="73"/>
      <c r="EP48" s="73"/>
      <c r="EQ48" s="73"/>
      <c r="ER48" s="73"/>
      <c r="ES48" s="73"/>
      <c r="ET48" s="73"/>
      <c r="EU48" s="73"/>
      <c r="EV48" s="73"/>
    </row>
  </sheetData>
  <mergeCells count="59">
    <mergeCell ref="A1:K2"/>
    <mergeCell ref="L1:T1"/>
    <mergeCell ref="U1:AC1"/>
    <mergeCell ref="AD1:AL1"/>
    <mergeCell ref="AM1:AR1"/>
    <mergeCell ref="AY1:BD1"/>
    <mergeCell ref="BE1:BJ1"/>
    <mergeCell ref="L2:T2"/>
    <mergeCell ref="U2:AC2"/>
    <mergeCell ref="AD2:AL2"/>
    <mergeCell ref="AM2:AR2"/>
    <mergeCell ref="AS2:AX2"/>
    <mergeCell ref="AY2:BD2"/>
    <mergeCell ref="BE2:BJ2"/>
    <mergeCell ref="AS1:AX1"/>
    <mergeCell ref="A4:AU4"/>
    <mergeCell ref="A5:AU7"/>
    <mergeCell ref="A8:I8"/>
    <mergeCell ref="J8:AU8"/>
    <mergeCell ref="A9:I10"/>
    <mergeCell ref="J9:AU11"/>
    <mergeCell ref="B11:I11"/>
    <mergeCell ref="B12:I12"/>
    <mergeCell ref="A14:AU16"/>
    <mergeCell ref="A13:I13"/>
    <mergeCell ref="J13:AU13"/>
    <mergeCell ref="J12:AU12"/>
    <mergeCell ref="A18:AU18"/>
    <mergeCell ref="A19:AU21"/>
    <mergeCell ref="A22:I22"/>
    <mergeCell ref="J22:AU22"/>
    <mergeCell ref="A23:I24"/>
    <mergeCell ref="J23:AU25"/>
    <mergeCell ref="B25:I25"/>
    <mergeCell ref="B26:I26"/>
    <mergeCell ref="J26:AU26"/>
    <mergeCell ref="A31:I31"/>
    <mergeCell ref="J31:AU31"/>
    <mergeCell ref="A32:AU34"/>
    <mergeCell ref="B27:I27"/>
    <mergeCell ref="J27:AU27"/>
    <mergeCell ref="B28:I28"/>
    <mergeCell ref="J28:AU28"/>
    <mergeCell ref="B30:I30"/>
    <mergeCell ref="J30:AU30"/>
    <mergeCell ref="B29:I29"/>
    <mergeCell ref="J29:AU29"/>
    <mergeCell ref="A36:AU36"/>
    <mergeCell ref="A37:AU39"/>
    <mergeCell ref="A40:I40"/>
    <mergeCell ref="J40:AU40"/>
    <mergeCell ref="A41:I42"/>
    <mergeCell ref="J41:AU43"/>
    <mergeCell ref="B43:I43"/>
    <mergeCell ref="B44:I44"/>
    <mergeCell ref="J44:AU44"/>
    <mergeCell ref="A45:I45"/>
    <mergeCell ref="J45:AU45"/>
    <mergeCell ref="A46:AU48"/>
  </mergeCells>
  <phoneticPr fontId="6"/>
  <dataValidations count="1">
    <dataValidation type="list" allowBlank="1" showInputMessage="1" showErrorMessage="1" sqref="WVR982813:WVW982834 WLV982813:WMA982834 WBZ982813:WCE982834 VSD982813:VSI982834 VIH982813:VIM982834 UYL982813:UYQ982834 UOP982813:UOU982834 UET982813:UEY982834 TUX982813:TVC982834 TLB982813:TLG982834 TBF982813:TBK982834 SRJ982813:SRO982834 SHN982813:SHS982834 RXR982813:RXW982834 RNV982813:ROA982834 RDZ982813:REE982834 QUD982813:QUI982834 QKH982813:QKM982834 QAL982813:QAQ982834 PQP982813:PQU982834 PGT982813:PGY982834 OWX982813:OXC982834 ONB982813:ONG982834 ODF982813:ODK982834 NTJ982813:NTO982834 NJN982813:NJS982834 MZR982813:MZW982834 MPV982813:MQA982834 MFZ982813:MGE982834 LWD982813:LWI982834 LMH982813:LMM982834 LCL982813:LCQ982834 KSP982813:KSU982834 KIT982813:KIY982834 JYX982813:JZC982834 JPB982813:JPG982834 JFF982813:JFK982834 IVJ982813:IVO982834 ILN982813:ILS982834 IBR982813:IBW982834 HRV982813:HSA982834 HHZ982813:HIE982834 GYD982813:GYI982834 GOH982813:GOM982834 GEL982813:GEQ982834 FUP982813:FUU982834 FKT982813:FKY982834 FAX982813:FBC982834 ERB982813:ERG982834 EHF982813:EHK982834 DXJ982813:DXO982834 DNN982813:DNS982834 DDR982813:DDW982834 CTV982813:CUA982834 CJZ982813:CKE982834 CAD982813:CAI982834 BQH982813:BQM982834 BGL982813:BGQ982834 AWP982813:AWU982834 AMT982813:AMY982834 ACX982813:ADC982834 TB982813:TG982834 JF982813:JK982834 J982813:O982834 WVR917277:WVW917298 WLV917277:WMA917298 WBZ917277:WCE917298 VSD917277:VSI917298 VIH917277:VIM917298 UYL917277:UYQ917298 UOP917277:UOU917298 UET917277:UEY917298 TUX917277:TVC917298 TLB917277:TLG917298 TBF917277:TBK917298 SRJ917277:SRO917298 SHN917277:SHS917298 RXR917277:RXW917298 RNV917277:ROA917298 RDZ917277:REE917298 QUD917277:QUI917298 QKH917277:QKM917298 QAL917277:QAQ917298 PQP917277:PQU917298 PGT917277:PGY917298 OWX917277:OXC917298 ONB917277:ONG917298 ODF917277:ODK917298 NTJ917277:NTO917298 NJN917277:NJS917298 MZR917277:MZW917298 MPV917277:MQA917298 MFZ917277:MGE917298 LWD917277:LWI917298 LMH917277:LMM917298 LCL917277:LCQ917298 KSP917277:KSU917298 KIT917277:KIY917298 JYX917277:JZC917298 JPB917277:JPG917298 JFF917277:JFK917298 IVJ917277:IVO917298 ILN917277:ILS917298 IBR917277:IBW917298 HRV917277:HSA917298 HHZ917277:HIE917298 GYD917277:GYI917298 GOH917277:GOM917298 GEL917277:GEQ917298 FUP917277:FUU917298 FKT917277:FKY917298 FAX917277:FBC917298 ERB917277:ERG917298 EHF917277:EHK917298 DXJ917277:DXO917298 DNN917277:DNS917298 DDR917277:DDW917298 CTV917277:CUA917298 CJZ917277:CKE917298 CAD917277:CAI917298 BQH917277:BQM917298 BGL917277:BGQ917298 AWP917277:AWU917298 AMT917277:AMY917298 ACX917277:ADC917298 TB917277:TG917298 JF917277:JK917298 J917277:O917298 WVR851741:WVW851762 WLV851741:WMA851762 WBZ851741:WCE851762 VSD851741:VSI851762 VIH851741:VIM851762 UYL851741:UYQ851762 UOP851741:UOU851762 UET851741:UEY851762 TUX851741:TVC851762 TLB851741:TLG851762 TBF851741:TBK851762 SRJ851741:SRO851762 SHN851741:SHS851762 RXR851741:RXW851762 RNV851741:ROA851762 RDZ851741:REE851762 QUD851741:QUI851762 QKH851741:QKM851762 QAL851741:QAQ851762 PQP851741:PQU851762 PGT851741:PGY851762 OWX851741:OXC851762 ONB851741:ONG851762 ODF851741:ODK851762 NTJ851741:NTO851762 NJN851741:NJS851762 MZR851741:MZW851762 MPV851741:MQA851762 MFZ851741:MGE851762 LWD851741:LWI851762 LMH851741:LMM851762 LCL851741:LCQ851762 KSP851741:KSU851762 KIT851741:KIY851762 JYX851741:JZC851762 JPB851741:JPG851762 JFF851741:JFK851762 IVJ851741:IVO851762 ILN851741:ILS851762 IBR851741:IBW851762 HRV851741:HSA851762 HHZ851741:HIE851762 GYD851741:GYI851762 GOH851741:GOM851762 GEL851741:GEQ851762 FUP851741:FUU851762 FKT851741:FKY851762 FAX851741:FBC851762 ERB851741:ERG851762 EHF851741:EHK851762 DXJ851741:DXO851762 DNN851741:DNS851762 DDR851741:DDW851762 CTV851741:CUA851762 CJZ851741:CKE851762 CAD851741:CAI851762 BQH851741:BQM851762 BGL851741:BGQ851762 AWP851741:AWU851762 AMT851741:AMY851762 ACX851741:ADC851762 TB851741:TG851762 JF851741:JK851762 J851741:O851762 WVR786205:WVW786226 WLV786205:WMA786226 WBZ786205:WCE786226 VSD786205:VSI786226 VIH786205:VIM786226 UYL786205:UYQ786226 UOP786205:UOU786226 UET786205:UEY786226 TUX786205:TVC786226 TLB786205:TLG786226 TBF786205:TBK786226 SRJ786205:SRO786226 SHN786205:SHS786226 RXR786205:RXW786226 RNV786205:ROA786226 RDZ786205:REE786226 QUD786205:QUI786226 QKH786205:QKM786226 QAL786205:QAQ786226 PQP786205:PQU786226 PGT786205:PGY786226 OWX786205:OXC786226 ONB786205:ONG786226 ODF786205:ODK786226 NTJ786205:NTO786226 NJN786205:NJS786226 MZR786205:MZW786226 MPV786205:MQA786226 MFZ786205:MGE786226 LWD786205:LWI786226 LMH786205:LMM786226 LCL786205:LCQ786226 KSP786205:KSU786226 KIT786205:KIY786226 JYX786205:JZC786226 JPB786205:JPG786226 JFF786205:JFK786226 IVJ786205:IVO786226 ILN786205:ILS786226 IBR786205:IBW786226 HRV786205:HSA786226 HHZ786205:HIE786226 GYD786205:GYI786226 GOH786205:GOM786226 GEL786205:GEQ786226 FUP786205:FUU786226 FKT786205:FKY786226 FAX786205:FBC786226 ERB786205:ERG786226 EHF786205:EHK786226 DXJ786205:DXO786226 DNN786205:DNS786226 DDR786205:DDW786226 CTV786205:CUA786226 CJZ786205:CKE786226 CAD786205:CAI786226 BQH786205:BQM786226 BGL786205:BGQ786226 AWP786205:AWU786226 AMT786205:AMY786226 ACX786205:ADC786226 TB786205:TG786226 JF786205:JK786226 J786205:O786226 WVR720669:WVW720690 WLV720669:WMA720690 WBZ720669:WCE720690 VSD720669:VSI720690 VIH720669:VIM720690 UYL720669:UYQ720690 UOP720669:UOU720690 UET720669:UEY720690 TUX720669:TVC720690 TLB720669:TLG720690 TBF720669:TBK720690 SRJ720669:SRO720690 SHN720669:SHS720690 RXR720669:RXW720690 RNV720669:ROA720690 RDZ720669:REE720690 QUD720669:QUI720690 QKH720669:QKM720690 QAL720669:QAQ720690 PQP720669:PQU720690 PGT720669:PGY720690 OWX720669:OXC720690 ONB720669:ONG720690 ODF720669:ODK720690 NTJ720669:NTO720690 NJN720669:NJS720690 MZR720669:MZW720690 MPV720669:MQA720690 MFZ720669:MGE720690 LWD720669:LWI720690 LMH720669:LMM720690 LCL720669:LCQ720690 KSP720669:KSU720690 KIT720669:KIY720690 JYX720669:JZC720690 JPB720669:JPG720690 JFF720669:JFK720690 IVJ720669:IVO720690 ILN720669:ILS720690 IBR720669:IBW720690 HRV720669:HSA720690 HHZ720669:HIE720690 GYD720669:GYI720690 GOH720669:GOM720690 GEL720669:GEQ720690 FUP720669:FUU720690 FKT720669:FKY720690 FAX720669:FBC720690 ERB720669:ERG720690 EHF720669:EHK720690 DXJ720669:DXO720690 DNN720669:DNS720690 DDR720669:DDW720690 CTV720669:CUA720690 CJZ720669:CKE720690 CAD720669:CAI720690 BQH720669:BQM720690 BGL720669:BGQ720690 AWP720669:AWU720690 AMT720669:AMY720690 ACX720669:ADC720690 TB720669:TG720690 JF720669:JK720690 J720669:O720690 WVR655133:WVW655154 WLV655133:WMA655154 WBZ655133:WCE655154 VSD655133:VSI655154 VIH655133:VIM655154 UYL655133:UYQ655154 UOP655133:UOU655154 UET655133:UEY655154 TUX655133:TVC655154 TLB655133:TLG655154 TBF655133:TBK655154 SRJ655133:SRO655154 SHN655133:SHS655154 RXR655133:RXW655154 RNV655133:ROA655154 RDZ655133:REE655154 QUD655133:QUI655154 QKH655133:QKM655154 QAL655133:QAQ655154 PQP655133:PQU655154 PGT655133:PGY655154 OWX655133:OXC655154 ONB655133:ONG655154 ODF655133:ODK655154 NTJ655133:NTO655154 NJN655133:NJS655154 MZR655133:MZW655154 MPV655133:MQA655154 MFZ655133:MGE655154 LWD655133:LWI655154 LMH655133:LMM655154 LCL655133:LCQ655154 KSP655133:KSU655154 KIT655133:KIY655154 JYX655133:JZC655154 JPB655133:JPG655154 JFF655133:JFK655154 IVJ655133:IVO655154 ILN655133:ILS655154 IBR655133:IBW655154 HRV655133:HSA655154 HHZ655133:HIE655154 GYD655133:GYI655154 GOH655133:GOM655154 GEL655133:GEQ655154 FUP655133:FUU655154 FKT655133:FKY655154 FAX655133:FBC655154 ERB655133:ERG655154 EHF655133:EHK655154 DXJ655133:DXO655154 DNN655133:DNS655154 DDR655133:DDW655154 CTV655133:CUA655154 CJZ655133:CKE655154 CAD655133:CAI655154 BQH655133:BQM655154 BGL655133:BGQ655154 AWP655133:AWU655154 AMT655133:AMY655154 ACX655133:ADC655154 TB655133:TG655154 JF655133:JK655154 J655133:O655154 WVR589597:WVW589618 WLV589597:WMA589618 WBZ589597:WCE589618 VSD589597:VSI589618 VIH589597:VIM589618 UYL589597:UYQ589618 UOP589597:UOU589618 UET589597:UEY589618 TUX589597:TVC589618 TLB589597:TLG589618 TBF589597:TBK589618 SRJ589597:SRO589618 SHN589597:SHS589618 RXR589597:RXW589618 RNV589597:ROA589618 RDZ589597:REE589618 QUD589597:QUI589618 QKH589597:QKM589618 QAL589597:QAQ589618 PQP589597:PQU589618 PGT589597:PGY589618 OWX589597:OXC589618 ONB589597:ONG589618 ODF589597:ODK589618 NTJ589597:NTO589618 NJN589597:NJS589618 MZR589597:MZW589618 MPV589597:MQA589618 MFZ589597:MGE589618 LWD589597:LWI589618 LMH589597:LMM589618 LCL589597:LCQ589618 KSP589597:KSU589618 KIT589597:KIY589618 JYX589597:JZC589618 JPB589597:JPG589618 JFF589597:JFK589618 IVJ589597:IVO589618 ILN589597:ILS589618 IBR589597:IBW589618 HRV589597:HSA589618 HHZ589597:HIE589618 GYD589597:GYI589618 GOH589597:GOM589618 GEL589597:GEQ589618 FUP589597:FUU589618 FKT589597:FKY589618 FAX589597:FBC589618 ERB589597:ERG589618 EHF589597:EHK589618 DXJ589597:DXO589618 DNN589597:DNS589618 DDR589597:DDW589618 CTV589597:CUA589618 CJZ589597:CKE589618 CAD589597:CAI589618 BQH589597:BQM589618 BGL589597:BGQ589618 AWP589597:AWU589618 AMT589597:AMY589618 ACX589597:ADC589618 TB589597:TG589618 JF589597:JK589618 J589597:O589618 WVR524061:WVW524082 WLV524061:WMA524082 WBZ524061:WCE524082 VSD524061:VSI524082 VIH524061:VIM524082 UYL524061:UYQ524082 UOP524061:UOU524082 UET524061:UEY524082 TUX524061:TVC524082 TLB524061:TLG524082 TBF524061:TBK524082 SRJ524061:SRO524082 SHN524061:SHS524082 RXR524061:RXW524082 RNV524061:ROA524082 RDZ524061:REE524082 QUD524061:QUI524082 QKH524061:QKM524082 QAL524061:QAQ524082 PQP524061:PQU524082 PGT524061:PGY524082 OWX524061:OXC524082 ONB524061:ONG524082 ODF524061:ODK524082 NTJ524061:NTO524082 NJN524061:NJS524082 MZR524061:MZW524082 MPV524061:MQA524082 MFZ524061:MGE524082 LWD524061:LWI524082 LMH524061:LMM524082 LCL524061:LCQ524082 KSP524061:KSU524082 KIT524061:KIY524082 JYX524061:JZC524082 JPB524061:JPG524082 JFF524061:JFK524082 IVJ524061:IVO524082 ILN524061:ILS524082 IBR524061:IBW524082 HRV524061:HSA524082 HHZ524061:HIE524082 GYD524061:GYI524082 GOH524061:GOM524082 GEL524061:GEQ524082 FUP524061:FUU524082 FKT524061:FKY524082 FAX524061:FBC524082 ERB524061:ERG524082 EHF524061:EHK524082 DXJ524061:DXO524082 DNN524061:DNS524082 DDR524061:DDW524082 CTV524061:CUA524082 CJZ524061:CKE524082 CAD524061:CAI524082 BQH524061:BQM524082 BGL524061:BGQ524082 AWP524061:AWU524082 AMT524061:AMY524082 ACX524061:ADC524082 TB524061:TG524082 JF524061:JK524082 J524061:O524082 WVR458525:WVW458546 WLV458525:WMA458546 WBZ458525:WCE458546 VSD458525:VSI458546 VIH458525:VIM458546 UYL458525:UYQ458546 UOP458525:UOU458546 UET458525:UEY458546 TUX458525:TVC458546 TLB458525:TLG458546 TBF458525:TBK458546 SRJ458525:SRO458546 SHN458525:SHS458546 RXR458525:RXW458546 RNV458525:ROA458546 RDZ458525:REE458546 QUD458525:QUI458546 QKH458525:QKM458546 QAL458525:QAQ458546 PQP458525:PQU458546 PGT458525:PGY458546 OWX458525:OXC458546 ONB458525:ONG458546 ODF458525:ODK458546 NTJ458525:NTO458546 NJN458525:NJS458546 MZR458525:MZW458546 MPV458525:MQA458546 MFZ458525:MGE458546 LWD458525:LWI458546 LMH458525:LMM458546 LCL458525:LCQ458546 KSP458525:KSU458546 KIT458525:KIY458546 JYX458525:JZC458546 JPB458525:JPG458546 JFF458525:JFK458546 IVJ458525:IVO458546 ILN458525:ILS458546 IBR458525:IBW458546 HRV458525:HSA458546 HHZ458525:HIE458546 GYD458525:GYI458546 GOH458525:GOM458546 GEL458525:GEQ458546 FUP458525:FUU458546 FKT458525:FKY458546 FAX458525:FBC458546 ERB458525:ERG458546 EHF458525:EHK458546 DXJ458525:DXO458546 DNN458525:DNS458546 DDR458525:DDW458546 CTV458525:CUA458546 CJZ458525:CKE458546 CAD458525:CAI458546 BQH458525:BQM458546 BGL458525:BGQ458546 AWP458525:AWU458546 AMT458525:AMY458546 ACX458525:ADC458546 TB458525:TG458546 JF458525:JK458546 J458525:O458546 WVR392989:WVW393010 WLV392989:WMA393010 WBZ392989:WCE393010 VSD392989:VSI393010 VIH392989:VIM393010 UYL392989:UYQ393010 UOP392989:UOU393010 UET392989:UEY393010 TUX392989:TVC393010 TLB392989:TLG393010 TBF392989:TBK393010 SRJ392989:SRO393010 SHN392989:SHS393010 RXR392989:RXW393010 RNV392989:ROA393010 RDZ392989:REE393010 QUD392989:QUI393010 QKH392989:QKM393010 QAL392989:QAQ393010 PQP392989:PQU393010 PGT392989:PGY393010 OWX392989:OXC393010 ONB392989:ONG393010 ODF392989:ODK393010 NTJ392989:NTO393010 NJN392989:NJS393010 MZR392989:MZW393010 MPV392989:MQA393010 MFZ392989:MGE393010 LWD392989:LWI393010 LMH392989:LMM393010 LCL392989:LCQ393010 KSP392989:KSU393010 KIT392989:KIY393010 JYX392989:JZC393010 JPB392989:JPG393010 JFF392989:JFK393010 IVJ392989:IVO393010 ILN392989:ILS393010 IBR392989:IBW393010 HRV392989:HSA393010 HHZ392989:HIE393010 GYD392989:GYI393010 GOH392989:GOM393010 GEL392989:GEQ393010 FUP392989:FUU393010 FKT392989:FKY393010 FAX392989:FBC393010 ERB392989:ERG393010 EHF392989:EHK393010 DXJ392989:DXO393010 DNN392989:DNS393010 DDR392989:DDW393010 CTV392989:CUA393010 CJZ392989:CKE393010 CAD392989:CAI393010 BQH392989:BQM393010 BGL392989:BGQ393010 AWP392989:AWU393010 AMT392989:AMY393010 ACX392989:ADC393010 TB392989:TG393010 JF392989:JK393010 J392989:O393010 WVR327453:WVW327474 WLV327453:WMA327474 WBZ327453:WCE327474 VSD327453:VSI327474 VIH327453:VIM327474 UYL327453:UYQ327474 UOP327453:UOU327474 UET327453:UEY327474 TUX327453:TVC327474 TLB327453:TLG327474 TBF327453:TBK327474 SRJ327453:SRO327474 SHN327453:SHS327474 RXR327453:RXW327474 RNV327453:ROA327474 RDZ327453:REE327474 QUD327453:QUI327474 QKH327453:QKM327474 QAL327453:QAQ327474 PQP327453:PQU327474 PGT327453:PGY327474 OWX327453:OXC327474 ONB327453:ONG327474 ODF327453:ODK327474 NTJ327453:NTO327474 NJN327453:NJS327474 MZR327453:MZW327474 MPV327453:MQA327474 MFZ327453:MGE327474 LWD327453:LWI327474 LMH327453:LMM327474 LCL327453:LCQ327474 KSP327453:KSU327474 KIT327453:KIY327474 JYX327453:JZC327474 JPB327453:JPG327474 JFF327453:JFK327474 IVJ327453:IVO327474 ILN327453:ILS327474 IBR327453:IBW327474 HRV327453:HSA327474 HHZ327453:HIE327474 GYD327453:GYI327474 GOH327453:GOM327474 GEL327453:GEQ327474 FUP327453:FUU327474 FKT327453:FKY327474 FAX327453:FBC327474 ERB327453:ERG327474 EHF327453:EHK327474 DXJ327453:DXO327474 DNN327453:DNS327474 DDR327453:DDW327474 CTV327453:CUA327474 CJZ327453:CKE327474 CAD327453:CAI327474 BQH327453:BQM327474 BGL327453:BGQ327474 AWP327453:AWU327474 AMT327453:AMY327474 ACX327453:ADC327474 TB327453:TG327474 JF327453:JK327474 J327453:O327474 WVR261917:WVW261938 WLV261917:WMA261938 WBZ261917:WCE261938 VSD261917:VSI261938 VIH261917:VIM261938 UYL261917:UYQ261938 UOP261917:UOU261938 UET261917:UEY261938 TUX261917:TVC261938 TLB261917:TLG261938 TBF261917:TBK261938 SRJ261917:SRO261938 SHN261917:SHS261938 RXR261917:RXW261938 RNV261917:ROA261938 RDZ261917:REE261938 QUD261917:QUI261938 QKH261917:QKM261938 QAL261917:QAQ261938 PQP261917:PQU261938 PGT261917:PGY261938 OWX261917:OXC261938 ONB261917:ONG261938 ODF261917:ODK261938 NTJ261917:NTO261938 NJN261917:NJS261938 MZR261917:MZW261938 MPV261917:MQA261938 MFZ261917:MGE261938 LWD261917:LWI261938 LMH261917:LMM261938 LCL261917:LCQ261938 KSP261917:KSU261938 KIT261917:KIY261938 JYX261917:JZC261938 JPB261917:JPG261938 JFF261917:JFK261938 IVJ261917:IVO261938 ILN261917:ILS261938 IBR261917:IBW261938 HRV261917:HSA261938 HHZ261917:HIE261938 GYD261917:GYI261938 GOH261917:GOM261938 GEL261917:GEQ261938 FUP261917:FUU261938 FKT261917:FKY261938 FAX261917:FBC261938 ERB261917:ERG261938 EHF261917:EHK261938 DXJ261917:DXO261938 DNN261917:DNS261938 DDR261917:DDW261938 CTV261917:CUA261938 CJZ261917:CKE261938 CAD261917:CAI261938 BQH261917:BQM261938 BGL261917:BGQ261938 AWP261917:AWU261938 AMT261917:AMY261938 ACX261917:ADC261938 TB261917:TG261938 JF261917:JK261938 J261917:O261938 WVR196381:WVW196402 WLV196381:WMA196402 WBZ196381:WCE196402 VSD196381:VSI196402 VIH196381:VIM196402 UYL196381:UYQ196402 UOP196381:UOU196402 UET196381:UEY196402 TUX196381:TVC196402 TLB196381:TLG196402 TBF196381:TBK196402 SRJ196381:SRO196402 SHN196381:SHS196402 RXR196381:RXW196402 RNV196381:ROA196402 RDZ196381:REE196402 QUD196381:QUI196402 QKH196381:QKM196402 QAL196381:QAQ196402 PQP196381:PQU196402 PGT196381:PGY196402 OWX196381:OXC196402 ONB196381:ONG196402 ODF196381:ODK196402 NTJ196381:NTO196402 NJN196381:NJS196402 MZR196381:MZW196402 MPV196381:MQA196402 MFZ196381:MGE196402 LWD196381:LWI196402 LMH196381:LMM196402 LCL196381:LCQ196402 KSP196381:KSU196402 KIT196381:KIY196402 JYX196381:JZC196402 JPB196381:JPG196402 JFF196381:JFK196402 IVJ196381:IVO196402 ILN196381:ILS196402 IBR196381:IBW196402 HRV196381:HSA196402 HHZ196381:HIE196402 GYD196381:GYI196402 GOH196381:GOM196402 GEL196381:GEQ196402 FUP196381:FUU196402 FKT196381:FKY196402 FAX196381:FBC196402 ERB196381:ERG196402 EHF196381:EHK196402 DXJ196381:DXO196402 DNN196381:DNS196402 DDR196381:DDW196402 CTV196381:CUA196402 CJZ196381:CKE196402 CAD196381:CAI196402 BQH196381:BQM196402 BGL196381:BGQ196402 AWP196381:AWU196402 AMT196381:AMY196402 ACX196381:ADC196402 TB196381:TG196402 JF196381:JK196402 J196381:O196402 WVR130845:WVW130866 WLV130845:WMA130866 WBZ130845:WCE130866 VSD130845:VSI130866 VIH130845:VIM130866 UYL130845:UYQ130866 UOP130845:UOU130866 UET130845:UEY130866 TUX130845:TVC130866 TLB130845:TLG130866 TBF130845:TBK130866 SRJ130845:SRO130866 SHN130845:SHS130866 RXR130845:RXW130866 RNV130845:ROA130866 RDZ130845:REE130866 QUD130845:QUI130866 QKH130845:QKM130866 QAL130845:QAQ130866 PQP130845:PQU130866 PGT130845:PGY130866 OWX130845:OXC130866 ONB130845:ONG130866 ODF130845:ODK130866 NTJ130845:NTO130866 NJN130845:NJS130866 MZR130845:MZW130866 MPV130845:MQA130866 MFZ130845:MGE130866 LWD130845:LWI130866 LMH130845:LMM130866 LCL130845:LCQ130866 KSP130845:KSU130866 KIT130845:KIY130866 JYX130845:JZC130866 JPB130845:JPG130866 JFF130845:JFK130866 IVJ130845:IVO130866 ILN130845:ILS130866 IBR130845:IBW130866 HRV130845:HSA130866 HHZ130845:HIE130866 GYD130845:GYI130866 GOH130845:GOM130866 GEL130845:GEQ130866 FUP130845:FUU130866 FKT130845:FKY130866 FAX130845:FBC130866 ERB130845:ERG130866 EHF130845:EHK130866 DXJ130845:DXO130866 DNN130845:DNS130866 DDR130845:DDW130866 CTV130845:CUA130866 CJZ130845:CKE130866 CAD130845:CAI130866 BQH130845:BQM130866 BGL130845:BGQ130866 AWP130845:AWU130866 AMT130845:AMY130866 ACX130845:ADC130866 TB130845:TG130866 JF130845:JK130866 J130845:O130866 WVR65309:WVW65330 WLV65309:WMA65330 WBZ65309:WCE65330 VSD65309:VSI65330 VIH65309:VIM65330 UYL65309:UYQ65330 UOP65309:UOU65330 UET65309:UEY65330 TUX65309:TVC65330 TLB65309:TLG65330 TBF65309:TBK65330 SRJ65309:SRO65330 SHN65309:SHS65330 RXR65309:RXW65330 RNV65309:ROA65330 RDZ65309:REE65330 QUD65309:QUI65330 QKH65309:QKM65330 QAL65309:QAQ65330 PQP65309:PQU65330 PGT65309:PGY65330 OWX65309:OXC65330 ONB65309:ONG65330 ODF65309:ODK65330 NTJ65309:NTO65330 NJN65309:NJS65330 MZR65309:MZW65330 MPV65309:MQA65330 MFZ65309:MGE65330 LWD65309:LWI65330 LMH65309:LMM65330 LCL65309:LCQ65330 KSP65309:KSU65330 KIT65309:KIY65330 JYX65309:JZC65330 JPB65309:JPG65330 JFF65309:JFK65330 IVJ65309:IVO65330 ILN65309:ILS65330 IBR65309:IBW65330 HRV65309:HSA65330 HHZ65309:HIE65330 GYD65309:GYI65330 GOH65309:GOM65330 GEL65309:GEQ65330 FUP65309:FUU65330 FKT65309:FKY65330 FAX65309:FBC65330 ERB65309:ERG65330 EHF65309:EHK65330 DXJ65309:DXO65330 DNN65309:DNS65330 DDR65309:DDW65330 CTV65309:CUA65330 CJZ65309:CKE65330 CAD65309:CAI65330 BQH65309:BQM65330 BGL65309:BGQ65330 AWP65309:AWU65330 AMT65309:AMY65330 ACX65309:ADC65330 TB65309:TG65330 JF65309:JK65330 J65309:O65330 WWF982813:WWM982834 WMJ982813:WMQ982834 WCN982813:WCU982834 VSR982813:VSY982834 VIV982813:VJC982834 UYZ982813:UZG982834 UPD982813:UPK982834 UFH982813:UFO982834 TVL982813:TVS982834 TLP982813:TLW982834 TBT982813:TCA982834 SRX982813:SSE982834 SIB982813:SII982834 RYF982813:RYM982834 ROJ982813:ROQ982834 REN982813:REU982834 QUR982813:QUY982834 QKV982813:QLC982834 QAZ982813:QBG982834 PRD982813:PRK982834 PHH982813:PHO982834 OXL982813:OXS982834 ONP982813:ONW982834 ODT982813:OEA982834 NTX982813:NUE982834 NKB982813:NKI982834 NAF982813:NAM982834 MQJ982813:MQQ982834 MGN982813:MGU982834 LWR982813:LWY982834 LMV982813:LNC982834 LCZ982813:LDG982834 KTD982813:KTK982834 KJH982813:KJO982834 JZL982813:JZS982834 JPP982813:JPW982834 JFT982813:JGA982834 IVX982813:IWE982834 IMB982813:IMI982834 ICF982813:ICM982834 HSJ982813:HSQ982834 HIN982813:HIU982834 GYR982813:GYY982834 GOV982813:GPC982834 GEZ982813:GFG982834 FVD982813:FVK982834 FLH982813:FLO982834 FBL982813:FBS982834 ERP982813:ERW982834 EHT982813:EIA982834 DXX982813:DYE982834 DOB982813:DOI982834 DEF982813:DEM982834 CUJ982813:CUQ982834 CKN982813:CKU982834 CAR982813:CAY982834 BQV982813:BRC982834 BGZ982813:BHG982834 AXD982813:AXK982834 ANH982813:ANO982834 ADL982813:ADS982834 TP982813:TW982834 JT982813:KA982834 X982813:AE982834 WWF917277:WWM917298 WMJ917277:WMQ917298 WCN917277:WCU917298 VSR917277:VSY917298 VIV917277:VJC917298 UYZ917277:UZG917298 UPD917277:UPK917298 UFH917277:UFO917298 TVL917277:TVS917298 TLP917277:TLW917298 TBT917277:TCA917298 SRX917277:SSE917298 SIB917277:SII917298 RYF917277:RYM917298 ROJ917277:ROQ917298 REN917277:REU917298 QUR917277:QUY917298 QKV917277:QLC917298 QAZ917277:QBG917298 PRD917277:PRK917298 PHH917277:PHO917298 OXL917277:OXS917298 ONP917277:ONW917298 ODT917277:OEA917298 NTX917277:NUE917298 NKB917277:NKI917298 NAF917277:NAM917298 MQJ917277:MQQ917298 MGN917277:MGU917298 LWR917277:LWY917298 LMV917277:LNC917298 LCZ917277:LDG917298 KTD917277:KTK917298 KJH917277:KJO917298 JZL917277:JZS917298 JPP917277:JPW917298 JFT917277:JGA917298 IVX917277:IWE917298 IMB917277:IMI917298 ICF917277:ICM917298 HSJ917277:HSQ917298 HIN917277:HIU917298 GYR917277:GYY917298 GOV917277:GPC917298 GEZ917277:GFG917298 FVD917277:FVK917298 FLH917277:FLO917298 FBL917277:FBS917298 ERP917277:ERW917298 EHT917277:EIA917298 DXX917277:DYE917298 DOB917277:DOI917298 DEF917277:DEM917298 CUJ917277:CUQ917298 CKN917277:CKU917298 CAR917277:CAY917298 BQV917277:BRC917298 BGZ917277:BHG917298 AXD917277:AXK917298 ANH917277:ANO917298 ADL917277:ADS917298 TP917277:TW917298 JT917277:KA917298 X917277:AE917298 WWF851741:WWM851762 WMJ851741:WMQ851762 WCN851741:WCU851762 VSR851741:VSY851762 VIV851741:VJC851762 UYZ851741:UZG851762 UPD851741:UPK851762 UFH851741:UFO851762 TVL851741:TVS851762 TLP851741:TLW851762 TBT851741:TCA851762 SRX851741:SSE851762 SIB851741:SII851762 RYF851741:RYM851762 ROJ851741:ROQ851762 REN851741:REU851762 QUR851741:QUY851762 QKV851741:QLC851762 QAZ851741:QBG851762 PRD851741:PRK851762 PHH851741:PHO851762 OXL851741:OXS851762 ONP851741:ONW851762 ODT851741:OEA851762 NTX851741:NUE851762 NKB851741:NKI851762 NAF851741:NAM851762 MQJ851741:MQQ851762 MGN851741:MGU851762 LWR851741:LWY851762 LMV851741:LNC851762 LCZ851741:LDG851762 KTD851741:KTK851762 KJH851741:KJO851762 JZL851741:JZS851762 JPP851741:JPW851762 JFT851741:JGA851762 IVX851741:IWE851762 IMB851741:IMI851762 ICF851741:ICM851762 HSJ851741:HSQ851762 HIN851741:HIU851762 GYR851741:GYY851762 GOV851741:GPC851762 GEZ851741:GFG851762 FVD851741:FVK851762 FLH851741:FLO851762 FBL851741:FBS851762 ERP851741:ERW851762 EHT851741:EIA851762 DXX851741:DYE851762 DOB851741:DOI851762 DEF851741:DEM851762 CUJ851741:CUQ851762 CKN851741:CKU851762 CAR851741:CAY851762 BQV851741:BRC851762 BGZ851741:BHG851762 AXD851741:AXK851762 ANH851741:ANO851762 ADL851741:ADS851762 TP851741:TW851762 JT851741:KA851762 X851741:AE851762 WWF786205:WWM786226 WMJ786205:WMQ786226 WCN786205:WCU786226 VSR786205:VSY786226 VIV786205:VJC786226 UYZ786205:UZG786226 UPD786205:UPK786226 UFH786205:UFO786226 TVL786205:TVS786226 TLP786205:TLW786226 TBT786205:TCA786226 SRX786205:SSE786226 SIB786205:SII786226 RYF786205:RYM786226 ROJ786205:ROQ786226 REN786205:REU786226 QUR786205:QUY786226 QKV786205:QLC786226 QAZ786205:QBG786226 PRD786205:PRK786226 PHH786205:PHO786226 OXL786205:OXS786226 ONP786205:ONW786226 ODT786205:OEA786226 NTX786205:NUE786226 NKB786205:NKI786226 NAF786205:NAM786226 MQJ786205:MQQ786226 MGN786205:MGU786226 LWR786205:LWY786226 LMV786205:LNC786226 LCZ786205:LDG786226 KTD786205:KTK786226 KJH786205:KJO786226 JZL786205:JZS786226 JPP786205:JPW786226 JFT786205:JGA786226 IVX786205:IWE786226 IMB786205:IMI786226 ICF786205:ICM786226 HSJ786205:HSQ786226 HIN786205:HIU786226 GYR786205:GYY786226 GOV786205:GPC786226 GEZ786205:GFG786226 FVD786205:FVK786226 FLH786205:FLO786226 FBL786205:FBS786226 ERP786205:ERW786226 EHT786205:EIA786226 DXX786205:DYE786226 DOB786205:DOI786226 DEF786205:DEM786226 CUJ786205:CUQ786226 CKN786205:CKU786226 CAR786205:CAY786226 BQV786205:BRC786226 BGZ786205:BHG786226 AXD786205:AXK786226 ANH786205:ANO786226 ADL786205:ADS786226 TP786205:TW786226 JT786205:KA786226 X786205:AE786226 WWF720669:WWM720690 WMJ720669:WMQ720690 WCN720669:WCU720690 VSR720669:VSY720690 VIV720669:VJC720690 UYZ720669:UZG720690 UPD720669:UPK720690 UFH720669:UFO720690 TVL720669:TVS720690 TLP720669:TLW720690 TBT720669:TCA720690 SRX720669:SSE720690 SIB720669:SII720690 RYF720669:RYM720690 ROJ720669:ROQ720690 REN720669:REU720690 QUR720669:QUY720690 QKV720669:QLC720690 QAZ720669:QBG720690 PRD720669:PRK720690 PHH720669:PHO720690 OXL720669:OXS720690 ONP720669:ONW720690 ODT720669:OEA720690 NTX720669:NUE720690 NKB720669:NKI720690 NAF720669:NAM720690 MQJ720669:MQQ720690 MGN720669:MGU720690 LWR720669:LWY720690 LMV720669:LNC720690 LCZ720669:LDG720690 KTD720669:KTK720690 KJH720669:KJO720690 JZL720669:JZS720690 JPP720669:JPW720690 JFT720669:JGA720690 IVX720669:IWE720690 IMB720669:IMI720690 ICF720669:ICM720690 HSJ720669:HSQ720690 HIN720669:HIU720690 GYR720669:GYY720690 GOV720669:GPC720690 GEZ720669:GFG720690 FVD720669:FVK720690 FLH720669:FLO720690 FBL720669:FBS720690 ERP720669:ERW720690 EHT720669:EIA720690 DXX720669:DYE720690 DOB720669:DOI720690 DEF720669:DEM720690 CUJ720669:CUQ720690 CKN720669:CKU720690 CAR720669:CAY720690 BQV720669:BRC720690 BGZ720669:BHG720690 AXD720669:AXK720690 ANH720669:ANO720690 ADL720669:ADS720690 TP720669:TW720690 JT720669:KA720690 X720669:AE720690 WWF655133:WWM655154 WMJ655133:WMQ655154 WCN655133:WCU655154 VSR655133:VSY655154 VIV655133:VJC655154 UYZ655133:UZG655154 UPD655133:UPK655154 UFH655133:UFO655154 TVL655133:TVS655154 TLP655133:TLW655154 TBT655133:TCA655154 SRX655133:SSE655154 SIB655133:SII655154 RYF655133:RYM655154 ROJ655133:ROQ655154 REN655133:REU655154 QUR655133:QUY655154 QKV655133:QLC655154 QAZ655133:QBG655154 PRD655133:PRK655154 PHH655133:PHO655154 OXL655133:OXS655154 ONP655133:ONW655154 ODT655133:OEA655154 NTX655133:NUE655154 NKB655133:NKI655154 NAF655133:NAM655154 MQJ655133:MQQ655154 MGN655133:MGU655154 LWR655133:LWY655154 LMV655133:LNC655154 LCZ655133:LDG655154 KTD655133:KTK655154 KJH655133:KJO655154 JZL655133:JZS655154 JPP655133:JPW655154 JFT655133:JGA655154 IVX655133:IWE655154 IMB655133:IMI655154 ICF655133:ICM655154 HSJ655133:HSQ655154 HIN655133:HIU655154 GYR655133:GYY655154 GOV655133:GPC655154 GEZ655133:GFG655154 FVD655133:FVK655154 FLH655133:FLO655154 FBL655133:FBS655154 ERP655133:ERW655154 EHT655133:EIA655154 DXX655133:DYE655154 DOB655133:DOI655154 DEF655133:DEM655154 CUJ655133:CUQ655154 CKN655133:CKU655154 CAR655133:CAY655154 BQV655133:BRC655154 BGZ655133:BHG655154 AXD655133:AXK655154 ANH655133:ANO655154 ADL655133:ADS655154 TP655133:TW655154 JT655133:KA655154 X655133:AE655154 WWF589597:WWM589618 WMJ589597:WMQ589618 WCN589597:WCU589618 VSR589597:VSY589618 VIV589597:VJC589618 UYZ589597:UZG589618 UPD589597:UPK589618 UFH589597:UFO589618 TVL589597:TVS589618 TLP589597:TLW589618 TBT589597:TCA589618 SRX589597:SSE589618 SIB589597:SII589618 RYF589597:RYM589618 ROJ589597:ROQ589618 REN589597:REU589618 QUR589597:QUY589618 QKV589597:QLC589618 QAZ589597:QBG589618 PRD589597:PRK589618 PHH589597:PHO589618 OXL589597:OXS589618 ONP589597:ONW589618 ODT589597:OEA589618 NTX589597:NUE589618 NKB589597:NKI589618 NAF589597:NAM589618 MQJ589597:MQQ589618 MGN589597:MGU589618 LWR589597:LWY589618 LMV589597:LNC589618 LCZ589597:LDG589618 KTD589597:KTK589618 KJH589597:KJO589618 JZL589597:JZS589618 JPP589597:JPW589618 JFT589597:JGA589618 IVX589597:IWE589618 IMB589597:IMI589618 ICF589597:ICM589618 HSJ589597:HSQ589618 HIN589597:HIU589618 GYR589597:GYY589618 GOV589597:GPC589618 GEZ589597:GFG589618 FVD589597:FVK589618 FLH589597:FLO589618 FBL589597:FBS589618 ERP589597:ERW589618 EHT589597:EIA589618 DXX589597:DYE589618 DOB589597:DOI589618 DEF589597:DEM589618 CUJ589597:CUQ589618 CKN589597:CKU589618 CAR589597:CAY589618 BQV589597:BRC589618 BGZ589597:BHG589618 AXD589597:AXK589618 ANH589597:ANO589618 ADL589597:ADS589618 TP589597:TW589618 JT589597:KA589618 X589597:AE589618 WWF524061:WWM524082 WMJ524061:WMQ524082 WCN524061:WCU524082 VSR524061:VSY524082 VIV524061:VJC524082 UYZ524061:UZG524082 UPD524061:UPK524082 UFH524061:UFO524082 TVL524061:TVS524082 TLP524061:TLW524082 TBT524061:TCA524082 SRX524061:SSE524082 SIB524061:SII524082 RYF524061:RYM524082 ROJ524061:ROQ524082 REN524061:REU524082 QUR524061:QUY524082 QKV524061:QLC524082 QAZ524061:QBG524082 PRD524061:PRK524082 PHH524061:PHO524082 OXL524061:OXS524082 ONP524061:ONW524082 ODT524061:OEA524082 NTX524061:NUE524082 NKB524061:NKI524082 NAF524061:NAM524082 MQJ524061:MQQ524082 MGN524061:MGU524082 LWR524061:LWY524082 LMV524061:LNC524082 LCZ524061:LDG524082 KTD524061:KTK524082 KJH524061:KJO524082 JZL524061:JZS524082 JPP524061:JPW524082 JFT524061:JGA524082 IVX524061:IWE524082 IMB524061:IMI524082 ICF524061:ICM524082 HSJ524061:HSQ524082 HIN524061:HIU524082 GYR524061:GYY524082 GOV524061:GPC524082 GEZ524061:GFG524082 FVD524061:FVK524082 FLH524061:FLO524082 FBL524061:FBS524082 ERP524061:ERW524082 EHT524061:EIA524082 DXX524061:DYE524082 DOB524061:DOI524082 DEF524061:DEM524082 CUJ524061:CUQ524082 CKN524061:CKU524082 CAR524061:CAY524082 BQV524061:BRC524082 BGZ524061:BHG524082 AXD524061:AXK524082 ANH524061:ANO524082 ADL524061:ADS524082 TP524061:TW524082 JT524061:KA524082 X524061:AE524082 WWF458525:WWM458546 WMJ458525:WMQ458546 WCN458525:WCU458546 VSR458525:VSY458546 VIV458525:VJC458546 UYZ458525:UZG458546 UPD458525:UPK458546 UFH458525:UFO458546 TVL458525:TVS458546 TLP458525:TLW458546 TBT458525:TCA458546 SRX458525:SSE458546 SIB458525:SII458546 RYF458525:RYM458546 ROJ458525:ROQ458546 REN458525:REU458546 QUR458525:QUY458546 QKV458525:QLC458546 QAZ458525:QBG458546 PRD458525:PRK458546 PHH458525:PHO458546 OXL458525:OXS458546 ONP458525:ONW458546 ODT458525:OEA458546 NTX458525:NUE458546 NKB458525:NKI458546 NAF458525:NAM458546 MQJ458525:MQQ458546 MGN458525:MGU458546 LWR458525:LWY458546 LMV458525:LNC458546 LCZ458525:LDG458546 KTD458525:KTK458546 KJH458525:KJO458546 JZL458525:JZS458546 JPP458525:JPW458546 JFT458525:JGA458546 IVX458525:IWE458546 IMB458525:IMI458546 ICF458525:ICM458546 HSJ458525:HSQ458546 HIN458525:HIU458546 GYR458525:GYY458546 GOV458525:GPC458546 GEZ458525:GFG458546 FVD458525:FVK458546 FLH458525:FLO458546 FBL458525:FBS458546 ERP458525:ERW458546 EHT458525:EIA458546 DXX458525:DYE458546 DOB458525:DOI458546 DEF458525:DEM458546 CUJ458525:CUQ458546 CKN458525:CKU458546 CAR458525:CAY458546 BQV458525:BRC458546 BGZ458525:BHG458546 AXD458525:AXK458546 ANH458525:ANO458546 ADL458525:ADS458546 TP458525:TW458546 JT458525:KA458546 X458525:AE458546 WWF392989:WWM393010 WMJ392989:WMQ393010 WCN392989:WCU393010 VSR392989:VSY393010 VIV392989:VJC393010 UYZ392989:UZG393010 UPD392989:UPK393010 UFH392989:UFO393010 TVL392989:TVS393010 TLP392989:TLW393010 TBT392989:TCA393010 SRX392989:SSE393010 SIB392989:SII393010 RYF392989:RYM393010 ROJ392989:ROQ393010 REN392989:REU393010 QUR392989:QUY393010 QKV392989:QLC393010 QAZ392989:QBG393010 PRD392989:PRK393010 PHH392989:PHO393010 OXL392989:OXS393010 ONP392989:ONW393010 ODT392989:OEA393010 NTX392989:NUE393010 NKB392989:NKI393010 NAF392989:NAM393010 MQJ392989:MQQ393010 MGN392989:MGU393010 LWR392989:LWY393010 LMV392989:LNC393010 LCZ392989:LDG393010 KTD392989:KTK393010 KJH392989:KJO393010 JZL392989:JZS393010 JPP392989:JPW393010 JFT392989:JGA393010 IVX392989:IWE393010 IMB392989:IMI393010 ICF392989:ICM393010 HSJ392989:HSQ393010 HIN392989:HIU393010 GYR392989:GYY393010 GOV392989:GPC393010 GEZ392989:GFG393010 FVD392989:FVK393010 FLH392989:FLO393010 FBL392989:FBS393010 ERP392989:ERW393010 EHT392989:EIA393010 DXX392989:DYE393010 DOB392989:DOI393010 DEF392989:DEM393010 CUJ392989:CUQ393010 CKN392989:CKU393010 CAR392989:CAY393010 BQV392989:BRC393010 BGZ392989:BHG393010 AXD392989:AXK393010 ANH392989:ANO393010 ADL392989:ADS393010 TP392989:TW393010 JT392989:KA393010 X392989:AE393010 WWF327453:WWM327474 WMJ327453:WMQ327474 WCN327453:WCU327474 VSR327453:VSY327474 VIV327453:VJC327474 UYZ327453:UZG327474 UPD327453:UPK327474 UFH327453:UFO327474 TVL327453:TVS327474 TLP327453:TLW327474 TBT327453:TCA327474 SRX327453:SSE327474 SIB327453:SII327474 RYF327453:RYM327474 ROJ327453:ROQ327474 REN327453:REU327474 QUR327453:QUY327474 QKV327453:QLC327474 QAZ327453:QBG327474 PRD327453:PRK327474 PHH327453:PHO327474 OXL327453:OXS327474 ONP327453:ONW327474 ODT327453:OEA327474 NTX327453:NUE327474 NKB327453:NKI327474 NAF327453:NAM327474 MQJ327453:MQQ327474 MGN327453:MGU327474 LWR327453:LWY327474 LMV327453:LNC327474 LCZ327453:LDG327474 KTD327453:KTK327474 KJH327453:KJO327474 JZL327453:JZS327474 JPP327453:JPW327474 JFT327453:JGA327474 IVX327453:IWE327474 IMB327453:IMI327474 ICF327453:ICM327474 HSJ327453:HSQ327474 HIN327453:HIU327474 GYR327453:GYY327474 GOV327453:GPC327474 GEZ327453:GFG327474 FVD327453:FVK327474 FLH327453:FLO327474 FBL327453:FBS327474 ERP327453:ERW327474 EHT327453:EIA327474 DXX327453:DYE327474 DOB327453:DOI327474 DEF327453:DEM327474 CUJ327453:CUQ327474 CKN327453:CKU327474 CAR327453:CAY327474 BQV327453:BRC327474 BGZ327453:BHG327474 AXD327453:AXK327474 ANH327453:ANO327474 ADL327453:ADS327474 TP327453:TW327474 JT327453:KA327474 X327453:AE327474 WWF261917:WWM261938 WMJ261917:WMQ261938 WCN261917:WCU261938 VSR261917:VSY261938 VIV261917:VJC261938 UYZ261917:UZG261938 UPD261917:UPK261938 UFH261917:UFO261938 TVL261917:TVS261938 TLP261917:TLW261938 TBT261917:TCA261938 SRX261917:SSE261938 SIB261917:SII261938 RYF261917:RYM261938 ROJ261917:ROQ261938 REN261917:REU261938 QUR261917:QUY261938 QKV261917:QLC261938 QAZ261917:QBG261938 PRD261917:PRK261938 PHH261917:PHO261938 OXL261917:OXS261938 ONP261917:ONW261938 ODT261917:OEA261938 NTX261917:NUE261938 NKB261917:NKI261938 NAF261917:NAM261938 MQJ261917:MQQ261938 MGN261917:MGU261938 LWR261917:LWY261938 LMV261917:LNC261938 LCZ261917:LDG261938 KTD261917:KTK261938 KJH261917:KJO261938 JZL261917:JZS261938 JPP261917:JPW261938 JFT261917:JGA261938 IVX261917:IWE261938 IMB261917:IMI261938 ICF261917:ICM261938 HSJ261917:HSQ261938 HIN261917:HIU261938 GYR261917:GYY261938 GOV261917:GPC261938 GEZ261917:GFG261938 FVD261917:FVK261938 FLH261917:FLO261938 FBL261917:FBS261938 ERP261917:ERW261938 EHT261917:EIA261938 DXX261917:DYE261938 DOB261917:DOI261938 DEF261917:DEM261938 CUJ261917:CUQ261938 CKN261917:CKU261938 CAR261917:CAY261938 BQV261917:BRC261938 BGZ261917:BHG261938 AXD261917:AXK261938 ANH261917:ANO261938 ADL261917:ADS261938 TP261917:TW261938 JT261917:KA261938 X261917:AE261938 WWF196381:WWM196402 WMJ196381:WMQ196402 WCN196381:WCU196402 VSR196381:VSY196402 VIV196381:VJC196402 UYZ196381:UZG196402 UPD196381:UPK196402 UFH196381:UFO196402 TVL196381:TVS196402 TLP196381:TLW196402 TBT196381:TCA196402 SRX196381:SSE196402 SIB196381:SII196402 RYF196381:RYM196402 ROJ196381:ROQ196402 REN196381:REU196402 QUR196381:QUY196402 QKV196381:QLC196402 QAZ196381:QBG196402 PRD196381:PRK196402 PHH196381:PHO196402 OXL196381:OXS196402 ONP196381:ONW196402 ODT196381:OEA196402 NTX196381:NUE196402 NKB196381:NKI196402 NAF196381:NAM196402 MQJ196381:MQQ196402 MGN196381:MGU196402 LWR196381:LWY196402 LMV196381:LNC196402 LCZ196381:LDG196402 KTD196381:KTK196402 KJH196381:KJO196402 JZL196381:JZS196402 JPP196381:JPW196402 JFT196381:JGA196402 IVX196381:IWE196402 IMB196381:IMI196402 ICF196381:ICM196402 HSJ196381:HSQ196402 HIN196381:HIU196402 GYR196381:GYY196402 GOV196381:GPC196402 GEZ196381:GFG196402 FVD196381:FVK196402 FLH196381:FLO196402 FBL196381:FBS196402 ERP196381:ERW196402 EHT196381:EIA196402 DXX196381:DYE196402 DOB196381:DOI196402 DEF196381:DEM196402 CUJ196381:CUQ196402 CKN196381:CKU196402 CAR196381:CAY196402 BQV196381:BRC196402 BGZ196381:BHG196402 AXD196381:AXK196402 ANH196381:ANO196402 ADL196381:ADS196402 TP196381:TW196402 JT196381:KA196402 X196381:AE196402 WWF130845:WWM130866 WMJ130845:WMQ130866 WCN130845:WCU130866 VSR130845:VSY130866 VIV130845:VJC130866 UYZ130845:UZG130866 UPD130845:UPK130866 UFH130845:UFO130866 TVL130845:TVS130866 TLP130845:TLW130866 TBT130845:TCA130866 SRX130845:SSE130866 SIB130845:SII130866 RYF130845:RYM130866 ROJ130845:ROQ130866 REN130845:REU130866 QUR130845:QUY130866 QKV130845:QLC130866 QAZ130845:QBG130866 PRD130845:PRK130866 PHH130845:PHO130866 OXL130845:OXS130866 ONP130845:ONW130866 ODT130845:OEA130866 NTX130845:NUE130866 NKB130845:NKI130866 NAF130845:NAM130866 MQJ130845:MQQ130866 MGN130845:MGU130866 LWR130845:LWY130866 LMV130845:LNC130866 LCZ130845:LDG130866 KTD130845:KTK130866 KJH130845:KJO130866 JZL130845:JZS130866 JPP130845:JPW130866 JFT130845:JGA130866 IVX130845:IWE130866 IMB130845:IMI130866 ICF130845:ICM130866 HSJ130845:HSQ130866 HIN130845:HIU130866 GYR130845:GYY130866 GOV130845:GPC130866 GEZ130845:GFG130866 FVD130845:FVK130866 FLH130845:FLO130866 FBL130845:FBS130866 ERP130845:ERW130866 EHT130845:EIA130866 DXX130845:DYE130866 DOB130845:DOI130866 DEF130845:DEM130866 CUJ130845:CUQ130866 CKN130845:CKU130866 CAR130845:CAY130866 BQV130845:BRC130866 BGZ130845:BHG130866 AXD130845:AXK130866 ANH130845:ANO130866 ADL130845:ADS130866 TP130845:TW130866 JT130845:KA130866 X130845:AE130866 WWF65309:WWM65330 WMJ65309:WMQ65330 WCN65309:WCU65330 VSR65309:VSY65330 VIV65309:VJC65330 UYZ65309:UZG65330 UPD65309:UPK65330 UFH65309:UFO65330 TVL65309:TVS65330 TLP65309:TLW65330 TBT65309:TCA65330 SRX65309:SSE65330 SIB65309:SII65330 RYF65309:RYM65330 ROJ65309:ROQ65330 REN65309:REU65330 QUR65309:QUY65330 QKV65309:QLC65330 QAZ65309:QBG65330 PRD65309:PRK65330 PHH65309:PHO65330 OXL65309:OXS65330 ONP65309:ONW65330 ODT65309:OEA65330 NTX65309:NUE65330 NKB65309:NKI65330 NAF65309:NAM65330 MQJ65309:MQQ65330 MGN65309:MGU65330 LWR65309:LWY65330 LMV65309:LNC65330 LCZ65309:LDG65330 KTD65309:KTK65330 KJH65309:KJO65330 JZL65309:JZS65330 JPP65309:JPW65330 JFT65309:JGA65330 IVX65309:IWE65330 IMB65309:IMI65330 ICF65309:ICM65330 HSJ65309:HSQ65330 HIN65309:HIU65330 GYR65309:GYY65330 GOV65309:GPC65330 GEZ65309:GFG65330 FVD65309:FVK65330 FLH65309:FLO65330 FBL65309:FBS65330 ERP65309:ERW65330 EHT65309:EIA65330 DXX65309:DYE65330 DOB65309:DOI65330 DEF65309:DEM65330 CUJ65309:CUQ65330 CKN65309:CKU65330 CAR65309:CAY65330 BQV65309:BRC65330 BGZ65309:BHG65330 AXD65309:AXK65330 ANH65309:ANO65330 ADL65309:ADS65330 TP65309:TW65330 JT65309:KA65330 X65309:AE65330" xr:uid="{00000000-0002-0000-0400-000000000000}">
      <formula1>#REF!</formula1>
    </dataValidation>
  </dataValidations>
  <pageMargins left="0.7" right="0.7" top="0.75" bottom="0.75" header="0.3" footer="0.3"/>
  <pageSetup paperSize="9" scale="21"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B41"/>
  <sheetViews>
    <sheetView showGridLines="0" view="pageBreakPreview" zoomScale="70" zoomScaleNormal="55" zoomScaleSheetLayoutView="70" workbookViewId="0">
      <selection activeCell="AD5" sqref="AD5"/>
    </sheetView>
  </sheetViews>
  <sheetFormatPr defaultColWidth="2.875" defaultRowHeight="21" customHeight="1"/>
  <cols>
    <col min="1" max="16384" width="2.875" style="96"/>
  </cols>
  <sheetData>
    <row r="1" spans="1:80" ht="21" customHeight="1">
      <c r="A1" s="95" t="s">
        <v>215</v>
      </c>
    </row>
    <row r="2" spans="1:80" ht="21" customHeight="1">
      <c r="B2" s="97" t="s">
        <v>196</v>
      </c>
      <c r="C2" s="98"/>
      <c r="D2" s="98"/>
      <c r="E2" s="98"/>
      <c r="F2" s="98"/>
      <c r="G2" s="98"/>
      <c r="H2" s="98"/>
      <c r="I2" s="98"/>
      <c r="J2" s="98"/>
      <c r="K2" s="98"/>
      <c r="L2" s="98"/>
      <c r="M2" s="98"/>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9"/>
      <c r="AP2" s="100" t="s">
        <v>197</v>
      </c>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2"/>
    </row>
    <row r="3" spans="1:80" ht="21" customHeight="1">
      <c r="B3" s="103"/>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5"/>
      <c r="AP3" s="106"/>
      <c r="AQ3" s="107"/>
      <c r="AR3" s="107"/>
      <c r="AS3" s="107"/>
      <c r="AT3" s="107"/>
      <c r="AU3" s="107"/>
      <c r="AV3" s="107"/>
      <c r="AW3" s="107"/>
      <c r="AX3" s="107"/>
      <c r="AY3" s="107"/>
      <c r="AZ3" s="107"/>
      <c r="BA3" s="107"/>
      <c r="BB3" s="107"/>
      <c r="BC3" s="107"/>
      <c r="BD3" s="107"/>
      <c r="BE3" s="107"/>
      <c r="BF3" s="107"/>
      <c r="BG3" s="107"/>
      <c r="BH3" s="107"/>
      <c r="BI3" s="107"/>
      <c r="BJ3" s="107"/>
      <c r="BK3" s="107"/>
      <c r="BL3" s="107"/>
      <c r="BM3" s="107"/>
      <c r="BN3" s="107"/>
      <c r="BO3" s="107"/>
      <c r="BP3" s="107"/>
      <c r="BQ3" s="107"/>
      <c r="BR3" s="107"/>
      <c r="BS3" s="107"/>
      <c r="BT3" s="107"/>
      <c r="BU3" s="107"/>
      <c r="BV3" s="107"/>
      <c r="BW3" s="107"/>
      <c r="BX3" s="107"/>
      <c r="BY3" s="107"/>
      <c r="BZ3" s="107"/>
      <c r="CA3" s="107"/>
      <c r="CB3" s="108"/>
    </row>
    <row r="4" spans="1:80" ht="21" customHeight="1">
      <c r="B4" s="103"/>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5"/>
      <c r="AP4" s="106"/>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c r="BT4" s="107"/>
      <c r="BU4" s="107"/>
      <c r="BV4" s="107"/>
      <c r="BW4" s="107"/>
      <c r="BX4" s="107"/>
      <c r="BY4" s="107"/>
      <c r="BZ4" s="107"/>
      <c r="CA4" s="107"/>
      <c r="CB4" s="108"/>
    </row>
    <row r="5" spans="1:80" ht="21" customHeight="1">
      <c r="B5" s="109"/>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5"/>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07"/>
      <c r="BO5" s="107"/>
      <c r="BP5" s="107"/>
      <c r="BQ5" s="107"/>
      <c r="BR5" s="107"/>
      <c r="BS5" s="107"/>
      <c r="BT5" s="107"/>
      <c r="BU5" s="107"/>
      <c r="BV5" s="107"/>
      <c r="BW5" s="107"/>
      <c r="BX5" s="107"/>
      <c r="BY5" s="107"/>
      <c r="BZ5" s="107"/>
      <c r="CA5" s="107"/>
      <c r="CB5" s="108"/>
    </row>
    <row r="6" spans="1:80" ht="21" customHeight="1">
      <c r="B6" s="109"/>
      <c r="C6" s="104"/>
      <c r="D6" s="104"/>
      <c r="E6" s="104"/>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5"/>
      <c r="AP6" s="107"/>
      <c r="AQ6" s="107"/>
      <c r="AR6" s="107"/>
      <c r="AS6" s="107"/>
      <c r="AT6" s="107"/>
      <c r="AU6" s="107"/>
      <c r="AV6" s="107"/>
      <c r="AW6" s="107"/>
      <c r="AX6" s="107"/>
      <c r="AY6" s="107"/>
      <c r="AZ6" s="107"/>
      <c r="BA6" s="107"/>
      <c r="BB6" s="107"/>
      <c r="BC6" s="107"/>
      <c r="BD6" s="107"/>
      <c r="BE6" s="107"/>
      <c r="BF6" s="107"/>
      <c r="BG6" s="107"/>
      <c r="BH6" s="107"/>
      <c r="BI6" s="107"/>
      <c r="BJ6" s="107"/>
      <c r="BK6" s="107"/>
      <c r="BL6" s="107"/>
      <c r="BM6" s="107"/>
      <c r="BN6" s="107"/>
      <c r="BO6" s="107"/>
      <c r="BP6" s="107"/>
      <c r="BQ6" s="107"/>
      <c r="BR6" s="107"/>
      <c r="BS6" s="107"/>
      <c r="BT6" s="107"/>
      <c r="BU6" s="107"/>
      <c r="BV6" s="107"/>
      <c r="BW6" s="107"/>
      <c r="BX6" s="107"/>
      <c r="BY6" s="107"/>
      <c r="BZ6" s="107"/>
      <c r="CA6" s="107"/>
      <c r="CB6" s="108"/>
    </row>
    <row r="7" spans="1:80" ht="21" customHeight="1">
      <c r="B7" s="109"/>
      <c r="C7" s="104"/>
      <c r="D7" s="104"/>
      <c r="E7" s="104"/>
      <c r="F7" s="104"/>
      <c r="G7" s="104"/>
      <c r="H7" s="104"/>
      <c r="I7" s="104"/>
      <c r="J7" s="104"/>
      <c r="K7" s="104"/>
      <c r="L7" s="104"/>
      <c r="M7" s="104"/>
      <c r="N7" s="104"/>
      <c r="O7" s="104"/>
      <c r="P7" s="104"/>
      <c r="Q7" s="104"/>
      <c r="R7" s="104"/>
      <c r="S7" s="104"/>
      <c r="T7" s="104"/>
      <c r="U7" s="104"/>
      <c r="V7" s="104"/>
      <c r="W7" s="104"/>
      <c r="X7" s="104"/>
      <c r="Y7" s="104"/>
      <c r="Z7" s="104"/>
      <c r="AA7" s="104"/>
      <c r="AB7" s="104"/>
      <c r="AC7" s="104"/>
      <c r="AD7" s="104"/>
      <c r="AE7" s="104"/>
      <c r="AF7" s="104"/>
      <c r="AG7" s="104"/>
      <c r="AH7" s="104"/>
      <c r="AI7" s="104"/>
      <c r="AJ7" s="104"/>
      <c r="AK7" s="104"/>
      <c r="AL7" s="104"/>
      <c r="AM7" s="104"/>
      <c r="AN7" s="104"/>
      <c r="AO7" s="105"/>
      <c r="AP7" s="107"/>
      <c r="AQ7" s="107"/>
      <c r="AR7" s="107"/>
      <c r="AS7" s="107"/>
      <c r="AT7" s="107"/>
      <c r="AU7" s="107"/>
      <c r="AV7" s="107"/>
      <c r="AW7" s="107"/>
      <c r="AX7" s="107"/>
      <c r="AY7" s="107"/>
      <c r="AZ7" s="107"/>
      <c r="BA7" s="107"/>
      <c r="BB7" s="107"/>
      <c r="BC7" s="107"/>
      <c r="BD7" s="107"/>
      <c r="BE7" s="107"/>
      <c r="BF7" s="107"/>
      <c r="BG7" s="107"/>
      <c r="BH7" s="107"/>
      <c r="BI7" s="107"/>
      <c r="BJ7" s="107"/>
      <c r="BK7" s="107"/>
      <c r="BL7" s="107"/>
      <c r="BM7" s="107"/>
      <c r="BN7" s="107"/>
      <c r="BO7" s="107"/>
      <c r="BP7" s="107"/>
      <c r="BQ7" s="107"/>
      <c r="BR7" s="107"/>
      <c r="BS7" s="107"/>
      <c r="BT7" s="107"/>
      <c r="BU7" s="107"/>
      <c r="BV7" s="107"/>
      <c r="BW7" s="107"/>
      <c r="BX7" s="107"/>
      <c r="BY7" s="107"/>
      <c r="BZ7" s="107"/>
      <c r="CA7" s="107"/>
      <c r="CB7" s="108"/>
    </row>
    <row r="8" spans="1:80" ht="21" customHeight="1">
      <c r="B8" s="109"/>
      <c r="C8" s="104"/>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4"/>
      <c r="AH8" s="104"/>
      <c r="AI8" s="104"/>
      <c r="AJ8" s="104"/>
      <c r="AK8" s="104"/>
      <c r="AL8" s="104"/>
      <c r="AM8" s="104"/>
      <c r="AN8" s="104"/>
      <c r="AO8" s="105"/>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c r="BN8" s="107"/>
      <c r="BO8" s="107"/>
      <c r="BP8" s="107"/>
      <c r="BQ8" s="107"/>
      <c r="BR8" s="107"/>
      <c r="BS8" s="107"/>
      <c r="BT8" s="107"/>
      <c r="BU8" s="107"/>
      <c r="BV8" s="107"/>
      <c r="BW8" s="107"/>
      <c r="BX8" s="107"/>
      <c r="BY8" s="107"/>
      <c r="BZ8" s="107"/>
      <c r="CA8" s="107"/>
      <c r="CB8" s="108"/>
    </row>
    <row r="9" spans="1:80" ht="21" customHeight="1">
      <c r="B9" s="109"/>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5"/>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c r="BO9" s="107"/>
      <c r="BP9" s="107"/>
      <c r="BQ9" s="107"/>
      <c r="BR9" s="107"/>
      <c r="BS9" s="107"/>
      <c r="BT9" s="107"/>
      <c r="BU9" s="107"/>
      <c r="BV9" s="107"/>
      <c r="BW9" s="107"/>
      <c r="BX9" s="107"/>
      <c r="BY9" s="107"/>
      <c r="BZ9" s="107"/>
      <c r="CA9" s="107"/>
      <c r="CB9" s="108"/>
    </row>
    <row r="10" spans="1:80" ht="21" customHeight="1">
      <c r="B10" s="109"/>
      <c r="C10" s="104"/>
      <c r="D10" s="104"/>
      <c r="E10" s="104"/>
      <c r="F10" s="104"/>
      <c r="G10" s="104"/>
      <c r="H10" s="104"/>
      <c r="I10" s="104"/>
      <c r="J10" s="104"/>
      <c r="K10" s="104"/>
      <c r="L10" s="104"/>
      <c r="M10" s="104"/>
      <c r="N10" s="104"/>
      <c r="O10" s="104"/>
      <c r="P10" s="104"/>
      <c r="Q10" s="104"/>
      <c r="R10" s="104"/>
      <c r="S10" s="104"/>
      <c r="T10" s="104"/>
      <c r="U10" s="104"/>
      <c r="V10" s="104" t="s">
        <v>198</v>
      </c>
      <c r="W10" s="104"/>
      <c r="X10" s="104"/>
      <c r="Y10" s="104"/>
      <c r="Z10" s="104"/>
      <c r="AA10" s="104"/>
      <c r="AB10" s="104"/>
      <c r="AC10" s="104"/>
      <c r="AD10" s="104"/>
      <c r="AE10" s="104"/>
      <c r="AF10" s="104"/>
      <c r="AG10" s="104"/>
      <c r="AH10" s="104"/>
      <c r="AI10" s="104"/>
      <c r="AJ10" s="104"/>
      <c r="AK10" s="104"/>
      <c r="AL10" s="104"/>
      <c r="AM10" s="104"/>
      <c r="AN10" s="104"/>
      <c r="AO10" s="105"/>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t="s">
        <v>198</v>
      </c>
      <c r="BL10" s="107"/>
      <c r="BM10" s="107"/>
      <c r="BN10" s="107"/>
      <c r="BO10" s="107"/>
      <c r="BP10" s="107"/>
      <c r="BQ10" s="107"/>
      <c r="BR10" s="107"/>
      <c r="BS10" s="107"/>
      <c r="BT10" s="107"/>
      <c r="BU10" s="107"/>
      <c r="BV10" s="107"/>
      <c r="BW10" s="107"/>
      <c r="BX10" s="107"/>
      <c r="BY10" s="107"/>
      <c r="BZ10" s="107"/>
      <c r="CA10" s="107"/>
      <c r="CB10" s="108"/>
    </row>
    <row r="11" spans="1:80" ht="21" customHeight="1">
      <c r="B11" s="109"/>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5"/>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c r="BX11" s="107"/>
      <c r="BY11" s="107"/>
      <c r="BZ11" s="107"/>
      <c r="CA11" s="107"/>
      <c r="CB11" s="108"/>
    </row>
    <row r="12" spans="1:80" ht="21" customHeight="1">
      <c r="B12" s="109"/>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5"/>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8"/>
    </row>
    <row r="13" spans="1:80" ht="21" customHeight="1">
      <c r="B13" s="109"/>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5"/>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8"/>
    </row>
    <row r="14" spans="1:80" ht="21" customHeight="1">
      <c r="B14" s="109"/>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5"/>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8"/>
    </row>
    <row r="15" spans="1:80" ht="21" customHeight="1">
      <c r="B15" s="109"/>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5"/>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c r="BX15" s="107"/>
      <c r="BY15" s="107"/>
      <c r="BZ15" s="107"/>
      <c r="CA15" s="107"/>
      <c r="CB15" s="108"/>
    </row>
    <row r="16" spans="1:80" ht="21" customHeight="1">
      <c r="B16" s="109"/>
      <c r="C16" s="104"/>
      <c r="D16" s="104"/>
      <c r="E16" s="104"/>
      <c r="F16" s="104"/>
      <c r="G16" s="104"/>
      <c r="H16" s="104"/>
      <c r="I16" s="104"/>
      <c r="J16" s="104"/>
      <c r="K16" s="104"/>
      <c r="L16" s="104"/>
      <c r="M16" s="104"/>
      <c r="N16" s="104"/>
      <c r="O16" s="104"/>
      <c r="P16" s="104"/>
      <c r="Q16" s="104"/>
      <c r="R16" s="104"/>
      <c r="S16" s="104"/>
      <c r="T16" s="104"/>
      <c r="U16" s="104"/>
      <c r="V16" s="104"/>
      <c r="W16" s="104" t="s">
        <v>199</v>
      </c>
      <c r="X16" s="104"/>
      <c r="Y16" s="104"/>
      <c r="Z16" s="104"/>
      <c r="AA16" s="104"/>
      <c r="AB16" s="104"/>
      <c r="AC16" s="104"/>
      <c r="AD16" s="104"/>
      <c r="AE16" s="104"/>
      <c r="AF16" s="104"/>
      <c r="AG16" s="104"/>
      <c r="AH16" s="104"/>
      <c r="AI16" s="104"/>
      <c r="AJ16" s="104"/>
      <c r="AK16" s="104"/>
      <c r="AL16" s="104"/>
      <c r="AM16" s="104"/>
      <c r="AN16" s="104"/>
      <c r="AO16" s="105"/>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07"/>
      <c r="BZ16" s="107"/>
      <c r="CA16" s="107"/>
      <c r="CB16" s="108"/>
    </row>
    <row r="17" spans="2:80" ht="21" customHeight="1">
      <c r="B17" s="109"/>
      <c r="C17" s="104"/>
      <c r="D17" s="104"/>
      <c r="E17" s="104"/>
      <c r="F17" s="104"/>
      <c r="G17" s="104"/>
      <c r="H17" s="104"/>
      <c r="I17" s="104"/>
      <c r="J17" s="104"/>
      <c r="K17" s="104"/>
      <c r="L17" s="104"/>
      <c r="M17" s="104"/>
      <c r="N17" s="104"/>
      <c r="O17" s="104"/>
      <c r="P17" s="104"/>
      <c r="Q17" s="104"/>
      <c r="R17" s="104"/>
      <c r="S17" s="104"/>
      <c r="T17" s="104"/>
      <c r="U17" s="104"/>
      <c r="V17" s="104"/>
      <c r="W17" s="104" t="s">
        <v>200</v>
      </c>
      <c r="X17" s="104"/>
      <c r="Y17" s="104"/>
      <c r="Z17" s="104"/>
      <c r="AA17" s="104"/>
      <c r="AB17" s="104"/>
      <c r="AC17" s="104"/>
      <c r="AD17" s="104"/>
      <c r="AE17" s="104"/>
      <c r="AF17" s="104"/>
      <c r="AG17" s="104"/>
      <c r="AH17" s="104"/>
      <c r="AI17" s="104"/>
      <c r="AJ17" s="104"/>
      <c r="AK17" s="104"/>
      <c r="AL17" s="104"/>
      <c r="AM17" s="104"/>
      <c r="AN17" s="104"/>
      <c r="AO17" s="105"/>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8"/>
    </row>
    <row r="18" spans="2:80" ht="21" customHeight="1">
      <c r="B18" s="109"/>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5"/>
      <c r="AP18" s="107"/>
      <c r="AQ18" s="107"/>
      <c r="AR18" s="107"/>
      <c r="AS18" s="107"/>
      <c r="AT18" s="107"/>
      <c r="AU18" s="107"/>
      <c r="AV18" s="107"/>
      <c r="AW18" s="107"/>
      <c r="AX18" s="107"/>
      <c r="AY18" s="107"/>
      <c r="AZ18" s="107"/>
      <c r="BA18" s="107"/>
      <c r="BB18" s="107"/>
      <c r="BC18" s="107"/>
      <c r="BD18" s="107"/>
      <c r="BE18" s="107" t="s">
        <v>201</v>
      </c>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8"/>
    </row>
    <row r="19" spans="2:80" ht="21" customHeight="1">
      <c r="B19" s="109"/>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t="s">
        <v>202</v>
      </c>
      <c r="AC19" s="104"/>
      <c r="AD19" s="104"/>
      <c r="AE19" s="104"/>
      <c r="AF19" s="104"/>
      <c r="AG19" s="104"/>
      <c r="AH19" s="104"/>
      <c r="AI19" s="104"/>
      <c r="AJ19" s="104"/>
      <c r="AK19" s="104"/>
      <c r="AL19" s="104"/>
      <c r="AM19" s="104"/>
      <c r="AN19" s="104"/>
      <c r="AO19" s="105"/>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t="s">
        <v>202</v>
      </c>
      <c r="BR19" s="107"/>
      <c r="BS19" s="107"/>
      <c r="BT19" s="107"/>
      <c r="BU19" s="107"/>
      <c r="BV19" s="107"/>
      <c r="BW19" s="107"/>
      <c r="BX19" s="107"/>
      <c r="BY19" s="107"/>
      <c r="BZ19" s="107"/>
      <c r="CA19" s="107"/>
      <c r="CB19" s="108"/>
    </row>
    <row r="20" spans="2:80" ht="21" customHeight="1">
      <c r="B20" s="109"/>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5"/>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c r="BX20" s="107"/>
      <c r="BY20" s="107"/>
      <c r="BZ20" s="107"/>
      <c r="CA20" s="107"/>
      <c r="CB20" s="108"/>
    </row>
    <row r="21" spans="2:80" ht="21" customHeight="1">
      <c r="B21" s="109"/>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5"/>
      <c r="AP21" s="107"/>
      <c r="AQ21" s="107"/>
      <c r="AR21" s="107"/>
      <c r="AS21" s="107"/>
      <c r="AT21" s="107"/>
      <c r="AU21" s="107"/>
      <c r="AV21" s="107"/>
      <c r="AW21" s="107"/>
      <c r="AX21" s="107"/>
      <c r="AY21" s="107"/>
      <c r="AZ21" s="107"/>
      <c r="BA21" s="107"/>
      <c r="BB21" s="107"/>
      <c r="BC21" s="107"/>
      <c r="BD21" s="107"/>
      <c r="BE21" s="107"/>
      <c r="BF21" s="107"/>
      <c r="BG21" s="107"/>
      <c r="BH21" s="107"/>
      <c r="BI21" s="107"/>
      <c r="BJ21" s="107" t="s">
        <v>199</v>
      </c>
      <c r="BK21" s="107"/>
      <c r="BL21" s="107"/>
      <c r="BM21" s="107"/>
      <c r="BN21" s="107"/>
      <c r="BO21" s="107"/>
      <c r="BP21" s="107"/>
      <c r="BQ21" s="107"/>
      <c r="BR21" s="107"/>
      <c r="BS21" s="107"/>
      <c r="BT21" s="107"/>
      <c r="BU21" s="107"/>
      <c r="BV21" s="107"/>
      <c r="BW21" s="107"/>
      <c r="BX21" s="107"/>
      <c r="BY21" s="107"/>
      <c r="BZ21" s="107"/>
      <c r="CA21" s="107"/>
      <c r="CB21" s="108"/>
    </row>
    <row r="22" spans="2:80" ht="21" customHeight="1">
      <c r="B22" s="109"/>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5"/>
      <c r="AP22" s="107"/>
      <c r="AQ22" s="107"/>
      <c r="AR22" s="107"/>
      <c r="AS22" s="107"/>
      <c r="AT22" s="107"/>
      <c r="AU22" s="107"/>
      <c r="AV22" s="107"/>
      <c r="AW22" s="107"/>
      <c r="AX22" s="107"/>
      <c r="AY22" s="107"/>
      <c r="AZ22" s="107"/>
      <c r="BA22" s="107"/>
      <c r="BB22" s="107"/>
      <c r="BC22" s="107"/>
      <c r="BD22" s="107"/>
      <c r="BE22" s="107"/>
      <c r="BF22" s="107"/>
      <c r="BG22" s="107"/>
      <c r="BH22" s="107"/>
      <c r="BI22" s="107"/>
      <c r="BJ22" s="107" t="s">
        <v>203</v>
      </c>
      <c r="BK22" s="107"/>
      <c r="BL22" s="107"/>
      <c r="BM22" s="107"/>
      <c r="BN22" s="107"/>
      <c r="BO22" s="107"/>
      <c r="BP22" s="107"/>
      <c r="BQ22" s="107"/>
      <c r="BR22" s="107"/>
      <c r="BS22" s="107"/>
      <c r="BT22" s="107"/>
      <c r="BU22" s="107"/>
      <c r="BV22" s="107"/>
      <c r="BW22" s="107"/>
      <c r="BX22" s="107"/>
      <c r="BY22" s="107"/>
      <c r="BZ22" s="107"/>
      <c r="CA22" s="107"/>
      <c r="CB22" s="108"/>
    </row>
    <row r="23" spans="2:80" ht="21" customHeight="1">
      <c r="B23" s="109"/>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5"/>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c r="BO23" s="107"/>
      <c r="BP23" s="107"/>
      <c r="BQ23" s="107"/>
      <c r="BR23" s="107"/>
      <c r="BS23" s="107"/>
      <c r="BT23" s="107"/>
      <c r="BU23" s="107"/>
      <c r="BV23" s="107"/>
      <c r="BW23" s="107"/>
      <c r="BX23" s="107"/>
      <c r="BY23" s="107"/>
      <c r="BZ23" s="107"/>
      <c r="CA23" s="107"/>
      <c r="CB23" s="108"/>
    </row>
    <row r="24" spans="2:80" ht="21" customHeight="1">
      <c r="B24" s="109"/>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5"/>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8"/>
    </row>
    <row r="25" spans="2:80" ht="21" customHeight="1">
      <c r="B25" s="109"/>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5"/>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8"/>
    </row>
    <row r="26" spans="2:80" ht="21" customHeight="1">
      <c r="B26" s="109"/>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5"/>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8"/>
    </row>
    <row r="27" spans="2:80" ht="21" customHeight="1">
      <c r="B27" s="109"/>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5"/>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8"/>
    </row>
    <row r="28" spans="2:80" ht="21" customHeight="1">
      <c r="B28" s="109"/>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5"/>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8"/>
    </row>
    <row r="29" spans="2:80" ht="21" customHeight="1">
      <c r="B29" s="109"/>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5"/>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8"/>
    </row>
    <row r="30" spans="2:80" ht="21" customHeight="1">
      <c r="B30" s="109"/>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5"/>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8"/>
    </row>
    <row r="31" spans="2:80" ht="21" customHeight="1">
      <c r="B31" s="109"/>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5"/>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8"/>
    </row>
    <row r="32" spans="2:80" ht="21" customHeight="1">
      <c r="B32" s="109"/>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5"/>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c r="BX32" s="107"/>
      <c r="BY32" s="107"/>
      <c r="BZ32" s="107"/>
      <c r="CA32" s="107"/>
      <c r="CB32" s="108"/>
    </row>
    <row r="33" spans="2:80" ht="21" customHeight="1">
      <c r="B33" s="109"/>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5"/>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8"/>
    </row>
    <row r="34" spans="2:80" ht="21" customHeight="1">
      <c r="B34" s="109"/>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5"/>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8"/>
    </row>
    <row r="35" spans="2:80" ht="21" customHeight="1">
      <c r="B35" s="109"/>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5"/>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8"/>
    </row>
    <row r="36" spans="2:80" ht="21" customHeight="1">
      <c r="B36" s="109"/>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5"/>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8"/>
    </row>
    <row r="37" spans="2:80" ht="21" customHeight="1">
      <c r="B37" s="109"/>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5"/>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8"/>
    </row>
    <row r="38" spans="2:80" ht="21" customHeight="1">
      <c r="B38" s="109"/>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5"/>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8"/>
    </row>
    <row r="39" spans="2:80" ht="21" customHeight="1">
      <c r="B39" s="109"/>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5"/>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8"/>
    </row>
    <row r="40" spans="2:80" ht="21" customHeight="1">
      <c r="B40" s="110"/>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05"/>
      <c r="AP40" s="112"/>
      <c r="AQ40" s="112"/>
      <c r="AR40" s="112"/>
      <c r="AS40" s="112"/>
      <c r="AT40" s="112"/>
      <c r="AU40" s="112"/>
      <c r="AV40" s="112"/>
      <c r="AW40" s="112"/>
      <c r="AX40" s="112"/>
      <c r="AY40" s="112"/>
      <c r="AZ40" s="112"/>
      <c r="BA40" s="112"/>
      <c r="BB40" s="112"/>
      <c r="BC40" s="112"/>
      <c r="BD40" s="112"/>
      <c r="BE40" s="112"/>
      <c r="BF40" s="112"/>
      <c r="BG40" s="112"/>
      <c r="BH40" s="112"/>
      <c r="BI40" s="112"/>
      <c r="BJ40" s="112"/>
      <c r="BK40" s="112"/>
      <c r="BL40" s="112"/>
      <c r="BM40" s="112"/>
      <c r="BN40" s="112"/>
      <c r="BO40" s="112"/>
      <c r="BP40" s="112"/>
      <c r="BQ40" s="112"/>
      <c r="BR40" s="112"/>
      <c r="BS40" s="112"/>
      <c r="BT40" s="112"/>
      <c r="BU40" s="112"/>
      <c r="BV40" s="112"/>
      <c r="BW40" s="112"/>
      <c r="BX40" s="112"/>
      <c r="BY40" s="112"/>
      <c r="BZ40" s="112"/>
      <c r="CA40" s="112"/>
      <c r="CB40" s="113"/>
    </row>
    <row r="41" spans="2:80" ht="21" customHeight="1">
      <c r="AO41" s="114"/>
    </row>
  </sheetData>
  <phoneticPr fontId="6"/>
  <pageMargins left="0.25" right="0.25" top="0.75" bottom="0.75" header="0.3" footer="0.3"/>
  <pageSetup paperSize="9" scale="63" orientation="landscape"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5099__x8003_ xmlns="f98e4964-1bbc-429e-8942-e88792f4a3c1" xsi:nil="true"/>
    <TaxCatchAll xmlns="c3f6baff-d587-4c1c-bacf-1fb9fe7661e4" xsi:nil="true"/>
    <lcf76f155ced4ddcb4097134ff3c332f xmlns="f98e4964-1bbc-429e-8942-e88792f4a3c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2BF3CE1CFE90348B5D5A6BC10BEA7DE" ma:contentTypeVersion="19" ma:contentTypeDescription="新しいドキュメントを作成します。" ma:contentTypeScope="" ma:versionID="15621b1f977971e7213f36adfb759221">
  <xsd:schema xmlns:xsd="http://www.w3.org/2001/XMLSchema" xmlns:xs="http://www.w3.org/2001/XMLSchema" xmlns:p="http://schemas.microsoft.com/office/2006/metadata/properties" xmlns:ns2="f98e4964-1bbc-429e-8942-e88792f4a3c1" xmlns:ns3="c3f6baff-d587-4c1c-bacf-1fb9fe7661e4" targetNamespace="http://schemas.microsoft.com/office/2006/metadata/properties" ma:root="true" ma:fieldsID="fbb2581ec78a079e9c6e678a132983ef" ns2:_="" ns3:_="">
    <xsd:import namespace="f98e4964-1bbc-429e-8942-e88792f4a3c1"/>
    <xsd:import namespace="c3f6baff-d587-4c1c-bacf-1fb9fe7661e4"/>
    <xsd:element name="properties">
      <xsd:complexType>
        <xsd:sequence>
          <xsd:element name="documentManagement">
            <xsd:complexType>
              <xsd:all>
                <xsd:element ref="ns2:_x5099__x8003_" minOccurs="0"/>
                <xsd:element ref="ns3:SharedWithUsers" minOccurs="0"/>
                <xsd:element ref="ns3:SharedWithDetails"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8e4964-1bbc-429e-8942-e88792f4a3c1" elementFormDefault="qualified">
    <xsd:import namespace="http://schemas.microsoft.com/office/2006/documentManagement/types"/>
    <xsd:import namespace="http://schemas.microsoft.com/office/infopath/2007/PartnerControls"/>
    <xsd:element name="_x5099__x8003_" ma:index="1" nillable="true" ma:displayName="備考" ma:internalName="_x5099__x8003_">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a4ca2407-f6c7-4c55-87e4-f899293a2642"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f6baff-d587-4c1c-bacf-1fb9fe7661e4" elementFormDefault="qualified">
    <xsd:import namespace="http://schemas.microsoft.com/office/2006/documentManagement/types"/>
    <xsd:import namespace="http://schemas.microsoft.com/office/infopath/2007/PartnerControls"/>
    <xsd:element name="SharedWithUsers" ma:index="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531f8b7b-e686-4b36-a35d-aca667ec9268}" ma:internalName="TaxCatchAll" ma:showField="CatchAllData" ma:web="c3f6baff-d587-4c1c-bacf-1fb9fe7661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コンテンツ タイプ"/>
        <xsd:element ref="dc:title" minOccurs="0" maxOccurs="1" ma:index="2"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8523B1-1814-4043-9022-300E662212E4}">
  <ds:schemaRefs>
    <ds:schemaRef ds:uri="http://schemas.microsoft.com/office/2006/metadata/properties"/>
    <ds:schemaRef ds:uri="http://schemas.microsoft.com/office/infopath/2007/PartnerControls"/>
    <ds:schemaRef ds:uri="f98e4964-1bbc-429e-8942-e88792f4a3c1"/>
    <ds:schemaRef ds:uri="c3f6baff-d587-4c1c-bacf-1fb9fe7661e4"/>
  </ds:schemaRefs>
</ds:datastoreItem>
</file>

<file path=customXml/itemProps2.xml><?xml version="1.0" encoding="utf-8"?>
<ds:datastoreItem xmlns:ds="http://schemas.openxmlformats.org/officeDocument/2006/customXml" ds:itemID="{8F66AE6F-EADA-402C-8A20-FA2C362AE235}">
  <ds:schemaRefs>
    <ds:schemaRef ds:uri="http://schemas.microsoft.com/sharepoint/v3/contenttype/forms"/>
  </ds:schemaRefs>
</ds:datastoreItem>
</file>

<file path=customXml/itemProps3.xml><?xml version="1.0" encoding="utf-8"?>
<ds:datastoreItem xmlns:ds="http://schemas.openxmlformats.org/officeDocument/2006/customXml" ds:itemID="{FD8B4116-CA9F-40AB-BB03-A4C343A3DF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8e4964-1bbc-429e-8942-e88792f4a3c1"/>
    <ds:schemaRef ds:uri="c3f6baff-d587-4c1c-bacf-1fb9fe7661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表紙</vt:lpstr>
      <vt:lpstr>改版履歴</vt:lpstr>
      <vt:lpstr>バッチ機能定義</vt:lpstr>
      <vt:lpstr>処理詳細</vt:lpstr>
      <vt:lpstr>出力編集仕様</vt:lpstr>
      <vt:lpstr>【参考】4S-2322_対応方法</vt:lpstr>
      <vt:lpstr>バッチ機能定義!Print_Area</vt:lpstr>
      <vt:lpstr>出力編集仕様!Print_Area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cp:revision/>
  <cp:lastPrinted>2014-03-27T06:32:19Z</cp:lastPrinted>
  <dcterms:created xsi:type="dcterms:W3CDTF">2008-02-29T05:57:29Z</dcterms:created>
  <dcterms:modified xsi:type="dcterms:W3CDTF">2026-05-19T04:53:22Z</dcterms:modified>
  <dc:language/>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1c57d23f-58f4-4449-a08e-d310ff802ac9</vt:lpwstr>
  </property>
  <property fmtid="{D5CDD505-2E9C-101B-9397-08002B2CF9AE}" pid="3" name="ContentTypeId">
    <vt:lpwstr>0x010100A2BF3CE1CFE90348B5D5A6BC10BEA7DE</vt:lpwstr>
  </property>
</Properties>
</file>