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showInkAnnotation="0" codeName="ThisWorkbook"/>
  <xr:revisionPtr revIDLastSave="0" documentId="13_ncr:1_{15476157-46DB-4EF7-BA21-488777D96789}" xr6:coauthVersionLast="47" xr6:coauthVersionMax="47" xr10:uidLastSave="{00000000-0000-0000-0000-000000000000}"/>
  <bookViews>
    <workbookView xWindow="390" yWindow="390" windowWidth="27030" windowHeight="14565" activeTab="4" xr2:uid="{00000000-000D-0000-FFFF-FFFF00000000}"/>
  </bookViews>
  <sheets>
    <sheet name="表紙" sheetId="9" r:id="rId1"/>
    <sheet name="改版履歴" sheetId="10" r:id="rId2"/>
    <sheet name="バッチ機能定義" sheetId="19" r:id="rId3"/>
    <sheet name="処理詳細" sheetId="21" r:id="rId4"/>
    <sheet name="出力編集仕様" sheetId="22" r:id="rId5"/>
  </sheets>
  <definedNames>
    <definedName name="_Order1" hidden="1">255</definedName>
    <definedName name="_Regression_X" localSheetId="2" hidden="1">#REF!</definedName>
    <definedName name="_Regression_X" localSheetId="4" hidden="1">#REF!</definedName>
    <definedName name="_Regression_X" localSheetId="3" hidden="1">#REF!</definedName>
    <definedName name="_Regression_X" hidden="1">#REF!</definedName>
    <definedName name="_xlnm.Print_Area" localSheetId="2">バッチ機能定義!$A$1:$CM$103</definedName>
    <definedName name="_xlnm.Print_Area" localSheetId="4">出力編集仕様!$A$1:$EV$44</definedName>
    <definedName name="_xlnm.Print_Area" localSheetId="3">処理詳細!$A$1:$BZ$70</definedName>
    <definedName name="txtDatabaseName">"テキスト 8"</definedName>
    <definedName name="txtTableName">"テキスト 2"</definedName>
    <definedName name="txtUserName">"テキスト 4"</definedName>
    <definedName name="画面遷移new" localSheetId="4" hidden="1">{"'画面仕様'!$C$22:$BY$40","'画面仕様'!$C$28:$BY$39"}</definedName>
    <definedName name="画面遷移new" hidden="1">{"'画面仕様'!$C$22:$BY$40","'画面仕様'!$C$28:$BY$39"}</definedName>
    <definedName name="関連表" localSheetId="2" hidden="1">#REF!</definedName>
    <definedName name="関連表" localSheetId="4" hidden="1">#REF!</definedName>
    <definedName name="関連表" localSheetId="3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E2" i="22" l="1"/>
  <c r="AY2" i="22"/>
  <c r="AM2" i="22"/>
  <c r="L2" i="22"/>
  <c r="BE2" i="21"/>
  <c r="AY2" i="21"/>
  <c r="AM2" i="21"/>
  <c r="L2" i="21"/>
  <c r="BE2" i="19"/>
  <c r="AY2" i="19"/>
  <c r="AM2" i="19"/>
  <c r="L2" i="19"/>
  <c r="G12" i="9"/>
  <c r="AH31" i="9"/>
</calcChain>
</file>

<file path=xl/sharedStrings.xml><?xml version="1.0" encoding="utf-8"?>
<sst xmlns="http://schemas.openxmlformats.org/spreadsheetml/2006/main" count="281" uniqueCount="211">
  <si>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</si>
  <si>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</si>
  <si>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2">
      <t>コウシン</t>
    </rPh>
    <rPh sb="2" eb="3">
      <t>シャ</t>
    </rPh>
    <phoneticPr fontId="5"/>
  </si>
  <si>
    <t>更新日</t>
    <rPh sb="0" eb="3">
      <t>コウシンビ</t>
    </rPh>
    <phoneticPr fontId="5"/>
  </si>
  <si>
    <t>システム名</t>
    <rPh sb="4" eb="5">
      <t>メイ</t>
    </rPh>
    <phoneticPr fontId="5"/>
  </si>
  <si>
    <t>備考</t>
    <rPh sb="0" eb="2">
      <t>ビコウ</t>
    </rPh>
    <phoneticPr fontId="5"/>
  </si>
  <si>
    <t>株式会社 ＪＳＯＬ</t>
  </si>
  <si>
    <t>改版履歴</t>
    <phoneticPr fontId="5"/>
  </si>
  <si>
    <t>版数</t>
  </si>
  <si>
    <t>改版者</t>
  </si>
  <si>
    <t>改版日</t>
  </si>
  <si>
    <t>改版頁</t>
  </si>
  <si>
    <t>改版履歴</t>
  </si>
  <si>
    <t>新規作成</t>
    <rPh sb="0" eb="2">
      <t>シンキ</t>
    </rPh>
    <rPh sb="2" eb="4">
      <t>サクセイ</t>
    </rPh>
    <phoneticPr fontId="5"/>
  </si>
  <si>
    <t>-</t>
    <phoneticPr fontId="5"/>
  </si>
  <si>
    <t>概要</t>
    <rPh sb="0" eb="2">
      <t>ガイヨウ</t>
    </rPh>
    <phoneticPr fontId="5"/>
  </si>
  <si>
    <t>基本情報</t>
    <rPh sb="0" eb="2">
      <t>キホン</t>
    </rPh>
    <rPh sb="2" eb="4">
      <t>ジョウホウ</t>
    </rPh>
    <phoneticPr fontId="5"/>
  </si>
  <si>
    <t>I/F元</t>
    <rPh sb="3" eb="4">
      <t>モト</t>
    </rPh>
    <phoneticPr fontId="5"/>
  </si>
  <si>
    <t>I/F先</t>
    <rPh sb="3" eb="4">
      <t>サキ</t>
    </rPh>
    <phoneticPr fontId="5"/>
  </si>
  <si>
    <t>連動タイミング</t>
    <rPh sb="0" eb="2">
      <t>レンドウ</t>
    </rPh>
    <phoneticPr fontId="5"/>
  </si>
  <si>
    <t>バッチ機能定義書</t>
    <rPh sb="3" eb="5">
      <t>キノウ</t>
    </rPh>
    <rPh sb="5" eb="8">
      <t>テイギショ</t>
    </rPh>
    <phoneticPr fontId="5"/>
  </si>
  <si>
    <t>バッチ機能定義</t>
    <rPh sb="3" eb="5">
      <t>キノウ</t>
    </rPh>
    <phoneticPr fontId="5"/>
  </si>
  <si>
    <t>フロー説明</t>
    <rPh sb="3" eb="5">
      <t>セツメイ</t>
    </rPh>
    <phoneticPr fontId="5"/>
  </si>
  <si>
    <t>バッチ名</t>
    <rPh sb="3" eb="4">
      <t>メイ</t>
    </rPh>
    <phoneticPr fontId="5"/>
  </si>
  <si>
    <t>バッチ名（物理）</t>
    <rPh sb="3" eb="4">
      <t>メイ</t>
    </rPh>
    <rPh sb="5" eb="7">
      <t>ブツリ</t>
    </rPh>
    <phoneticPr fontId="5"/>
  </si>
  <si>
    <t>バッチ方式</t>
    <rPh sb="3" eb="5">
      <t>ホウシキ</t>
    </rPh>
    <phoneticPr fontId="5"/>
  </si>
  <si>
    <t>ヒロセ電機株式会社</t>
    <rPh sb="3" eb="5">
      <t>デンキ</t>
    </rPh>
    <phoneticPr fontId="5"/>
  </si>
  <si>
    <t>4S　デジタルトランスフォーメーション・プラットフォーム構築</t>
  </si>
  <si>
    <t>JSOL後藤</t>
    <rPh sb="4" eb="6">
      <t>ゴトウ</t>
    </rPh>
    <phoneticPr fontId="5"/>
  </si>
  <si>
    <t>統合Web</t>
    <rPh sb="0" eb="2">
      <t>トウゴウ</t>
    </rPh>
    <phoneticPr fontId="5"/>
  </si>
  <si>
    <t>存在しない場合：終了する</t>
    <rPh sb="0" eb="2">
      <t>ソンザイ</t>
    </rPh>
    <rPh sb="5" eb="7">
      <t>バアイ</t>
    </rPh>
    <rPh sb="8" eb="10">
      <t>シュウリョウ</t>
    </rPh>
    <phoneticPr fontId="5"/>
  </si>
  <si>
    <t>存在リスト用制御ファイル：ExistList_ctrl_YYYYMMDDHHMMSS.ok　</t>
    <rPh sb="0" eb="2">
      <t>ソンザイ</t>
    </rPh>
    <rPh sb="5" eb="6">
      <t>ヨウ</t>
    </rPh>
    <rPh sb="6" eb="8">
      <t>セイギョ</t>
    </rPh>
    <phoneticPr fontId="5"/>
  </si>
  <si>
    <t>「YYYYMMDDHHMMSS」は年月日時分秒</t>
    <rPh sb="17" eb="20">
      <t>ネンガッピ</t>
    </rPh>
    <rPh sb="20" eb="23">
      <t>ジフンビョウ</t>
    </rPh>
    <phoneticPr fontId="5"/>
  </si>
  <si>
    <t>存在リストCSVファイル取得</t>
    <rPh sb="12" eb="14">
      <t>シュトク</t>
    </rPh>
    <phoneticPr fontId="5"/>
  </si>
  <si>
    <t>「存在リスト用制御ファイル」名に付与されている"年月日時分秒文字"に一致する「存在リストCSVファイル」を取得する。</t>
    <rPh sb="14" eb="15">
      <t>メイ</t>
    </rPh>
    <rPh sb="16" eb="18">
      <t>フヨ</t>
    </rPh>
    <rPh sb="24" eb="27">
      <t>ネンガッピ</t>
    </rPh>
    <rPh sb="27" eb="30">
      <t>ジフンビョウ</t>
    </rPh>
    <rPh sb="30" eb="32">
      <t>モジ</t>
    </rPh>
    <rPh sb="34" eb="36">
      <t>イッチ</t>
    </rPh>
    <phoneticPr fontId="5"/>
  </si>
  <si>
    <t>存在リストCSVファイルの保存</t>
    <rPh sb="13" eb="15">
      <t>ホゾン</t>
    </rPh>
    <phoneticPr fontId="5"/>
  </si>
  <si>
    <t>取得した存在リストCSVファイル内の製品情報件数をカウントする</t>
    <rPh sb="0" eb="2">
      <t>シュトク</t>
    </rPh>
    <rPh sb="16" eb="17">
      <t>ナイ</t>
    </rPh>
    <rPh sb="18" eb="20">
      <t>セイヒン</t>
    </rPh>
    <rPh sb="20" eb="22">
      <t>ジョウホウ</t>
    </rPh>
    <rPh sb="22" eb="24">
      <t>ケンスウ</t>
    </rPh>
    <phoneticPr fontId="5"/>
  </si>
  <si>
    <t>1件以上の場合：次処理を行う</t>
    <rPh sb="1" eb="2">
      <t>ケン</t>
    </rPh>
    <rPh sb="2" eb="4">
      <t>イジョウ</t>
    </rPh>
    <rPh sb="5" eb="7">
      <t>バアイ</t>
    </rPh>
    <rPh sb="8" eb="9">
      <t>ジ</t>
    </rPh>
    <rPh sb="9" eb="11">
      <t>ショリ</t>
    </rPh>
    <rPh sb="12" eb="13">
      <t>オコナ</t>
    </rPh>
    <phoneticPr fontId="5"/>
  </si>
  <si>
    <t>0件の場合：終了する</t>
    <rPh sb="1" eb="2">
      <t>ケン</t>
    </rPh>
    <rPh sb="3" eb="5">
      <t>バアイ</t>
    </rPh>
    <rPh sb="6" eb="8">
      <t>シュウリョウ</t>
    </rPh>
    <phoneticPr fontId="5"/>
  </si>
  <si>
    <t>NGC伊藤様への確認事項回答の反映</t>
    <rPh sb="3" eb="5">
      <t>イトウ</t>
    </rPh>
    <rPh sb="5" eb="6">
      <t>サマ</t>
    </rPh>
    <rPh sb="8" eb="10">
      <t>カクニン</t>
    </rPh>
    <rPh sb="10" eb="12">
      <t>ジコウ</t>
    </rPh>
    <rPh sb="12" eb="14">
      <t>カイトウ</t>
    </rPh>
    <rPh sb="15" eb="17">
      <t>ハンエイ</t>
    </rPh>
    <phoneticPr fontId="5"/>
  </si>
  <si>
    <t>グリーンマイスターから証明書の発行が行える製品の「存在リスト」を取得する</t>
    <rPh sb="11" eb="14">
      <t>ショウメイショ</t>
    </rPh>
    <rPh sb="15" eb="17">
      <t>ハッコウ</t>
    </rPh>
    <rPh sb="18" eb="19">
      <t>オコナ</t>
    </rPh>
    <rPh sb="21" eb="23">
      <t>セイヒン</t>
    </rPh>
    <rPh sb="25" eb="27">
      <t>ソンザイ</t>
    </rPh>
    <rPh sb="32" eb="34">
      <t>シュトク</t>
    </rPh>
    <phoneticPr fontId="5"/>
  </si>
  <si>
    <t>内部レビュー結果を反映</t>
    <rPh sb="0" eb="2">
      <t>ナイブ</t>
    </rPh>
    <rPh sb="6" eb="8">
      <t>ケッカ</t>
    </rPh>
    <rPh sb="9" eb="11">
      <t>ハンエイ</t>
    </rPh>
    <phoneticPr fontId="5"/>
  </si>
  <si>
    <t>CronJob</t>
    <phoneticPr fontId="5"/>
  </si>
  <si>
    <t>グリーンマイスター</t>
    <phoneticPr fontId="5"/>
  </si>
  <si>
    <t>1-2</t>
    <phoneticPr fontId="5"/>
  </si>
  <si>
    <t>終了処理</t>
    <rPh sb="0" eb="2">
      <t>シュウリョウ</t>
    </rPh>
    <rPh sb="2" eb="4">
      <t>ショリ</t>
    </rPh>
    <phoneticPr fontId="5"/>
  </si>
  <si>
    <t>フロー凡例</t>
    <phoneticPr fontId="5"/>
  </si>
  <si>
    <t>バッチ機能定義</t>
  </si>
  <si>
    <t>バッチID</t>
    <phoneticPr fontId="5"/>
  </si>
  <si>
    <t>バッチ名称</t>
    <phoneticPr fontId="5"/>
  </si>
  <si>
    <t>フローチャート</t>
    <phoneticPr fontId="5"/>
  </si>
  <si>
    <t>1-1</t>
    <phoneticPr fontId="5"/>
  </si>
  <si>
    <t>前回処理日時の存在リスト用制御ファイル名を取得</t>
    <rPh sb="0" eb="2">
      <t>ゼンカイ</t>
    </rPh>
    <rPh sb="2" eb="4">
      <t>ショリ</t>
    </rPh>
    <rPh sb="4" eb="6">
      <t>ニチジ</t>
    </rPh>
    <rPh sb="7" eb="9">
      <t>ソンザイ</t>
    </rPh>
    <rPh sb="12" eb="13">
      <t>ヨウ</t>
    </rPh>
    <rPh sb="13" eb="15">
      <t>セイギョ</t>
    </rPh>
    <rPh sb="19" eb="20">
      <t>メイ</t>
    </rPh>
    <rPh sb="21" eb="23">
      <t>シュトク</t>
    </rPh>
    <phoneticPr fontId="5"/>
  </si>
  <si>
    <t>前回の処理で取得した存在リスト用制御ファイル名を取得する。</t>
    <rPh sb="0" eb="2">
      <t>ゼンカイ</t>
    </rPh>
    <rPh sb="3" eb="5">
      <t>ショリ</t>
    </rPh>
    <rPh sb="6" eb="8">
      <t>シュトク</t>
    </rPh>
    <rPh sb="10" eb="12">
      <t>ソンザイ</t>
    </rPh>
    <rPh sb="15" eb="16">
      <t>ヨウ</t>
    </rPh>
    <rPh sb="16" eb="18">
      <t>セイギョ</t>
    </rPh>
    <rPh sb="22" eb="23">
      <t>メイ</t>
    </rPh>
    <rPh sb="24" eb="26">
      <t>シュトク</t>
    </rPh>
    <phoneticPr fontId="5"/>
  </si>
  <si>
    <t>ファイル存在確認</t>
    <phoneticPr fontId="5"/>
  </si>
  <si>
    <t>1-3</t>
    <phoneticPr fontId="5"/>
  </si>
  <si>
    <t>最新存在リスト用制御ファイル取得</t>
    <rPh sb="0" eb="2">
      <t>サイシン</t>
    </rPh>
    <rPh sb="2" eb="4">
      <t>ソンザイ</t>
    </rPh>
    <rPh sb="7" eb="8">
      <t>ヨウ</t>
    </rPh>
    <rPh sb="8" eb="10">
      <t>セイギョ</t>
    </rPh>
    <rPh sb="14" eb="16">
      <t>シュトク</t>
    </rPh>
    <phoneticPr fontId="5"/>
  </si>
  <si>
    <t>グリーンマイスター共有フォルダから前回取り込んだ「存在リスト用制御ファイル」以降に出力された</t>
    <rPh sb="9" eb="11">
      <t>キョウユウ</t>
    </rPh>
    <rPh sb="17" eb="19">
      <t>ゼンカイ</t>
    </rPh>
    <rPh sb="19" eb="20">
      <t>ト</t>
    </rPh>
    <rPh sb="21" eb="22">
      <t>コ</t>
    </rPh>
    <rPh sb="25" eb="27">
      <t>ソンザイ</t>
    </rPh>
    <rPh sb="30" eb="31">
      <t>ヨウ</t>
    </rPh>
    <rPh sb="31" eb="33">
      <t>セイギョ</t>
    </rPh>
    <rPh sb="38" eb="40">
      <t>イコウ</t>
    </rPh>
    <rPh sb="41" eb="43">
      <t>シュツリョク</t>
    </rPh>
    <phoneticPr fontId="5"/>
  </si>
  <si>
    <t>最新の「存在リスト用制御ファイル」があるか確認する。</t>
    <phoneticPr fontId="5"/>
  </si>
  <si>
    <t>※</t>
    <phoneticPr fontId="5"/>
  </si>
  <si>
    <t>拡張子が「OK」または「ok」</t>
    <phoneticPr fontId="5"/>
  </si>
  <si>
    <t>※</t>
    <phoneticPr fontId="5"/>
  </si>
  <si>
    <t>1-4</t>
    <phoneticPr fontId="5"/>
  </si>
  <si>
    <t>存在リストCSVファイル：ExistList_YYYYMMDDHHMMSS.csv</t>
    <phoneticPr fontId="5"/>
  </si>
  <si>
    <t>グリーンマイスター側では作成可能な証明書を製品ごとに管理してる。
統合Webで化学物質データ申請（環境証明書）を行うに当たり、申請される製品のチェックを行うため、上記製品一覧を取得するバッチ処理。</t>
    <rPh sb="9" eb="10">
      <t>ガワ</t>
    </rPh>
    <rPh sb="12" eb="14">
      <t>サクセイ</t>
    </rPh>
    <rPh sb="14" eb="16">
      <t>カノウ</t>
    </rPh>
    <rPh sb="17" eb="20">
      <t>ショウメイショ</t>
    </rPh>
    <rPh sb="21" eb="23">
      <t>セイヒン</t>
    </rPh>
    <rPh sb="26" eb="28">
      <t>カンリ</t>
    </rPh>
    <rPh sb="33" eb="35">
      <t>トウゴウ</t>
    </rPh>
    <rPh sb="49" eb="51">
      <t>カンキョウ</t>
    </rPh>
    <rPh sb="51" eb="54">
      <t>ショウメイショ</t>
    </rPh>
    <rPh sb="56" eb="57">
      <t>オコナ</t>
    </rPh>
    <rPh sb="59" eb="60">
      <t>ア</t>
    </rPh>
    <rPh sb="63" eb="65">
      <t>シンセイ</t>
    </rPh>
    <rPh sb="68" eb="70">
      <t>セイヒン</t>
    </rPh>
    <rPh sb="76" eb="77">
      <t>オコナ</t>
    </rPh>
    <rPh sb="81" eb="83">
      <t>ジョウキ</t>
    </rPh>
    <rPh sb="83" eb="85">
      <t>セイヒン</t>
    </rPh>
    <rPh sb="85" eb="87">
      <t>イチラン</t>
    </rPh>
    <rPh sb="88" eb="90">
      <t>シュトク</t>
    </rPh>
    <rPh sb="95" eb="97">
      <t>ショリ</t>
    </rPh>
    <phoneticPr fontId="5"/>
  </si>
  <si>
    <t>概要を記載</t>
    <rPh sb="3" eb="5">
      <t>キサイ</t>
    </rPh>
    <phoneticPr fontId="5"/>
  </si>
  <si>
    <t>1-5</t>
    <phoneticPr fontId="5"/>
  </si>
  <si>
    <t>※1トランザクションでコミットを行う。</t>
    <rPh sb="16" eb="17">
      <t>オコナ</t>
    </rPh>
    <phoneticPr fontId="5"/>
  </si>
  <si>
    <t>分科会レビュー結果反映
・連動タイミング　グリーンマイスター側資料の補足事項削除
・存在リストテーブルはdelete/insertの洗い替えを行う
・元ファイルはS3にバックアップしているので、存在リストテーブルのバックアップは不要とする</t>
    <rPh sb="0" eb="3">
      <t>ブンカカイ</t>
    </rPh>
    <rPh sb="7" eb="9">
      <t>ケッカ</t>
    </rPh>
    <rPh sb="9" eb="11">
      <t>ハンエイ</t>
    </rPh>
    <rPh sb="30" eb="31">
      <t>ガワ</t>
    </rPh>
    <rPh sb="31" eb="33">
      <t>シリョウ</t>
    </rPh>
    <rPh sb="34" eb="36">
      <t>ホソク</t>
    </rPh>
    <rPh sb="36" eb="38">
      <t>ジコウ</t>
    </rPh>
    <rPh sb="38" eb="40">
      <t>サクジョ</t>
    </rPh>
    <rPh sb="71" eb="72">
      <t>オコナ</t>
    </rPh>
    <phoneticPr fontId="5"/>
  </si>
  <si>
    <t>フロー説明修正</t>
    <rPh sb="3" eb="5">
      <t>セツメイ</t>
    </rPh>
    <rPh sb="5" eb="7">
      <t>シュウセイ</t>
    </rPh>
    <phoneticPr fontId="5"/>
  </si>
  <si>
    <t>SEBT050</t>
    <phoneticPr fontId="5"/>
  </si>
  <si>
    <t>環境証明書申請可能製品リスト取込みバッチ</t>
  </si>
  <si>
    <t>環境証明書申請可能製品リスト取込みバッチ</t>
    <phoneticPr fontId="5"/>
  </si>
  <si>
    <t>環境証明書申請可能製品リスト取込みバッチ</t>
    <phoneticPr fontId="5"/>
  </si>
  <si>
    <t>処理詳細</t>
    <rPh sb="0" eb="2">
      <t>ショリ</t>
    </rPh>
    <rPh sb="2" eb="4">
      <t>ショウサイ</t>
    </rPh>
    <phoneticPr fontId="5"/>
  </si>
  <si>
    <t>項目</t>
  </si>
  <si>
    <t>製品名</t>
  </si>
  <si>
    <t>0または1</t>
    <phoneticPr fontId="38"/>
  </si>
  <si>
    <t>0、1または2</t>
    <phoneticPr fontId="38"/>
  </si>
  <si>
    <t>RoHS適合証明書判定結果</t>
    <phoneticPr fontId="5"/>
  </si>
  <si>
    <t>ハロゲンフリー証明書判定結果</t>
    <phoneticPr fontId="5"/>
  </si>
  <si>
    <t>SDS証明書判定結果</t>
    <phoneticPr fontId="5"/>
  </si>
  <si>
    <t>ICP証明書判定結果</t>
    <phoneticPr fontId="5"/>
  </si>
  <si>
    <t>AIS証明書判定結果</t>
    <phoneticPr fontId="5"/>
  </si>
  <si>
    <t>chemSHERPA判定結果</t>
    <phoneticPr fontId="5"/>
  </si>
  <si>
    <t>JSOL王</t>
    <rPh sb="4" eb="5">
      <t>オウ</t>
    </rPh>
    <phoneticPr fontId="5"/>
  </si>
  <si>
    <t>処理詳細</t>
    <rPh sb="0" eb="4">
      <t>ショリショウサイ</t>
    </rPh>
    <phoneticPr fontId="5"/>
  </si>
  <si>
    <t>出力編集仕様</t>
    <rPh sb="0" eb="2">
      <t>シュツリョク</t>
    </rPh>
    <rPh sb="2" eb="4">
      <t>ヘンシュウ</t>
    </rPh>
    <rPh sb="4" eb="6">
      <t>シヨウ</t>
    </rPh>
    <phoneticPr fontId="5"/>
  </si>
  <si>
    <t>タイプ</t>
    <phoneticPr fontId="5"/>
  </si>
  <si>
    <t>説明</t>
    <rPh sb="0" eb="2">
      <t>セツメイ</t>
    </rPh>
    <phoneticPr fontId="5"/>
  </si>
  <si>
    <t>No</t>
    <phoneticPr fontId="40"/>
  </si>
  <si>
    <t>修飾子</t>
    <rPh sb="0" eb="3">
      <t>シュウショクシ</t>
    </rPh>
    <phoneticPr fontId="40"/>
  </si>
  <si>
    <t>HrsChemicalSubstanceProduct</t>
    <phoneticPr fontId="40"/>
  </si>
  <si>
    <t>clCode</t>
    <phoneticPr fontId="5"/>
  </si>
  <si>
    <t>available</t>
  </si>
  <si>
    <t>製品番号</t>
    <phoneticPr fontId="5"/>
  </si>
  <si>
    <t>判定値</t>
  </si>
  <si>
    <t>出力不可</t>
    <phoneticPr fontId="38"/>
  </si>
  <si>
    <t>出力可能</t>
    <phoneticPr fontId="38"/>
  </si>
  <si>
    <t>未確認</t>
    <phoneticPr fontId="38"/>
  </si>
  <si>
    <t>【GM側存在リスト項目/判定値】</t>
  </si>
  <si>
    <t>DB側項目</t>
    <rPh sb="2" eb="3">
      <t>ガワ</t>
    </rPh>
    <rPh sb="3" eb="5">
      <t>コウモク</t>
    </rPh>
    <phoneticPr fontId="38"/>
  </si>
  <si>
    <t>request</t>
    <phoneticPr fontId="38"/>
  </si>
  <si>
    <t>nonCompliant</t>
    <phoneticPr fontId="38"/>
  </si>
  <si>
    <t>CSV本文.製品番号</t>
    <phoneticPr fontId="5"/>
  </si>
  <si>
    <t>CSV本文.製品名</t>
    <phoneticPr fontId="5"/>
  </si>
  <si>
    <t>出力編集仕様</t>
    <rPh sb="0" eb="6">
      <t>シュツリョクヘンシュウシヨウ</t>
    </rPh>
    <phoneticPr fontId="5"/>
  </si>
  <si>
    <t>INSERT</t>
    <phoneticPr fontId="40"/>
  </si>
  <si>
    <t>値</t>
    <rPh sb="0" eb="1">
      <t>アタイ</t>
    </rPh>
    <phoneticPr fontId="38"/>
  </si>
  <si>
    <t>項目名</t>
    <rPh sb="2" eb="3">
      <t>メイ</t>
    </rPh>
    <phoneticPr fontId="38"/>
  </si>
  <si>
    <t>CLxxxx</t>
    <phoneticPr fontId="38"/>
  </si>
  <si>
    <t>ｘｘｘ</t>
    <phoneticPr fontId="38"/>
  </si>
  <si>
    <t>出力編集仕様シート：環境証明書申請製品情報テーブル登録　を実施</t>
    <rPh sb="0" eb="2">
      <t>シュツリョク</t>
    </rPh>
    <rPh sb="2" eb="4">
      <t>ヘンシュウ</t>
    </rPh>
    <rPh sb="4" eb="6">
      <t>シヨウ</t>
    </rPh>
    <rPh sb="10" eb="12">
      <t>カンキョウ</t>
    </rPh>
    <rPh sb="12" eb="15">
      <t>ショウメイショ</t>
    </rPh>
    <rPh sb="15" eb="17">
      <t>シンセイ</t>
    </rPh>
    <rPh sb="17" eb="19">
      <t>セイヒン</t>
    </rPh>
    <rPh sb="19" eb="21">
      <t>ジョウホウ</t>
    </rPh>
    <rPh sb="25" eb="27">
      <t>トウロク</t>
    </rPh>
    <rPh sb="29" eb="31">
      <t>ジッシ</t>
    </rPh>
    <phoneticPr fontId="5"/>
  </si>
  <si>
    <t>環境証明書申請製品情報テーブル登録</t>
    <rPh sb="0" eb="2">
      <t>カンキョウ</t>
    </rPh>
    <rPh sb="2" eb="5">
      <t>ショウメイショ</t>
    </rPh>
    <rPh sb="5" eb="7">
      <t>シンセイ</t>
    </rPh>
    <rPh sb="7" eb="9">
      <t>セイヒン</t>
    </rPh>
    <rPh sb="9" eb="11">
      <t>ジョウホウ</t>
    </rPh>
    <rPh sb="15" eb="17">
      <t>トウロク</t>
    </rPh>
    <phoneticPr fontId="40"/>
  </si>
  <si>
    <t>成分表判定結果</t>
    <phoneticPr fontId="5"/>
  </si>
  <si>
    <t>環境証明書申請可能製品リスト取込みバッチ</t>
    <phoneticPr fontId="5"/>
  </si>
  <si>
    <t>Ａ－１．環境証明書申請製品情報テーブル差分更新</t>
    <rPh sb="4" eb="6">
      <t>カンキョウ</t>
    </rPh>
    <rPh sb="6" eb="9">
      <t>ショウメイショ</t>
    </rPh>
    <rPh sb="9" eb="11">
      <t>シンセイ</t>
    </rPh>
    <rPh sb="11" eb="13">
      <t>セイヒン</t>
    </rPh>
    <rPh sb="13" eb="15">
      <t>ジョウホウ</t>
    </rPh>
    <rPh sb="19" eb="23">
      <t>サブンコウシン</t>
    </rPh>
    <phoneticPr fontId="5"/>
  </si>
  <si>
    <t>Ａ－１－２．環境証明書申請製品情報テーブル登録（insert）</t>
    <rPh sb="6" eb="8">
      <t>カンキョウ</t>
    </rPh>
    <rPh sb="8" eb="11">
      <t>ショウメイショ</t>
    </rPh>
    <rPh sb="11" eb="13">
      <t>シンセイ</t>
    </rPh>
    <rPh sb="13" eb="15">
      <t>セイヒン</t>
    </rPh>
    <rPh sb="15" eb="17">
      <t>ジョウホウ</t>
    </rPh>
    <rPh sb="21" eb="23">
      <t>トウロク</t>
    </rPh>
    <phoneticPr fontId="5"/>
  </si>
  <si>
    <t>参照TYPE</t>
    <phoneticPr fontId="40"/>
  </si>
  <si>
    <t>抽出条件</t>
    <rPh sb="0" eb="2">
      <t>チュウシュツ</t>
    </rPh>
    <rPh sb="2" eb="4">
      <t>ジョウケン</t>
    </rPh>
    <phoneticPr fontId="40"/>
  </si>
  <si>
    <t>Ａ－１－１．環境証明書申請製品情報テーブル更新（update）</t>
    <phoneticPr fontId="5"/>
  </si>
  <si>
    <t>入力元で、存在リストCSVファイルの製品番号を指定すること。</t>
    <rPh sb="0" eb="2">
      <t>ニュウリョク</t>
    </rPh>
    <rPh sb="2" eb="3">
      <t>モト</t>
    </rPh>
    <rPh sb="18" eb="20">
      <t>セイヒン</t>
    </rPh>
    <rPh sb="20" eb="22">
      <t>バンゴウ</t>
    </rPh>
    <rPh sb="23" eb="25">
      <t>シテイ</t>
    </rPh>
    <phoneticPr fontId="5"/>
  </si>
  <si>
    <t>HrsChemicalSubstanceProduct</t>
  </si>
  <si>
    <t>HrsChemicalSubstanceProduct.clCode＝CSVレコード.製品番号</t>
    <rPh sb="43" eb="45">
      <t>セイヒン</t>
    </rPh>
    <rPh sb="45" eb="47">
      <t>バンゴウ</t>
    </rPh>
    <phoneticPr fontId="5"/>
  </si>
  <si>
    <t>取得結果があった場合は、</t>
    <rPh sb="0" eb="2">
      <t>シュトク</t>
    </rPh>
    <rPh sb="2" eb="4">
      <t>ケッカ</t>
    </rPh>
    <rPh sb="8" eb="10">
      <t>バアイ</t>
    </rPh>
    <phoneticPr fontId="5"/>
  </si>
  <si>
    <t>Ａ－１－１．環境証明書申請製品情報テーブル更新（update）を行う。</t>
    <rPh sb="21" eb="23">
      <t>コウシン</t>
    </rPh>
    <rPh sb="32" eb="33">
      <t>オコナ</t>
    </rPh>
    <phoneticPr fontId="38"/>
  </si>
  <si>
    <t>Ａ－１－２．環境証明書申請製品情報テーブル登録（insert）を行う。</t>
    <rPh sb="6" eb="8">
      <t>カンキョウ</t>
    </rPh>
    <rPh sb="8" eb="11">
      <t>ショウメイショ</t>
    </rPh>
    <rPh sb="11" eb="13">
      <t>シンセイ</t>
    </rPh>
    <rPh sb="13" eb="15">
      <t>セイヒン</t>
    </rPh>
    <rPh sb="15" eb="17">
      <t>ジョウホウ</t>
    </rPh>
    <rPh sb="21" eb="23">
      <t>トウロク</t>
    </rPh>
    <rPh sb="32" eb="33">
      <t>オコナ</t>
    </rPh>
    <phoneticPr fontId="38"/>
  </si>
  <si>
    <t>◆環境証明書申請製品更新対象を以下から特定し、証明書判定結果を更新・登録する。</t>
    <rPh sb="10" eb="12">
      <t>コウシン</t>
    </rPh>
    <rPh sb="12" eb="14">
      <t>タイショウ</t>
    </rPh>
    <rPh sb="15" eb="17">
      <t>イカ</t>
    </rPh>
    <rPh sb="19" eb="21">
      <t>トクテイ</t>
    </rPh>
    <rPh sb="23" eb="26">
      <t>ショウメイショ</t>
    </rPh>
    <rPh sb="26" eb="28">
      <t>ハンテイ</t>
    </rPh>
    <rPh sb="28" eb="30">
      <t>ケッカ</t>
    </rPh>
    <rPh sb="31" eb="33">
      <t>コウシン</t>
    </rPh>
    <rPh sb="34" eb="36">
      <t>トウロク</t>
    </rPh>
    <phoneticPr fontId="5"/>
  </si>
  <si>
    <t>取得結果がなかった場合は、</t>
    <rPh sb="0" eb="2">
      <t>シュトク</t>
    </rPh>
    <rPh sb="2" eb="4">
      <t>ケッカ</t>
    </rPh>
    <rPh sb="9" eb="11">
      <t>バアイ</t>
    </rPh>
    <phoneticPr fontId="5"/>
  </si>
  <si>
    <t>出力編集仕様シート：環境証明書申請製品情報テーブル更新　を実施</t>
    <rPh sb="0" eb="2">
      <t>シュツリョク</t>
    </rPh>
    <rPh sb="2" eb="4">
      <t>ヘンシュウ</t>
    </rPh>
    <rPh sb="4" eb="6">
      <t>シヨウ</t>
    </rPh>
    <rPh sb="10" eb="12">
      <t>カンキョウ</t>
    </rPh>
    <rPh sb="12" eb="15">
      <t>ショウメイショ</t>
    </rPh>
    <rPh sb="15" eb="17">
      <t>シンセイ</t>
    </rPh>
    <rPh sb="17" eb="19">
      <t>セイヒン</t>
    </rPh>
    <rPh sb="19" eb="21">
      <t>ジョウホウ</t>
    </rPh>
    <rPh sb="25" eb="27">
      <t>コウシン</t>
    </rPh>
    <rPh sb="29" eb="31">
      <t>ジッシ</t>
    </rPh>
    <phoneticPr fontId="5"/>
  </si>
  <si>
    <t>◆存在リストCSVファイルより取得したリストとDB定義のマッピング</t>
    <rPh sb="15" eb="17">
      <t>シュトク</t>
    </rPh>
    <rPh sb="25" eb="27">
      <t>テイギ</t>
    </rPh>
    <phoneticPr fontId="38"/>
  </si>
  <si>
    <t>環境証明書申請製品情報テーブル更新</t>
    <rPh sb="0" eb="2">
      <t>カンキョウ</t>
    </rPh>
    <rPh sb="2" eb="5">
      <t>ショウメイショ</t>
    </rPh>
    <rPh sb="5" eb="7">
      <t>シンセイ</t>
    </rPh>
    <rPh sb="7" eb="9">
      <t>セイヒン</t>
    </rPh>
    <rPh sb="9" eb="11">
      <t>ジョウホウ</t>
    </rPh>
    <rPh sb="15" eb="17">
      <t>コウシン</t>
    </rPh>
    <phoneticPr fontId="40"/>
  </si>
  <si>
    <t>UPDATE</t>
    <phoneticPr fontId="40"/>
  </si>
  <si>
    <t>CSV本文.製品番号＝CSVレコード.製品番号</t>
    <phoneticPr fontId="5"/>
  </si>
  <si>
    <t>存在リストファイル内で、環境証明書申請製品情報テーブルに存在する製品番号のデータを更新する。</t>
    <rPh sb="0" eb="2">
      <t>ソンザイ</t>
    </rPh>
    <rPh sb="9" eb="10">
      <t>ナイ</t>
    </rPh>
    <rPh sb="28" eb="30">
      <t>ソンザイ</t>
    </rPh>
    <rPh sb="32" eb="34">
      <t>セイヒン</t>
    </rPh>
    <rPh sb="34" eb="36">
      <t>バンゴウ</t>
    </rPh>
    <rPh sb="41" eb="43">
      <t>コウシン</t>
    </rPh>
    <phoneticPr fontId="5"/>
  </si>
  <si>
    <t>存在リストファイル内で、環境証明書申請製品情報テーブルに存在しない製品番号のデータを追加する。</t>
    <rPh sb="0" eb="2">
      <t>ソンザイ</t>
    </rPh>
    <rPh sb="9" eb="10">
      <t>ナイ</t>
    </rPh>
    <rPh sb="28" eb="30">
      <t>ソンザイ</t>
    </rPh>
    <rPh sb="42" eb="44">
      <t>ツイカ</t>
    </rPh>
    <phoneticPr fontId="5"/>
  </si>
  <si>
    <t>処理詳細、出力編集仕様</t>
    <rPh sb="0" eb="4">
      <t>ショリショウサイ</t>
    </rPh>
    <phoneticPr fontId="5"/>
  </si>
  <si>
    <t>DB定義に関係する箇所の改修</t>
    <rPh sb="2" eb="4">
      <t>テイギ</t>
    </rPh>
    <rPh sb="5" eb="7">
      <t>カンケイ</t>
    </rPh>
    <rPh sb="9" eb="11">
      <t>カショ</t>
    </rPh>
    <rPh sb="12" eb="14">
      <t>カイシュウ</t>
    </rPh>
    <phoneticPr fontId="5"/>
  </si>
  <si>
    <t>存在リストの証明書種類順番はシステムマスタの対応するキーを参照する
　　　　Key：chemicalsubstancedata.existlist.csv.sort
　　　　Value：rohc,ais,halogen_free   ..etc</t>
    <phoneticPr fontId="5"/>
  </si>
  <si>
    <t>hrsNo</t>
    <phoneticPr fontId="5"/>
  </si>
  <si>
    <t>partNo</t>
    <phoneticPr fontId="5"/>
  </si>
  <si>
    <t>available</t>
    <phoneticPr fontId="5"/>
  </si>
  <si>
    <t>request</t>
    <phoneticPr fontId="5"/>
  </si>
  <si>
    <t>nonCompliant</t>
    <phoneticPr fontId="5"/>
  </si>
  <si>
    <t>clCode</t>
    <phoneticPr fontId="5"/>
  </si>
  <si>
    <t>partNo</t>
    <phoneticPr fontId="5"/>
  </si>
  <si>
    <t>available</t>
    <phoneticPr fontId="5"/>
  </si>
  <si>
    <t>request</t>
    <phoneticPr fontId="5"/>
  </si>
  <si>
    <t>nonCompliant</t>
    <phoneticPr fontId="5"/>
  </si>
  <si>
    <t>HrsChemicalSubstanceProduct</t>
    <phoneticPr fontId="40"/>
  </si>
  <si>
    <t xml:space="preserve">CL codeから先頭の"CL"と"-"を除外したもの
↓例
CL Code : CL0543-0701-4-00
HRS No  : 05430701400  </t>
    <phoneticPr fontId="5"/>
  </si>
  <si>
    <t>hrsNo</t>
    <phoneticPr fontId="5"/>
  </si>
  <si>
    <t>環境証明書申請製品情報テーブル洗い替え</t>
    <rPh sb="15" eb="16">
      <t>アラ</t>
    </rPh>
    <rPh sb="17" eb="18">
      <t>ガ</t>
    </rPh>
    <phoneticPr fontId="5"/>
  </si>
  <si>
    <t>JSOL鈴木</t>
    <rPh sb="4" eb="6">
      <t>スズキ</t>
    </rPh>
    <phoneticPr fontId="5"/>
  </si>
  <si>
    <t>バッチ機能定義</t>
    <rPh sb="3" eb="5">
      <t>キノウ</t>
    </rPh>
    <rPh sb="5" eb="7">
      <t>テイギ</t>
    </rPh>
    <phoneticPr fontId="5"/>
  </si>
  <si>
    <t>お客様指摘対応
・1-6の「保存」を「コピー」に修正し明確化</t>
    <rPh sb="1" eb="3">
      <t>キャクサマ</t>
    </rPh>
    <rPh sb="3" eb="5">
      <t>シテキ</t>
    </rPh>
    <rPh sb="5" eb="7">
      <t>タイオウ</t>
    </rPh>
    <rPh sb="14" eb="16">
      <t>ホゾン</t>
    </rPh>
    <rPh sb="24" eb="26">
      <t>シュウセイ</t>
    </rPh>
    <rPh sb="27" eb="30">
      <t>メイカクカ</t>
    </rPh>
    <phoneticPr fontId="5"/>
  </si>
  <si>
    <t>JSOL水本</t>
    <rPh sb="4" eb="6">
      <t>ミズモト</t>
    </rPh>
    <phoneticPr fontId="5"/>
  </si>
  <si>
    <t>存在リストCSVファイルの内容で環境証明書申請製品情報テーブル差分更新（insert/update）を行う。</t>
    <rPh sb="13" eb="15">
      <t>ナイヨウ</t>
    </rPh>
    <rPh sb="16" eb="18">
      <t>カンキョウ</t>
    </rPh>
    <rPh sb="18" eb="21">
      <t>ショウメイショ</t>
    </rPh>
    <rPh sb="21" eb="23">
      <t>シンセイ</t>
    </rPh>
    <rPh sb="23" eb="25">
      <t>セイヒン</t>
    </rPh>
    <rPh sb="25" eb="27">
      <t>ジョウホウ</t>
    </rPh>
    <rPh sb="31" eb="35">
      <t>サブンコウシン</t>
    </rPh>
    <rPh sb="51" eb="52">
      <t>オコナ</t>
    </rPh>
    <phoneticPr fontId="5"/>
  </si>
  <si>
    <t>version</t>
    <phoneticPr fontId="5"/>
  </si>
  <si>
    <t>バッチ機能定義、処理詳細、出力編集仕様</t>
    <rPh sb="3" eb="5">
      <t>キノウ</t>
    </rPh>
    <rPh sb="5" eb="7">
      <t>テイギ</t>
    </rPh>
    <rPh sb="13" eb="15">
      <t>シュツリョク</t>
    </rPh>
    <rPh sb="15" eb="17">
      <t>ヘンシュウ</t>
    </rPh>
    <rPh sb="17" eb="19">
      <t>シヨウ</t>
    </rPh>
    <phoneticPr fontId="5"/>
  </si>
  <si>
    <t>1-7</t>
    <phoneticPr fontId="5"/>
  </si>
  <si>
    <t>1-8</t>
    <phoneticPr fontId="5"/>
  </si>
  <si>
    <t>削除対象レコードの削除</t>
    <phoneticPr fontId="5"/>
  </si>
  <si>
    <t>1-6</t>
    <phoneticPr fontId="5"/>
  </si>
  <si>
    <t>1-5で登録/更新されていないレコードをテーブル上から取得する。</t>
    <rPh sb="4" eb="6">
      <t>トウロク</t>
    </rPh>
    <rPh sb="7" eb="9">
      <t>コウシン</t>
    </rPh>
    <rPh sb="24" eb="25">
      <t>ジョウ</t>
    </rPh>
    <rPh sb="27" eb="29">
      <t>シュトク</t>
    </rPh>
    <phoneticPr fontId="6"/>
  </si>
  <si>
    <t>※登録/更新されているレコードかどうかは、1-5時に設定したバージョン番号の値を元に判断する。</t>
    <rPh sb="1" eb="3">
      <t>トウロク</t>
    </rPh>
    <rPh sb="4" eb="6">
      <t>コウシン</t>
    </rPh>
    <rPh sb="24" eb="25">
      <t>ジ</t>
    </rPh>
    <rPh sb="26" eb="28">
      <t>セッテイ</t>
    </rPh>
    <rPh sb="35" eb="37">
      <t>バンゴウ</t>
    </rPh>
    <rPh sb="38" eb="39">
      <t>アタイ</t>
    </rPh>
    <rPh sb="40" eb="41">
      <t>モト</t>
    </rPh>
    <rPh sb="42" eb="44">
      <t>ハンダン</t>
    </rPh>
    <phoneticPr fontId="6"/>
  </si>
  <si>
    <t>バージョン番号</t>
    <rPh sb="5" eb="7">
      <t>バンゴウ</t>
    </rPh>
    <phoneticPr fontId="38"/>
  </si>
  <si>
    <t>バッチ処理で生成したバージョン番号 ※処理詳細参照</t>
    <rPh sb="3" eb="5">
      <t>ショリ</t>
    </rPh>
    <rPh sb="6" eb="8">
      <t>セイセイ</t>
    </rPh>
    <rPh sb="15" eb="17">
      <t>バンゴウ</t>
    </rPh>
    <rPh sb="19" eb="21">
      <t>ショリ</t>
    </rPh>
    <rPh sb="21" eb="23">
      <t>ショウサイ</t>
    </rPh>
    <rPh sb="23" eb="25">
      <t>サンショウ</t>
    </rPh>
    <phoneticPr fontId="5"/>
  </si>
  <si>
    <t>お客様指摘対応
・未更新データを削除する処理を追記</t>
    <rPh sb="1" eb="3">
      <t>キャクサマ</t>
    </rPh>
    <rPh sb="3" eb="5">
      <t>シテキ</t>
    </rPh>
    <rPh sb="5" eb="7">
      <t>タイオウ</t>
    </rPh>
    <rPh sb="9" eb="12">
      <t>ミコウシン</t>
    </rPh>
    <rPh sb="16" eb="18">
      <t>サクジョ</t>
    </rPh>
    <rPh sb="20" eb="22">
      <t>ショリ</t>
    </rPh>
    <rPh sb="23" eb="25">
      <t>ツイキ</t>
    </rPh>
    <phoneticPr fontId="5"/>
  </si>
  <si>
    <t>※詳細は「処理詳細」シートを参照。</t>
    <rPh sb="1" eb="3">
      <t>ショウサイ</t>
    </rPh>
    <rPh sb="5" eb="7">
      <t>ショリ</t>
    </rPh>
    <rPh sb="7" eb="9">
      <t>ショウサイ</t>
    </rPh>
    <rPh sb="14" eb="16">
      <t>サンショウ</t>
    </rPh>
    <phoneticPr fontId="5"/>
  </si>
  <si>
    <t>本バッチで生成したバージョン番号と一致しないレコードをテーブル上から削除する。　※バージョン番号は「処理詳細」シートを参照。</t>
    <rPh sb="0" eb="1">
      <t>ホン</t>
    </rPh>
    <rPh sb="5" eb="7">
      <t>セイセイ</t>
    </rPh>
    <rPh sb="17" eb="19">
      <t>イッチ</t>
    </rPh>
    <rPh sb="46" eb="48">
      <t>バンゴウ</t>
    </rPh>
    <phoneticPr fontId="6"/>
  </si>
  <si>
    <t>JSOL鈴木</t>
    <rPh sb="4" eb="6">
      <t>スズキ</t>
    </rPh>
    <phoneticPr fontId="5"/>
  </si>
  <si>
    <t>ｸﾞﾘｰﾝﾏｲｽﾀｰ共有フォルダはS3であることを追記し、具体的なパス、及びパスの管理はシステムマスタで行う旨を追記</t>
    <phoneticPr fontId="5"/>
  </si>
  <si>
    <t>取得キーは、以下の通り。</t>
    <rPh sb="0" eb="2">
      <t>シュトク</t>
    </rPh>
    <rPh sb="6" eb="8">
      <t>イカ</t>
    </rPh>
    <rPh sb="9" eb="10">
      <t>トオ</t>
    </rPh>
    <phoneticPr fontId="5"/>
  </si>
  <si>
    <t>S3バケット</t>
    <phoneticPr fontId="5"/>
  </si>
  <si>
    <t>パス：[S3バケット]/sys-interface/gm/rcv/product</t>
    <phoneticPr fontId="40"/>
  </si>
  <si>
    <t>フォルダパス</t>
    <phoneticPr fontId="5"/>
  </si>
  <si>
    <t>：</t>
    <phoneticPr fontId="5"/>
  </si>
  <si>
    <t>if.batch.aws.s3.gm.bucketName</t>
    <phoneticPr fontId="5"/>
  </si>
  <si>
    <t>if.batch.aws.s3.directory.path.gm.receive.product</t>
    <phoneticPr fontId="5"/>
  </si>
  <si>
    <t>JSOL澤登</t>
    <rPh sb="4" eb="6">
      <t>サワノボリ</t>
    </rPh>
    <phoneticPr fontId="5"/>
  </si>
  <si>
    <t>バッチ機能定義</t>
    <rPh sb="3" eb="5">
      <t>キノウ</t>
    </rPh>
    <rPh sb="5" eb="7">
      <t>テイギ</t>
    </rPh>
    <phoneticPr fontId="5"/>
  </si>
  <si>
    <t>グリーンマイスター共有フォルダのS3バケット名、ディレクトリパスを記載。
また取得元をシステムマスタ⇒local.propertiesに変更</t>
    <rPh sb="9" eb="11">
      <t>キョウユウ</t>
    </rPh>
    <rPh sb="22" eb="23">
      <t>メイ</t>
    </rPh>
    <rPh sb="33" eb="35">
      <t>キサイ</t>
    </rPh>
    <rPh sb="39" eb="41">
      <t>シュトク</t>
    </rPh>
    <rPh sb="41" eb="42">
      <t>モト</t>
    </rPh>
    <rPh sb="68" eb="70">
      <t>ヘンコウ</t>
    </rPh>
    <phoneticPr fontId="5"/>
  </si>
  <si>
    <t>パス：[S3バケット]/sys-interface/gm/bkup/rcv/product</t>
    <phoneticPr fontId="40"/>
  </si>
  <si>
    <t>if.batch.aws.s3.directory.path.gm.backup.receive.product</t>
    <phoneticPr fontId="5"/>
  </si>
  <si>
    <t>JSOL小島</t>
    <rPh sb="4" eb="6">
      <t>コジマ</t>
    </rPh>
    <phoneticPr fontId="5"/>
  </si>
  <si>
    <t>バッチ機能定義</t>
    <rPh sb="3" eb="5">
      <t>キノウ</t>
    </rPh>
    <rPh sb="5" eb="7">
      <t>テイギ</t>
    </rPh>
    <phoneticPr fontId="5"/>
  </si>
  <si>
    <t xml:space="preserve">バッチ名を下記のように修正
IutputChemicalSubstancePrductInformationListCronJob
↓
InputChemicalSubstanceProductInformationListCronJob
</t>
    <rPh sb="3" eb="4">
      <t>メイ</t>
    </rPh>
    <rPh sb="5" eb="7">
      <t>カキ</t>
    </rPh>
    <rPh sb="11" eb="13">
      <t>シュウセイ</t>
    </rPh>
    <phoneticPr fontId="5"/>
  </si>
  <si>
    <t>InputChemicalSubstanceProductInformationListCronJob</t>
    <phoneticPr fontId="5"/>
  </si>
  <si>
    <t>バージョンの登録/更新値には、対象となる存在リスト用制御ファイルの年月日時分秒を設定する。</t>
    <rPh sb="6" eb="8">
      <t>トウロク</t>
    </rPh>
    <rPh sb="9" eb="11">
      <t>コウシン</t>
    </rPh>
    <rPh sb="11" eb="12">
      <t>アタイ</t>
    </rPh>
    <rPh sb="15" eb="17">
      <t>タイショウ</t>
    </rPh>
    <rPh sb="33" eb="36">
      <t>ネンガッピ</t>
    </rPh>
    <rPh sb="36" eb="39">
      <t>ジフンビョウ</t>
    </rPh>
    <rPh sb="40" eb="42">
      <t>セッテイ</t>
    </rPh>
    <phoneticPr fontId="38"/>
  </si>
  <si>
    <t>バージョン番号の設定値を変更</t>
    <rPh sb="5" eb="7">
      <t>バンゴウ</t>
    </rPh>
    <rPh sb="8" eb="10">
      <t>セッテイ</t>
    </rPh>
    <rPh sb="10" eb="11">
      <t>アタイ</t>
    </rPh>
    <rPh sb="12" eb="14">
      <t>ヘンコウ</t>
    </rPh>
    <phoneticPr fontId="5"/>
  </si>
  <si>
    <t>毎日：0時、11時、18時</t>
    <phoneticPr fontId="5"/>
  </si>
  <si>
    <t>連動タイミングをバッチ一覧と統一
変更前：毎日：3時、11時、18時
変更後：毎日：0時、11時、18時</t>
    <rPh sb="0" eb="2">
      <t>レンドウ</t>
    </rPh>
    <rPh sb="11" eb="13">
      <t>イチラン</t>
    </rPh>
    <rPh sb="14" eb="16">
      <t>トウイツ</t>
    </rPh>
    <rPh sb="17" eb="19">
      <t>ヘンコウ</t>
    </rPh>
    <rPh sb="19" eb="20">
      <t>マエ</t>
    </rPh>
    <rPh sb="35" eb="37">
      <t>ヘンコウ</t>
    </rPh>
    <rPh sb="37" eb="38">
      <t>アト</t>
    </rPh>
    <phoneticPr fontId="5"/>
  </si>
  <si>
    <t>JSOL水谷</t>
    <rPh sb="4" eb="6">
      <t>ミズタニ</t>
    </rPh>
    <phoneticPr fontId="5"/>
  </si>
  <si>
    <t>JSOL若林</t>
    <rPh sb="4" eb="6">
      <t>ワカバヤシ</t>
    </rPh>
    <phoneticPr fontId="5"/>
  </si>
  <si>
    <t>処理詳細</t>
    <rPh sb="0" eb="2">
      <t>ショリ</t>
    </rPh>
    <rPh sb="2" eb="4">
      <t>ショウサイ</t>
    </rPh>
    <phoneticPr fontId="5"/>
  </si>
  <si>
    <t>◆存在リストCSVファイルのフォーマット</t>
    <phoneticPr fontId="38"/>
  </si>
  <si>
    <t>#1306　より
設計書内の「存在リストCSVファイルのフォーマット」を、下記設計書に合わせて修正
・SEIF_ESWB020_インタフェース定義書_環境証明利用リスト連携.xlsx</t>
    <rPh sb="9" eb="12">
      <t>セッケイショ</t>
    </rPh>
    <rPh sb="12" eb="13">
      <t>ナイ</t>
    </rPh>
    <rPh sb="37" eb="39">
      <t>カキ</t>
    </rPh>
    <rPh sb="39" eb="42">
      <t>セッケイショ</t>
    </rPh>
    <rPh sb="43" eb="44">
      <t>ア</t>
    </rPh>
    <rPh sb="47" eb="49">
      <t>シュウセイ</t>
    </rPh>
    <phoneticPr fontId="5"/>
  </si>
  <si>
    <r>
      <t>1-3　で取得した存在リストCSVファイルをS3へ</t>
    </r>
    <r>
      <rPr>
        <strike/>
        <sz val="11"/>
        <rFont val="Meiryo UI"/>
        <family val="3"/>
        <charset val="128"/>
      </rPr>
      <t>保存</t>
    </r>
    <r>
      <rPr>
        <sz val="11"/>
        <rFont val="Meiryo UI"/>
        <family val="3"/>
        <charset val="128"/>
      </rPr>
      <t>コピーする。</t>
    </r>
    <phoneticPr fontId="5"/>
  </si>
  <si>
    <r>
      <t>上記パスは</t>
    </r>
    <r>
      <rPr>
        <strike/>
        <sz val="11"/>
        <rFont val="Meiryo UI"/>
        <family val="3"/>
        <charset val="128"/>
      </rPr>
      <t>システムマスタにて管理すること</t>
    </r>
    <r>
      <rPr>
        <sz val="11"/>
        <rFont val="Meiryo UI"/>
        <family val="3"/>
        <charset val="128"/>
      </rPr>
      <t>local.propertiesから取得すること</t>
    </r>
    <rPh sb="0" eb="2">
      <t>ジョウキ</t>
    </rPh>
    <rPh sb="14" eb="16">
      <t>カンリ</t>
    </rPh>
    <rPh sb="38" eb="40">
      <t>シュトク</t>
    </rPh>
    <phoneticPr fontId="40"/>
  </si>
  <si>
    <t>グリーンマイスター共有フォルダ（S3）にファイルあるか確認する。</t>
    <rPh sb="9" eb="11">
      <t>キョウユウ</t>
    </rPh>
    <rPh sb="27" eb="29">
      <t>カクニン</t>
    </rPh>
    <phoneticPr fontId="5"/>
  </si>
  <si>
    <t>存在する場合：制御ファイル取得して次処理を行う</t>
    <rPh sb="0" eb="2">
      <t>ソンザイ</t>
    </rPh>
    <rPh sb="4" eb="6">
      <t>バアイ</t>
    </rPh>
    <rPh sb="7" eb="9">
      <t>セイギョ</t>
    </rPh>
    <rPh sb="13" eb="15">
      <t>シュトク</t>
    </rPh>
    <rPh sb="17" eb="18">
      <t>ジ</t>
    </rPh>
    <rPh sb="18" eb="20">
      <t>ショリ</t>
    </rPh>
    <rPh sb="21" eb="22">
      <t>オコナ</t>
    </rPh>
    <phoneticPr fontId="5"/>
  </si>
  <si>
    <t>存在リストCSVファイルの内容で環境証明書申請製品情報テーブルを差分更新（update/insert）を行う。</t>
    <rPh sb="13" eb="15">
      <t>ナイヨウ</t>
    </rPh>
    <rPh sb="16" eb="18">
      <t>カンキョウ</t>
    </rPh>
    <rPh sb="18" eb="21">
      <t>ショウメイショ</t>
    </rPh>
    <rPh sb="21" eb="23">
      <t>シンセイ</t>
    </rPh>
    <rPh sb="23" eb="25">
      <t>セイヒン</t>
    </rPh>
    <rPh sb="25" eb="27">
      <t>ジョウホウ</t>
    </rPh>
    <rPh sb="52" eb="53">
      <t>オコナ</t>
    </rPh>
    <phoneticPr fontId="5"/>
  </si>
  <si>
    <t>処理詳細</t>
    <phoneticPr fontId="5"/>
  </si>
  <si>
    <t>CSV本文.判定結果＝１の証明書種類リスト（Enum）をセット。</t>
    <rPh sb="5" eb="7">
      <t>ハンテイ</t>
    </rPh>
    <rPh sb="7" eb="9">
      <t>ケッカ</t>
    </rPh>
    <rPh sb="13" eb="18">
      <t>ショウメイショシュルイ</t>
    </rPh>
    <phoneticPr fontId="5"/>
  </si>
  <si>
    <t>CSV本文.判定結果＝２の証明書種類リスト（Enum）をセット。</t>
    <rPh sb="5" eb="7">
      <t>ハンテイ</t>
    </rPh>
    <rPh sb="7" eb="9">
      <t>ケッカ</t>
    </rPh>
    <phoneticPr fontId="5"/>
  </si>
  <si>
    <t>CSV本文.判定結果＝０の証明書種類リスト（Enum）をセット。</t>
    <rPh sb="5" eb="7">
      <t>ハンテイ</t>
    </rPh>
    <rPh sb="7" eb="9">
      <t>ケッカ</t>
    </rPh>
    <phoneticPr fontId="5"/>
  </si>
  <si>
    <t>※ただし、ハロゲンフリーとRoHS以外は、判定値が"0:出荷不可(Non-compliant)"の場合に、"2:未確認(Request)"として判定。</t>
    <rPh sb="72" eb="74">
      <t>ハンテイ</t>
    </rPh>
    <phoneticPr fontId="38"/>
  </si>
  <si>
    <t>4S-1987 
[GM] 確認画面の Non-compliant の出力仕様を改修</t>
    <rPh sb="14" eb="16">
      <t>カクニン</t>
    </rPh>
    <rPh sb="16" eb="18">
      <t>ガメン</t>
    </rPh>
    <rPh sb="35" eb="37">
      <t>シュツリョク</t>
    </rPh>
    <rPh sb="37" eb="39">
      <t>シヨウ</t>
    </rPh>
    <rPh sb="40" eb="42">
      <t>カイシュウ</t>
    </rPh>
    <phoneticPr fontId="5"/>
  </si>
  <si>
    <t>4S-2441
「SVHC調査報告書」の出力可否を連携するように修正</t>
    <rPh sb="32" eb="34">
      <t>シュウセイ</t>
    </rPh>
    <phoneticPr fontId="5"/>
  </si>
  <si>
    <t>SVHC判定結果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</si>
</sst>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yyyy/mm/dd"/>
    <numFmt numFmtId="181" formatCode="0.00&quot;　版&quot;"/>
  </numFmts>
  <fonts count="4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.5"/>
      <name val="Meiryo UI"/>
      <family val="3"/>
      <charset val="128"/>
    </font>
    <font>
      <sz val="9"/>
      <name val="Meiryo UI"/>
      <family val="3"/>
      <charset val="128"/>
    </font>
    <font>
      <sz val="14"/>
      <name val="Meiryo UI"/>
      <family val="3"/>
      <charset val="128"/>
    </font>
    <font>
      <b/>
      <sz val="9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6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Meiryo UI"/>
      <family val="2"/>
      <charset val="128"/>
    </font>
    <font>
      <sz val="10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メイリオ"/>
      <family val="3"/>
      <charset val="128"/>
    </font>
    <font>
      <strike/>
      <sz val="1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>
      <alignment vertical="center"/>
    </xf>
    <xf numFmtId="0" fontId="6" fillId="0" borderId="0"/>
    <xf numFmtId="38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79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9" borderId="17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0" borderId="1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1" borderId="2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4">
    <xf numFmtId="0" fontId="0" fillId="0" borderId="0" xfId="0">
      <alignment vertical="center"/>
    </xf>
    <xf numFmtId="0" fontId="26" fillId="0" borderId="0" xfId="0" applyFont="1">
      <alignment vertical="center"/>
    </xf>
    <xf numFmtId="49" fontId="27" fillId="0" borderId="12" xfId="0" applyNumberFormat="1" applyFont="1" applyBorder="1" applyAlignment="1">
      <alignment horizontal="justify" vertical="top" wrapText="1"/>
    </xf>
    <xf numFmtId="49" fontId="27" fillId="0" borderId="12" xfId="0" applyNumberFormat="1" applyFont="1" applyFill="1" applyBorder="1" applyAlignment="1">
      <alignment horizontal="justify" vertical="top" wrapText="1"/>
    </xf>
    <xf numFmtId="49" fontId="27" fillId="0" borderId="0" xfId="0" applyNumberFormat="1" applyFont="1">
      <alignment vertical="center"/>
    </xf>
    <xf numFmtId="49" fontId="29" fillId="4" borderId="12" xfId="0" applyNumberFormat="1" applyFont="1" applyFill="1" applyBorder="1" applyAlignment="1">
      <alignment horizontal="center" vertical="center" wrapText="1"/>
    </xf>
    <xf numFmtId="180" fontId="29" fillId="4" borderId="12" xfId="0" applyNumberFormat="1" applyFont="1" applyFill="1" applyBorder="1" applyAlignment="1">
      <alignment horizontal="center" vertical="center" wrapText="1"/>
    </xf>
    <xf numFmtId="180" fontId="27" fillId="0" borderId="12" xfId="0" applyNumberFormat="1" applyFont="1" applyBorder="1" applyAlignment="1">
      <alignment horizontal="justify" vertical="top" wrapText="1"/>
    </xf>
    <xf numFmtId="49" fontId="27" fillId="0" borderId="0" xfId="0" applyNumberFormat="1" applyFont="1" applyAlignment="1">
      <alignment vertical="center"/>
    </xf>
    <xf numFmtId="180" fontId="27" fillId="0" borderId="0" xfId="0" applyNumberFormat="1" applyFont="1">
      <alignment vertical="center"/>
    </xf>
    <xf numFmtId="0" fontId="26" fillId="4" borderId="0" xfId="0" applyFont="1" applyFill="1">
      <alignment vertical="center"/>
    </xf>
    <xf numFmtId="0" fontId="33" fillId="0" borderId="0" xfId="53" applyFont="1">
      <alignment vertical="center"/>
    </xf>
    <xf numFmtId="0" fontId="33" fillId="2" borderId="0" xfId="0" applyFont="1" applyFill="1">
      <alignment vertical="center"/>
    </xf>
    <xf numFmtId="0" fontId="35" fillId="37" borderId="7" xfId="0" applyFont="1" applyFill="1" applyBorder="1" applyAlignment="1">
      <alignment vertical="top"/>
    </xf>
    <xf numFmtId="0" fontId="35" fillId="37" borderId="0" xfId="0" applyFont="1" applyFill="1" applyBorder="1" applyAlignment="1">
      <alignment vertical="top"/>
    </xf>
    <xf numFmtId="0" fontId="35" fillId="37" borderId="0" xfId="0" applyFont="1" applyFill="1">
      <alignment vertical="center"/>
    </xf>
    <xf numFmtId="0" fontId="35" fillId="0" borderId="0" xfId="0" applyFont="1">
      <alignment vertical="center"/>
    </xf>
    <xf numFmtId="0" fontId="33" fillId="0" borderId="0" xfId="0" applyFont="1">
      <alignment vertical="center"/>
    </xf>
    <xf numFmtId="0" fontId="33" fillId="0" borderId="0" xfId="54" applyFont="1" applyAlignment="1">
      <alignment vertical="center"/>
    </xf>
    <xf numFmtId="0" fontId="33" fillId="37" borderId="2" xfId="0" applyFont="1" applyFill="1" applyBorder="1" applyAlignment="1">
      <alignment horizontal="left" vertical="center"/>
    </xf>
    <xf numFmtId="0" fontId="33" fillId="37" borderId="0" xfId="0" applyFont="1" applyFill="1" applyBorder="1" applyAlignment="1">
      <alignment horizontal="left" vertical="center"/>
    </xf>
    <xf numFmtId="0" fontId="33" fillId="37" borderId="1" xfId="55" applyFont="1" applyFill="1" applyBorder="1"/>
    <xf numFmtId="0" fontId="33" fillId="37" borderId="2" xfId="55" applyFont="1" applyFill="1" applyBorder="1"/>
    <xf numFmtId="0" fontId="33" fillId="37" borderId="2" xfId="55" applyFont="1" applyFill="1" applyBorder="1" applyAlignment="1">
      <alignment horizontal="center"/>
    </xf>
    <xf numFmtId="0" fontId="33" fillId="37" borderId="2" xfId="55" applyFont="1" applyFill="1" applyBorder="1" applyAlignment="1">
      <alignment horizontal="left"/>
    </xf>
    <xf numFmtId="14" fontId="33" fillId="37" borderId="2" xfId="55" applyNumberFormat="1" applyFont="1" applyFill="1" applyBorder="1" applyAlignment="1">
      <alignment horizontal="left"/>
    </xf>
    <xf numFmtId="0" fontId="33" fillId="37" borderId="3" xfId="55" applyFont="1" applyFill="1" applyBorder="1"/>
    <xf numFmtId="0" fontId="33" fillId="37" borderId="0" xfId="55" applyFont="1" applyFill="1"/>
    <xf numFmtId="0" fontId="33" fillId="37" borderId="4" xfId="55" applyFont="1" applyFill="1" applyBorder="1"/>
    <xf numFmtId="0" fontId="33" fillId="37" borderId="0" xfId="55" applyFont="1" applyFill="1" applyBorder="1"/>
    <xf numFmtId="0" fontId="33" fillId="37" borderId="0" xfId="55" applyFont="1" applyFill="1" applyBorder="1" applyAlignment="1">
      <alignment horizontal="center"/>
    </xf>
    <xf numFmtId="0" fontId="33" fillId="37" borderId="0" xfId="55" applyFont="1" applyFill="1" applyBorder="1" applyAlignment="1">
      <alignment horizontal="left"/>
    </xf>
    <xf numFmtId="14" fontId="33" fillId="37" borderId="0" xfId="55" applyNumberFormat="1" applyFont="1" applyFill="1" applyBorder="1" applyAlignment="1">
      <alignment horizontal="left"/>
    </xf>
    <xf numFmtId="0" fontId="33" fillId="37" borderId="5" xfId="55" applyFont="1" applyFill="1" applyBorder="1"/>
    <xf numFmtId="0" fontId="33" fillId="37" borderId="4" xfId="55" applyFont="1" applyFill="1" applyBorder="1" applyAlignment="1">
      <alignment horizontal="left"/>
    </xf>
    <xf numFmtId="0" fontId="33" fillId="37" borderId="4" xfId="55" applyFont="1" applyFill="1" applyBorder="1" applyAlignment="1">
      <alignment horizontal="right" vertical="center"/>
    </xf>
    <xf numFmtId="0" fontId="33" fillId="37" borderId="4" xfId="55" applyFont="1" applyFill="1" applyBorder="1" applyAlignment="1">
      <alignment horizontal="left" indent="1"/>
    </xf>
    <xf numFmtId="0" fontId="33" fillId="37" borderId="6" xfId="55" applyFont="1" applyFill="1" applyBorder="1"/>
    <xf numFmtId="0" fontId="33" fillId="37" borderId="7" xfId="55" applyFont="1" applyFill="1" applyBorder="1"/>
    <xf numFmtId="0" fontId="33" fillId="37" borderId="7" xfId="55" applyFont="1" applyFill="1" applyBorder="1" applyAlignment="1">
      <alignment horizontal="center"/>
    </xf>
    <xf numFmtId="14" fontId="33" fillId="37" borderId="7" xfId="55" applyNumberFormat="1" applyFont="1" applyFill="1" applyBorder="1" applyAlignment="1">
      <alignment horizontal="left"/>
    </xf>
    <xf numFmtId="0" fontId="33" fillId="37" borderId="8" xfId="55" applyFont="1" applyFill="1" applyBorder="1"/>
    <xf numFmtId="0" fontId="34" fillId="37" borderId="0" xfId="55" applyFont="1" applyFill="1" applyBorder="1" applyAlignment="1">
      <alignment horizontal="right"/>
    </xf>
    <xf numFmtId="14" fontId="34" fillId="37" borderId="0" xfId="55" applyNumberFormat="1" applyFont="1" applyFill="1" applyBorder="1" applyAlignment="1">
      <alignment horizontal="left"/>
    </xf>
    <xf numFmtId="0" fontId="33" fillId="2" borderId="6" xfId="0" applyFont="1" applyFill="1" applyBorder="1">
      <alignment vertical="center"/>
    </xf>
    <xf numFmtId="0" fontId="33" fillId="2" borderId="7" xfId="0" applyFont="1" applyFill="1" applyBorder="1">
      <alignment vertical="center"/>
    </xf>
    <xf numFmtId="0" fontId="33" fillId="2" borderId="8" xfId="0" applyFont="1" applyFill="1" applyBorder="1">
      <alignment vertical="center"/>
    </xf>
    <xf numFmtId="0" fontId="33" fillId="2" borderId="0" xfId="0" applyFont="1" applyFill="1" applyBorder="1">
      <alignment vertical="center"/>
    </xf>
    <xf numFmtId="0" fontId="33" fillId="2" borderId="1" xfId="0" applyFont="1" applyFill="1" applyBorder="1">
      <alignment vertical="center"/>
    </xf>
    <xf numFmtId="0" fontId="33" fillId="2" borderId="2" xfId="0" applyFont="1" applyFill="1" applyBorder="1">
      <alignment vertical="center"/>
    </xf>
    <xf numFmtId="0" fontId="33" fillId="2" borderId="3" xfId="0" applyFont="1" applyFill="1" applyBorder="1">
      <alignment vertical="center"/>
    </xf>
    <xf numFmtId="0" fontId="33" fillId="2" borderId="4" xfId="0" applyFont="1" applyFill="1" applyBorder="1">
      <alignment vertical="center"/>
    </xf>
    <xf numFmtId="0" fontId="33" fillId="2" borderId="5" xfId="0" applyFont="1" applyFill="1" applyBorder="1">
      <alignment vertical="center"/>
    </xf>
    <xf numFmtId="0" fontId="34" fillId="39" borderId="9" xfId="55" applyFont="1" applyFill="1" applyBorder="1" applyAlignment="1">
      <alignment horizontal="center"/>
    </xf>
    <xf numFmtId="0" fontId="34" fillId="39" borderId="10" xfId="55" applyFont="1" applyFill="1" applyBorder="1" applyAlignment="1">
      <alignment horizontal="center"/>
    </xf>
    <xf numFmtId="56" fontId="33" fillId="37" borderId="0" xfId="55" quotePrefix="1" applyNumberFormat="1" applyFont="1" applyFill="1" applyBorder="1"/>
    <xf numFmtId="0" fontId="36" fillId="37" borderId="0" xfId="55" applyFont="1" applyFill="1" applyBorder="1"/>
    <xf numFmtId="0" fontId="36" fillId="37" borderId="0" xfId="55" quotePrefix="1" applyFont="1" applyFill="1" applyBorder="1"/>
    <xf numFmtId="0" fontId="36" fillId="37" borderId="0" xfId="55" applyFont="1" applyFill="1"/>
    <xf numFmtId="0" fontId="36" fillId="37" borderId="0" xfId="55" applyFont="1" applyFill="1" applyBorder="1" applyAlignment="1">
      <alignment horizontal="left" indent="1"/>
    </xf>
    <xf numFmtId="0" fontId="33" fillId="0" borderId="0" xfId="55" applyFont="1" applyFill="1" applyBorder="1"/>
    <xf numFmtId="0" fontId="33" fillId="0" borderId="0" xfId="55" applyFont="1" applyFill="1" applyBorder="1" applyAlignment="1">
      <alignment horizontal="center"/>
    </xf>
    <xf numFmtId="0" fontId="33" fillId="0" borderId="0" xfId="55" applyFont="1" applyFill="1" applyBorder="1" applyAlignment="1">
      <alignment horizontal="left"/>
    </xf>
    <xf numFmtId="14" fontId="33" fillId="0" borderId="0" xfId="55" applyNumberFormat="1" applyFont="1" applyFill="1" applyBorder="1" applyAlignment="1">
      <alignment horizontal="left"/>
    </xf>
    <xf numFmtId="0" fontId="36" fillId="0" borderId="0" xfId="56" applyFont="1" applyBorder="1" applyAlignment="1">
      <alignment vertical="center"/>
    </xf>
    <xf numFmtId="0" fontId="36" fillId="0" borderId="1" xfId="56" applyFont="1" applyBorder="1" applyAlignment="1">
      <alignment vertical="center"/>
    </xf>
    <xf numFmtId="0" fontId="36" fillId="0" borderId="2" xfId="56" applyFont="1" applyBorder="1" applyAlignment="1">
      <alignment vertical="center"/>
    </xf>
    <xf numFmtId="0" fontId="36" fillId="0" borderId="3" xfId="56" applyFont="1" applyBorder="1" applyAlignment="1">
      <alignment vertical="center"/>
    </xf>
    <xf numFmtId="0" fontId="36" fillId="0" borderId="3" xfId="56" applyFont="1" applyFill="1" applyBorder="1" applyAlignment="1">
      <alignment vertical="center"/>
    </xf>
    <xf numFmtId="0" fontId="36" fillId="0" borderId="5" xfId="56" applyFont="1" applyFill="1" applyBorder="1" applyAlignment="1">
      <alignment vertical="center"/>
    </xf>
    <xf numFmtId="0" fontId="37" fillId="0" borderId="0" xfId="56" applyFont="1" applyFill="1" applyBorder="1" applyAlignment="1">
      <alignment vertical="center"/>
    </xf>
    <xf numFmtId="0" fontId="36" fillId="0" borderId="0" xfId="56" applyFont="1" applyFill="1" applyBorder="1" applyAlignment="1">
      <alignment vertical="center"/>
    </xf>
    <xf numFmtId="0" fontId="39" fillId="41" borderId="0" xfId="57" applyFont="1" applyFill="1" applyBorder="1" applyAlignment="1">
      <alignment vertical="center"/>
    </xf>
    <xf numFmtId="0" fontId="36" fillId="41" borderId="0" xfId="57" applyFont="1" applyFill="1" applyBorder="1" applyAlignment="1">
      <alignment vertical="center"/>
    </xf>
    <xf numFmtId="0" fontId="36" fillId="0" borderId="0" xfId="57" applyFont="1" applyBorder="1" applyAlignment="1">
      <alignment vertical="center"/>
    </xf>
    <xf numFmtId="0" fontId="36" fillId="3" borderId="12" xfId="57" applyFont="1" applyFill="1" applyBorder="1" applyAlignment="1">
      <alignment vertical="center" shrinkToFit="1"/>
    </xf>
    <xf numFmtId="0" fontId="36" fillId="0" borderId="12" xfId="57" applyFont="1" applyBorder="1" applyAlignment="1">
      <alignment vertical="center" shrinkToFit="1"/>
    </xf>
    <xf numFmtId="0" fontId="39" fillId="0" borderId="0" xfId="57" applyFont="1" applyBorder="1" applyAlignment="1">
      <alignment vertical="center"/>
    </xf>
    <xf numFmtId="0" fontId="36" fillId="0" borderId="12" xfId="57" quotePrefix="1" applyFont="1" applyBorder="1" applyAlignment="1">
      <alignment vertical="center"/>
    </xf>
    <xf numFmtId="0" fontId="36" fillId="0" borderId="9" xfId="0" applyFont="1" applyFill="1" applyBorder="1" applyAlignment="1">
      <alignment vertical="center"/>
    </xf>
    <xf numFmtId="0" fontId="36" fillId="0" borderId="10" xfId="0" applyFont="1" applyFill="1" applyBorder="1" applyAlignment="1">
      <alignment vertical="center"/>
    </xf>
    <xf numFmtId="0" fontId="36" fillId="0" borderId="10" xfId="0" applyFont="1" applyBorder="1" applyAlignment="1">
      <alignment vertical="center"/>
    </xf>
    <xf numFmtId="0" fontId="36" fillId="0" borderId="11" xfId="0" applyFont="1" applyBorder="1" applyAlignment="1">
      <alignment vertical="center"/>
    </xf>
    <xf numFmtId="0" fontId="36" fillId="3" borderId="9" xfId="0" applyFont="1" applyFill="1" applyBorder="1" applyAlignment="1">
      <alignment vertical="center"/>
    </xf>
    <xf numFmtId="0" fontId="36" fillId="3" borderId="10" xfId="0" applyFont="1" applyFill="1" applyBorder="1" applyAlignment="1">
      <alignment vertical="center"/>
    </xf>
    <xf numFmtId="0" fontId="39" fillId="42" borderId="4" xfId="57" applyFont="1" applyFill="1" applyBorder="1" applyAlignment="1">
      <alignment vertical="center"/>
    </xf>
    <xf numFmtId="0" fontId="39" fillId="42" borderId="0" xfId="57" applyFont="1" applyFill="1" applyBorder="1" applyAlignment="1">
      <alignment horizontal="left" vertical="center"/>
    </xf>
    <xf numFmtId="0" fontId="39" fillId="42" borderId="0" xfId="57" applyFont="1" applyFill="1" applyBorder="1" applyAlignment="1">
      <alignment vertical="center"/>
    </xf>
    <xf numFmtId="0" fontId="36" fillId="42" borderId="0" xfId="57" applyFont="1" applyFill="1" applyBorder="1" applyAlignment="1">
      <alignment vertical="center"/>
    </xf>
    <xf numFmtId="2" fontId="27" fillId="0" borderId="12" xfId="0" applyNumberFormat="1" applyFont="1" applyBorder="1" applyAlignment="1">
      <alignment horizontal="justify" vertical="top" wrapText="1"/>
    </xf>
    <xf numFmtId="56" fontId="36" fillId="37" borderId="0" xfId="55" quotePrefix="1" applyNumberFormat="1" applyFont="1" applyFill="1"/>
    <xf numFmtId="0" fontId="36" fillId="37" borderId="0" xfId="55" applyFont="1" applyFill="1" applyBorder="1" applyAlignment="1"/>
    <xf numFmtId="0" fontId="36" fillId="0" borderId="0" xfId="0" applyFont="1" applyBorder="1">
      <alignment vertical="center"/>
    </xf>
    <xf numFmtId="56" fontId="36" fillId="37" borderId="0" xfId="55" quotePrefix="1" applyNumberFormat="1" applyFont="1" applyFill="1" applyBorder="1"/>
    <xf numFmtId="0" fontId="36" fillId="37" borderId="0" xfId="55" applyFont="1" applyFill="1" applyBorder="1" applyAlignment="1">
      <alignment horizontal="left"/>
    </xf>
    <xf numFmtId="0" fontId="36" fillId="2" borderId="0" xfId="55" applyFont="1" applyFill="1"/>
    <xf numFmtId="0" fontId="39" fillId="37" borderId="0" xfId="55" applyFont="1" applyFill="1" applyBorder="1"/>
    <xf numFmtId="0" fontId="36" fillId="37" borderId="0" xfId="55" applyFont="1" applyFill="1" applyBorder="1" applyAlignment="1">
      <alignment horizontal="center"/>
    </xf>
    <xf numFmtId="0" fontId="36" fillId="2" borderId="0" xfId="0" applyFont="1" applyFill="1">
      <alignment vertical="center"/>
    </xf>
    <xf numFmtId="0" fontId="30" fillId="0" borderId="0" xfId="0" applyFont="1" applyAlignment="1">
      <alignment vertical="center"/>
    </xf>
    <xf numFmtId="181" fontId="26" fillId="0" borderId="0" xfId="0" applyNumberFormat="1" applyFont="1" applyAlignment="1">
      <alignment horizontal="left" vertical="center"/>
    </xf>
    <xf numFmtId="180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34" fillId="38" borderId="9" xfId="0" applyFont="1" applyFill="1" applyBorder="1" applyAlignment="1">
      <alignment horizontal="left" vertical="center"/>
    </xf>
    <xf numFmtId="0" fontId="34" fillId="3" borderId="10" xfId="0" applyFont="1" applyFill="1" applyBorder="1" applyAlignment="1">
      <alignment horizontal="left" vertical="center"/>
    </xf>
    <xf numFmtId="0" fontId="34" fillId="3" borderId="11" xfId="0" applyFont="1" applyFill="1" applyBorder="1" applyAlignment="1">
      <alignment horizontal="left" vertical="center"/>
    </xf>
    <xf numFmtId="0" fontId="33" fillId="0" borderId="9" xfId="0" applyFont="1" applyBorder="1">
      <alignment vertical="center"/>
    </xf>
    <xf numFmtId="0" fontId="33" fillId="0" borderId="10" xfId="0" applyFont="1" applyBorder="1">
      <alignment vertical="center"/>
    </xf>
    <xf numFmtId="0" fontId="33" fillId="0" borderId="11" xfId="0" applyFont="1" applyBorder="1">
      <alignment vertical="center"/>
    </xf>
    <xf numFmtId="0" fontId="34" fillId="3" borderId="9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/>
    </xf>
    <xf numFmtId="0" fontId="36" fillId="0" borderId="9" xfId="0" applyFont="1" applyBorder="1">
      <alignment vertical="center"/>
    </xf>
    <xf numFmtId="0" fontId="36" fillId="0" borderId="10" xfId="0" applyFont="1" applyBorder="1">
      <alignment vertical="center"/>
    </xf>
    <xf numFmtId="0" fontId="36" fillId="0" borderId="11" xfId="0" applyFont="1" applyBorder="1">
      <alignment vertical="center"/>
    </xf>
    <xf numFmtId="0" fontId="34" fillId="4" borderId="9" xfId="54" applyFont="1" applyFill="1" applyBorder="1" applyAlignment="1" applyProtection="1">
      <alignment horizontal="left" vertical="top"/>
      <protection locked="0"/>
    </xf>
    <xf numFmtId="0" fontId="34" fillId="4" borderId="10" xfId="54" applyFont="1" applyFill="1" applyBorder="1" applyAlignment="1" applyProtection="1">
      <alignment horizontal="left" vertical="top"/>
      <protection locked="0"/>
    </xf>
    <xf numFmtId="0" fontId="34" fillId="4" borderId="11" xfId="54" applyFont="1" applyFill="1" applyBorder="1" applyAlignment="1" applyProtection="1">
      <alignment horizontal="left" vertical="top"/>
      <protection locked="0"/>
    </xf>
    <xf numFmtId="0" fontId="33" fillId="0" borderId="9" xfId="54" applyFont="1" applyFill="1" applyBorder="1" applyAlignment="1" applyProtection="1">
      <alignment horizontal="left" vertical="top" wrapText="1"/>
      <protection locked="0"/>
    </xf>
    <xf numFmtId="0" fontId="33" fillId="0" borderId="10" xfId="54" applyFont="1" applyFill="1" applyBorder="1" applyAlignment="1" applyProtection="1">
      <alignment horizontal="left" vertical="top" wrapText="1"/>
      <protection locked="0"/>
    </xf>
    <xf numFmtId="0" fontId="33" fillId="0" borderId="11" xfId="54" applyFont="1" applyFill="1" applyBorder="1" applyAlignment="1" applyProtection="1">
      <alignment horizontal="left" vertical="top" wrapText="1"/>
      <protection locked="0"/>
    </xf>
    <xf numFmtId="0" fontId="34" fillId="36" borderId="9" xfId="0" applyFont="1" applyFill="1" applyBorder="1" applyAlignment="1">
      <alignment horizontal="center" vertical="center"/>
    </xf>
    <xf numFmtId="0" fontId="34" fillId="36" borderId="10" xfId="0" applyFont="1" applyFill="1" applyBorder="1" applyAlignment="1">
      <alignment horizontal="center" vertical="center"/>
    </xf>
    <xf numFmtId="0" fontId="34" fillId="36" borderId="1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vertical="top" wrapText="1"/>
    </xf>
    <xf numFmtId="0" fontId="33" fillId="2" borderId="2" xfId="0" applyFont="1" applyFill="1" applyBorder="1" applyAlignment="1">
      <alignment vertical="top"/>
    </xf>
    <xf numFmtId="0" fontId="33" fillId="2" borderId="3" xfId="0" applyFont="1" applyFill="1" applyBorder="1" applyAlignment="1">
      <alignment vertical="top"/>
    </xf>
    <xf numFmtId="0" fontId="33" fillId="2" borderId="4" xfId="0" applyFont="1" applyFill="1" applyBorder="1" applyAlignment="1">
      <alignment vertical="top"/>
    </xf>
    <xf numFmtId="0" fontId="33" fillId="2" borderId="0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33" fillId="2" borderId="7" xfId="0" applyFont="1" applyFill="1" applyBorder="1" applyAlignment="1">
      <alignment vertical="top"/>
    </xf>
    <xf numFmtId="0" fontId="33" fillId="2" borderId="8" xfId="0" applyFont="1" applyFill="1" applyBorder="1" applyAlignment="1">
      <alignment vertical="top"/>
    </xf>
    <xf numFmtId="0" fontId="34" fillId="4" borderId="9" xfId="0" applyFont="1" applyFill="1" applyBorder="1" applyAlignment="1">
      <alignment horizontal="left" vertical="top"/>
    </xf>
    <xf numFmtId="0" fontId="34" fillId="4" borderId="10" xfId="0" applyFont="1" applyFill="1" applyBorder="1" applyAlignment="1">
      <alignment horizontal="left" vertical="top"/>
    </xf>
    <xf numFmtId="0" fontId="34" fillId="4" borderId="11" xfId="0" applyFont="1" applyFill="1" applyBorder="1" applyAlignment="1">
      <alignment horizontal="left" vertical="top"/>
    </xf>
    <xf numFmtId="0" fontId="33" fillId="37" borderId="9" xfId="0" applyFont="1" applyFill="1" applyBorder="1" applyAlignment="1">
      <alignment horizontal="left" vertical="top" wrapText="1"/>
    </xf>
    <xf numFmtId="0" fontId="33" fillId="37" borderId="10" xfId="0" applyFont="1" applyFill="1" applyBorder="1" applyAlignment="1">
      <alignment horizontal="left" vertical="top"/>
    </xf>
    <xf numFmtId="0" fontId="33" fillId="37" borderId="11" xfId="0" applyFont="1" applyFill="1" applyBorder="1" applyAlignment="1">
      <alignment horizontal="left" vertical="top"/>
    </xf>
    <xf numFmtId="0" fontId="33" fillId="2" borderId="9" xfId="0" applyFont="1" applyFill="1" applyBorder="1" applyAlignment="1">
      <alignment horizontal="left" vertical="top"/>
    </xf>
    <xf numFmtId="0" fontId="33" fillId="2" borderId="10" xfId="0" applyFont="1" applyFill="1" applyBorder="1" applyAlignment="1">
      <alignment horizontal="left" vertical="top"/>
    </xf>
    <xf numFmtId="0" fontId="33" fillId="2" borderId="11" xfId="0" applyFont="1" applyFill="1" applyBorder="1" applyAlignment="1">
      <alignment horizontal="left" vertical="top"/>
    </xf>
    <xf numFmtId="0" fontId="34" fillId="3" borderId="9" xfId="0" applyFont="1" applyFill="1" applyBorder="1" applyAlignment="1">
      <alignment horizontal="left" vertical="center"/>
    </xf>
    <xf numFmtId="0" fontId="33" fillId="2" borderId="9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3" fillId="2" borderId="11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 wrapText="1"/>
    </xf>
    <xf numFmtId="0" fontId="34" fillId="3" borderId="6" xfId="0" applyFont="1" applyFill="1" applyBorder="1" applyAlignment="1">
      <alignment horizontal="center" vertical="center" wrapText="1"/>
    </xf>
    <xf numFmtId="0" fontId="34" fillId="3" borderId="7" xfId="0" applyFont="1" applyFill="1" applyBorder="1" applyAlignment="1">
      <alignment horizontal="center" vertical="center" wrapText="1"/>
    </xf>
    <xf numFmtId="0" fontId="34" fillId="3" borderId="8" xfId="0" applyFont="1" applyFill="1" applyBorder="1" applyAlignment="1">
      <alignment horizontal="center" vertical="center" wrapText="1"/>
    </xf>
    <xf numFmtId="49" fontId="33" fillId="2" borderId="9" xfId="0" applyNumberFormat="1" applyFont="1" applyFill="1" applyBorder="1" applyAlignment="1">
      <alignment horizontal="center" vertical="center"/>
    </xf>
    <xf numFmtId="0" fontId="33" fillId="2" borderId="10" xfId="0" applyNumberFormat="1" applyFont="1" applyFill="1" applyBorder="1" applyAlignment="1">
      <alignment horizontal="center" vertical="center"/>
    </xf>
    <xf numFmtId="0" fontId="33" fillId="2" borderId="11" xfId="0" applyNumberFormat="1" applyFont="1" applyFill="1" applyBorder="1" applyAlignment="1">
      <alignment horizontal="center" vertical="center"/>
    </xf>
    <xf numFmtId="14" fontId="33" fillId="2" borderId="9" xfId="0" applyNumberFormat="1" applyFont="1" applyFill="1" applyBorder="1" applyAlignment="1">
      <alignment horizontal="center" vertical="center"/>
    </xf>
    <xf numFmtId="0" fontId="33" fillId="2" borderId="9" xfId="0" applyNumberFormat="1" applyFont="1" applyFill="1" applyBorder="1" applyAlignment="1">
      <alignment horizontal="center" vertical="center"/>
    </xf>
    <xf numFmtId="14" fontId="33" fillId="2" borderId="10" xfId="0" applyNumberFormat="1" applyFont="1" applyFill="1" applyBorder="1" applyAlignment="1">
      <alignment horizontal="center" vertical="center"/>
    </xf>
    <xf numFmtId="14" fontId="33" fillId="2" borderId="11" xfId="0" applyNumberFormat="1" applyFont="1" applyFill="1" applyBorder="1" applyAlignment="1">
      <alignment horizontal="center" vertical="center"/>
    </xf>
    <xf numFmtId="0" fontId="43" fillId="37" borderId="1" xfId="55" applyFont="1" applyFill="1" applyBorder="1" applyAlignment="1">
      <alignment horizontal="center" vertical="center" wrapText="1"/>
    </xf>
    <xf numFmtId="0" fontId="43" fillId="37" borderId="2" xfId="55" applyFont="1" applyFill="1" applyBorder="1" applyAlignment="1">
      <alignment horizontal="center" vertical="center" wrapText="1"/>
    </xf>
    <xf numFmtId="0" fontId="43" fillId="37" borderId="3" xfId="55" applyFont="1" applyFill="1" applyBorder="1" applyAlignment="1">
      <alignment horizontal="center" vertical="center" wrapText="1"/>
    </xf>
    <xf numFmtId="0" fontId="43" fillId="37" borderId="6" xfId="55" applyFont="1" applyFill="1" applyBorder="1" applyAlignment="1">
      <alignment horizontal="center" vertical="center" wrapText="1"/>
    </xf>
    <xf numFmtId="0" fontId="43" fillId="37" borderId="7" xfId="55" applyFont="1" applyFill="1" applyBorder="1" applyAlignment="1">
      <alignment horizontal="center" vertical="center" wrapText="1"/>
    </xf>
    <xf numFmtId="0" fontId="43" fillId="37" borderId="8" xfId="55" applyFont="1" applyFill="1" applyBorder="1" applyAlignment="1">
      <alignment horizontal="center" vertical="center" wrapText="1"/>
    </xf>
    <xf numFmtId="0" fontId="43" fillId="37" borderId="9" xfId="55" applyFont="1" applyFill="1" applyBorder="1" applyAlignment="1">
      <alignment horizontal="center" vertical="center" wrapText="1"/>
    </xf>
    <xf numFmtId="0" fontId="43" fillId="37" borderId="10" xfId="55" applyFont="1" applyFill="1" applyBorder="1" applyAlignment="1">
      <alignment horizontal="center" vertical="center" wrapText="1"/>
    </xf>
    <xf numFmtId="0" fontId="43" fillId="37" borderId="11" xfId="55" applyFont="1" applyFill="1" applyBorder="1" applyAlignment="1">
      <alignment horizontal="center" vertical="center" wrapText="1"/>
    </xf>
    <xf numFmtId="0" fontId="36" fillId="37" borderId="9" xfId="55" applyFont="1" applyFill="1" applyBorder="1" applyAlignment="1">
      <alignment horizontal="center" vertical="center" wrapText="1"/>
    </xf>
    <xf numFmtId="0" fontId="36" fillId="37" borderId="10" xfId="55" applyFont="1" applyFill="1" applyBorder="1" applyAlignment="1">
      <alignment horizontal="center" vertical="center" wrapText="1"/>
    </xf>
    <xf numFmtId="0" fontId="36" fillId="37" borderId="11" xfId="55" applyFont="1" applyFill="1" applyBorder="1" applyAlignment="1">
      <alignment horizontal="center" vertical="center" wrapText="1"/>
    </xf>
    <xf numFmtId="0" fontId="36" fillId="37" borderId="1" xfId="55" applyFont="1" applyFill="1" applyBorder="1" applyAlignment="1">
      <alignment horizontal="center" vertical="center" wrapText="1"/>
    </xf>
    <xf numFmtId="0" fontId="36" fillId="37" borderId="2" xfId="55" applyFont="1" applyFill="1" applyBorder="1" applyAlignment="1">
      <alignment horizontal="center" vertical="center" wrapText="1"/>
    </xf>
    <xf numFmtId="0" fontId="36" fillId="37" borderId="3" xfId="55" applyFont="1" applyFill="1" applyBorder="1" applyAlignment="1">
      <alignment horizontal="center" vertical="center" wrapText="1"/>
    </xf>
    <xf numFmtId="0" fontId="36" fillId="37" borderId="6" xfId="55" applyFont="1" applyFill="1" applyBorder="1" applyAlignment="1">
      <alignment horizontal="center" vertical="center" wrapText="1"/>
    </xf>
    <xf numFmtId="0" fontId="36" fillId="37" borderId="7" xfId="55" applyFont="1" applyFill="1" applyBorder="1" applyAlignment="1">
      <alignment horizontal="center" vertical="center" wrapText="1"/>
    </xf>
    <xf numFmtId="0" fontId="36" fillId="37" borderId="8" xfId="55" applyFont="1" applyFill="1" applyBorder="1" applyAlignment="1">
      <alignment horizontal="center" vertical="center" wrapText="1"/>
    </xf>
    <xf numFmtId="0" fontId="37" fillId="40" borderId="22" xfId="56" applyFont="1" applyFill="1" applyBorder="1" applyAlignment="1">
      <alignment horizontal="center" vertical="center"/>
    </xf>
    <xf numFmtId="0" fontId="36" fillId="3" borderId="9" xfId="55" applyFont="1" applyFill="1" applyBorder="1" applyAlignment="1">
      <alignment horizontal="center" vertical="center" wrapText="1"/>
    </xf>
    <xf numFmtId="0" fontId="36" fillId="3" borderId="10" xfId="55" applyFont="1" applyFill="1" applyBorder="1" applyAlignment="1">
      <alignment horizontal="center" vertical="center" wrapText="1"/>
    </xf>
    <xf numFmtId="0" fontId="36" fillId="3" borderId="11" xfId="55" applyFont="1" applyFill="1" applyBorder="1" applyAlignment="1">
      <alignment horizontal="center" vertical="center" wrapText="1"/>
    </xf>
    <xf numFmtId="0" fontId="36" fillId="3" borderId="1" xfId="55" applyFont="1" applyFill="1" applyBorder="1" applyAlignment="1">
      <alignment horizontal="center" vertical="center" wrapText="1"/>
    </xf>
    <xf numFmtId="0" fontId="36" fillId="3" borderId="2" xfId="55" applyFont="1" applyFill="1" applyBorder="1" applyAlignment="1">
      <alignment horizontal="center" vertical="center" wrapText="1"/>
    </xf>
    <xf numFmtId="0" fontId="36" fillId="3" borderId="3" xfId="55" applyFont="1" applyFill="1" applyBorder="1" applyAlignment="1">
      <alignment horizontal="center" vertical="center" wrapText="1"/>
    </xf>
    <xf numFmtId="0" fontId="36" fillId="3" borderId="6" xfId="55" applyFont="1" applyFill="1" applyBorder="1" applyAlignment="1">
      <alignment horizontal="center" vertical="center" wrapText="1"/>
    </xf>
    <xf numFmtId="0" fontId="36" fillId="3" borderId="7" xfId="55" applyFont="1" applyFill="1" applyBorder="1" applyAlignment="1">
      <alignment horizontal="center" vertical="center" wrapText="1"/>
    </xf>
    <xf numFmtId="0" fontId="36" fillId="3" borderId="8" xfId="55" applyFont="1" applyFill="1" applyBorder="1" applyAlignment="1">
      <alignment horizontal="center" vertical="center" wrapText="1"/>
    </xf>
    <xf numFmtId="0" fontId="33" fillId="37" borderId="12" xfId="55" applyFont="1" applyFill="1" applyBorder="1" applyAlignment="1">
      <alignment horizontal="center" vertical="center" wrapText="1"/>
    </xf>
    <xf numFmtId="0" fontId="33" fillId="37" borderId="9" xfId="55" applyFont="1" applyFill="1" applyBorder="1" applyAlignment="1">
      <alignment horizontal="center"/>
    </xf>
    <xf numFmtId="0" fontId="33" fillId="37" borderId="10" xfId="55" applyFont="1" applyFill="1" applyBorder="1" applyAlignment="1">
      <alignment horizontal="center"/>
    </xf>
    <xf numFmtId="0" fontId="33" fillId="37" borderId="11" xfId="55" applyFont="1" applyFill="1" applyBorder="1" applyAlignment="1">
      <alignment horizontal="center"/>
    </xf>
    <xf numFmtId="0" fontId="33" fillId="3" borderId="12" xfId="55" applyFont="1" applyFill="1" applyBorder="1" applyAlignment="1">
      <alignment horizontal="center" vertical="center" wrapText="1"/>
    </xf>
    <xf numFmtId="0" fontId="41" fillId="0" borderId="9" xfId="0" applyFont="1" applyFill="1" applyBorder="1" applyAlignment="1">
      <alignment horizontal="left" vertical="top"/>
    </xf>
    <xf numFmtId="0" fontId="41" fillId="0" borderId="10" xfId="0" applyFont="1" applyFill="1" applyBorder="1" applyAlignment="1">
      <alignment horizontal="left" vertical="top"/>
    </xf>
    <xf numFmtId="0" fontId="41" fillId="0" borderId="11" xfId="0" applyFont="1" applyFill="1" applyBorder="1" applyAlignment="1">
      <alignment horizontal="left" vertical="top"/>
    </xf>
    <xf numFmtId="0" fontId="37" fillId="40" borderId="12" xfId="57" applyFont="1" applyFill="1" applyBorder="1" applyAlignment="1">
      <alignment horizontal="center" vertical="center"/>
    </xf>
    <xf numFmtId="0" fontId="36" fillId="0" borderId="12" xfId="57" applyFont="1" applyBorder="1" applyAlignment="1">
      <alignment vertical="center"/>
    </xf>
    <xf numFmtId="0" fontId="36" fillId="3" borderId="9" xfId="57" applyFont="1" applyFill="1" applyBorder="1" applyAlignment="1">
      <alignment horizontal="center" vertical="center"/>
    </xf>
    <xf numFmtId="0" fontId="36" fillId="3" borderId="10" xfId="57" applyFont="1" applyFill="1" applyBorder="1" applyAlignment="1">
      <alignment horizontal="center" vertical="center"/>
    </xf>
    <xf numFmtId="0" fontId="36" fillId="3" borderId="11" xfId="57" applyFont="1" applyFill="1" applyBorder="1" applyAlignment="1">
      <alignment horizontal="center" vertical="center"/>
    </xf>
    <xf numFmtId="0" fontId="36" fillId="3" borderId="1" xfId="57" applyFont="1" applyFill="1" applyBorder="1" applyAlignment="1">
      <alignment horizontal="center" vertical="center"/>
    </xf>
    <xf numFmtId="0" fontId="36" fillId="3" borderId="2" xfId="57" applyFont="1" applyFill="1" applyBorder="1" applyAlignment="1">
      <alignment horizontal="center" vertical="center"/>
    </xf>
    <xf numFmtId="0" fontId="36" fillId="3" borderId="3" xfId="57" applyFont="1" applyFill="1" applyBorder="1" applyAlignment="1">
      <alignment horizontal="center" vertical="center"/>
    </xf>
    <xf numFmtId="0" fontId="36" fillId="3" borderId="6" xfId="57" applyFont="1" applyFill="1" applyBorder="1" applyAlignment="1">
      <alignment horizontal="center" vertical="center"/>
    </xf>
    <xf numFmtId="0" fontId="36" fillId="3" borderId="7" xfId="57" applyFont="1" applyFill="1" applyBorder="1" applyAlignment="1">
      <alignment horizontal="center" vertical="center"/>
    </xf>
    <xf numFmtId="0" fontId="36" fillId="3" borderId="8" xfId="57" applyFont="1" applyFill="1" applyBorder="1" applyAlignment="1">
      <alignment horizontal="center" vertical="center"/>
    </xf>
    <xf numFmtId="0" fontId="36" fillId="0" borderId="12" xfId="57" applyFont="1" applyBorder="1" applyAlignment="1">
      <alignment horizontal="left" vertical="center" wrapText="1"/>
    </xf>
    <xf numFmtId="0" fontId="36" fillId="3" borderId="12" xfId="57" applyFont="1" applyFill="1" applyBorder="1" applyAlignment="1">
      <alignment horizontal="center" vertical="center"/>
    </xf>
    <xf numFmtId="0" fontId="36" fillId="0" borderId="12" xfId="57" applyFont="1" applyBorder="1" applyAlignment="1">
      <alignment vertical="center" wrapText="1"/>
    </xf>
    <xf numFmtId="0" fontId="36" fillId="0" borderId="1" xfId="57" quotePrefix="1" applyFont="1" applyBorder="1" applyAlignment="1">
      <alignment horizontal="left" vertical="center" wrapText="1"/>
    </xf>
    <xf numFmtId="0" fontId="36" fillId="0" borderId="2" xfId="57" quotePrefix="1" applyFont="1" applyBorder="1" applyAlignment="1">
      <alignment horizontal="left" vertical="center"/>
    </xf>
    <xf numFmtId="0" fontId="36" fillId="0" borderId="3" xfId="57" quotePrefix="1" applyFont="1" applyBorder="1" applyAlignment="1">
      <alignment horizontal="left" vertical="center"/>
    </xf>
    <xf numFmtId="0" fontId="36" fillId="0" borderId="4" xfId="57" quotePrefix="1" applyFont="1" applyBorder="1" applyAlignment="1">
      <alignment horizontal="left" vertical="center"/>
    </xf>
    <xf numFmtId="0" fontId="36" fillId="0" borderId="0" xfId="57" quotePrefix="1" applyFont="1" applyBorder="1" applyAlignment="1">
      <alignment horizontal="left" vertical="center"/>
    </xf>
    <xf numFmtId="0" fontId="36" fillId="0" borderId="5" xfId="57" quotePrefix="1" applyFont="1" applyBorder="1" applyAlignment="1">
      <alignment horizontal="left" vertical="center"/>
    </xf>
    <xf numFmtId="0" fontId="36" fillId="0" borderId="6" xfId="57" quotePrefix="1" applyFont="1" applyBorder="1" applyAlignment="1">
      <alignment horizontal="left" vertical="center"/>
    </xf>
    <xf numFmtId="0" fontId="36" fillId="0" borderId="7" xfId="57" quotePrefix="1" applyFont="1" applyBorder="1" applyAlignment="1">
      <alignment horizontal="left" vertical="center"/>
    </xf>
    <xf numFmtId="0" fontId="36" fillId="0" borderId="8" xfId="57" quotePrefix="1" applyFont="1" applyBorder="1" applyAlignment="1">
      <alignment horizontal="left" vertical="center"/>
    </xf>
    <xf numFmtId="0" fontId="36" fillId="0" borderId="12" xfId="57" applyFont="1" applyBorder="1" applyAlignment="1">
      <alignment horizontal="left" vertical="center"/>
    </xf>
  </cellXfs>
  <cellStyles count="59">
    <cellStyle name=" LBP-830 LIPS4" xfId="1" xr:uid="{00000000-0005-0000-0000-000000000000}"/>
    <cellStyle name="0,0_x000d_ NA_x000d_ " xfId="2" xr:uid="{00000000-0005-0000-0000-000001000000}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 xr:uid="{00000000-0005-0000-0000-000014000000}"/>
    <cellStyle name="Hyperlink" xfId="4" xr:uid="{00000000-0005-0000-0000-000015000000}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 xr:uid="{00000000-0005-0000-0000-000025000000}"/>
    <cellStyle name="桁蟻唇Ｆ_NT Server " xfId="6" xr:uid="{00000000-0005-0000-0000-000026000000}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 xr:uid="{00000000-0005-0000-0000-000034000000}"/>
    <cellStyle name="標準 2 2" xfId="56" xr:uid="{00000000-0005-0000-0000-000035000000}"/>
    <cellStyle name="標準 2 2 2" xfId="58" xr:uid="{00000000-0005-0000-0000-000036000000}"/>
    <cellStyle name="標準 3" xfId="57" xr:uid="{00000000-0005-0000-0000-000037000000}"/>
    <cellStyle name="標準_4_開発要件書" xfId="54" xr:uid="{00000000-0005-0000-0000-000038000000}"/>
    <cellStyle name="標準_バッチフローチャート図" xfId="55" xr:uid="{00000000-0005-0000-0000-000039000000}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100149</xdr:colOff>
      <xdr:row>88</xdr:row>
      <xdr:rowOff>20321</xdr:rowOff>
    </xdr:from>
    <xdr:to>
      <xdr:col>52</xdr:col>
      <xdr:colOff>11203</xdr:colOff>
      <xdr:row>95</xdr:row>
      <xdr:rowOff>39591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906973" y="17568733"/>
          <a:ext cx="9592936" cy="1431211"/>
          <a:chOff x="546847" y="14108132"/>
          <a:chExt cx="9834303" cy="1184683"/>
        </a:xfrm>
      </xdr:grpSpPr>
      <xdr:grpSp>
        <xdr:nvGrpSpPr>
          <xdr:cNvPr id="3" name="Group 1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>
            <a:grpSpLocks/>
          </xdr:cNvGrpSpPr>
        </xdr:nvGrpSpPr>
        <xdr:grpSpPr bwMode="auto">
          <a:xfrm>
            <a:off x="546847" y="14108132"/>
            <a:ext cx="8976819" cy="1024414"/>
            <a:chOff x="62" y="1421"/>
            <a:chExt cx="888" cy="129"/>
          </a:xfrm>
        </xdr:grpSpPr>
        <xdr:sp macro="" textlink="">
          <xdr:nvSpPr>
            <xdr:cNvPr id="8" name="Line 6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2" y="1426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sp>
        <xdr:sp macro="" textlink="">
          <xdr:nvSpPr>
            <xdr:cNvPr id="9" name="Text Box 6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8" y="1428"/>
              <a:ext cx="84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：処理の流れ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0" name="Text Box 70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8" y="1467"/>
              <a:ext cx="89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：データの流れ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" name="Text Box 7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9" y="1494"/>
              <a:ext cx="74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：共通部品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2" name="AutoShape 73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6" y="1495"/>
              <a:ext cx="38" cy="20"/>
            </a:xfrm>
            <a:prstGeom prst="flowChartPredefinedProcess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" name="AutoShape 75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35" y="1422"/>
              <a:ext cx="33" cy="26"/>
            </a:xfrm>
            <a:prstGeom prst="can">
              <a:avLst>
                <a:gd name="adj" fmla="val 25000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4" name="Text Box 76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88" y="1421"/>
              <a:ext cx="62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：テーブル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5" name="AutoShape 77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6" y="1527"/>
              <a:ext cx="39" cy="20"/>
            </a:xfrm>
            <a:prstGeom prst="flowChartProcess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78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8" y="1524"/>
              <a:ext cx="86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：処理ロジック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7" name="Line 79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2" y="1465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 type="triangle" w="med" len="med"/>
            </a:ln>
          </xdr:spPr>
        </xdr:sp>
        <xdr:grpSp>
          <xdr:nvGrpSpPr>
            <xdr:cNvPr id="18" name="Group 436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4" y="1424"/>
              <a:ext cx="42" cy="18"/>
              <a:chOff x="1608" y="940"/>
              <a:chExt cx="77" cy="36"/>
            </a:xfrm>
          </xdr:grpSpPr>
          <xdr:sp macro="" textlink="">
            <xdr:nvSpPr>
              <xdr:cNvPr id="43" name="Text Box 437">
                <a:extLst>
                  <a:ext uri="{FF2B5EF4-FFF2-40B4-BE49-F238E27FC236}">
                    <a16:creationId xmlns:a16="http://schemas.microsoft.com/office/drawing/2014/main" id="{00000000-0008-0000-0200-00002B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608" y="940"/>
                <a:ext cx="77" cy="3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noFill/>
                <a:miter lim="800000"/>
                <a:headEnd/>
                <a:tailEnd/>
              </a:ln>
              <a:effectLst/>
            </xdr:spPr>
          </xdr:sp>
          <xdr:grpSp>
            <xdr:nvGrpSpPr>
              <xdr:cNvPr id="44" name="Group 438">
                <a:extLst>
                  <a:ext uri="{FF2B5EF4-FFF2-40B4-BE49-F238E27FC236}">
                    <a16:creationId xmlns:a16="http://schemas.microsoft.com/office/drawing/2014/main" id="{00000000-0008-0000-0200-00002C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08" y="940"/>
                <a:ext cx="77" cy="36"/>
                <a:chOff x="1608" y="940"/>
                <a:chExt cx="77" cy="36"/>
              </a:xfrm>
            </xdr:grpSpPr>
            <xdr:sp macro="" textlink="">
              <xdr:nvSpPr>
                <xdr:cNvPr id="45" name="Line 439">
                  <a:extLst>
                    <a:ext uri="{FF2B5EF4-FFF2-40B4-BE49-F238E27FC236}">
                      <a16:creationId xmlns:a16="http://schemas.microsoft.com/office/drawing/2014/main" id="{00000000-0008-0000-0200-00002D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1622" y="940"/>
                  <a:ext cx="49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Line 440">
                  <a:extLst>
                    <a:ext uri="{FF2B5EF4-FFF2-40B4-BE49-F238E27FC236}">
                      <a16:creationId xmlns:a16="http://schemas.microsoft.com/office/drawing/2014/main" id="{00000000-0008-0000-0200-00002E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1685" y="950"/>
                  <a:ext cx="0" cy="2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Line 441">
                  <a:extLst>
                    <a:ext uri="{FF2B5EF4-FFF2-40B4-BE49-F238E27FC236}">
                      <a16:creationId xmlns:a16="http://schemas.microsoft.com/office/drawing/2014/main" id="{00000000-0008-0000-0200-00002F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1608" y="950"/>
                  <a:ext cx="0" cy="2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cxnSp macro="">
              <xdr:nvCxnSpPr>
                <xdr:cNvPr id="48" name="AutoShape 442">
                  <a:extLst>
                    <a:ext uri="{FF2B5EF4-FFF2-40B4-BE49-F238E27FC236}">
                      <a16:creationId xmlns:a16="http://schemas.microsoft.com/office/drawing/2014/main" id="{00000000-0008-0000-0200-000030000000}"/>
                    </a:ext>
                  </a:extLst>
                </xdr:cNvPr>
                <xdr:cNvCxnSpPr>
                  <a:cxnSpLocks noChangeShapeType="1"/>
                  <a:stCxn id="45" idx="0"/>
                  <a:endCxn id="47" idx="0"/>
                </xdr:cNvCxnSpPr>
              </xdr:nvCxnSpPr>
              <xdr:spPr bwMode="auto">
                <a:xfrm flipH="1">
                  <a:off x="1608" y="940"/>
                  <a:ext cx="14" cy="10"/>
                </a:xfrm>
                <a:prstGeom prst="straightConnector1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AutoShape 443">
                  <a:extLst>
                    <a:ext uri="{FF2B5EF4-FFF2-40B4-BE49-F238E27FC236}">
                      <a16:creationId xmlns:a16="http://schemas.microsoft.com/office/drawing/2014/main" id="{00000000-0008-0000-0200-000031000000}"/>
                    </a:ext>
                  </a:extLst>
                </xdr:cNvPr>
                <xdr:cNvCxnSpPr>
                  <a:cxnSpLocks noChangeShapeType="1"/>
                  <a:stCxn id="45" idx="1"/>
                  <a:endCxn id="46" idx="0"/>
                </xdr:cNvCxnSpPr>
              </xdr:nvCxnSpPr>
              <xdr:spPr bwMode="auto">
                <a:xfrm>
                  <a:off x="1671" y="940"/>
                  <a:ext cx="14" cy="10"/>
                </a:xfrm>
                <a:prstGeom prst="straightConnector1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AutoShape 444">
                  <a:extLst>
                    <a:ext uri="{FF2B5EF4-FFF2-40B4-BE49-F238E27FC236}">
                      <a16:creationId xmlns:a16="http://schemas.microsoft.com/office/drawing/2014/main" id="{00000000-0008-0000-0200-000032000000}"/>
                    </a:ext>
                  </a:extLst>
                </xdr:cNvPr>
                <xdr:cNvCxnSpPr>
                  <a:cxnSpLocks noChangeShapeType="1"/>
                  <a:stCxn id="47" idx="1"/>
                  <a:endCxn id="46" idx="1"/>
                </xdr:cNvCxnSpPr>
              </xdr:nvCxnSpPr>
              <xdr:spPr bwMode="auto">
                <a:xfrm>
                  <a:off x="1608" y="976"/>
                  <a:ext cx="77" cy="0"/>
                </a:xfrm>
                <a:prstGeom prst="straightConnector1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</xdr:grpSp>
        <xdr:sp macro="" textlink="">
          <xdr:nvSpPr>
            <xdr:cNvPr id="19" name="Text Box 72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41" y="1421"/>
              <a:ext cx="90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：繰返し 開始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0" name="Text Box 72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41" y="1455"/>
              <a:ext cx="90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：繰返し 終了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1" name="Text Box 437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7" y="1459"/>
              <a:ext cx="42" cy="18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22" name="Group 438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GrpSpPr>
              <a:grpSpLocks/>
            </xdr:cNvGrpSpPr>
          </xdr:nvGrpSpPr>
          <xdr:grpSpPr bwMode="auto">
            <a:xfrm flipV="1">
              <a:off x="485" y="1459"/>
              <a:ext cx="42" cy="18"/>
              <a:chOff x="1608" y="940"/>
              <a:chExt cx="77" cy="36"/>
            </a:xfrm>
          </xdr:grpSpPr>
          <xdr:sp macro="" textlink="">
            <xdr:nvSpPr>
              <xdr:cNvPr id="37" name="Line 439">
                <a:extLst>
                  <a:ext uri="{FF2B5EF4-FFF2-40B4-BE49-F238E27FC236}">
                    <a16:creationId xmlns:a16="http://schemas.microsoft.com/office/drawing/2014/main" id="{00000000-0008-0000-0200-00002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Line 440">
                <a:extLst>
                  <a:ext uri="{FF2B5EF4-FFF2-40B4-BE49-F238E27FC236}">
                    <a16:creationId xmlns:a16="http://schemas.microsoft.com/office/drawing/2014/main" id="{00000000-0008-0000-0200-00002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Line 441">
                <a:extLst>
                  <a:ext uri="{FF2B5EF4-FFF2-40B4-BE49-F238E27FC236}">
                    <a16:creationId xmlns:a16="http://schemas.microsoft.com/office/drawing/2014/main" id="{00000000-0008-0000-0200-00002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40" name="AutoShape 442">
                <a:extLst>
                  <a:ext uri="{FF2B5EF4-FFF2-40B4-BE49-F238E27FC236}">
                    <a16:creationId xmlns:a16="http://schemas.microsoft.com/office/drawing/2014/main" id="{00000000-0008-0000-0200-000028000000}"/>
                  </a:ext>
                </a:extLst>
              </xdr:cNvPr>
              <xdr:cNvCxnSpPr>
                <a:cxnSpLocks noChangeShapeType="1"/>
                <a:stCxn id="37" idx="0"/>
                <a:endCxn id="39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AutoShape 443">
                <a:extLst>
                  <a:ext uri="{FF2B5EF4-FFF2-40B4-BE49-F238E27FC236}">
                    <a16:creationId xmlns:a16="http://schemas.microsoft.com/office/drawing/2014/main" id="{00000000-0008-0000-0200-000029000000}"/>
                  </a:ext>
                </a:extLst>
              </xdr:cNvPr>
              <xdr:cNvCxnSpPr>
                <a:cxnSpLocks noChangeShapeType="1"/>
                <a:stCxn id="37" idx="1"/>
                <a:endCxn id="38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AutoShape 444">
                <a:extLst>
                  <a:ext uri="{FF2B5EF4-FFF2-40B4-BE49-F238E27FC236}">
                    <a16:creationId xmlns:a16="http://schemas.microsoft.com/office/drawing/2014/main" id="{00000000-0008-0000-0200-00002A000000}"/>
                  </a:ext>
                </a:extLst>
              </xdr:cNvPr>
              <xdr:cNvCxnSpPr>
                <a:cxnSpLocks noChangeShapeType="1"/>
                <a:stCxn id="39" idx="1"/>
                <a:endCxn id="38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sp macro="" textlink="">
          <xdr:nvSpPr>
            <xdr:cNvPr id="23" name="Text Box 87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16" y="1428"/>
              <a:ext cx="132" cy="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：外部インタフェース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4" name="AutoShape 89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2" y="1430"/>
              <a:ext cx="50" cy="19"/>
            </a:xfrm>
            <a:prstGeom prst="parallelogram">
              <a:avLst>
                <a:gd name="adj" fmla="val 65789"/>
              </a:avLst>
            </a:prstGeom>
            <a:solidFill>
              <a:srgbClr val="FFFFFF"/>
            </a:solidFill>
            <a:ln w="9525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5" name="AutoShape 33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83" y="1492"/>
              <a:ext cx="48" cy="27"/>
            </a:xfrm>
            <a:prstGeom prst="flowChartDecision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6" name="Text Box 72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41" y="1494"/>
              <a:ext cx="74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：条件分岐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grpSp>
          <xdr:nvGrpSpPr>
            <xdr:cNvPr id="27" name="グループ化 72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74" y="1456"/>
              <a:ext cx="19" cy="21"/>
              <a:chOff x="3195484" y="10763250"/>
              <a:chExt cx="187427" cy="182765"/>
            </a:xfrm>
          </xdr:grpSpPr>
          <xdr:sp macro="" textlink="">
            <xdr:nvSpPr>
              <xdr:cNvPr id="35" name="フローチャート : 結合子 183">
                <a:extLst>
                  <a:ext uri="{FF2B5EF4-FFF2-40B4-BE49-F238E27FC236}">
                    <a16:creationId xmlns:a16="http://schemas.microsoft.com/office/drawing/2014/main" id="{00000000-0008-0000-0200-000023000000}"/>
                  </a:ext>
                </a:extLst>
              </xdr:cNvPr>
              <xdr:cNvSpPr/>
            </xdr:nvSpPr>
            <xdr:spPr bwMode="auto">
              <a:xfrm>
                <a:off x="3256224" y="10827073"/>
                <a:ext cx="77328" cy="61405"/>
              </a:xfrm>
              <a:prstGeom prst="flowChartConnector">
                <a:avLst/>
              </a:prstGeom>
              <a:solidFill>
                <a:schemeClr val="tx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ja-JP" altLang="en-US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sp macro="" textlink="">
            <xdr:nvSpPr>
              <xdr:cNvPr id="36" name="フローチャート : 結合子 184">
                <a:extLst>
                  <a:ext uri="{FF2B5EF4-FFF2-40B4-BE49-F238E27FC236}">
                    <a16:creationId xmlns:a16="http://schemas.microsoft.com/office/drawing/2014/main" id="{00000000-0008-0000-0200-000024000000}"/>
                  </a:ext>
                </a:extLst>
              </xdr:cNvPr>
              <xdr:cNvSpPr/>
            </xdr:nvSpPr>
            <xdr:spPr bwMode="auto">
              <a:xfrm>
                <a:off x="3200989" y="10765668"/>
                <a:ext cx="176750" cy="184216"/>
              </a:xfrm>
              <a:prstGeom prst="flowChartConnector">
                <a:avLst/>
              </a:prstGeom>
              <a:noFill/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ja-JP" altLang="en-US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</xdr:grpSp>
        <xdr:sp macro="" textlink="">
          <xdr:nvSpPr>
            <xdr:cNvPr id="28" name="Text Box 87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9" y="1454"/>
              <a:ext cx="79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：処理 終了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9" name="Oval 13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4" y="1424"/>
              <a:ext cx="17" cy="18"/>
            </a:xfrm>
            <a:prstGeom prst="ellipse">
              <a:avLst/>
            </a:prstGeom>
            <a:solidFill>
              <a:srgbClr val="333333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0" name="Text Box 87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9" y="1421"/>
              <a:ext cx="79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：処理 開始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31" name="AutoShape 41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6" y="1466"/>
              <a:ext cx="43" cy="24"/>
            </a:xfrm>
            <a:prstGeom prst="flowChartManualIn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" name="Text Box 87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18" y="1463"/>
              <a:ext cx="46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：画面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33" name="AutoShape 43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7" y="1510"/>
              <a:ext cx="42" cy="22"/>
            </a:xfrm>
            <a:prstGeom prst="flowChartDocumen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4" name="Text Box 87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2" y="1509"/>
              <a:ext cx="46" cy="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：帳票</a:t>
              </a:r>
              <a:endParaRPr lang="ja-JP" altLang="en-US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20500" y="14561669"/>
            <a:ext cx="1460650" cy="31652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：トランザクション範囲</a:t>
            </a:r>
          </a:p>
        </xdr:txBody>
      </xdr:sp>
      <xdr:sp macro="" textlink="">
        <xdr:nvSpPr>
          <xdr:cNvPr id="5" name="大かっこ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236324" y="14500412"/>
            <a:ext cx="607219" cy="333374"/>
          </a:xfrm>
          <a:prstGeom prst="bracketPair">
            <a:avLst>
              <a:gd name="adj" fmla="val 26568"/>
            </a:avLst>
          </a:prstGeom>
          <a:ln w="25400">
            <a:solidFill>
              <a:srgbClr val="FF0000"/>
            </a:solidFill>
            <a:prstDash val="dash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8225117" y="14959853"/>
            <a:ext cx="616324" cy="27566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20500" y="14976286"/>
            <a:ext cx="1460650" cy="31652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：区分け</a:t>
            </a:r>
          </a:p>
        </xdr:txBody>
      </xdr:sp>
    </xdr:grpSp>
    <xdr:clientData/>
  </xdr:twoCellAnchor>
  <xdr:twoCellAnchor>
    <xdr:from>
      <xdr:col>39</xdr:col>
      <xdr:colOff>5607</xdr:colOff>
      <xdr:row>17</xdr:row>
      <xdr:rowOff>38100</xdr:rowOff>
    </xdr:from>
    <xdr:to>
      <xdr:col>39</xdr:col>
      <xdr:colOff>5607</xdr:colOff>
      <xdr:row>17</xdr:row>
      <xdr:rowOff>38100</xdr:rowOff>
    </xdr:to>
    <xdr:sp macro="" textlink="">
      <xdr:nvSpPr>
        <xdr:cNvPr id="51" name="Line 2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ShapeType="1"/>
        </xdr:cNvSpPr>
      </xdr:nvSpPr>
      <xdr:spPr bwMode="auto">
        <a:xfrm>
          <a:off x="7806582" y="358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</xdr:col>
      <xdr:colOff>41482</xdr:colOff>
      <xdr:row>18</xdr:row>
      <xdr:rowOff>107614</xdr:rowOff>
    </xdr:from>
    <xdr:ext cx="4330699" cy="325217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2841832" y="3850939"/>
          <a:ext cx="4330699" cy="325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sp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環境証明書申請可能製品リスト取込みバッチ　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Batch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24</xdr:col>
      <xdr:colOff>121367</xdr:colOff>
      <xdr:row>20</xdr:row>
      <xdr:rowOff>26415</xdr:rowOff>
    </xdr:from>
    <xdr:to>
      <xdr:col>25</xdr:col>
      <xdr:colOff>91770</xdr:colOff>
      <xdr:row>21</xdr:row>
      <xdr:rowOff>1396</xdr:rowOff>
    </xdr:to>
    <xdr:sp macro="" textlink="">
      <xdr:nvSpPr>
        <xdr:cNvPr id="53" name="Oval 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rrowheads="1"/>
        </xdr:cNvSpPr>
      </xdr:nvSpPr>
      <xdr:spPr bwMode="auto">
        <a:xfrm>
          <a:off x="4921967" y="4169790"/>
          <a:ext cx="170428" cy="175006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82539</xdr:colOff>
      <xdr:row>83</xdr:row>
      <xdr:rowOff>38414</xdr:rowOff>
    </xdr:from>
    <xdr:to>
      <xdr:col>25</xdr:col>
      <xdr:colOff>127366</xdr:colOff>
      <xdr:row>84</xdr:row>
      <xdr:rowOff>96845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4923480" y="16578296"/>
          <a:ext cx="246533" cy="260137"/>
          <a:chOff x="5591732" y="12046324"/>
          <a:chExt cx="246533" cy="257735"/>
        </a:xfrm>
      </xdr:grpSpPr>
      <xdr:sp macro="" textlink="">
        <xdr:nvSpPr>
          <xdr:cNvPr id="55" name="フローチャート : 結合子 18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 bwMode="auto">
          <a:xfrm>
            <a:off x="5591732" y="12046324"/>
            <a:ext cx="246533" cy="2577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6" name="フローチャート : 結合子 183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 bwMode="auto">
          <a:xfrm>
            <a:off x="5681383" y="12147177"/>
            <a:ext cx="77480" cy="6768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25</xdr:col>
      <xdr:colOff>6556</xdr:colOff>
      <xdr:row>42</xdr:row>
      <xdr:rowOff>160544</xdr:rowOff>
    </xdr:from>
    <xdr:to>
      <xdr:col>25</xdr:col>
      <xdr:colOff>6557</xdr:colOff>
      <xdr:row>44</xdr:row>
      <xdr:rowOff>1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>
          <a:stCxn id="58" idx="2"/>
          <a:endCxn id="77" idx="0"/>
        </xdr:cNvCxnSpPr>
      </xdr:nvCxnSpPr>
      <xdr:spPr>
        <a:xfrm>
          <a:off x="5007181" y="8437769"/>
          <a:ext cx="1" cy="2395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14271</xdr:colOff>
      <xdr:row>39</xdr:row>
      <xdr:rowOff>40</xdr:rowOff>
    </xdr:from>
    <xdr:to>
      <xdr:col>32</xdr:col>
      <xdr:colOff>198866</xdr:colOff>
      <xdr:row>42</xdr:row>
      <xdr:rowOff>160544</xdr:rowOff>
    </xdr:to>
    <xdr:sp macro="" textlink="">
      <xdr:nvSpPr>
        <xdr:cNvPr id="58" name="フローチャート: 判断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3414696" y="7677190"/>
          <a:ext cx="3184970" cy="760579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存在リスト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CSV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ファイルが存在する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6556</xdr:colOff>
      <xdr:row>45</xdr:row>
      <xdr:rowOff>104775</xdr:rowOff>
    </xdr:from>
    <xdr:to>
      <xdr:col>25</xdr:col>
      <xdr:colOff>6557</xdr:colOff>
      <xdr:row>47</xdr:row>
      <xdr:rowOff>136001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77" idx="2"/>
          <a:endCxn id="79" idx="0"/>
        </xdr:cNvCxnSpPr>
      </xdr:nvCxnSpPr>
      <xdr:spPr>
        <a:xfrm flipH="1">
          <a:off x="5007181" y="8982075"/>
          <a:ext cx="1" cy="43127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14270</xdr:colOff>
      <xdr:row>40</xdr:row>
      <xdr:rowOff>181146</xdr:rowOff>
    </xdr:from>
    <xdr:to>
      <xdr:col>24</xdr:col>
      <xdr:colOff>82538</xdr:colOff>
      <xdr:row>83</xdr:row>
      <xdr:rowOff>168483</xdr:rowOff>
    </xdr:to>
    <xdr:cxnSp macro="">
      <xdr:nvCxnSpPr>
        <xdr:cNvPr id="60" name="カギ線コネクタ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58" idx="1"/>
          <a:endCxn id="55" idx="2"/>
        </xdr:cNvCxnSpPr>
      </xdr:nvCxnSpPr>
      <xdr:spPr>
        <a:xfrm rot="10800000" flipH="1" flipV="1">
          <a:off x="3443270" y="8047675"/>
          <a:ext cx="1480209" cy="5231690"/>
        </a:xfrm>
        <a:prstGeom prst="bentConnector3">
          <a:avLst>
            <a:gd name="adj1" fmla="val -7903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133707</xdr:colOff>
      <xdr:row>42</xdr:row>
      <xdr:rowOff>125860</xdr:rowOff>
    </xdr:from>
    <xdr:to>
      <xdr:col>26</xdr:col>
      <xdr:colOff>91416</xdr:colOff>
      <xdr:row>44</xdr:row>
      <xdr:rowOff>13607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4934307" y="8403085"/>
          <a:ext cx="357759" cy="287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Y</a:t>
          </a:r>
        </a:p>
      </xdr:txBody>
    </xdr:sp>
    <xdr:clientData/>
  </xdr:twoCellAnchor>
  <xdr:twoCellAnchor>
    <xdr:from>
      <xdr:col>11</xdr:col>
      <xdr:colOff>59865</xdr:colOff>
      <xdr:row>32</xdr:row>
      <xdr:rowOff>108115</xdr:rowOff>
    </xdr:from>
    <xdr:to>
      <xdr:col>13</xdr:col>
      <xdr:colOff>21656</xdr:colOff>
      <xdr:row>34</xdr:row>
      <xdr:rowOff>3736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260140" y="6385090"/>
          <a:ext cx="361841" cy="2956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N</a:t>
          </a:r>
        </a:p>
      </xdr:txBody>
    </xdr:sp>
    <xdr:clientData/>
  </xdr:twoCellAnchor>
  <xdr:twoCellAnchor>
    <xdr:from>
      <xdr:col>17</xdr:col>
      <xdr:colOff>14271</xdr:colOff>
      <xdr:row>30</xdr:row>
      <xdr:rowOff>100608</xdr:rowOff>
    </xdr:from>
    <xdr:to>
      <xdr:col>32</xdr:col>
      <xdr:colOff>198866</xdr:colOff>
      <xdr:row>34</xdr:row>
      <xdr:rowOff>98986</xdr:rowOff>
    </xdr:to>
    <xdr:sp macro="" textlink="">
      <xdr:nvSpPr>
        <xdr:cNvPr id="63" name="フローチャート: 判断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3414696" y="5977533"/>
          <a:ext cx="3184970" cy="798478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グリーンマイスター共有フォルダ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にファイルが存在する</a:t>
          </a:r>
        </a:p>
      </xdr:txBody>
    </xdr:sp>
    <xdr:clientData/>
  </xdr:twoCellAnchor>
  <xdr:twoCellAnchor>
    <xdr:from>
      <xdr:col>25</xdr:col>
      <xdr:colOff>6556</xdr:colOff>
      <xdr:row>29</xdr:row>
      <xdr:rowOff>108858</xdr:rowOff>
    </xdr:from>
    <xdr:to>
      <xdr:col>25</xdr:col>
      <xdr:colOff>6557</xdr:colOff>
      <xdr:row>30</xdr:row>
      <xdr:rowOff>100608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>
          <a:stCxn id="74" idx="2"/>
          <a:endCxn id="63" idx="0"/>
        </xdr:cNvCxnSpPr>
      </xdr:nvCxnSpPr>
      <xdr:spPr>
        <a:xfrm flipH="1">
          <a:off x="5007181" y="5785758"/>
          <a:ext cx="1" cy="1917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14270</xdr:colOff>
      <xdr:row>32</xdr:row>
      <xdr:rowOff>99797</xdr:rowOff>
    </xdr:from>
    <xdr:to>
      <xdr:col>24</xdr:col>
      <xdr:colOff>82538</xdr:colOff>
      <xdr:row>83</xdr:row>
      <xdr:rowOff>168482</xdr:rowOff>
    </xdr:to>
    <xdr:cxnSp macro="">
      <xdr:nvCxnSpPr>
        <xdr:cNvPr id="65" name="カギ線コネクタ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>
          <a:stCxn id="63" idx="1"/>
          <a:endCxn id="55" idx="2"/>
        </xdr:cNvCxnSpPr>
      </xdr:nvCxnSpPr>
      <xdr:spPr>
        <a:xfrm rot="10800000" flipH="1" flipV="1">
          <a:off x="3443270" y="6352679"/>
          <a:ext cx="1480209" cy="6926685"/>
        </a:xfrm>
        <a:prstGeom prst="bentConnector3">
          <a:avLst>
            <a:gd name="adj1" fmla="val -7903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62219</xdr:colOff>
      <xdr:row>40</xdr:row>
      <xdr:rowOff>167684</xdr:rowOff>
    </xdr:from>
    <xdr:to>
      <xdr:col>13</xdr:col>
      <xdr:colOff>19928</xdr:colOff>
      <xdr:row>42</xdr:row>
      <xdr:rowOff>63305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2262494" y="8044859"/>
          <a:ext cx="357759" cy="2956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N</a:t>
          </a:r>
        </a:p>
      </xdr:txBody>
    </xdr:sp>
    <xdr:clientData/>
  </xdr:twoCellAnchor>
  <xdr:twoCellAnchor>
    <xdr:from>
      <xdr:col>17</xdr:col>
      <xdr:colOff>14434</xdr:colOff>
      <xdr:row>35</xdr:row>
      <xdr:rowOff>48615</xdr:rowOff>
    </xdr:from>
    <xdr:to>
      <xdr:col>32</xdr:col>
      <xdr:colOff>198704</xdr:colOff>
      <xdr:row>37</xdr:row>
      <xdr:rowOff>185502</xdr:rowOff>
    </xdr:to>
    <xdr:sp macro="" textlink="">
      <xdr:nvSpPr>
        <xdr:cNvPr id="67" name="フローチャート: 処理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3414859" y="6925665"/>
          <a:ext cx="3184645" cy="536937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1-3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最新</a:t>
          </a:r>
          <a:r>
            <a:rPr kumimoji="1" lang="ja-JP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存在リスト用制御ファイル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を取得する</a:t>
          </a:r>
        </a:p>
      </xdr:txBody>
    </xdr:sp>
    <xdr:clientData/>
  </xdr:twoCellAnchor>
  <xdr:twoCellAnchor>
    <xdr:from>
      <xdr:col>25</xdr:col>
      <xdr:colOff>6556</xdr:colOff>
      <xdr:row>37</xdr:row>
      <xdr:rowOff>185502</xdr:rowOff>
    </xdr:from>
    <xdr:to>
      <xdr:col>25</xdr:col>
      <xdr:colOff>6557</xdr:colOff>
      <xdr:row>39</xdr:row>
      <xdr:rowOff>40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>
          <a:stCxn id="67" idx="2"/>
          <a:endCxn id="58" idx="0"/>
        </xdr:cNvCxnSpPr>
      </xdr:nvCxnSpPr>
      <xdr:spPr>
        <a:xfrm flipH="1">
          <a:off x="5007181" y="7462602"/>
          <a:ext cx="1" cy="21458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6556</xdr:colOff>
      <xdr:row>34</xdr:row>
      <xdr:rowOff>98986</xdr:rowOff>
    </xdr:from>
    <xdr:to>
      <xdr:col>25</xdr:col>
      <xdr:colOff>6557</xdr:colOff>
      <xdr:row>35</xdr:row>
      <xdr:rowOff>48615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>
          <a:stCxn id="63" idx="2"/>
          <a:endCxn id="67" idx="0"/>
        </xdr:cNvCxnSpPr>
      </xdr:nvCxnSpPr>
      <xdr:spPr>
        <a:xfrm>
          <a:off x="5007181" y="6776011"/>
          <a:ext cx="1" cy="1496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11173</xdr:colOff>
      <xdr:row>56</xdr:row>
      <xdr:rowOff>159120</xdr:rowOff>
    </xdr:from>
    <xdr:to>
      <xdr:col>25</xdr:col>
      <xdr:colOff>17749</xdr:colOff>
      <xdr:row>58</xdr:row>
      <xdr:rowOff>44823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>
          <a:stCxn id="102" idx="2"/>
          <a:endCxn id="120" idx="1"/>
        </xdr:cNvCxnSpPr>
      </xdr:nvCxnSpPr>
      <xdr:spPr>
        <a:xfrm>
          <a:off x="5053820" y="11252944"/>
          <a:ext cx="6576" cy="28911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4101</xdr:colOff>
      <xdr:row>80</xdr:row>
      <xdr:rowOff>39940</xdr:rowOff>
    </xdr:from>
    <xdr:to>
      <xdr:col>25</xdr:col>
      <xdr:colOff>5717</xdr:colOff>
      <xdr:row>83</xdr:row>
      <xdr:rowOff>38413</xdr:rowOff>
    </xdr:to>
    <xdr:cxnSp macro="">
      <xdr:nvCxnSpPr>
        <xdr:cNvPr id="71" name="カギ線コネクタ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>
          <a:stCxn id="95" idx="2"/>
          <a:endCxn id="55" idx="0"/>
        </xdr:cNvCxnSpPr>
      </xdr:nvCxnSpPr>
      <xdr:spPr>
        <a:xfrm rot="5400000">
          <a:off x="4745760" y="15670575"/>
          <a:ext cx="603591" cy="161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73479</xdr:colOff>
      <xdr:row>26</xdr:row>
      <xdr:rowOff>160565</xdr:rowOff>
    </xdr:from>
    <xdr:to>
      <xdr:col>8</xdr:col>
      <xdr:colOff>133351</xdr:colOff>
      <xdr:row>30</xdr:row>
      <xdr:rowOff>66675</xdr:rowOff>
    </xdr:to>
    <xdr:sp macro="" textlink="">
      <xdr:nvSpPr>
        <xdr:cNvPr id="72" name="AutoShape 89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>
          <a:spLocks noChangeArrowheads="1"/>
        </xdr:cNvSpPr>
      </xdr:nvSpPr>
      <xdr:spPr bwMode="auto">
        <a:xfrm>
          <a:off x="73479" y="5313590"/>
          <a:ext cx="1660072" cy="630010"/>
        </a:xfrm>
        <a:prstGeom prst="parallelogram">
          <a:avLst>
            <a:gd name="adj" fmla="val 65789"/>
          </a:avLst>
        </a:prstGeom>
        <a:solidFill>
          <a:srgbClr val="FFFFFF"/>
        </a:solidFill>
        <a:ln w="22225" algn="ctr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anchor="ctr" anchorCtr="1"/>
        <a:lstStyle/>
        <a:p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グリーンマイスター共有フォルダ（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S3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7</xdr:col>
      <xdr:colOff>126137</xdr:colOff>
      <xdr:row>28</xdr:row>
      <xdr:rowOff>151720</xdr:rowOff>
    </xdr:from>
    <xdr:to>
      <xdr:col>17</xdr:col>
      <xdr:colOff>14434</xdr:colOff>
      <xdr:row>28</xdr:row>
      <xdr:rowOff>154442</xdr:rowOff>
    </xdr:to>
    <xdr:cxnSp macro="">
      <xdr:nvCxnSpPr>
        <xdr:cNvPr id="73" name="カギ線コネクタ 17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stCxn id="72" idx="2"/>
          <a:endCxn id="74" idx="1"/>
        </xdr:cNvCxnSpPr>
      </xdr:nvCxnSpPr>
      <xdr:spPr>
        <a:xfrm>
          <a:off x="1526312" y="5628595"/>
          <a:ext cx="1888547" cy="272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14434</xdr:colOff>
      <xdr:row>28</xdr:row>
      <xdr:rowOff>1</xdr:rowOff>
    </xdr:from>
    <xdr:to>
      <xdr:col>32</xdr:col>
      <xdr:colOff>198704</xdr:colOff>
      <xdr:row>29</xdr:row>
      <xdr:rowOff>108858</xdr:rowOff>
    </xdr:to>
    <xdr:sp macro="" textlink="">
      <xdr:nvSpPr>
        <xdr:cNvPr id="74" name="フローチャート: 処理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3414859" y="5476876"/>
          <a:ext cx="3184645" cy="308882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1-2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ファイル存在確認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6556</xdr:colOff>
      <xdr:row>21</xdr:row>
      <xdr:rowOff>1396</xdr:rowOff>
    </xdr:from>
    <xdr:to>
      <xdr:col>25</xdr:col>
      <xdr:colOff>6557</xdr:colOff>
      <xdr:row>23</xdr:row>
      <xdr:rowOff>85726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>
          <a:stCxn id="53" idx="4"/>
          <a:endCxn id="87" idx="0"/>
        </xdr:cNvCxnSpPr>
      </xdr:nvCxnSpPr>
      <xdr:spPr>
        <a:xfrm>
          <a:off x="5007181" y="4344796"/>
          <a:ext cx="1" cy="4081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138383</xdr:colOff>
      <xdr:row>36</xdr:row>
      <xdr:rowOff>117059</xdr:rowOff>
    </xdr:from>
    <xdr:to>
      <xdr:col>17</xdr:col>
      <xdr:colOff>14434</xdr:colOff>
      <xdr:row>36</xdr:row>
      <xdr:rowOff>124505</xdr:rowOff>
    </xdr:to>
    <xdr:cxnSp macro="">
      <xdr:nvCxnSpPr>
        <xdr:cNvPr id="76" name="カギ線コネクタ 130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>
          <a:stCxn id="89" idx="2"/>
          <a:endCxn id="67" idx="1"/>
        </xdr:cNvCxnSpPr>
      </xdr:nvCxnSpPr>
      <xdr:spPr>
        <a:xfrm flipV="1">
          <a:off x="1538558" y="7194134"/>
          <a:ext cx="1876301" cy="744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14434</xdr:colOff>
      <xdr:row>44</xdr:row>
      <xdr:rowOff>1</xdr:rowOff>
    </xdr:from>
    <xdr:to>
      <xdr:col>32</xdr:col>
      <xdr:colOff>198704</xdr:colOff>
      <xdr:row>45</xdr:row>
      <xdr:rowOff>104775</xdr:rowOff>
    </xdr:to>
    <xdr:sp macro="" textlink="">
      <xdr:nvSpPr>
        <xdr:cNvPr id="77" name="フローチャート: 処理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3414859" y="8677276"/>
          <a:ext cx="3184645" cy="304799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1-4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存在リスト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CSV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ファイルを取得する</a:t>
          </a:r>
        </a:p>
      </xdr:txBody>
    </xdr:sp>
    <xdr:clientData/>
  </xdr:twoCellAnchor>
  <xdr:twoCellAnchor>
    <xdr:from>
      <xdr:col>25</xdr:col>
      <xdr:colOff>4440</xdr:colOff>
      <xdr:row>33</xdr:row>
      <xdr:rowOff>196618</xdr:rowOff>
    </xdr:from>
    <xdr:to>
      <xdr:col>26</xdr:col>
      <xdr:colOff>162174</xdr:colOff>
      <xdr:row>35</xdr:row>
      <xdr:rowOff>84364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5005065" y="6673618"/>
          <a:ext cx="357759" cy="2877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Y</a:t>
          </a:r>
        </a:p>
      </xdr:txBody>
    </xdr:sp>
    <xdr:clientData/>
  </xdr:twoCellAnchor>
  <xdr:twoCellAnchor>
    <xdr:from>
      <xdr:col>17</xdr:col>
      <xdr:colOff>14271</xdr:colOff>
      <xdr:row>47</xdr:row>
      <xdr:rowOff>136001</xdr:rowOff>
    </xdr:from>
    <xdr:to>
      <xdr:col>32</xdr:col>
      <xdr:colOff>198866</xdr:colOff>
      <xdr:row>51</xdr:row>
      <xdr:rowOff>33465</xdr:rowOff>
    </xdr:to>
    <xdr:sp macro="" textlink="">
      <xdr:nvSpPr>
        <xdr:cNvPr id="79" name="フローチャート: 判断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3414696" y="9413351"/>
          <a:ext cx="3184970" cy="697564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存在リスト</a:t>
          </a:r>
          <a:r>
            <a:rPr kumimoji="1" lang="en-US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CSV</a:t>
          </a:r>
          <a:r>
            <a:rPr kumimoji="1" lang="ja-JP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のレコード</a:t>
          </a:r>
          <a:r>
            <a:rPr kumimoji="1" lang="ja-JP" altLang="en-US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件数</a:t>
          </a:r>
          <a:endParaRPr lang="ja-JP" altLang="ja-JP" sz="4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10486</xdr:colOff>
      <xdr:row>54</xdr:row>
      <xdr:rowOff>47500</xdr:rowOff>
    </xdr:from>
    <xdr:to>
      <xdr:col>25</xdr:col>
      <xdr:colOff>11173</xdr:colOff>
      <xdr:row>55</xdr:row>
      <xdr:rowOff>54346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>
          <a:stCxn id="114" idx="1"/>
          <a:endCxn id="102" idx="0"/>
        </xdr:cNvCxnSpPr>
      </xdr:nvCxnSpPr>
      <xdr:spPr>
        <a:xfrm>
          <a:off x="5053133" y="10737912"/>
          <a:ext cx="687" cy="20855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14270</xdr:colOff>
      <xdr:row>49</xdr:row>
      <xdr:rowOff>84733</xdr:rowOff>
    </xdr:from>
    <xdr:to>
      <xdr:col>24</xdr:col>
      <xdr:colOff>82538</xdr:colOff>
      <xdr:row>83</xdr:row>
      <xdr:rowOff>168482</xdr:rowOff>
    </xdr:to>
    <xdr:cxnSp macro="">
      <xdr:nvCxnSpPr>
        <xdr:cNvPr id="81" name="カギ線コネクタ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>
          <a:stCxn id="79" idx="1"/>
          <a:endCxn id="55" idx="2"/>
        </xdr:cNvCxnSpPr>
      </xdr:nvCxnSpPr>
      <xdr:spPr>
        <a:xfrm rot="10800000" flipH="1" flipV="1">
          <a:off x="3443270" y="9766615"/>
          <a:ext cx="1480209" cy="3512749"/>
        </a:xfrm>
        <a:prstGeom prst="bentConnector3">
          <a:avLst>
            <a:gd name="adj1" fmla="val -7903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49</xdr:row>
      <xdr:rowOff>190500</xdr:rowOff>
    </xdr:from>
    <xdr:to>
      <xdr:col>13</xdr:col>
      <xdr:colOff>114300</xdr:colOff>
      <xdr:row>51</xdr:row>
      <xdr:rowOff>136072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2219325" y="9867900"/>
          <a:ext cx="495300" cy="3456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0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件</a:t>
          </a:r>
          <a:endParaRPr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149038</xdr:colOff>
      <xdr:row>50</xdr:row>
      <xdr:rowOff>158803</xdr:rowOff>
    </xdr:from>
    <xdr:to>
      <xdr:col>30</xdr:col>
      <xdr:colOff>159925</xdr:colOff>
      <xdr:row>52</xdr:row>
      <xdr:rowOff>33618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5191685" y="10042391"/>
          <a:ext cx="1019416" cy="2782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件以上</a:t>
          </a:r>
          <a:endParaRPr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161925</xdr:colOff>
      <xdr:row>22</xdr:row>
      <xdr:rowOff>9525</xdr:rowOff>
    </xdr:from>
    <xdr:to>
      <xdr:col>7</xdr:col>
      <xdr:colOff>66674</xdr:colOff>
      <xdr:row>26</xdr:row>
      <xdr:rowOff>125187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/>
      </xdr:nvGrpSpPr>
      <xdr:grpSpPr>
        <a:xfrm>
          <a:off x="565337" y="4514290"/>
          <a:ext cx="913278" cy="743191"/>
          <a:chOff x="8694964" y="10545535"/>
          <a:chExt cx="925285" cy="775608"/>
        </a:xfrm>
      </xdr:grpSpPr>
      <xdr:sp macro="" textlink="">
        <xdr:nvSpPr>
          <xdr:cNvPr id="85" name="AutoShape 75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>
            <a:spLocks noChangeArrowheads="1"/>
          </xdr:cNvSpPr>
        </xdr:nvSpPr>
        <xdr:spPr bwMode="auto">
          <a:xfrm>
            <a:off x="8694964" y="10545535"/>
            <a:ext cx="925285" cy="775608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SpPr txBox="1"/>
        </xdr:nvSpPr>
        <xdr:spPr>
          <a:xfrm>
            <a:off x="8708572" y="10661669"/>
            <a:ext cx="870858" cy="6594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ja-JP" sz="1100" b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CronJob</a:t>
            </a:r>
            <a:r>
              <a:rPr lang="ja-JP" altLang="ja-JP" sz="1100" b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ジョブ</a:t>
            </a:r>
            <a:endParaRPr lang="ja-JP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14434</xdr:colOff>
      <xdr:row>23</xdr:row>
      <xdr:rowOff>85726</xdr:rowOff>
    </xdr:from>
    <xdr:to>
      <xdr:col>32</xdr:col>
      <xdr:colOff>198704</xdr:colOff>
      <xdr:row>25</xdr:row>
      <xdr:rowOff>70758</xdr:rowOff>
    </xdr:to>
    <xdr:sp macro="" textlink="">
      <xdr:nvSpPr>
        <xdr:cNvPr id="87" name="フローチャート: 処理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3414859" y="4752976"/>
          <a:ext cx="3184645" cy="308882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1-1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前回処理日時の存在リスト用制御ファイル名を取得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6557</xdr:colOff>
      <xdr:row>25</xdr:row>
      <xdr:rowOff>70758</xdr:rowOff>
    </xdr:from>
    <xdr:to>
      <xdr:col>25</xdr:col>
      <xdr:colOff>6557</xdr:colOff>
      <xdr:row>28</xdr:row>
      <xdr:rowOff>1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>
          <a:stCxn id="87" idx="2"/>
          <a:endCxn id="74" idx="0"/>
        </xdr:cNvCxnSpPr>
      </xdr:nvCxnSpPr>
      <xdr:spPr>
        <a:xfrm>
          <a:off x="5007182" y="5061858"/>
          <a:ext cx="0" cy="41501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35</xdr:row>
      <xdr:rowOff>9525</xdr:rowOff>
    </xdr:from>
    <xdr:to>
      <xdr:col>8</xdr:col>
      <xdr:colOff>145597</xdr:colOff>
      <xdr:row>38</xdr:row>
      <xdr:rowOff>39460</xdr:rowOff>
    </xdr:to>
    <xdr:sp macro="" textlink="">
      <xdr:nvSpPr>
        <xdr:cNvPr id="89" name="AutoShape 89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Arrowheads="1"/>
        </xdr:cNvSpPr>
      </xdr:nvSpPr>
      <xdr:spPr bwMode="auto">
        <a:xfrm>
          <a:off x="85725" y="6886575"/>
          <a:ext cx="1660072" cy="630010"/>
        </a:xfrm>
        <a:prstGeom prst="parallelogram">
          <a:avLst>
            <a:gd name="adj" fmla="val 65789"/>
          </a:avLst>
        </a:prstGeom>
        <a:solidFill>
          <a:srgbClr val="FFFFFF"/>
        </a:solidFill>
        <a:ln w="22225" algn="ctr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anchor="ctr" anchorCtr="1"/>
        <a:lstStyle/>
        <a:p>
          <a:r>
            <a:rPr lang="ja-JP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存在リスト用制御ファイル</a:t>
          </a:r>
          <a:endParaRPr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66675</xdr:colOff>
      <xdr:row>43</xdr:row>
      <xdr:rowOff>38100</xdr:rowOff>
    </xdr:from>
    <xdr:to>
      <xdr:col>8</xdr:col>
      <xdr:colOff>126547</xdr:colOff>
      <xdr:row>46</xdr:row>
      <xdr:rowOff>68035</xdr:rowOff>
    </xdr:to>
    <xdr:sp macro="" textlink="">
      <xdr:nvSpPr>
        <xdr:cNvPr id="90" name="AutoShap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Arrowheads="1"/>
        </xdr:cNvSpPr>
      </xdr:nvSpPr>
      <xdr:spPr bwMode="auto">
        <a:xfrm>
          <a:off x="66675" y="8515350"/>
          <a:ext cx="1660072" cy="630010"/>
        </a:xfrm>
        <a:prstGeom prst="parallelogram">
          <a:avLst>
            <a:gd name="adj" fmla="val 65789"/>
          </a:avLst>
        </a:prstGeom>
        <a:solidFill>
          <a:srgbClr val="FFFFFF"/>
        </a:solidFill>
        <a:ln w="22225" algn="ctr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anchor="ctr" anchorCtr="1"/>
        <a:lstStyle/>
        <a:p>
          <a:r>
            <a:rPr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存在リスト</a:t>
          </a:r>
          <a:r>
            <a:rPr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CSV</a:t>
          </a:r>
          <a:r>
            <a:rPr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</a:t>
          </a:r>
          <a:endParaRPr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119333</xdr:colOff>
      <xdr:row>44</xdr:row>
      <xdr:rowOff>152401</xdr:rowOff>
    </xdr:from>
    <xdr:to>
      <xdr:col>17</xdr:col>
      <xdr:colOff>14434</xdr:colOff>
      <xdr:row>44</xdr:row>
      <xdr:rowOff>153080</xdr:rowOff>
    </xdr:to>
    <xdr:cxnSp macro="">
      <xdr:nvCxnSpPr>
        <xdr:cNvPr id="91" name="カギ線コネクタ 13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>
          <a:stCxn id="90" idx="2"/>
          <a:endCxn id="77" idx="1"/>
        </xdr:cNvCxnSpPr>
      </xdr:nvCxnSpPr>
      <xdr:spPr>
        <a:xfrm flipV="1">
          <a:off x="1519508" y="8829676"/>
          <a:ext cx="1895351" cy="67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14434</xdr:colOff>
      <xdr:row>73</xdr:row>
      <xdr:rowOff>189940</xdr:rowOff>
    </xdr:from>
    <xdr:to>
      <xdr:col>32</xdr:col>
      <xdr:colOff>198704</xdr:colOff>
      <xdr:row>76</xdr:row>
      <xdr:rowOff>123264</xdr:rowOff>
    </xdr:to>
    <xdr:sp macro="" textlink="">
      <xdr:nvSpPr>
        <xdr:cNvPr id="92" name="フローチャート: 処理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3443434" y="14107646"/>
          <a:ext cx="3209858" cy="538442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1-7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グリーンマイスター共有フォルダ（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S3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）から取得した存在リスト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CSV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ファイルを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S3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バックアップフォルダへ保存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75</xdr:row>
      <xdr:rowOff>45384</xdr:rowOff>
    </xdr:from>
    <xdr:to>
      <xdr:col>41</xdr:col>
      <xdr:colOff>133350</xdr:colOff>
      <xdr:row>75</xdr:row>
      <xdr:rowOff>54909</xdr:rowOff>
    </xdr:to>
    <xdr:sp macro="" textlink="">
      <xdr:nvSpPr>
        <xdr:cNvPr id="94" name="Line 79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ShapeType="1"/>
        </xdr:cNvSpPr>
      </xdr:nvSpPr>
      <xdr:spPr bwMode="auto">
        <a:xfrm flipV="1">
          <a:off x="6656294" y="14366502"/>
          <a:ext cx="1746997" cy="95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sp>
    <xdr:clientData/>
  </xdr:twoCellAnchor>
  <xdr:twoCellAnchor>
    <xdr:from>
      <xdr:col>17</xdr:col>
      <xdr:colOff>14434</xdr:colOff>
      <xdr:row>78</xdr:row>
      <xdr:rowOff>132790</xdr:rowOff>
    </xdr:from>
    <xdr:to>
      <xdr:col>32</xdr:col>
      <xdr:colOff>198704</xdr:colOff>
      <xdr:row>80</xdr:row>
      <xdr:rowOff>39941</xdr:rowOff>
    </xdr:to>
    <xdr:sp macro="" textlink="">
      <xdr:nvSpPr>
        <xdr:cNvPr id="95" name="フローチャート: 処理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3443434" y="15059025"/>
          <a:ext cx="3209858" cy="310563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1-8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終了処理</a:t>
          </a:r>
        </a:p>
      </xdr:txBody>
    </xdr:sp>
    <xdr:clientData/>
  </xdr:twoCellAnchor>
  <xdr:twoCellAnchor>
    <xdr:from>
      <xdr:col>25</xdr:col>
      <xdr:colOff>6557</xdr:colOff>
      <xdr:row>76</xdr:row>
      <xdr:rowOff>123264</xdr:rowOff>
    </xdr:from>
    <xdr:to>
      <xdr:col>25</xdr:col>
      <xdr:colOff>6557</xdr:colOff>
      <xdr:row>78</xdr:row>
      <xdr:rowOff>132790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>
          <a:stCxn id="92" idx="2"/>
          <a:endCxn id="95" idx="0"/>
        </xdr:cNvCxnSpPr>
      </xdr:nvCxnSpPr>
      <xdr:spPr>
        <a:xfrm>
          <a:off x="5049204" y="14646088"/>
          <a:ext cx="0" cy="41293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66674</xdr:colOff>
      <xdr:row>24</xdr:row>
      <xdr:rowOff>67356</xdr:rowOff>
    </xdr:from>
    <xdr:to>
      <xdr:col>17</xdr:col>
      <xdr:colOff>14434</xdr:colOff>
      <xdr:row>24</xdr:row>
      <xdr:rowOff>78242</xdr:rowOff>
    </xdr:to>
    <xdr:cxnSp macro="">
      <xdr:nvCxnSpPr>
        <xdr:cNvPr id="97" name="カギ線コネクタ 17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>
          <a:stCxn id="85" idx="4"/>
          <a:endCxn id="87" idx="1"/>
        </xdr:cNvCxnSpPr>
      </xdr:nvCxnSpPr>
      <xdr:spPr>
        <a:xfrm>
          <a:off x="1466849" y="4896531"/>
          <a:ext cx="1948010" cy="1088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152400</xdr:colOff>
      <xdr:row>77</xdr:row>
      <xdr:rowOff>73959</xdr:rowOff>
    </xdr:from>
    <xdr:to>
      <xdr:col>40</xdr:col>
      <xdr:colOff>57149</xdr:colOff>
      <xdr:row>81</xdr:row>
      <xdr:rowOff>37221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GrpSpPr/>
      </xdr:nvGrpSpPr>
      <xdr:grpSpPr>
        <a:xfrm>
          <a:off x="7212106" y="15403606"/>
          <a:ext cx="913278" cy="770086"/>
          <a:chOff x="8694964" y="10545535"/>
          <a:chExt cx="925285" cy="775608"/>
        </a:xfrm>
      </xdr:grpSpPr>
      <xdr:sp macro="" textlink="">
        <xdr:nvSpPr>
          <xdr:cNvPr id="99" name="AutoShape 75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SpPr>
            <a:spLocks noChangeArrowheads="1"/>
          </xdr:cNvSpPr>
        </xdr:nvSpPr>
        <xdr:spPr bwMode="auto">
          <a:xfrm>
            <a:off x="8694964" y="10545535"/>
            <a:ext cx="925285" cy="775608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SpPr txBox="1"/>
        </xdr:nvSpPr>
        <xdr:spPr>
          <a:xfrm>
            <a:off x="8708572" y="10661669"/>
            <a:ext cx="870858" cy="6594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ja-JP" sz="1100" b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CronJob</a:t>
            </a:r>
            <a:r>
              <a:rPr lang="ja-JP" altLang="ja-JP" sz="1100" b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ジョブ</a:t>
            </a:r>
            <a:endParaRPr lang="ja-JP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33</xdr:col>
      <xdr:colOff>0</xdr:colOff>
      <xdr:row>79</xdr:row>
      <xdr:rowOff>83483</xdr:rowOff>
    </xdr:from>
    <xdr:to>
      <xdr:col>35</xdr:col>
      <xdr:colOff>161925</xdr:colOff>
      <xdr:row>79</xdr:row>
      <xdr:rowOff>83483</xdr:rowOff>
    </xdr:to>
    <xdr:sp macro="" textlink="">
      <xdr:nvSpPr>
        <xdr:cNvPr id="101" name="Line 79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ShapeType="1"/>
        </xdr:cNvSpPr>
      </xdr:nvSpPr>
      <xdr:spPr bwMode="auto">
        <a:xfrm flipV="1">
          <a:off x="6656294" y="15211424"/>
          <a:ext cx="565337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sp>
    <xdr:clientData/>
  </xdr:twoCellAnchor>
  <xdr:twoCellAnchor>
    <xdr:from>
      <xdr:col>17</xdr:col>
      <xdr:colOff>19050</xdr:colOff>
      <xdr:row>55</xdr:row>
      <xdr:rowOff>54346</xdr:rowOff>
    </xdr:from>
    <xdr:to>
      <xdr:col>33</xdr:col>
      <xdr:colOff>3295</xdr:colOff>
      <xdr:row>56</xdr:row>
      <xdr:rowOff>159120</xdr:rowOff>
    </xdr:to>
    <xdr:sp macro="" textlink="">
      <xdr:nvSpPr>
        <xdr:cNvPr id="102" name="フローチャート: 処理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3448050" y="10946464"/>
          <a:ext cx="3211539" cy="306480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1-5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環境証明書申請製品情報テーブル洗い替え</a:t>
          </a:r>
        </a:p>
      </xdr:txBody>
    </xdr:sp>
    <xdr:clientData/>
  </xdr:twoCellAnchor>
  <xdr:twoCellAnchor>
    <xdr:from>
      <xdr:col>36</xdr:col>
      <xdr:colOff>11210</xdr:colOff>
      <xdr:row>53</xdr:row>
      <xdr:rowOff>147918</xdr:rowOff>
    </xdr:from>
    <xdr:to>
      <xdr:col>42</xdr:col>
      <xdr:colOff>125505</xdr:colOff>
      <xdr:row>58</xdr:row>
      <xdr:rowOff>43144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GrpSpPr/>
      </xdr:nvGrpSpPr>
      <xdr:grpSpPr>
        <a:xfrm>
          <a:off x="7272622" y="10636624"/>
          <a:ext cx="1324530" cy="903755"/>
          <a:chOff x="8694964" y="10545535"/>
          <a:chExt cx="925285" cy="775608"/>
        </a:xfrm>
      </xdr:grpSpPr>
      <xdr:sp macro="" textlink="">
        <xdr:nvSpPr>
          <xdr:cNvPr id="104" name="AutoShape 75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SpPr>
            <a:spLocks noChangeArrowheads="1"/>
          </xdr:cNvSpPr>
        </xdr:nvSpPr>
        <xdr:spPr bwMode="auto">
          <a:xfrm>
            <a:off x="8694964" y="10545535"/>
            <a:ext cx="925285" cy="775608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SpPr txBox="1"/>
        </xdr:nvSpPr>
        <xdr:spPr>
          <a:xfrm>
            <a:off x="8708571" y="10763250"/>
            <a:ext cx="849291" cy="4757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環境証明書申請製品情報テーブル</a:t>
            </a:r>
          </a:p>
        </xdr:txBody>
      </xdr:sp>
    </xdr:grpSp>
    <xdr:clientData/>
  </xdr:twoCellAnchor>
  <xdr:twoCellAnchor>
    <xdr:from>
      <xdr:col>0</xdr:col>
      <xdr:colOff>85725</xdr:colOff>
      <xdr:row>54</xdr:row>
      <xdr:rowOff>92446</xdr:rowOff>
    </xdr:from>
    <xdr:to>
      <xdr:col>8</xdr:col>
      <xdr:colOff>145597</xdr:colOff>
      <xdr:row>57</xdr:row>
      <xdr:rowOff>122382</xdr:rowOff>
    </xdr:to>
    <xdr:sp macro="" textlink="">
      <xdr:nvSpPr>
        <xdr:cNvPr id="106" name="AutoShape 89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Arrowheads="1"/>
        </xdr:cNvSpPr>
      </xdr:nvSpPr>
      <xdr:spPr bwMode="auto">
        <a:xfrm>
          <a:off x="85725" y="10782858"/>
          <a:ext cx="1673519" cy="635053"/>
        </a:xfrm>
        <a:prstGeom prst="parallelogram">
          <a:avLst>
            <a:gd name="adj" fmla="val 65789"/>
          </a:avLst>
        </a:prstGeom>
        <a:solidFill>
          <a:srgbClr val="FFFFFF"/>
        </a:solidFill>
        <a:ln w="22225" algn="ctr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anchor="ctr" anchorCtr="1"/>
        <a:lstStyle/>
        <a:p>
          <a:r>
            <a:rPr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存在リスト</a:t>
          </a:r>
          <a:r>
            <a:rPr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CSV</a:t>
          </a:r>
          <a:r>
            <a:rPr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</a:t>
          </a:r>
          <a:endParaRPr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138383</xdr:colOff>
      <xdr:row>56</xdr:row>
      <xdr:rowOff>5040</xdr:rowOff>
    </xdr:from>
    <xdr:to>
      <xdr:col>17</xdr:col>
      <xdr:colOff>19050</xdr:colOff>
      <xdr:row>56</xdr:row>
      <xdr:rowOff>5720</xdr:rowOff>
    </xdr:to>
    <xdr:cxnSp macro="">
      <xdr:nvCxnSpPr>
        <xdr:cNvPr id="107" name="カギ線コネクタ 130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CxnSpPr>
          <a:stCxn id="106" idx="2"/>
          <a:endCxn id="102" idx="1"/>
        </xdr:cNvCxnSpPr>
      </xdr:nvCxnSpPr>
      <xdr:spPr>
        <a:xfrm flipV="1">
          <a:off x="1550324" y="11098864"/>
          <a:ext cx="1897726" cy="68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3295</xdr:colOff>
      <xdr:row>56</xdr:row>
      <xdr:rowOff>5040</xdr:rowOff>
    </xdr:from>
    <xdr:to>
      <xdr:col>36</xdr:col>
      <xdr:colOff>4</xdr:colOff>
      <xdr:row>56</xdr:row>
      <xdr:rowOff>5040</xdr:rowOff>
    </xdr:to>
    <xdr:cxnSp macro="">
      <xdr:nvCxnSpPr>
        <xdr:cNvPr id="108" name="カギ線コネクタ 130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>
          <a:stCxn id="102" idx="3"/>
        </xdr:cNvCxnSpPr>
      </xdr:nvCxnSpPr>
      <xdr:spPr>
        <a:xfrm>
          <a:off x="6659589" y="11098864"/>
          <a:ext cx="601827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108857</xdr:colOff>
      <xdr:row>54</xdr:row>
      <xdr:rowOff>194499</xdr:rowOff>
    </xdr:from>
    <xdr:to>
      <xdr:col>34</xdr:col>
      <xdr:colOff>54429</xdr:colOff>
      <xdr:row>57</xdr:row>
      <xdr:rowOff>126465</xdr:rowOff>
    </xdr:to>
    <xdr:sp macro="" textlink="">
      <xdr:nvSpPr>
        <xdr:cNvPr id="109" name="大かっこ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3134445" y="10884911"/>
          <a:ext cx="3777984" cy="537083"/>
        </a:xfrm>
        <a:prstGeom prst="bracketPair">
          <a:avLst>
            <a:gd name="adj" fmla="val 26568"/>
          </a:avLst>
        </a:prstGeom>
        <a:ln w="25400">
          <a:solidFill>
            <a:srgbClr val="FF0000"/>
          </a:solidFill>
          <a:prstDash val="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156881</xdr:colOff>
      <xdr:row>52</xdr:row>
      <xdr:rowOff>78441</xdr:rowOff>
    </xdr:from>
    <xdr:to>
      <xdr:col>35</xdr:col>
      <xdr:colOff>65797</xdr:colOff>
      <xdr:row>54</xdr:row>
      <xdr:rowOff>47500</xdr:rowOff>
    </xdr:to>
    <xdr:sp macro="" textlink="">
      <xdr:nvSpPr>
        <xdr:cNvPr id="114" name="片側の 2 つの角を切り取った四角形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 bwMode="auto">
        <a:xfrm>
          <a:off x="2980763" y="10365441"/>
          <a:ext cx="4144740" cy="372471"/>
        </a:xfrm>
        <a:prstGeom prst="snip2SameRect">
          <a:avLst/>
        </a:prstGeom>
        <a:solidFill>
          <a:schemeClr val="accent2">
            <a:lumMod val="60000"/>
            <a:lumOff val="40000"/>
          </a:schemeClr>
        </a:solidFill>
        <a:ln w="952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ループ条件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  <a:r>
            <a:rPr lang="ja-JP" altLang="en-US" sz="1000" b="0" i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ファイル内の情報の終端まで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5716</xdr:colOff>
      <xdr:row>51</xdr:row>
      <xdr:rowOff>33465</xdr:rowOff>
    </xdr:from>
    <xdr:to>
      <xdr:col>25</xdr:col>
      <xdr:colOff>10486</xdr:colOff>
      <xdr:row>52</xdr:row>
      <xdr:rowOff>78441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CxnSpPr>
          <a:stCxn id="79" idx="2"/>
          <a:endCxn id="114" idx="3"/>
        </xdr:cNvCxnSpPr>
      </xdr:nvCxnSpPr>
      <xdr:spPr>
        <a:xfrm>
          <a:off x="5048363" y="10118759"/>
          <a:ext cx="4770" cy="2466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156882</xdr:colOff>
      <xdr:row>58</xdr:row>
      <xdr:rowOff>44823</xdr:rowOff>
    </xdr:from>
    <xdr:to>
      <xdr:col>35</xdr:col>
      <xdr:colOff>80321</xdr:colOff>
      <xdr:row>59</xdr:row>
      <xdr:rowOff>169327</xdr:rowOff>
    </xdr:to>
    <xdr:sp macro="" textlink="">
      <xdr:nvSpPr>
        <xdr:cNvPr id="120" name="片側の 2 つの角を切り取った四角形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 bwMode="auto">
        <a:xfrm flipV="1">
          <a:off x="2980764" y="11542058"/>
          <a:ext cx="4159263" cy="326210"/>
        </a:xfrm>
        <a:prstGeom prst="snip2SameRect">
          <a:avLst/>
        </a:prstGeom>
        <a:solidFill>
          <a:schemeClr val="accent2">
            <a:lumMod val="60000"/>
            <a:lumOff val="40000"/>
          </a:schemeClr>
        </a:solidFill>
        <a:ln w="952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185100</xdr:colOff>
      <xdr:row>66</xdr:row>
      <xdr:rowOff>150597</xdr:rowOff>
    </xdr:from>
    <xdr:to>
      <xdr:col>38</xdr:col>
      <xdr:colOff>192188</xdr:colOff>
      <xdr:row>66</xdr:row>
      <xdr:rowOff>154881</xdr:rowOff>
    </xdr:to>
    <xdr:cxnSp macro="">
      <xdr:nvCxnSpPr>
        <xdr:cNvPr id="125" name="カギ線コネクタ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stCxn id="126" idx="3"/>
        </xdr:cNvCxnSpPr>
      </xdr:nvCxnSpPr>
      <xdr:spPr>
        <a:xfrm>
          <a:off x="6841394" y="13261479"/>
          <a:ext cx="1015618" cy="4284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54198</xdr:colOff>
      <xdr:row>65</xdr:row>
      <xdr:rowOff>147514</xdr:rowOff>
    </xdr:from>
    <xdr:to>
      <xdr:col>33</xdr:col>
      <xdr:colOff>185100</xdr:colOff>
      <xdr:row>67</xdr:row>
      <xdr:rowOff>153679</xdr:rowOff>
    </xdr:to>
    <xdr:sp macro="" textlink="">
      <xdr:nvSpPr>
        <xdr:cNvPr id="126" name="AutoShape 34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>
          <a:spLocks noChangeArrowheads="1"/>
        </xdr:cNvSpPr>
      </xdr:nvSpPr>
      <xdr:spPr bwMode="auto">
        <a:xfrm>
          <a:off x="3281492" y="13056690"/>
          <a:ext cx="3559902" cy="4095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</a:t>
          </a:r>
          <a:r>
            <a:rPr lang="ja-JP" altLang="en-US" sz="1000" b="0" i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削除対象レコードの削除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20162</xdr:colOff>
      <xdr:row>66</xdr:row>
      <xdr:rowOff>144837</xdr:rowOff>
    </xdr:from>
    <xdr:to>
      <xdr:col>16</xdr:col>
      <xdr:colOff>54198</xdr:colOff>
      <xdr:row>66</xdr:row>
      <xdr:rowOff>150597</xdr:rowOff>
    </xdr:to>
    <xdr:cxnSp macro="">
      <xdr:nvCxnSpPr>
        <xdr:cNvPr id="128" name="カギ線コネクタ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CxnSpPr>
          <a:stCxn id="149" idx="4"/>
          <a:endCxn id="126" idx="1"/>
        </xdr:cNvCxnSpPr>
      </xdr:nvCxnSpPr>
      <xdr:spPr>
        <a:xfrm>
          <a:off x="1432103" y="13255719"/>
          <a:ext cx="1849389" cy="5760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163696</xdr:colOff>
      <xdr:row>62</xdr:row>
      <xdr:rowOff>54584</xdr:rowOff>
    </xdr:from>
    <xdr:to>
      <xdr:col>35</xdr:col>
      <xdr:colOff>72612</xdr:colOff>
      <xdr:row>64</xdr:row>
      <xdr:rowOff>19561</xdr:rowOff>
    </xdr:to>
    <xdr:sp macro="" textlink="">
      <xdr:nvSpPr>
        <xdr:cNvPr id="129" name="片側の 2 つの角を切り取った四角形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 bwMode="auto">
        <a:xfrm>
          <a:off x="2987578" y="12358643"/>
          <a:ext cx="4144740" cy="368389"/>
        </a:xfrm>
        <a:prstGeom prst="snip2SameRect">
          <a:avLst/>
        </a:prstGeom>
        <a:solidFill>
          <a:schemeClr val="accent2">
            <a:lumMod val="60000"/>
            <a:lumOff val="40000"/>
          </a:schemeClr>
        </a:solidFill>
        <a:ln w="952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ループ条件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  <a:r>
            <a:rPr kumimoji="0" lang="ja-JP" altLang="en-US" sz="1000" b="0" i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テーブルの</a:t>
          </a:r>
          <a:r>
            <a:rPr lang="ja-JP" altLang="en-US" sz="1000" b="0" i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終端まで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163696</xdr:colOff>
      <xdr:row>69</xdr:row>
      <xdr:rowOff>113422</xdr:rowOff>
    </xdr:from>
    <xdr:to>
      <xdr:col>35</xdr:col>
      <xdr:colOff>87135</xdr:colOff>
      <xdr:row>71</xdr:row>
      <xdr:rowOff>36220</xdr:rowOff>
    </xdr:to>
    <xdr:sp macro="" textlink="">
      <xdr:nvSpPr>
        <xdr:cNvPr id="130" name="片側の 2 つの角を切り取った四角形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 bwMode="auto">
        <a:xfrm flipV="1">
          <a:off x="2987578" y="13829422"/>
          <a:ext cx="4159263" cy="326210"/>
        </a:xfrm>
        <a:prstGeom prst="snip2SameRect">
          <a:avLst/>
        </a:prstGeom>
        <a:solidFill>
          <a:schemeClr val="accent2">
            <a:lumMod val="60000"/>
            <a:lumOff val="40000"/>
          </a:schemeClr>
        </a:solidFill>
        <a:ln w="952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39871</xdr:colOff>
      <xdr:row>64</xdr:row>
      <xdr:rowOff>107012</xdr:rowOff>
    </xdr:from>
    <xdr:to>
      <xdr:col>35</xdr:col>
      <xdr:colOff>176022</xdr:colOff>
      <xdr:row>68</xdr:row>
      <xdr:rowOff>164242</xdr:rowOff>
    </xdr:to>
    <xdr:sp macro="" textlink="">
      <xdr:nvSpPr>
        <xdr:cNvPr id="131" name="大かっこ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2863753" y="12814483"/>
          <a:ext cx="4371975" cy="864053"/>
        </a:xfrm>
        <a:prstGeom prst="bracketPair">
          <a:avLst>
            <a:gd name="adj" fmla="val 26568"/>
          </a:avLst>
        </a:prstGeom>
        <a:ln w="25400">
          <a:solidFill>
            <a:srgbClr val="FF0000"/>
          </a:solidFill>
          <a:prstDash val="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134471</xdr:colOff>
      <xdr:row>73</xdr:row>
      <xdr:rowOff>134470</xdr:rowOff>
    </xdr:from>
    <xdr:to>
      <xdr:col>48</xdr:col>
      <xdr:colOff>194343</xdr:colOff>
      <xdr:row>76</xdr:row>
      <xdr:rowOff>164406</xdr:rowOff>
    </xdr:to>
    <xdr:sp macro="" textlink="">
      <xdr:nvSpPr>
        <xdr:cNvPr id="132" name="AutoShape 89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>
          <a:spLocks noChangeArrowheads="1"/>
        </xdr:cNvSpPr>
      </xdr:nvSpPr>
      <xdr:spPr bwMode="auto">
        <a:xfrm>
          <a:off x="8202706" y="14657294"/>
          <a:ext cx="1673519" cy="635053"/>
        </a:xfrm>
        <a:prstGeom prst="parallelogram">
          <a:avLst>
            <a:gd name="adj" fmla="val 65789"/>
          </a:avLst>
        </a:prstGeom>
        <a:solidFill>
          <a:srgbClr val="FFFFFF"/>
        </a:solidFill>
        <a:ln w="22225" algn="ctr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anchor="ctr" anchorCtr="1"/>
        <a:lstStyle/>
        <a:p>
          <a:r>
            <a:rPr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存在リスト</a:t>
          </a:r>
          <a:r>
            <a:rPr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CSV</a:t>
          </a:r>
          <a:r>
            <a:rPr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</a:t>
          </a:r>
          <a:endParaRPr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17301</xdr:colOff>
      <xdr:row>59</xdr:row>
      <xdr:rowOff>169327</xdr:rowOff>
    </xdr:from>
    <xdr:to>
      <xdr:col>25</xdr:col>
      <xdr:colOff>17749</xdr:colOff>
      <xdr:row>62</xdr:row>
      <xdr:rowOff>54584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CxnSpPr>
          <a:stCxn id="120" idx="3"/>
          <a:endCxn id="129" idx="3"/>
        </xdr:cNvCxnSpPr>
      </xdr:nvCxnSpPr>
      <xdr:spPr>
        <a:xfrm flipH="1">
          <a:off x="5059948" y="11868268"/>
          <a:ext cx="448" cy="490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17301</xdr:colOff>
      <xdr:row>64</xdr:row>
      <xdr:rowOff>19561</xdr:rowOff>
    </xdr:from>
    <xdr:to>
      <xdr:col>25</xdr:col>
      <xdr:colOff>18796</xdr:colOff>
      <xdr:row>65</xdr:row>
      <xdr:rowOff>147514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CxnSpPr>
          <a:stCxn id="129" idx="1"/>
          <a:endCxn id="126" idx="0"/>
        </xdr:cNvCxnSpPr>
      </xdr:nvCxnSpPr>
      <xdr:spPr>
        <a:xfrm>
          <a:off x="5059948" y="12727032"/>
          <a:ext cx="1495" cy="3296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18796</xdr:colOff>
      <xdr:row>67</xdr:row>
      <xdr:rowOff>153679</xdr:rowOff>
    </xdr:from>
    <xdr:to>
      <xdr:col>25</xdr:col>
      <xdr:colOff>24563</xdr:colOff>
      <xdr:row>69</xdr:row>
      <xdr:rowOff>113422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CxnSpPr>
          <a:stCxn id="126" idx="2"/>
          <a:endCxn id="130" idx="1"/>
        </xdr:cNvCxnSpPr>
      </xdr:nvCxnSpPr>
      <xdr:spPr>
        <a:xfrm>
          <a:off x="5061443" y="13466267"/>
          <a:ext cx="5767" cy="36315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5716</xdr:colOff>
      <xdr:row>71</xdr:row>
      <xdr:rowOff>36220</xdr:rowOff>
    </xdr:from>
    <xdr:to>
      <xdr:col>25</xdr:col>
      <xdr:colOff>24563</xdr:colOff>
      <xdr:row>73</xdr:row>
      <xdr:rowOff>189940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CxnSpPr>
          <a:stCxn id="130" idx="3"/>
          <a:endCxn id="92" idx="0"/>
        </xdr:cNvCxnSpPr>
      </xdr:nvCxnSpPr>
      <xdr:spPr>
        <a:xfrm flipH="1">
          <a:off x="5048363" y="14155632"/>
          <a:ext cx="18847" cy="5571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11206</xdr:colOff>
      <xdr:row>64</xdr:row>
      <xdr:rowOff>78441</xdr:rowOff>
    </xdr:from>
    <xdr:to>
      <xdr:col>45</xdr:col>
      <xdr:colOff>125500</xdr:colOff>
      <xdr:row>68</xdr:row>
      <xdr:rowOff>175373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GrpSpPr/>
      </xdr:nvGrpSpPr>
      <xdr:grpSpPr>
        <a:xfrm>
          <a:off x="7877735" y="12785912"/>
          <a:ext cx="1324530" cy="903755"/>
          <a:chOff x="8694964" y="10545535"/>
          <a:chExt cx="925285" cy="775608"/>
        </a:xfrm>
      </xdr:grpSpPr>
      <xdr:sp macro="" textlink="">
        <xdr:nvSpPr>
          <xdr:cNvPr id="146" name="AutoShape 75">
            <a:extLst>
              <a:ext uri="{FF2B5EF4-FFF2-40B4-BE49-F238E27FC236}">
                <a16:creationId xmlns:a16="http://schemas.microsoft.com/office/drawing/2014/main" id="{00000000-0008-0000-0200-000092000000}"/>
              </a:ext>
            </a:extLst>
          </xdr:cNvPr>
          <xdr:cNvSpPr>
            <a:spLocks noChangeArrowheads="1"/>
          </xdr:cNvSpPr>
        </xdr:nvSpPr>
        <xdr:spPr bwMode="auto">
          <a:xfrm>
            <a:off x="8694964" y="10545535"/>
            <a:ext cx="925285" cy="775608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7" name="テキスト ボックス 146">
            <a:extLst>
              <a:ext uri="{FF2B5EF4-FFF2-40B4-BE49-F238E27FC236}">
                <a16:creationId xmlns:a16="http://schemas.microsoft.com/office/drawing/2014/main" id="{00000000-0008-0000-0200-000093000000}"/>
              </a:ext>
            </a:extLst>
          </xdr:cNvPr>
          <xdr:cNvSpPr txBox="1"/>
        </xdr:nvSpPr>
        <xdr:spPr>
          <a:xfrm>
            <a:off x="8708571" y="10763250"/>
            <a:ext cx="849291" cy="4757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環境証明書申請製品情報テーブル</a:t>
            </a:r>
          </a:p>
        </xdr:txBody>
      </xdr:sp>
    </xdr:grpSp>
    <xdr:clientData/>
  </xdr:twoCellAnchor>
  <xdr:twoCellAnchor>
    <xdr:from>
      <xdr:col>0</xdr:col>
      <xdr:colOff>107573</xdr:colOff>
      <xdr:row>64</xdr:row>
      <xdr:rowOff>96370</xdr:rowOff>
    </xdr:from>
    <xdr:to>
      <xdr:col>7</xdr:col>
      <xdr:colOff>20162</xdr:colOff>
      <xdr:row>68</xdr:row>
      <xdr:rowOff>193302</xdr:rowOff>
    </xdr:to>
    <xdr:grpSp>
      <xdr:nvGrpSpPr>
        <xdr:cNvPr id="148" name="グループ化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GrpSpPr/>
      </xdr:nvGrpSpPr>
      <xdr:grpSpPr>
        <a:xfrm>
          <a:off x="107573" y="12803841"/>
          <a:ext cx="1324530" cy="903755"/>
          <a:chOff x="8694964" y="10545535"/>
          <a:chExt cx="925285" cy="775608"/>
        </a:xfrm>
      </xdr:grpSpPr>
      <xdr:sp macro="" textlink="">
        <xdr:nvSpPr>
          <xdr:cNvPr id="149" name="AutoShape 75">
            <a:extLst>
              <a:ext uri="{FF2B5EF4-FFF2-40B4-BE49-F238E27FC236}">
                <a16:creationId xmlns:a16="http://schemas.microsoft.com/office/drawing/2014/main" id="{00000000-0008-0000-0200-000095000000}"/>
              </a:ext>
            </a:extLst>
          </xdr:cNvPr>
          <xdr:cNvSpPr>
            <a:spLocks noChangeArrowheads="1"/>
          </xdr:cNvSpPr>
        </xdr:nvSpPr>
        <xdr:spPr bwMode="auto">
          <a:xfrm>
            <a:off x="8694964" y="10545535"/>
            <a:ext cx="925285" cy="775608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0" name="テキスト ボックス 149">
            <a:extLst>
              <a:ext uri="{FF2B5EF4-FFF2-40B4-BE49-F238E27FC236}">
                <a16:creationId xmlns:a16="http://schemas.microsoft.com/office/drawing/2014/main" id="{00000000-0008-0000-0200-000096000000}"/>
              </a:ext>
            </a:extLst>
          </xdr:cNvPr>
          <xdr:cNvSpPr txBox="1"/>
        </xdr:nvSpPr>
        <xdr:spPr>
          <a:xfrm>
            <a:off x="8708571" y="10763250"/>
            <a:ext cx="849291" cy="4757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環境証明書申請製品情報テーブル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18145</xdr:colOff>
      <xdr:row>37</xdr:row>
      <xdr:rowOff>52106</xdr:rowOff>
    </xdr:from>
    <xdr:to>
      <xdr:col>53</xdr:col>
      <xdr:colOff>14569</xdr:colOff>
      <xdr:row>56</xdr:row>
      <xdr:rowOff>64913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026674" y="7066988"/>
          <a:ext cx="9678307" cy="3845219"/>
          <a:chOff x="1026674" y="10708900"/>
          <a:chExt cx="9678307" cy="3845219"/>
        </a:xfrm>
      </xdr:grpSpPr>
      <xdr:grpSp>
        <xdr:nvGrpSpPr>
          <xdr:cNvPr id="31" name="グループ化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GrpSpPr/>
        </xdr:nvGrpSpPr>
        <xdr:grpSpPr>
          <a:xfrm>
            <a:off x="4303060" y="10824882"/>
            <a:ext cx="6401921" cy="3710828"/>
            <a:chOff x="1083608" y="14106526"/>
            <a:chExt cx="6401921" cy="3710828"/>
          </a:xfrm>
        </xdr:grpSpPr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1083608" y="14106526"/>
              <a:ext cx="6401921" cy="3710828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28575">
              <a:solidFill>
                <a:schemeClr val="tx2">
                  <a:lumMod val="60000"/>
                  <a:lumOff val="40000"/>
                </a:schemeClr>
              </a:solidFill>
              <a:prstDash val="soli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en-US" altLang="ja-JP" sz="1000" b="1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DB</a:t>
              </a:r>
              <a:r>
                <a:rPr kumimoji="1" lang="ja-JP" altLang="en-US" sz="1000" b="1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テーブル環境証明書申請製品情報テーブル</a:t>
              </a:r>
            </a:p>
          </xdr:txBody>
        </xdr:sp>
        <xdr:sp macro="" textlink="">
          <xdr:nvSpPr>
            <xdr:cNvPr id="33" name="フローチャート: 処理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3411948" y="14569324"/>
              <a:ext cx="1633842" cy="301107"/>
            </a:xfrm>
            <a:prstGeom prst="flowChartProcess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ja-JP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CL</a:t>
              </a:r>
              <a:r>
                <a:rPr lang="ja-JP" altLang="en-US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コード</a:t>
              </a:r>
            </a:p>
          </xdr:txBody>
        </xdr:sp>
        <xdr:cxnSp macro="">
          <xdr:nvCxnSpPr>
            <xdr:cNvPr id="34" name="カギ線コネクタ 33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CxnSpPr>
              <a:stCxn id="43" idx="0"/>
              <a:endCxn id="37" idx="0"/>
            </xdr:cNvCxnSpPr>
          </xdr:nvCxnSpPr>
          <xdr:spPr>
            <a:xfrm rot="5400000" flipH="1" flipV="1">
              <a:off x="4298131" y="13417021"/>
              <a:ext cx="33618" cy="3955669"/>
            </a:xfrm>
            <a:prstGeom prst="bentConnector3">
              <a:avLst>
                <a:gd name="adj1" fmla="val 779993"/>
              </a:avLst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  <xdr:sp macro="" textlink="">
          <xdr:nvSpPr>
            <xdr:cNvPr id="35" name="フローチャート: 複数書類 34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/>
          </xdr:nvSpPr>
          <xdr:spPr>
            <a:xfrm>
              <a:off x="5211204" y="16374738"/>
              <a:ext cx="1904523" cy="613384"/>
            </a:xfrm>
            <a:prstGeom prst="flowChartMultidocument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ja-JP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申請した証明書種類</a:t>
              </a:r>
              <a:endParaRPr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en-US" sz="1000">
                  <a:solidFill>
                    <a:sysClr val="windowText" lastClr="000000"/>
                  </a:solidFill>
                  <a:effectLst/>
                </a:rPr>
                <a:t>例：高精度分析データ</a:t>
              </a:r>
              <a:r>
                <a:rPr lang="en-US" altLang="ja-JP" sz="1000">
                  <a:solidFill>
                    <a:sysClr val="windowText" lastClr="000000"/>
                  </a:solidFill>
                  <a:effectLst/>
                </a:rPr>
                <a:t>(ICP)</a:t>
              </a:r>
            </a:p>
          </xdr:txBody>
        </xdr:sp>
        <xdr:cxnSp macro="">
          <xdr:nvCxnSpPr>
            <xdr:cNvPr id="36" name="直線コネクタ 35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CxnSpPr>
              <a:stCxn id="35" idx="0"/>
              <a:endCxn id="37" idx="2"/>
            </xdr:cNvCxnSpPr>
          </xdr:nvCxnSpPr>
          <xdr:spPr>
            <a:xfrm flipH="1" flipV="1">
              <a:off x="6292775" y="15710651"/>
              <a:ext cx="1715" cy="664087"/>
            </a:xfrm>
            <a:prstGeom prst="line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  <xdr:sp macro="" textlink="">
          <xdr:nvSpPr>
            <xdr:cNvPr id="37" name="フローチャート: 処理 36">
              <a:extLst>
                <a:ext uri="{FF2B5EF4-FFF2-40B4-BE49-F238E27FC236}">
                  <a16:creationId xmlns:a16="http://schemas.microsoft.com/office/drawing/2014/main" id="{00000000-0008-0000-0300-000025000000}"/>
                </a:ext>
              </a:extLst>
            </xdr:cNvPr>
            <xdr:cNvSpPr/>
          </xdr:nvSpPr>
          <xdr:spPr>
            <a:xfrm>
              <a:off x="5693939" y="15378046"/>
              <a:ext cx="1197671" cy="332605"/>
            </a:xfrm>
            <a:prstGeom prst="flowChartProcess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kumimoji="1" lang="en-US" altLang="ja-JP" sz="1000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Non-compliant</a:t>
              </a:r>
              <a:endParaRPr kumimoji="1" lang="ja-JP" altLang="en-US" sz="10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メイリオ" panose="020B0604030504040204" pitchFamily="50" charset="-128"/>
              </a:endParaRPr>
            </a:p>
          </xdr:txBody>
        </xdr:sp>
        <xdr:sp macro="" textlink="">
          <xdr:nvSpPr>
            <xdr:cNvPr id="38" name="フローチャート: 複数書類 37">
              <a:extLst>
                <a:ext uri="{FF2B5EF4-FFF2-40B4-BE49-F238E27FC236}">
                  <a16:creationId xmlns:a16="http://schemas.microsoft.com/office/drawing/2014/main" id="{00000000-0008-0000-0300-000026000000}"/>
                </a:ext>
              </a:extLst>
            </xdr:cNvPr>
            <xdr:cNvSpPr/>
          </xdr:nvSpPr>
          <xdr:spPr>
            <a:xfrm>
              <a:off x="3182946" y="16385945"/>
              <a:ext cx="1893316" cy="602178"/>
            </a:xfrm>
            <a:prstGeom prst="flowChartMultidocument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ja-JP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申請した証明書種類</a:t>
              </a:r>
              <a:endParaRPr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en-US" sz="1000">
                  <a:solidFill>
                    <a:sysClr val="windowText" lastClr="000000"/>
                  </a:solidFill>
                  <a:effectLst/>
                </a:rPr>
                <a:t>例：ハロゲンフリー証明書</a:t>
              </a:r>
            </a:p>
          </xdr:txBody>
        </xdr:sp>
        <xdr:cxnSp macro="">
          <xdr:nvCxnSpPr>
            <xdr:cNvPr id="39" name="直線コネクタ 38">
              <a:extLst>
                <a:ext uri="{FF2B5EF4-FFF2-40B4-BE49-F238E27FC236}">
                  <a16:creationId xmlns:a16="http://schemas.microsoft.com/office/drawing/2014/main" id="{00000000-0008-0000-0300-000027000000}"/>
                </a:ext>
              </a:extLst>
            </xdr:cNvPr>
            <xdr:cNvCxnSpPr>
              <a:stCxn id="38" idx="0"/>
              <a:endCxn id="40" idx="2"/>
            </xdr:cNvCxnSpPr>
          </xdr:nvCxnSpPr>
          <xdr:spPr>
            <a:xfrm flipV="1">
              <a:off x="4259857" y="15733063"/>
              <a:ext cx="15865" cy="652882"/>
            </a:xfrm>
            <a:prstGeom prst="line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  <xdr:sp macro="" textlink="">
          <xdr:nvSpPr>
            <xdr:cNvPr id="40" name="フローチャート: 処理 39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SpPr/>
          </xdr:nvSpPr>
          <xdr:spPr>
            <a:xfrm>
              <a:off x="3676886" y="15400458"/>
              <a:ext cx="1197671" cy="332605"/>
            </a:xfrm>
            <a:prstGeom prst="flowChartProcess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kumimoji="1" lang="en-US" altLang="ja-JP" sz="1000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Request</a:t>
              </a:r>
            </a:p>
          </xdr:txBody>
        </xdr:sp>
        <xdr:sp macro="" textlink="">
          <xdr:nvSpPr>
            <xdr:cNvPr id="41" name="フローチャート: 複数書類 40">
              <a:extLst>
                <a:ext uri="{FF2B5EF4-FFF2-40B4-BE49-F238E27FC236}">
                  <a16:creationId xmlns:a16="http://schemas.microsoft.com/office/drawing/2014/main" id="{00000000-0008-0000-0300-000029000000}"/>
                </a:ext>
              </a:extLst>
            </xdr:cNvPr>
            <xdr:cNvSpPr/>
          </xdr:nvSpPr>
          <xdr:spPr>
            <a:xfrm>
              <a:off x="1345183" y="16408354"/>
              <a:ext cx="1747641" cy="680620"/>
            </a:xfrm>
            <a:prstGeom prst="flowChartMultidocument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ja-JP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申請した証明書種類</a:t>
              </a:r>
              <a:endParaRPr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en-US" sz="1000">
                  <a:solidFill>
                    <a:sysClr val="windowText" lastClr="000000"/>
                  </a:solidFill>
                  <a:effectLst/>
                </a:rPr>
                <a:t>例：</a:t>
              </a:r>
              <a:r>
                <a:rPr lang="en-US" altLang="ja-JP" sz="1000">
                  <a:solidFill>
                    <a:sysClr val="windowText" lastClr="000000"/>
                  </a:solidFill>
                  <a:effectLst/>
                </a:rPr>
                <a:t>RoHS</a:t>
              </a:r>
              <a:r>
                <a:rPr lang="ja-JP" altLang="en-US" sz="1000">
                  <a:solidFill>
                    <a:sysClr val="windowText" lastClr="000000"/>
                  </a:solidFill>
                  <a:effectLst/>
                </a:rPr>
                <a:t>適合、成分表</a:t>
              </a:r>
            </a:p>
          </xdr:txBody>
        </xdr:sp>
        <xdr:cxnSp macro="">
          <xdr:nvCxnSpPr>
            <xdr:cNvPr id="42" name="直線コネクタ 41">
              <a:extLst>
                <a:ext uri="{FF2B5EF4-FFF2-40B4-BE49-F238E27FC236}">
                  <a16:creationId xmlns:a16="http://schemas.microsoft.com/office/drawing/2014/main" id="{00000000-0008-0000-0300-00002A000000}"/>
                </a:ext>
              </a:extLst>
            </xdr:cNvPr>
            <xdr:cNvCxnSpPr>
              <a:stCxn id="41" idx="0"/>
              <a:endCxn id="43" idx="2"/>
            </xdr:cNvCxnSpPr>
          </xdr:nvCxnSpPr>
          <xdr:spPr>
            <a:xfrm flipH="1" flipV="1">
              <a:off x="2337106" y="15744269"/>
              <a:ext cx="2129" cy="664086"/>
            </a:xfrm>
            <a:prstGeom prst="line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  <xdr:sp macro="" textlink="">
          <xdr:nvSpPr>
            <xdr:cNvPr id="43" name="フローチャート: 処理 42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SpPr/>
          </xdr:nvSpPr>
          <xdr:spPr>
            <a:xfrm>
              <a:off x="1738270" y="15411664"/>
              <a:ext cx="1197671" cy="332605"/>
            </a:xfrm>
            <a:prstGeom prst="flowChartProcess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kumimoji="1" lang="ja-JP" altLang="en-US" sz="1000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申請可能</a:t>
              </a:r>
            </a:p>
          </xdr:txBody>
        </xdr:sp>
        <xdr:cxnSp macro="">
          <xdr:nvCxnSpPr>
            <xdr:cNvPr id="44" name="直線コネクタ 43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CxnSpPr>
              <a:stCxn id="40" idx="0"/>
              <a:endCxn id="45" idx="2"/>
            </xdr:cNvCxnSpPr>
          </xdr:nvCxnSpPr>
          <xdr:spPr>
            <a:xfrm flipV="1">
              <a:off x="4275722" y="14895756"/>
              <a:ext cx="7957" cy="504702"/>
            </a:xfrm>
            <a:prstGeom prst="line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SpPr/>
          </xdr:nvSpPr>
          <xdr:spPr>
            <a:xfrm>
              <a:off x="3082150" y="14521151"/>
              <a:ext cx="2403057" cy="374605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kumimoji="1" lang="ja-JP" altLang="en-US" sz="10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メイリオ" panose="020B0604030504040204" pitchFamily="50" charset="-128"/>
              </a:endParaRPr>
            </a:p>
          </xdr:txBody>
        </xdr:sp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533590" y="15278365"/>
              <a:ext cx="5570941" cy="544341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kumimoji="1" lang="ja-JP" altLang="en-US" sz="10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メイリオ" panose="020B0604030504040204" pitchFamily="50" charset="-128"/>
              </a:endParaRPr>
            </a:p>
          </xdr:txBody>
        </xdr:sp>
        <xdr:sp macro="" textlink="">
          <xdr:nvSpPr>
            <xdr:cNvPr id="47" name="正方形/長方形 46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SpPr/>
          </xdr:nvSpPr>
          <xdr:spPr>
            <a:xfrm>
              <a:off x="1120579" y="16315764"/>
              <a:ext cx="2080769" cy="920474"/>
            </a:xfrm>
            <a:prstGeom prst="rect">
              <a:avLst/>
            </a:prstGeom>
            <a:noFill/>
            <a:ln w="28575">
              <a:solidFill>
                <a:srgbClr val="FF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kumimoji="1" lang="ja-JP" altLang="en-US" sz="10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メイリオ" panose="020B0604030504040204" pitchFamily="50" charset="-128"/>
              </a:endParaRPr>
            </a:p>
          </xdr:txBody>
        </xdr:sp>
        <xdr:sp macro="" textlink="">
          <xdr:nvSpPr>
            <xdr:cNvPr id="48" name="フローチャート: 処理 47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 rot="5400000">
              <a:off x="1845372" y="16016805"/>
              <a:ext cx="555174" cy="279037"/>
            </a:xfrm>
            <a:prstGeom prst="flowChartProcess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kumimoji="1" lang="en-US" altLang="ja-JP" sz="700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1:N</a:t>
              </a:r>
              <a:endParaRPr kumimoji="1" lang="ja-JP" altLang="en-US" sz="7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メイリオ" panose="020B0604030504040204" pitchFamily="50" charset="-128"/>
              </a:endParaRPr>
            </a:p>
          </xdr:txBody>
        </xdr:sp>
        <xdr:sp macro="" textlink="">
          <xdr:nvSpPr>
            <xdr:cNvPr id="49" name="フローチャート: 処理 48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SpPr/>
          </xdr:nvSpPr>
          <xdr:spPr>
            <a:xfrm rot="5400000">
              <a:off x="3750370" y="15971983"/>
              <a:ext cx="555174" cy="279037"/>
            </a:xfrm>
            <a:prstGeom prst="flowChartProcess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kumimoji="1" lang="en-US" altLang="ja-JP" sz="700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1:N</a:t>
              </a:r>
              <a:endParaRPr kumimoji="1" lang="ja-JP" altLang="en-US" sz="7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メイリオ" panose="020B0604030504040204" pitchFamily="50" charset="-128"/>
              </a:endParaRPr>
            </a:p>
          </xdr:txBody>
        </xdr:sp>
        <xdr:sp macro="" textlink="">
          <xdr:nvSpPr>
            <xdr:cNvPr id="50" name="フローチャート: 処理 49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 rot="5400000">
              <a:off x="5823452" y="15871130"/>
              <a:ext cx="555174" cy="279037"/>
            </a:xfrm>
            <a:prstGeom prst="flowChartProcess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kumimoji="1" lang="en-US" altLang="ja-JP" sz="700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1:N</a:t>
              </a:r>
              <a:endParaRPr kumimoji="1" lang="ja-JP" altLang="en-US" sz="7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メイリオ" panose="020B0604030504040204" pitchFamily="50" charset="-128"/>
              </a:endParaRPr>
            </a:p>
          </xdr:txBody>
        </xdr:sp>
      </xdr:grpSp>
      <xdr:grpSp>
        <xdr:nvGrpSpPr>
          <xdr:cNvPr id="28" name="グループ化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GrpSpPr/>
        </xdr:nvGrpSpPr>
        <xdr:grpSpPr>
          <a:xfrm>
            <a:off x="1026674" y="10708900"/>
            <a:ext cx="2616359" cy="3845219"/>
            <a:chOff x="6750639" y="4676774"/>
            <a:chExt cx="2594508" cy="3813282"/>
          </a:xfrm>
        </xdr:grpSpPr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/>
          </xdr:nvSpPr>
          <xdr:spPr>
            <a:xfrm>
              <a:off x="6750639" y="4676774"/>
              <a:ext cx="2594508" cy="381328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28575">
              <a:solidFill>
                <a:schemeClr val="accent6">
                  <a:lumMod val="40000"/>
                  <a:lumOff val="60000"/>
                </a:schemeClr>
              </a:solidFill>
              <a:prstDash val="solid"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en-US" altLang="ja-JP" sz="1000" b="1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CSV</a:t>
              </a:r>
              <a:r>
                <a:rPr kumimoji="1" lang="ja-JP" altLang="en-US" sz="1000" b="1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メイリオ" panose="020B0604030504040204" pitchFamily="50" charset="-128"/>
                </a:rPr>
                <a:t>項目</a:t>
              </a:r>
            </a:p>
          </xdr:txBody>
        </xdr:sp>
        <xdr:sp macro="" textlink="">
          <xdr:nvSpPr>
            <xdr:cNvPr id="25" name="フローチャート: 処理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/>
          </xdr:nvSpPr>
          <xdr:spPr>
            <a:xfrm>
              <a:off x="7363525" y="5097436"/>
              <a:ext cx="1510069" cy="301107"/>
            </a:xfrm>
            <a:prstGeom prst="flowChartProcess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10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CSV</a:t>
              </a:r>
              <a:r>
                <a:rPr kumimoji="1" lang="ja-JP" altLang="en-US" sz="110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本文</a:t>
              </a:r>
              <a:r>
                <a:rPr kumimoji="1" lang="en-US" altLang="ja-JP" sz="110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.CL</a:t>
              </a:r>
              <a:r>
                <a:rPr kumimoji="1" lang="ja-JP" altLang="en-US" sz="110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コード</a:t>
              </a:r>
            </a:p>
          </xdr:txBody>
        </xdr:sp>
        <xdr:sp macro="" textlink="">
          <xdr:nvSpPr>
            <xdr:cNvPr id="26" name="フローチャート: 処理 25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/>
          </xdr:nvSpPr>
          <xdr:spPr>
            <a:xfrm>
              <a:off x="7319727" y="7227604"/>
              <a:ext cx="1539112" cy="680460"/>
            </a:xfrm>
            <a:prstGeom prst="flowChartProcess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10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CSV</a:t>
              </a:r>
              <a:r>
                <a:rPr kumimoji="1" lang="ja-JP" altLang="en-US" sz="110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ヘッダー</a:t>
              </a:r>
              <a:r>
                <a:rPr kumimoji="1" lang="en-US" altLang="ja-JP" sz="110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r>
                <a:rPr kumimoji="1" lang="ja-JP" altLang="en-US" sz="110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証明書種類</a:t>
              </a:r>
            </a:p>
          </xdr:txBody>
        </xdr:sp>
        <xdr:sp macro="" textlink="">
          <xdr:nvSpPr>
            <xdr:cNvPr id="27" name="フローチャート: 処理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SpPr/>
          </xdr:nvSpPr>
          <xdr:spPr>
            <a:xfrm>
              <a:off x="7317816" y="5948529"/>
              <a:ext cx="1539279" cy="577360"/>
            </a:xfrm>
            <a:prstGeom prst="flowChartProcess">
              <a:avLst/>
            </a:prstGeom>
            <a:solidFill>
              <a:schemeClr val="bg1">
                <a:lumMod val="9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ja-JP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CSV</a:t>
              </a:r>
              <a:r>
                <a:rPr lang="ja-JP" altLang="en-US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本文</a:t>
              </a:r>
              <a:r>
                <a:rPr lang="en-US" altLang="ja-JP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r>
                <a:rPr lang="ja-JP" altLang="en-US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証明書種類結果</a:t>
              </a:r>
            </a:p>
          </xdr:txBody>
        </xdr:sp>
      </xdr:grpSp>
      <xdr:sp macro="" textlink="">
        <xdr:nvSpPr>
          <xdr:cNvPr id="9" name="右矢印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3106422" y="11225823"/>
            <a:ext cx="3135254" cy="226589"/>
          </a:xfrm>
          <a:prstGeom prst="rightArrow">
            <a:avLst/>
          </a:prstGeom>
          <a:solidFill>
            <a:schemeClr val="tx2">
              <a:lumMod val="40000"/>
              <a:lumOff val="6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algn="l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10" name="右矢印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3130281" y="12270441"/>
            <a:ext cx="1412024" cy="230282"/>
          </a:xfrm>
          <a:prstGeom prst="rightArrow">
            <a:avLst/>
          </a:prstGeom>
          <a:solidFill>
            <a:schemeClr val="tx2">
              <a:lumMod val="40000"/>
              <a:lumOff val="6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marL="0" indent="0" algn="l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endParaRPr>
          </a:p>
        </xdr:txBody>
      </xdr:sp>
      <xdr:sp macro="" textlink="">
        <xdr:nvSpPr>
          <xdr:cNvPr id="11" name="右矢印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3139353" y="13409518"/>
            <a:ext cx="1457300" cy="201706"/>
          </a:xfrm>
          <a:prstGeom prst="rightArrow">
            <a:avLst/>
          </a:prstGeom>
          <a:solidFill>
            <a:schemeClr val="tx2">
              <a:lumMod val="40000"/>
              <a:lumOff val="6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marL="0" indent="0" algn="l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D35"/>
  <sheetViews>
    <sheetView showGridLines="0" zoomScale="85" zoomScaleNormal="85" zoomScaleSheetLayoutView="85" workbookViewId="0"/>
  </sheetViews>
  <sheetFormatPr defaultColWidth="1.625" defaultRowHeight="15"/>
  <cols>
    <col min="1" max="6" width="1.625" style="1"/>
    <col min="7" max="7" width="1.625" style="1" customWidth="1"/>
    <col min="8" max="262" width="1.625" style="1"/>
    <col min="263" max="263" width="1.625" style="1" customWidth="1"/>
    <col min="264" max="518" width="1.625" style="1"/>
    <col min="519" max="519" width="1.625" style="1" customWidth="1"/>
    <col min="520" max="774" width="1.625" style="1"/>
    <col min="775" max="775" width="1.625" style="1" customWidth="1"/>
    <col min="776" max="1030" width="1.625" style="1"/>
    <col min="1031" max="1031" width="1.625" style="1" customWidth="1"/>
    <col min="1032" max="1286" width="1.625" style="1"/>
    <col min="1287" max="1287" width="1.625" style="1" customWidth="1"/>
    <col min="1288" max="1542" width="1.625" style="1"/>
    <col min="1543" max="1543" width="1.625" style="1" customWidth="1"/>
    <col min="1544" max="1798" width="1.625" style="1"/>
    <col min="1799" max="1799" width="1.625" style="1" customWidth="1"/>
    <col min="1800" max="2054" width="1.625" style="1"/>
    <col min="2055" max="2055" width="1.625" style="1" customWidth="1"/>
    <col min="2056" max="2310" width="1.625" style="1"/>
    <col min="2311" max="2311" width="1.625" style="1" customWidth="1"/>
    <col min="2312" max="2566" width="1.625" style="1"/>
    <col min="2567" max="2567" width="1.625" style="1" customWidth="1"/>
    <col min="2568" max="2822" width="1.625" style="1"/>
    <col min="2823" max="2823" width="1.625" style="1" customWidth="1"/>
    <col min="2824" max="3078" width="1.625" style="1"/>
    <col min="3079" max="3079" width="1.625" style="1" customWidth="1"/>
    <col min="3080" max="3334" width="1.625" style="1"/>
    <col min="3335" max="3335" width="1.625" style="1" customWidth="1"/>
    <col min="3336" max="3590" width="1.625" style="1"/>
    <col min="3591" max="3591" width="1.625" style="1" customWidth="1"/>
    <col min="3592" max="3846" width="1.625" style="1"/>
    <col min="3847" max="3847" width="1.625" style="1" customWidth="1"/>
    <col min="3848" max="4102" width="1.625" style="1"/>
    <col min="4103" max="4103" width="1.625" style="1" customWidth="1"/>
    <col min="4104" max="4358" width="1.625" style="1"/>
    <col min="4359" max="4359" width="1.625" style="1" customWidth="1"/>
    <col min="4360" max="4614" width="1.625" style="1"/>
    <col min="4615" max="4615" width="1.625" style="1" customWidth="1"/>
    <col min="4616" max="4870" width="1.625" style="1"/>
    <col min="4871" max="4871" width="1.625" style="1" customWidth="1"/>
    <col min="4872" max="5126" width="1.625" style="1"/>
    <col min="5127" max="5127" width="1.625" style="1" customWidth="1"/>
    <col min="5128" max="5382" width="1.625" style="1"/>
    <col min="5383" max="5383" width="1.625" style="1" customWidth="1"/>
    <col min="5384" max="5638" width="1.625" style="1"/>
    <col min="5639" max="5639" width="1.625" style="1" customWidth="1"/>
    <col min="5640" max="5894" width="1.625" style="1"/>
    <col min="5895" max="5895" width="1.625" style="1" customWidth="1"/>
    <col min="5896" max="6150" width="1.625" style="1"/>
    <col min="6151" max="6151" width="1.625" style="1" customWidth="1"/>
    <col min="6152" max="6406" width="1.625" style="1"/>
    <col min="6407" max="6407" width="1.625" style="1" customWidth="1"/>
    <col min="6408" max="6662" width="1.625" style="1"/>
    <col min="6663" max="6663" width="1.625" style="1" customWidth="1"/>
    <col min="6664" max="6918" width="1.625" style="1"/>
    <col min="6919" max="6919" width="1.625" style="1" customWidth="1"/>
    <col min="6920" max="7174" width="1.625" style="1"/>
    <col min="7175" max="7175" width="1.625" style="1" customWidth="1"/>
    <col min="7176" max="7430" width="1.625" style="1"/>
    <col min="7431" max="7431" width="1.625" style="1" customWidth="1"/>
    <col min="7432" max="7686" width="1.625" style="1"/>
    <col min="7687" max="7687" width="1.625" style="1" customWidth="1"/>
    <col min="7688" max="7942" width="1.625" style="1"/>
    <col min="7943" max="7943" width="1.625" style="1" customWidth="1"/>
    <col min="7944" max="8198" width="1.625" style="1"/>
    <col min="8199" max="8199" width="1.625" style="1" customWidth="1"/>
    <col min="8200" max="8454" width="1.625" style="1"/>
    <col min="8455" max="8455" width="1.625" style="1" customWidth="1"/>
    <col min="8456" max="8710" width="1.625" style="1"/>
    <col min="8711" max="8711" width="1.625" style="1" customWidth="1"/>
    <col min="8712" max="8966" width="1.625" style="1"/>
    <col min="8967" max="8967" width="1.625" style="1" customWidth="1"/>
    <col min="8968" max="9222" width="1.625" style="1"/>
    <col min="9223" max="9223" width="1.625" style="1" customWidth="1"/>
    <col min="9224" max="9478" width="1.625" style="1"/>
    <col min="9479" max="9479" width="1.625" style="1" customWidth="1"/>
    <col min="9480" max="9734" width="1.625" style="1"/>
    <col min="9735" max="9735" width="1.625" style="1" customWidth="1"/>
    <col min="9736" max="9990" width="1.625" style="1"/>
    <col min="9991" max="9991" width="1.625" style="1" customWidth="1"/>
    <col min="9992" max="10246" width="1.625" style="1"/>
    <col min="10247" max="10247" width="1.625" style="1" customWidth="1"/>
    <col min="10248" max="10502" width="1.625" style="1"/>
    <col min="10503" max="10503" width="1.625" style="1" customWidth="1"/>
    <col min="10504" max="10758" width="1.625" style="1"/>
    <col min="10759" max="10759" width="1.625" style="1" customWidth="1"/>
    <col min="10760" max="11014" width="1.625" style="1"/>
    <col min="11015" max="11015" width="1.625" style="1" customWidth="1"/>
    <col min="11016" max="11270" width="1.625" style="1"/>
    <col min="11271" max="11271" width="1.625" style="1" customWidth="1"/>
    <col min="11272" max="11526" width="1.625" style="1"/>
    <col min="11527" max="11527" width="1.625" style="1" customWidth="1"/>
    <col min="11528" max="11782" width="1.625" style="1"/>
    <col min="11783" max="11783" width="1.625" style="1" customWidth="1"/>
    <col min="11784" max="12038" width="1.625" style="1"/>
    <col min="12039" max="12039" width="1.625" style="1" customWidth="1"/>
    <col min="12040" max="12294" width="1.625" style="1"/>
    <col min="12295" max="12295" width="1.625" style="1" customWidth="1"/>
    <col min="12296" max="12550" width="1.625" style="1"/>
    <col min="12551" max="12551" width="1.625" style="1" customWidth="1"/>
    <col min="12552" max="12806" width="1.625" style="1"/>
    <col min="12807" max="12807" width="1.625" style="1" customWidth="1"/>
    <col min="12808" max="13062" width="1.625" style="1"/>
    <col min="13063" max="13063" width="1.625" style="1" customWidth="1"/>
    <col min="13064" max="13318" width="1.625" style="1"/>
    <col min="13319" max="13319" width="1.625" style="1" customWidth="1"/>
    <col min="13320" max="13574" width="1.625" style="1"/>
    <col min="13575" max="13575" width="1.625" style="1" customWidth="1"/>
    <col min="13576" max="13830" width="1.625" style="1"/>
    <col min="13831" max="13831" width="1.625" style="1" customWidth="1"/>
    <col min="13832" max="14086" width="1.625" style="1"/>
    <col min="14087" max="14087" width="1.625" style="1" customWidth="1"/>
    <col min="14088" max="14342" width="1.625" style="1"/>
    <col min="14343" max="14343" width="1.625" style="1" customWidth="1"/>
    <col min="14344" max="14598" width="1.625" style="1"/>
    <col min="14599" max="14599" width="1.625" style="1" customWidth="1"/>
    <col min="14600" max="14854" width="1.625" style="1"/>
    <col min="14855" max="14855" width="1.625" style="1" customWidth="1"/>
    <col min="14856" max="15110" width="1.625" style="1"/>
    <col min="15111" max="15111" width="1.625" style="1" customWidth="1"/>
    <col min="15112" max="15366" width="1.625" style="1"/>
    <col min="15367" max="15367" width="1.625" style="1" customWidth="1"/>
    <col min="15368" max="15622" width="1.625" style="1"/>
    <col min="15623" max="15623" width="1.625" style="1" customWidth="1"/>
    <col min="15624" max="15878" width="1.625" style="1"/>
    <col min="15879" max="15879" width="1.625" style="1" customWidth="1"/>
    <col min="15880" max="16134" width="1.625" style="1"/>
    <col min="16135" max="16135" width="1.625" style="1" customWidth="1"/>
    <col min="16136" max="16384" width="1.625" style="1"/>
  </cols>
  <sheetData>
    <row r="3" spans="4:37" ht="14.45" customHeight="1">
      <c r="D3" s="1" t="s">
        <v>26</v>
      </c>
    </row>
    <row r="4" spans="4:37" ht="14.45" customHeight="1">
      <c r="D4" s="1" t="s">
        <v>27</v>
      </c>
    </row>
    <row r="5" spans="4:37" ht="14.45" customHeight="1"/>
    <row r="6" spans="4:37" ht="14.45" customHeight="1"/>
    <row r="7" spans="4:37" ht="14.45" customHeight="1">
      <c r="E7" s="10"/>
      <c r="G7" s="99" t="s">
        <v>20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</row>
    <row r="8" spans="4:37" ht="14.45" customHeight="1">
      <c r="E8" s="10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</row>
    <row r="9" spans="4:37" ht="14.45" customHeight="1">
      <c r="E9" s="10"/>
      <c r="G9" s="1" t="s">
        <v>71</v>
      </c>
    </row>
    <row r="10" spans="4:37" ht="14.45" customHeight="1">
      <c r="E10" s="10"/>
    </row>
    <row r="11" spans="4:37" ht="14.45" customHeight="1">
      <c r="E11" s="10"/>
    </row>
    <row r="12" spans="4:37" ht="14.45" customHeight="1">
      <c r="E12" s="10"/>
      <c r="G12" s="100">
        <f>INDEX(改版履歴!B4:B32,COUNTA(改版履歴!B4:B32))</f>
        <v>1.18</v>
      </c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</row>
    <row r="13" spans="4:37" ht="14.45" customHeight="1"/>
    <row r="14" spans="4:37" ht="14.45" customHeight="1"/>
    <row r="15" spans="4:37" ht="14.45" customHeight="1"/>
    <row r="16" spans="4:37" ht="14.45" customHeight="1"/>
    <row r="17" spans="34:47" ht="14.45" customHeight="1"/>
    <row r="18" spans="34:47" ht="14.45" customHeight="1"/>
    <row r="19" spans="34:47" ht="14.45" customHeight="1"/>
    <row r="20" spans="34:47" ht="14.45" customHeight="1"/>
    <row r="21" spans="34:47" ht="14.45" customHeight="1"/>
    <row r="22" spans="34:47" ht="14.45" customHeight="1"/>
    <row r="23" spans="34:47" ht="14.45" customHeight="1"/>
    <row r="24" spans="34:47" ht="14.45" customHeight="1"/>
    <row r="25" spans="34:47" ht="14.45" customHeight="1"/>
    <row r="26" spans="34:47" ht="14.45" customHeight="1"/>
    <row r="27" spans="34:47" ht="14.45" customHeight="1"/>
    <row r="28" spans="34:47" ht="14.45" customHeight="1"/>
    <row r="29" spans="34:47" ht="14.45" customHeight="1"/>
    <row r="30" spans="34:47" ht="14.45" customHeight="1"/>
    <row r="31" spans="34:47" ht="14.45" customHeight="1">
      <c r="AH31" s="101">
        <f>MAX(改版履歴!D4:D32)</f>
        <v>44294</v>
      </c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</row>
    <row r="32" spans="34:47" ht="14.45" customHeight="1"/>
    <row r="33" spans="26:56" ht="14.45" customHeight="1">
      <c r="Z33" s="102" t="s">
        <v>6</v>
      </c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</row>
    <row r="34" spans="26:56" ht="14.45" customHeight="1"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</row>
    <row r="35" spans="26:56" ht="14.45" customHeight="1"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</row>
  </sheetData>
  <mergeCells count="5">
    <mergeCell ref="G7:AK8"/>
    <mergeCell ref="G12:AK12"/>
    <mergeCell ref="AH31:AU31"/>
    <mergeCell ref="Z33:BD34"/>
    <mergeCell ref="AF35:AX35"/>
  </mergeCells>
  <phoneticPr fontId="5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2"/>
  <sheetViews>
    <sheetView showGridLines="0" zoomScale="85" zoomScaleNormal="85" zoomScaleSheetLayoutView="100" workbookViewId="0">
      <selection activeCell="D23" sqref="D23"/>
    </sheetView>
  </sheetViews>
  <sheetFormatPr defaultRowHeight="12"/>
  <cols>
    <col min="1" max="1" width="1.875" style="4" customWidth="1"/>
    <col min="2" max="2" width="5.625" style="4" customWidth="1"/>
    <col min="3" max="3" width="9.375" style="4" customWidth="1"/>
    <col min="4" max="4" width="10.625" style="9" customWidth="1"/>
    <col min="5" max="5" width="28.625" style="4" customWidth="1"/>
    <col min="6" max="6" width="73.875" style="4" customWidth="1"/>
    <col min="7" max="7" width="1.625" style="4" customWidth="1"/>
    <col min="8" max="256" width="9" style="4"/>
    <col min="257" max="257" width="1.875" style="4" customWidth="1"/>
    <col min="258" max="258" width="5.625" style="4" customWidth="1"/>
    <col min="259" max="259" width="9.375" style="4" customWidth="1"/>
    <col min="260" max="260" width="10.625" style="4" customWidth="1"/>
    <col min="261" max="261" width="28.625" style="4" customWidth="1"/>
    <col min="262" max="262" width="73.875" style="4" customWidth="1"/>
    <col min="263" max="263" width="1.625" style="4" customWidth="1"/>
    <col min="264" max="512" width="9" style="4"/>
    <col min="513" max="513" width="1.875" style="4" customWidth="1"/>
    <col min="514" max="514" width="5.625" style="4" customWidth="1"/>
    <col min="515" max="515" width="9.375" style="4" customWidth="1"/>
    <col min="516" max="516" width="10.625" style="4" customWidth="1"/>
    <col min="517" max="517" width="28.625" style="4" customWidth="1"/>
    <col min="518" max="518" width="73.875" style="4" customWidth="1"/>
    <col min="519" max="519" width="1.625" style="4" customWidth="1"/>
    <col min="520" max="768" width="9" style="4"/>
    <col min="769" max="769" width="1.875" style="4" customWidth="1"/>
    <col min="770" max="770" width="5.625" style="4" customWidth="1"/>
    <col min="771" max="771" width="9.375" style="4" customWidth="1"/>
    <col min="772" max="772" width="10.625" style="4" customWidth="1"/>
    <col min="773" max="773" width="28.625" style="4" customWidth="1"/>
    <col min="774" max="774" width="73.875" style="4" customWidth="1"/>
    <col min="775" max="775" width="1.625" style="4" customWidth="1"/>
    <col min="776" max="1024" width="9" style="4"/>
    <col min="1025" max="1025" width="1.875" style="4" customWidth="1"/>
    <col min="1026" max="1026" width="5.625" style="4" customWidth="1"/>
    <col min="1027" max="1027" width="9.375" style="4" customWidth="1"/>
    <col min="1028" max="1028" width="10.625" style="4" customWidth="1"/>
    <col min="1029" max="1029" width="28.625" style="4" customWidth="1"/>
    <col min="1030" max="1030" width="73.875" style="4" customWidth="1"/>
    <col min="1031" max="1031" width="1.625" style="4" customWidth="1"/>
    <col min="1032" max="1280" width="9" style="4"/>
    <col min="1281" max="1281" width="1.875" style="4" customWidth="1"/>
    <col min="1282" max="1282" width="5.625" style="4" customWidth="1"/>
    <col min="1283" max="1283" width="9.375" style="4" customWidth="1"/>
    <col min="1284" max="1284" width="10.625" style="4" customWidth="1"/>
    <col min="1285" max="1285" width="28.625" style="4" customWidth="1"/>
    <col min="1286" max="1286" width="73.875" style="4" customWidth="1"/>
    <col min="1287" max="1287" width="1.625" style="4" customWidth="1"/>
    <col min="1288" max="1536" width="9" style="4"/>
    <col min="1537" max="1537" width="1.875" style="4" customWidth="1"/>
    <col min="1538" max="1538" width="5.625" style="4" customWidth="1"/>
    <col min="1539" max="1539" width="9.375" style="4" customWidth="1"/>
    <col min="1540" max="1540" width="10.625" style="4" customWidth="1"/>
    <col min="1541" max="1541" width="28.625" style="4" customWidth="1"/>
    <col min="1542" max="1542" width="73.875" style="4" customWidth="1"/>
    <col min="1543" max="1543" width="1.625" style="4" customWidth="1"/>
    <col min="1544" max="1792" width="9" style="4"/>
    <col min="1793" max="1793" width="1.875" style="4" customWidth="1"/>
    <col min="1794" max="1794" width="5.625" style="4" customWidth="1"/>
    <col min="1795" max="1795" width="9.375" style="4" customWidth="1"/>
    <col min="1796" max="1796" width="10.625" style="4" customWidth="1"/>
    <col min="1797" max="1797" width="28.625" style="4" customWidth="1"/>
    <col min="1798" max="1798" width="73.875" style="4" customWidth="1"/>
    <col min="1799" max="1799" width="1.625" style="4" customWidth="1"/>
    <col min="1800" max="2048" width="9" style="4"/>
    <col min="2049" max="2049" width="1.875" style="4" customWidth="1"/>
    <col min="2050" max="2050" width="5.625" style="4" customWidth="1"/>
    <col min="2051" max="2051" width="9.375" style="4" customWidth="1"/>
    <col min="2052" max="2052" width="10.625" style="4" customWidth="1"/>
    <col min="2053" max="2053" width="28.625" style="4" customWidth="1"/>
    <col min="2054" max="2054" width="73.875" style="4" customWidth="1"/>
    <col min="2055" max="2055" width="1.625" style="4" customWidth="1"/>
    <col min="2056" max="2304" width="9" style="4"/>
    <col min="2305" max="2305" width="1.875" style="4" customWidth="1"/>
    <col min="2306" max="2306" width="5.625" style="4" customWidth="1"/>
    <col min="2307" max="2307" width="9.375" style="4" customWidth="1"/>
    <col min="2308" max="2308" width="10.625" style="4" customWidth="1"/>
    <col min="2309" max="2309" width="28.625" style="4" customWidth="1"/>
    <col min="2310" max="2310" width="73.875" style="4" customWidth="1"/>
    <col min="2311" max="2311" width="1.625" style="4" customWidth="1"/>
    <col min="2312" max="2560" width="9" style="4"/>
    <col min="2561" max="2561" width="1.875" style="4" customWidth="1"/>
    <col min="2562" max="2562" width="5.625" style="4" customWidth="1"/>
    <col min="2563" max="2563" width="9.375" style="4" customWidth="1"/>
    <col min="2564" max="2564" width="10.625" style="4" customWidth="1"/>
    <col min="2565" max="2565" width="28.625" style="4" customWidth="1"/>
    <col min="2566" max="2566" width="73.875" style="4" customWidth="1"/>
    <col min="2567" max="2567" width="1.625" style="4" customWidth="1"/>
    <col min="2568" max="2816" width="9" style="4"/>
    <col min="2817" max="2817" width="1.875" style="4" customWidth="1"/>
    <col min="2818" max="2818" width="5.625" style="4" customWidth="1"/>
    <col min="2819" max="2819" width="9.375" style="4" customWidth="1"/>
    <col min="2820" max="2820" width="10.625" style="4" customWidth="1"/>
    <col min="2821" max="2821" width="28.625" style="4" customWidth="1"/>
    <col min="2822" max="2822" width="73.875" style="4" customWidth="1"/>
    <col min="2823" max="2823" width="1.625" style="4" customWidth="1"/>
    <col min="2824" max="3072" width="9" style="4"/>
    <col min="3073" max="3073" width="1.875" style="4" customWidth="1"/>
    <col min="3074" max="3074" width="5.625" style="4" customWidth="1"/>
    <col min="3075" max="3075" width="9.375" style="4" customWidth="1"/>
    <col min="3076" max="3076" width="10.625" style="4" customWidth="1"/>
    <col min="3077" max="3077" width="28.625" style="4" customWidth="1"/>
    <col min="3078" max="3078" width="73.875" style="4" customWidth="1"/>
    <col min="3079" max="3079" width="1.625" style="4" customWidth="1"/>
    <col min="3080" max="3328" width="9" style="4"/>
    <col min="3329" max="3329" width="1.875" style="4" customWidth="1"/>
    <col min="3330" max="3330" width="5.625" style="4" customWidth="1"/>
    <col min="3331" max="3331" width="9.375" style="4" customWidth="1"/>
    <col min="3332" max="3332" width="10.625" style="4" customWidth="1"/>
    <col min="3333" max="3333" width="28.625" style="4" customWidth="1"/>
    <col min="3334" max="3334" width="73.875" style="4" customWidth="1"/>
    <col min="3335" max="3335" width="1.625" style="4" customWidth="1"/>
    <col min="3336" max="3584" width="9" style="4"/>
    <col min="3585" max="3585" width="1.875" style="4" customWidth="1"/>
    <col min="3586" max="3586" width="5.625" style="4" customWidth="1"/>
    <col min="3587" max="3587" width="9.375" style="4" customWidth="1"/>
    <col min="3588" max="3588" width="10.625" style="4" customWidth="1"/>
    <col min="3589" max="3589" width="28.625" style="4" customWidth="1"/>
    <col min="3590" max="3590" width="73.875" style="4" customWidth="1"/>
    <col min="3591" max="3591" width="1.625" style="4" customWidth="1"/>
    <col min="3592" max="3840" width="9" style="4"/>
    <col min="3841" max="3841" width="1.875" style="4" customWidth="1"/>
    <col min="3842" max="3842" width="5.625" style="4" customWidth="1"/>
    <col min="3843" max="3843" width="9.375" style="4" customWidth="1"/>
    <col min="3844" max="3844" width="10.625" style="4" customWidth="1"/>
    <col min="3845" max="3845" width="28.625" style="4" customWidth="1"/>
    <col min="3846" max="3846" width="73.875" style="4" customWidth="1"/>
    <col min="3847" max="3847" width="1.625" style="4" customWidth="1"/>
    <col min="3848" max="4096" width="9" style="4"/>
    <col min="4097" max="4097" width="1.875" style="4" customWidth="1"/>
    <col min="4098" max="4098" width="5.625" style="4" customWidth="1"/>
    <col min="4099" max="4099" width="9.375" style="4" customWidth="1"/>
    <col min="4100" max="4100" width="10.625" style="4" customWidth="1"/>
    <col min="4101" max="4101" width="28.625" style="4" customWidth="1"/>
    <col min="4102" max="4102" width="73.875" style="4" customWidth="1"/>
    <col min="4103" max="4103" width="1.625" style="4" customWidth="1"/>
    <col min="4104" max="4352" width="9" style="4"/>
    <col min="4353" max="4353" width="1.875" style="4" customWidth="1"/>
    <col min="4354" max="4354" width="5.625" style="4" customWidth="1"/>
    <col min="4355" max="4355" width="9.375" style="4" customWidth="1"/>
    <col min="4356" max="4356" width="10.625" style="4" customWidth="1"/>
    <col min="4357" max="4357" width="28.625" style="4" customWidth="1"/>
    <col min="4358" max="4358" width="73.875" style="4" customWidth="1"/>
    <col min="4359" max="4359" width="1.625" style="4" customWidth="1"/>
    <col min="4360" max="4608" width="9" style="4"/>
    <col min="4609" max="4609" width="1.875" style="4" customWidth="1"/>
    <col min="4610" max="4610" width="5.625" style="4" customWidth="1"/>
    <col min="4611" max="4611" width="9.375" style="4" customWidth="1"/>
    <col min="4612" max="4612" width="10.625" style="4" customWidth="1"/>
    <col min="4613" max="4613" width="28.625" style="4" customWidth="1"/>
    <col min="4614" max="4614" width="73.875" style="4" customWidth="1"/>
    <col min="4615" max="4615" width="1.625" style="4" customWidth="1"/>
    <col min="4616" max="4864" width="9" style="4"/>
    <col min="4865" max="4865" width="1.875" style="4" customWidth="1"/>
    <col min="4866" max="4866" width="5.625" style="4" customWidth="1"/>
    <col min="4867" max="4867" width="9.375" style="4" customWidth="1"/>
    <col min="4868" max="4868" width="10.625" style="4" customWidth="1"/>
    <col min="4869" max="4869" width="28.625" style="4" customWidth="1"/>
    <col min="4870" max="4870" width="73.875" style="4" customWidth="1"/>
    <col min="4871" max="4871" width="1.625" style="4" customWidth="1"/>
    <col min="4872" max="5120" width="9" style="4"/>
    <col min="5121" max="5121" width="1.875" style="4" customWidth="1"/>
    <col min="5122" max="5122" width="5.625" style="4" customWidth="1"/>
    <col min="5123" max="5123" width="9.375" style="4" customWidth="1"/>
    <col min="5124" max="5124" width="10.625" style="4" customWidth="1"/>
    <col min="5125" max="5125" width="28.625" style="4" customWidth="1"/>
    <col min="5126" max="5126" width="73.875" style="4" customWidth="1"/>
    <col min="5127" max="5127" width="1.625" style="4" customWidth="1"/>
    <col min="5128" max="5376" width="9" style="4"/>
    <col min="5377" max="5377" width="1.875" style="4" customWidth="1"/>
    <col min="5378" max="5378" width="5.625" style="4" customWidth="1"/>
    <col min="5379" max="5379" width="9.375" style="4" customWidth="1"/>
    <col min="5380" max="5380" width="10.625" style="4" customWidth="1"/>
    <col min="5381" max="5381" width="28.625" style="4" customWidth="1"/>
    <col min="5382" max="5382" width="73.875" style="4" customWidth="1"/>
    <col min="5383" max="5383" width="1.625" style="4" customWidth="1"/>
    <col min="5384" max="5632" width="9" style="4"/>
    <col min="5633" max="5633" width="1.875" style="4" customWidth="1"/>
    <col min="5634" max="5634" width="5.625" style="4" customWidth="1"/>
    <col min="5635" max="5635" width="9.375" style="4" customWidth="1"/>
    <col min="5636" max="5636" width="10.625" style="4" customWidth="1"/>
    <col min="5637" max="5637" width="28.625" style="4" customWidth="1"/>
    <col min="5638" max="5638" width="73.875" style="4" customWidth="1"/>
    <col min="5639" max="5639" width="1.625" style="4" customWidth="1"/>
    <col min="5640" max="5888" width="9" style="4"/>
    <col min="5889" max="5889" width="1.875" style="4" customWidth="1"/>
    <col min="5890" max="5890" width="5.625" style="4" customWidth="1"/>
    <col min="5891" max="5891" width="9.375" style="4" customWidth="1"/>
    <col min="5892" max="5892" width="10.625" style="4" customWidth="1"/>
    <col min="5893" max="5893" width="28.625" style="4" customWidth="1"/>
    <col min="5894" max="5894" width="73.875" style="4" customWidth="1"/>
    <col min="5895" max="5895" width="1.625" style="4" customWidth="1"/>
    <col min="5896" max="6144" width="9" style="4"/>
    <col min="6145" max="6145" width="1.875" style="4" customWidth="1"/>
    <col min="6146" max="6146" width="5.625" style="4" customWidth="1"/>
    <col min="6147" max="6147" width="9.375" style="4" customWidth="1"/>
    <col min="6148" max="6148" width="10.625" style="4" customWidth="1"/>
    <col min="6149" max="6149" width="28.625" style="4" customWidth="1"/>
    <col min="6150" max="6150" width="73.875" style="4" customWidth="1"/>
    <col min="6151" max="6151" width="1.625" style="4" customWidth="1"/>
    <col min="6152" max="6400" width="9" style="4"/>
    <col min="6401" max="6401" width="1.875" style="4" customWidth="1"/>
    <col min="6402" max="6402" width="5.625" style="4" customWidth="1"/>
    <col min="6403" max="6403" width="9.375" style="4" customWidth="1"/>
    <col min="6404" max="6404" width="10.625" style="4" customWidth="1"/>
    <col min="6405" max="6405" width="28.625" style="4" customWidth="1"/>
    <col min="6406" max="6406" width="73.875" style="4" customWidth="1"/>
    <col min="6407" max="6407" width="1.625" style="4" customWidth="1"/>
    <col min="6408" max="6656" width="9" style="4"/>
    <col min="6657" max="6657" width="1.875" style="4" customWidth="1"/>
    <col min="6658" max="6658" width="5.625" style="4" customWidth="1"/>
    <col min="6659" max="6659" width="9.375" style="4" customWidth="1"/>
    <col min="6660" max="6660" width="10.625" style="4" customWidth="1"/>
    <col min="6661" max="6661" width="28.625" style="4" customWidth="1"/>
    <col min="6662" max="6662" width="73.875" style="4" customWidth="1"/>
    <col min="6663" max="6663" width="1.625" style="4" customWidth="1"/>
    <col min="6664" max="6912" width="9" style="4"/>
    <col min="6913" max="6913" width="1.875" style="4" customWidth="1"/>
    <col min="6914" max="6914" width="5.625" style="4" customWidth="1"/>
    <col min="6915" max="6915" width="9.375" style="4" customWidth="1"/>
    <col min="6916" max="6916" width="10.625" style="4" customWidth="1"/>
    <col min="6917" max="6917" width="28.625" style="4" customWidth="1"/>
    <col min="6918" max="6918" width="73.875" style="4" customWidth="1"/>
    <col min="6919" max="6919" width="1.625" style="4" customWidth="1"/>
    <col min="6920" max="7168" width="9" style="4"/>
    <col min="7169" max="7169" width="1.875" style="4" customWidth="1"/>
    <col min="7170" max="7170" width="5.625" style="4" customWidth="1"/>
    <col min="7171" max="7171" width="9.375" style="4" customWidth="1"/>
    <col min="7172" max="7172" width="10.625" style="4" customWidth="1"/>
    <col min="7173" max="7173" width="28.625" style="4" customWidth="1"/>
    <col min="7174" max="7174" width="73.875" style="4" customWidth="1"/>
    <col min="7175" max="7175" width="1.625" style="4" customWidth="1"/>
    <col min="7176" max="7424" width="9" style="4"/>
    <col min="7425" max="7425" width="1.875" style="4" customWidth="1"/>
    <col min="7426" max="7426" width="5.625" style="4" customWidth="1"/>
    <col min="7427" max="7427" width="9.375" style="4" customWidth="1"/>
    <col min="7428" max="7428" width="10.625" style="4" customWidth="1"/>
    <col min="7429" max="7429" width="28.625" style="4" customWidth="1"/>
    <col min="7430" max="7430" width="73.875" style="4" customWidth="1"/>
    <col min="7431" max="7431" width="1.625" style="4" customWidth="1"/>
    <col min="7432" max="7680" width="9" style="4"/>
    <col min="7681" max="7681" width="1.875" style="4" customWidth="1"/>
    <col min="7682" max="7682" width="5.625" style="4" customWidth="1"/>
    <col min="7683" max="7683" width="9.375" style="4" customWidth="1"/>
    <col min="7684" max="7684" width="10.625" style="4" customWidth="1"/>
    <col min="7685" max="7685" width="28.625" style="4" customWidth="1"/>
    <col min="7686" max="7686" width="73.875" style="4" customWidth="1"/>
    <col min="7687" max="7687" width="1.625" style="4" customWidth="1"/>
    <col min="7688" max="7936" width="9" style="4"/>
    <col min="7937" max="7937" width="1.875" style="4" customWidth="1"/>
    <col min="7938" max="7938" width="5.625" style="4" customWidth="1"/>
    <col min="7939" max="7939" width="9.375" style="4" customWidth="1"/>
    <col min="7940" max="7940" width="10.625" style="4" customWidth="1"/>
    <col min="7941" max="7941" width="28.625" style="4" customWidth="1"/>
    <col min="7942" max="7942" width="73.875" style="4" customWidth="1"/>
    <col min="7943" max="7943" width="1.625" style="4" customWidth="1"/>
    <col min="7944" max="8192" width="9" style="4"/>
    <col min="8193" max="8193" width="1.875" style="4" customWidth="1"/>
    <col min="8194" max="8194" width="5.625" style="4" customWidth="1"/>
    <col min="8195" max="8195" width="9.375" style="4" customWidth="1"/>
    <col min="8196" max="8196" width="10.625" style="4" customWidth="1"/>
    <col min="8197" max="8197" width="28.625" style="4" customWidth="1"/>
    <col min="8198" max="8198" width="73.875" style="4" customWidth="1"/>
    <col min="8199" max="8199" width="1.625" style="4" customWidth="1"/>
    <col min="8200" max="8448" width="9" style="4"/>
    <col min="8449" max="8449" width="1.875" style="4" customWidth="1"/>
    <col min="8450" max="8450" width="5.625" style="4" customWidth="1"/>
    <col min="8451" max="8451" width="9.375" style="4" customWidth="1"/>
    <col min="8452" max="8452" width="10.625" style="4" customWidth="1"/>
    <col min="8453" max="8453" width="28.625" style="4" customWidth="1"/>
    <col min="8454" max="8454" width="73.875" style="4" customWidth="1"/>
    <col min="8455" max="8455" width="1.625" style="4" customWidth="1"/>
    <col min="8456" max="8704" width="9" style="4"/>
    <col min="8705" max="8705" width="1.875" style="4" customWidth="1"/>
    <col min="8706" max="8706" width="5.625" style="4" customWidth="1"/>
    <col min="8707" max="8707" width="9.375" style="4" customWidth="1"/>
    <col min="8708" max="8708" width="10.625" style="4" customWidth="1"/>
    <col min="8709" max="8709" width="28.625" style="4" customWidth="1"/>
    <col min="8710" max="8710" width="73.875" style="4" customWidth="1"/>
    <col min="8711" max="8711" width="1.625" style="4" customWidth="1"/>
    <col min="8712" max="8960" width="9" style="4"/>
    <col min="8961" max="8961" width="1.875" style="4" customWidth="1"/>
    <col min="8962" max="8962" width="5.625" style="4" customWidth="1"/>
    <col min="8963" max="8963" width="9.375" style="4" customWidth="1"/>
    <col min="8964" max="8964" width="10.625" style="4" customWidth="1"/>
    <col min="8965" max="8965" width="28.625" style="4" customWidth="1"/>
    <col min="8966" max="8966" width="73.875" style="4" customWidth="1"/>
    <col min="8967" max="8967" width="1.625" style="4" customWidth="1"/>
    <col min="8968" max="9216" width="9" style="4"/>
    <col min="9217" max="9217" width="1.875" style="4" customWidth="1"/>
    <col min="9218" max="9218" width="5.625" style="4" customWidth="1"/>
    <col min="9219" max="9219" width="9.375" style="4" customWidth="1"/>
    <col min="9220" max="9220" width="10.625" style="4" customWidth="1"/>
    <col min="9221" max="9221" width="28.625" style="4" customWidth="1"/>
    <col min="9222" max="9222" width="73.875" style="4" customWidth="1"/>
    <col min="9223" max="9223" width="1.625" style="4" customWidth="1"/>
    <col min="9224" max="9472" width="9" style="4"/>
    <col min="9473" max="9473" width="1.875" style="4" customWidth="1"/>
    <col min="9474" max="9474" width="5.625" style="4" customWidth="1"/>
    <col min="9475" max="9475" width="9.375" style="4" customWidth="1"/>
    <col min="9476" max="9476" width="10.625" style="4" customWidth="1"/>
    <col min="9477" max="9477" width="28.625" style="4" customWidth="1"/>
    <col min="9478" max="9478" width="73.875" style="4" customWidth="1"/>
    <col min="9479" max="9479" width="1.625" style="4" customWidth="1"/>
    <col min="9480" max="9728" width="9" style="4"/>
    <col min="9729" max="9729" width="1.875" style="4" customWidth="1"/>
    <col min="9730" max="9730" width="5.625" style="4" customWidth="1"/>
    <col min="9731" max="9731" width="9.375" style="4" customWidth="1"/>
    <col min="9732" max="9732" width="10.625" style="4" customWidth="1"/>
    <col min="9733" max="9733" width="28.625" style="4" customWidth="1"/>
    <col min="9734" max="9734" width="73.875" style="4" customWidth="1"/>
    <col min="9735" max="9735" width="1.625" style="4" customWidth="1"/>
    <col min="9736" max="9984" width="9" style="4"/>
    <col min="9985" max="9985" width="1.875" style="4" customWidth="1"/>
    <col min="9986" max="9986" width="5.625" style="4" customWidth="1"/>
    <col min="9987" max="9987" width="9.375" style="4" customWidth="1"/>
    <col min="9988" max="9988" width="10.625" style="4" customWidth="1"/>
    <col min="9989" max="9989" width="28.625" style="4" customWidth="1"/>
    <col min="9990" max="9990" width="73.875" style="4" customWidth="1"/>
    <col min="9991" max="9991" width="1.625" style="4" customWidth="1"/>
    <col min="9992" max="10240" width="9" style="4"/>
    <col min="10241" max="10241" width="1.875" style="4" customWidth="1"/>
    <col min="10242" max="10242" width="5.625" style="4" customWidth="1"/>
    <col min="10243" max="10243" width="9.375" style="4" customWidth="1"/>
    <col min="10244" max="10244" width="10.625" style="4" customWidth="1"/>
    <col min="10245" max="10245" width="28.625" style="4" customWidth="1"/>
    <col min="10246" max="10246" width="73.875" style="4" customWidth="1"/>
    <col min="10247" max="10247" width="1.625" style="4" customWidth="1"/>
    <col min="10248" max="10496" width="9" style="4"/>
    <col min="10497" max="10497" width="1.875" style="4" customWidth="1"/>
    <col min="10498" max="10498" width="5.625" style="4" customWidth="1"/>
    <col min="10499" max="10499" width="9.375" style="4" customWidth="1"/>
    <col min="10500" max="10500" width="10.625" style="4" customWidth="1"/>
    <col min="10501" max="10501" width="28.625" style="4" customWidth="1"/>
    <col min="10502" max="10502" width="73.875" style="4" customWidth="1"/>
    <col min="10503" max="10503" width="1.625" style="4" customWidth="1"/>
    <col min="10504" max="10752" width="9" style="4"/>
    <col min="10753" max="10753" width="1.875" style="4" customWidth="1"/>
    <col min="10754" max="10754" width="5.625" style="4" customWidth="1"/>
    <col min="10755" max="10755" width="9.375" style="4" customWidth="1"/>
    <col min="10756" max="10756" width="10.625" style="4" customWidth="1"/>
    <col min="10757" max="10757" width="28.625" style="4" customWidth="1"/>
    <col min="10758" max="10758" width="73.875" style="4" customWidth="1"/>
    <col min="10759" max="10759" width="1.625" style="4" customWidth="1"/>
    <col min="10760" max="11008" width="9" style="4"/>
    <col min="11009" max="11009" width="1.875" style="4" customWidth="1"/>
    <col min="11010" max="11010" width="5.625" style="4" customWidth="1"/>
    <col min="11011" max="11011" width="9.375" style="4" customWidth="1"/>
    <col min="11012" max="11012" width="10.625" style="4" customWidth="1"/>
    <col min="11013" max="11013" width="28.625" style="4" customWidth="1"/>
    <col min="11014" max="11014" width="73.875" style="4" customWidth="1"/>
    <col min="11015" max="11015" width="1.625" style="4" customWidth="1"/>
    <col min="11016" max="11264" width="9" style="4"/>
    <col min="11265" max="11265" width="1.875" style="4" customWidth="1"/>
    <col min="11266" max="11266" width="5.625" style="4" customWidth="1"/>
    <col min="11267" max="11267" width="9.375" style="4" customWidth="1"/>
    <col min="11268" max="11268" width="10.625" style="4" customWidth="1"/>
    <col min="11269" max="11269" width="28.625" style="4" customWidth="1"/>
    <col min="11270" max="11270" width="73.875" style="4" customWidth="1"/>
    <col min="11271" max="11271" width="1.625" style="4" customWidth="1"/>
    <col min="11272" max="11520" width="9" style="4"/>
    <col min="11521" max="11521" width="1.875" style="4" customWidth="1"/>
    <col min="11522" max="11522" width="5.625" style="4" customWidth="1"/>
    <col min="11523" max="11523" width="9.375" style="4" customWidth="1"/>
    <col min="11524" max="11524" width="10.625" style="4" customWidth="1"/>
    <col min="11525" max="11525" width="28.625" style="4" customWidth="1"/>
    <col min="11526" max="11526" width="73.875" style="4" customWidth="1"/>
    <col min="11527" max="11527" width="1.625" style="4" customWidth="1"/>
    <col min="11528" max="11776" width="9" style="4"/>
    <col min="11777" max="11777" width="1.875" style="4" customWidth="1"/>
    <col min="11778" max="11778" width="5.625" style="4" customWidth="1"/>
    <col min="11779" max="11779" width="9.375" style="4" customWidth="1"/>
    <col min="11780" max="11780" width="10.625" style="4" customWidth="1"/>
    <col min="11781" max="11781" width="28.625" style="4" customWidth="1"/>
    <col min="11782" max="11782" width="73.875" style="4" customWidth="1"/>
    <col min="11783" max="11783" width="1.625" style="4" customWidth="1"/>
    <col min="11784" max="12032" width="9" style="4"/>
    <col min="12033" max="12033" width="1.875" style="4" customWidth="1"/>
    <col min="12034" max="12034" width="5.625" style="4" customWidth="1"/>
    <col min="12035" max="12035" width="9.375" style="4" customWidth="1"/>
    <col min="12036" max="12036" width="10.625" style="4" customWidth="1"/>
    <col min="12037" max="12037" width="28.625" style="4" customWidth="1"/>
    <col min="12038" max="12038" width="73.875" style="4" customWidth="1"/>
    <col min="12039" max="12039" width="1.625" style="4" customWidth="1"/>
    <col min="12040" max="12288" width="9" style="4"/>
    <col min="12289" max="12289" width="1.875" style="4" customWidth="1"/>
    <col min="12290" max="12290" width="5.625" style="4" customWidth="1"/>
    <col min="12291" max="12291" width="9.375" style="4" customWidth="1"/>
    <col min="12292" max="12292" width="10.625" style="4" customWidth="1"/>
    <col min="12293" max="12293" width="28.625" style="4" customWidth="1"/>
    <col min="12294" max="12294" width="73.875" style="4" customWidth="1"/>
    <col min="12295" max="12295" width="1.625" style="4" customWidth="1"/>
    <col min="12296" max="12544" width="9" style="4"/>
    <col min="12545" max="12545" width="1.875" style="4" customWidth="1"/>
    <col min="12546" max="12546" width="5.625" style="4" customWidth="1"/>
    <col min="12547" max="12547" width="9.375" style="4" customWidth="1"/>
    <col min="12548" max="12548" width="10.625" style="4" customWidth="1"/>
    <col min="12549" max="12549" width="28.625" style="4" customWidth="1"/>
    <col min="12550" max="12550" width="73.875" style="4" customWidth="1"/>
    <col min="12551" max="12551" width="1.625" style="4" customWidth="1"/>
    <col min="12552" max="12800" width="9" style="4"/>
    <col min="12801" max="12801" width="1.875" style="4" customWidth="1"/>
    <col min="12802" max="12802" width="5.625" style="4" customWidth="1"/>
    <col min="12803" max="12803" width="9.375" style="4" customWidth="1"/>
    <col min="12804" max="12804" width="10.625" style="4" customWidth="1"/>
    <col min="12805" max="12805" width="28.625" style="4" customWidth="1"/>
    <col min="12806" max="12806" width="73.875" style="4" customWidth="1"/>
    <col min="12807" max="12807" width="1.625" style="4" customWidth="1"/>
    <col min="12808" max="13056" width="9" style="4"/>
    <col min="13057" max="13057" width="1.875" style="4" customWidth="1"/>
    <col min="13058" max="13058" width="5.625" style="4" customWidth="1"/>
    <col min="13059" max="13059" width="9.375" style="4" customWidth="1"/>
    <col min="13060" max="13060" width="10.625" style="4" customWidth="1"/>
    <col min="13061" max="13061" width="28.625" style="4" customWidth="1"/>
    <col min="13062" max="13062" width="73.875" style="4" customWidth="1"/>
    <col min="13063" max="13063" width="1.625" style="4" customWidth="1"/>
    <col min="13064" max="13312" width="9" style="4"/>
    <col min="13313" max="13313" width="1.875" style="4" customWidth="1"/>
    <col min="13314" max="13314" width="5.625" style="4" customWidth="1"/>
    <col min="13315" max="13315" width="9.375" style="4" customWidth="1"/>
    <col min="13316" max="13316" width="10.625" style="4" customWidth="1"/>
    <col min="13317" max="13317" width="28.625" style="4" customWidth="1"/>
    <col min="13318" max="13318" width="73.875" style="4" customWidth="1"/>
    <col min="13319" max="13319" width="1.625" style="4" customWidth="1"/>
    <col min="13320" max="13568" width="9" style="4"/>
    <col min="13569" max="13569" width="1.875" style="4" customWidth="1"/>
    <col min="13570" max="13570" width="5.625" style="4" customWidth="1"/>
    <col min="13571" max="13571" width="9.375" style="4" customWidth="1"/>
    <col min="13572" max="13572" width="10.625" style="4" customWidth="1"/>
    <col min="13573" max="13573" width="28.625" style="4" customWidth="1"/>
    <col min="13574" max="13574" width="73.875" style="4" customWidth="1"/>
    <col min="13575" max="13575" width="1.625" style="4" customWidth="1"/>
    <col min="13576" max="13824" width="9" style="4"/>
    <col min="13825" max="13825" width="1.875" style="4" customWidth="1"/>
    <col min="13826" max="13826" width="5.625" style="4" customWidth="1"/>
    <col min="13827" max="13827" width="9.375" style="4" customWidth="1"/>
    <col min="13828" max="13828" width="10.625" style="4" customWidth="1"/>
    <col min="13829" max="13829" width="28.625" style="4" customWidth="1"/>
    <col min="13830" max="13830" width="73.875" style="4" customWidth="1"/>
    <col min="13831" max="13831" width="1.625" style="4" customWidth="1"/>
    <col min="13832" max="14080" width="9" style="4"/>
    <col min="14081" max="14081" width="1.875" style="4" customWidth="1"/>
    <col min="14082" max="14082" width="5.625" style="4" customWidth="1"/>
    <col min="14083" max="14083" width="9.375" style="4" customWidth="1"/>
    <col min="14084" max="14084" width="10.625" style="4" customWidth="1"/>
    <col min="14085" max="14085" width="28.625" style="4" customWidth="1"/>
    <col min="14086" max="14086" width="73.875" style="4" customWidth="1"/>
    <col min="14087" max="14087" width="1.625" style="4" customWidth="1"/>
    <col min="14088" max="14336" width="9" style="4"/>
    <col min="14337" max="14337" width="1.875" style="4" customWidth="1"/>
    <col min="14338" max="14338" width="5.625" style="4" customWidth="1"/>
    <col min="14339" max="14339" width="9.375" style="4" customWidth="1"/>
    <col min="14340" max="14340" width="10.625" style="4" customWidth="1"/>
    <col min="14341" max="14341" width="28.625" style="4" customWidth="1"/>
    <col min="14342" max="14342" width="73.875" style="4" customWidth="1"/>
    <col min="14343" max="14343" width="1.625" style="4" customWidth="1"/>
    <col min="14344" max="14592" width="9" style="4"/>
    <col min="14593" max="14593" width="1.875" style="4" customWidth="1"/>
    <col min="14594" max="14594" width="5.625" style="4" customWidth="1"/>
    <col min="14595" max="14595" width="9.375" style="4" customWidth="1"/>
    <col min="14596" max="14596" width="10.625" style="4" customWidth="1"/>
    <col min="14597" max="14597" width="28.625" style="4" customWidth="1"/>
    <col min="14598" max="14598" width="73.875" style="4" customWidth="1"/>
    <col min="14599" max="14599" width="1.625" style="4" customWidth="1"/>
    <col min="14600" max="14848" width="9" style="4"/>
    <col min="14849" max="14849" width="1.875" style="4" customWidth="1"/>
    <col min="14850" max="14850" width="5.625" style="4" customWidth="1"/>
    <col min="14851" max="14851" width="9.375" style="4" customWidth="1"/>
    <col min="14852" max="14852" width="10.625" style="4" customWidth="1"/>
    <col min="14853" max="14853" width="28.625" style="4" customWidth="1"/>
    <col min="14854" max="14854" width="73.875" style="4" customWidth="1"/>
    <col min="14855" max="14855" width="1.625" style="4" customWidth="1"/>
    <col min="14856" max="15104" width="9" style="4"/>
    <col min="15105" max="15105" width="1.875" style="4" customWidth="1"/>
    <col min="15106" max="15106" width="5.625" style="4" customWidth="1"/>
    <col min="15107" max="15107" width="9.375" style="4" customWidth="1"/>
    <col min="15108" max="15108" width="10.625" style="4" customWidth="1"/>
    <col min="15109" max="15109" width="28.625" style="4" customWidth="1"/>
    <col min="15110" max="15110" width="73.875" style="4" customWidth="1"/>
    <col min="15111" max="15111" width="1.625" style="4" customWidth="1"/>
    <col min="15112" max="15360" width="9" style="4"/>
    <col min="15361" max="15361" width="1.875" style="4" customWidth="1"/>
    <col min="15362" max="15362" width="5.625" style="4" customWidth="1"/>
    <col min="15363" max="15363" width="9.375" style="4" customWidth="1"/>
    <col min="15364" max="15364" width="10.625" style="4" customWidth="1"/>
    <col min="15365" max="15365" width="28.625" style="4" customWidth="1"/>
    <col min="15366" max="15366" width="73.875" style="4" customWidth="1"/>
    <col min="15367" max="15367" width="1.625" style="4" customWidth="1"/>
    <col min="15368" max="15616" width="9" style="4"/>
    <col min="15617" max="15617" width="1.875" style="4" customWidth="1"/>
    <col min="15618" max="15618" width="5.625" style="4" customWidth="1"/>
    <col min="15619" max="15619" width="9.375" style="4" customWidth="1"/>
    <col min="15620" max="15620" width="10.625" style="4" customWidth="1"/>
    <col min="15621" max="15621" width="28.625" style="4" customWidth="1"/>
    <col min="15622" max="15622" width="73.875" style="4" customWidth="1"/>
    <col min="15623" max="15623" width="1.625" style="4" customWidth="1"/>
    <col min="15624" max="15872" width="9" style="4"/>
    <col min="15873" max="15873" width="1.875" style="4" customWidth="1"/>
    <col min="15874" max="15874" width="5.625" style="4" customWidth="1"/>
    <col min="15875" max="15875" width="9.375" style="4" customWidth="1"/>
    <col min="15876" max="15876" width="10.625" style="4" customWidth="1"/>
    <col min="15877" max="15877" width="28.625" style="4" customWidth="1"/>
    <col min="15878" max="15878" width="73.875" style="4" customWidth="1"/>
    <col min="15879" max="15879" width="1.625" style="4" customWidth="1"/>
    <col min="15880" max="16128" width="9" style="4"/>
    <col min="16129" max="16129" width="1.875" style="4" customWidth="1"/>
    <col min="16130" max="16130" width="5.625" style="4" customWidth="1"/>
    <col min="16131" max="16131" width="9.375" style="4" customWidth="1"/>
    <col min="16132" max="16132" width="10.625" style="4" customWidth="1"/>
    <col min="16133" max="16133" width="28.625" style="4" customWidth="1"/>
    <col min="16134" max="16134" width="73.875" style="4" customWidth="1"/>
    <col min="16135" max="16135" width="1.625" style="4" customWidth="1"/>
    <col min="16136" max="16384" width="9" style="4"/>
  </cols>
  <sheetData>
    <row r="1" spans="2:7" ht="19.5">
      <c r="B1" s="104" t="s">
        <v>7</v>
      </c>
      <c r="C1" s="104"/>
      <c r="D1" s="104"/>
      <c r="E1" s="104"/>
      <c r="F1" s="104"/>
    </row>
    <row r="3" spans="2:7">
      <c r="B3" s="5" t="s">
        <v>8</v>
      </c>
      <c r="C3" s="5" t="s">
        <v>9</v>
      </c>
      <c r="D3" s="6" t="s">
        <v>10</v>
      </c>
      <c r="E3" s="5" t="s">
        <v>11</v>
      </c>
      <c r="F3" s="5" t="s">
        <v>12</v>
      </c>
    </row>
    <row r="4" spans="2:7">
      <c r="B4" s="89">
        <v>1</v>
      </c>
      <c r="C4" s="3" t="s">
        <v>28</v>
      </c>
      <c r="D4" s="7">
        <v>43234</v>
      </c>
      <c r="E4" s="2" t="s">
        <v>14</v>
      </c>
      <c r="F4" s="2" t="s">
        <v>13</v>
      </c>
    </row>
    <row r="5" spans="2:7">
      <c r="B5" s="89">
        <v>1.1000000000000001</v>
      </c>
      <c r="C5" s="2" t="s">
        <v>28</v>
      </c>
      <c r="D5" s="7">
        <v>43237</v>
      </c>
      <c r="E5" s="2" t="s">
        <v>47</v>
      </c>
      <c r="F5" s="2" t="s">
        <v>39</v>
      </c>
    </row>
    <row r="6" spans="2:7">
      <c r="B6" s="89">
        <v>1.2</v>
      </c>
      <c r="C6" s="2" t="s">
        <v>28</v>
      </c>
      <c r="D6" s="7">
        <v>43241</v>
      </c>
      <c r="E6" s="2" t="s">
        <v>47</v>
      </c>
      <c r="F6" s="2" t="s">
        <v>41</v>
      </c>
    </row>
    <row r="7" spans="2:7" ht="48">
      <c r="B7" s="89">
        <v>1.3</v>
      </c>
      <c r="C7" s="2" t="s">
        <v>28</v>
      </c>
      <c r="D7" s="7">
        <v>43242</v>
      </c>
      <c r="E7" s="2" t="s">
        <v>47</v>
      </c>
      <c r="F7" s="2" t="s">
        <v>68</v>
      </c>
    </row>
    <row r="8" spans="2:7">
      <c r="B8" s="89">
        <v>1.4</v>
      </c>
      <c r="C8" s="2" t="s">
        <v>28</v>
      </c>
      <c r="D8" s="7">
        <v>43245</v>
      </c>
      <c r="E8" s="2" t="s">
        <v>47</v>
      </c>
      <c r="F8" s="2" t="s">
        <v>65</v>
      </c>
    </row>
    <row r="9" spans="2:7">
      <c r="B9" s="89">
        <v>1.5</v>
      </c>
      <c r="C9" s="2" t="s">
        <v>28</v>
      </c>
      <c r="D9" s="7">
        <v>43249</v>
      </c>
      <c r="E9" s="2" t="s">
        <v>47</v>
      </c>
      <c r="F9" s="2" t="s">
        <v>69</v>
      </c>
    </row>
    <row r="10" spans="2:7">
      <c r="B10" s="89">
        <v>1.6</v>
      </c>
      <c r="C10" s="2" t="s">
        <v>85</v>
      </c>
      <c r="D10" s="7">
        <v>43286</v>
      </c>
      <c r="E10" s="2" t="s">
        <v>86</v>
      </c>
      <c r="F10" s="2" t="s">
        <v>13</v>
      </c>
    </row>
    <row r="11" spans="2:7">
      <c r="B11" s="89">
        <v>1.7</v>
      </c>
      <c r="C11" s="2" t="s">
        <v>85</v>
      </c>
      <c r="D11" s="7">
        <v>43304</v>
      </c>
      <c r="E11" s="2" t="s">
        <v>106</v>
      </c>
      <c r="F11" s="2" t="s">
        <v>13</v>
      </c>
    </row>
    <row r="12" spans="2:7">
      <c r="B12" s="89">
        <v>1.8</v>
      </c>
      <c r="C12" s="2" t="s">
        <v>85</v>
      </c>
      <c r="D12" s="7">
        <v>43306</v>
      </c>
      <c r="E12" s="2" t="s">
        <v>136</v>
      </c>
      <c r="F12" s="2" t="s">
        <v>137</v>
      </c>
      <c r="G12" s="8"/>
    </row>
    <row r="13" spans="2:7" ht="24">
      <c r="B13" s="89">
        <v>1.9</v>
      </c>
      <c r="C13" s="2" t="s">
        <v>153</v>
      </c>
      <c r="D13" s="7">
        <v>43364</v>
      </c>
      <c r="E13" s="2" t="s">
        <v>154</v>
      </c>
      <c r="F13" s="2" t="s">
        <v>155</v>
      </c>
    </row>
    <row r="14" spans="2:7" ht="24">
      <c r="B14" s="89">
        <v>1.1000000000000001</v>
      </c>
      <c r="C14" s="2" t="s">
        <v>156</v>
      </c>
      <c r="D14" s="7">
        <v>43368</v>
      </c>
      <c r="E14" s="2" t="s">
        <v>159</v>
      </c>
      <c r="F14" s="2" t="s">
        <v>168</v>
      </c>
    </row>
    <row r="15" spans="2:7">
      <c r="B15" s="89">
        <v>1.1100000000000001</v>
      </c>
      <c r="C15" s="2" t="s">
        <v>171</v>
      </c>
      <c r="D15" s="7">
        <v>43386</v>
      </c>
      <c r="E15" s="2" t="s">
        <v>154</v>
      </c>
      <c r="F15" s="2" t="s">
        <v>172</v>
      </c>
    </row>
    <row r="16" spans="2:7" ht="24">
      <c r="B16" s="89">
        <v>1.1200000000000001</v>
      </c>
      <c r="C16" s="2" t="s">
        <v>180</v>
      </c>
      <c r="D16" s="7">
        <v>43390</v>
      </c>
      <c r="E16" s="2" t="s">
        <v>181</v>
      </c>
      <c r="F16" s="2" t="s">
        <v>182</v>
      </c>
    </row>
    <row r="17" spans="2:6" ht="72">
      <c r="B17" s="89">
        <v>1.1299999999999999</v>
      </c>
      <c r="C17" s="2" t="s">
        <v>185</v>
      </c>
      <c r="D17" s="7">
        <v>43487</v>
      </c>
      <c r="E17" s="2" t="s">
        <v>186</v>
      </c>
      <c r="F17" s="2" t="s">
        <v>187</v>
      </c>
    </row>
    <row r="18" spans="2:6">
      <c r="B18" s="89">
        <v>1.1399999999999999</v>
      </c>
      <c r="C18" s="2" t="s">
        <v>156</v>
      </c>
      <c r="D18" s="7">
        <v>43500</v>
      </c>
      <c r="E18" s="2" t="s">
        <v>74</v>
      </c>
      <c r="F18" s="2" t="s">
        <v>190</v>
      </c>
    </row>
    <row r="19" spans="2:6" ht="36">
      <c r="B19" s="89">
        <v>1.1499999999999999</v>
      </c>
      <c r="C19" s="2" t="s">
        <v>193</v>
      </c>
      <c r="D19" s="7">
        <v>43508</v>
      </c>
      <c r="E19" s="2" t="s">
        <v>154</v>
      </c>
      <c r="F19" s="2" t="s">
        <v>192</v>
      </c>
    </row>
    <row r="20" spans="2:6" ht="36">
      <c r="B20" s="89">
        <v>1.1599999999999999</v>
      </c>
      <c r="C20" s="2" t="s">
        <v>194</v>
      </c>
      <c r="D20" s="7">
        <v>43515</v>
      </c>
      <c r="E20" s="2" t="s">
        <v>195</v>
      </c>
      <c r="F20" s="2" t="s">
        <v>197</v>
      </c>
    </row>
    <row r="21" spans="2:6" ht="24">
      <c r="B21" s="89">
        <v>1.17</v>
      </c>
      <c r="C21" s="2" t="s">
        <v>85</v>
      </c>
      <c r="D21" s="7">
        <v>44278</v>
      </c>
      <c r="E21" s="2" t="s">
        <v>203</v>
      </c>
      <c r="F21" s="2" t="s">
        <v>208</v>
      </c>
    </row>
    <row r="22" spans="2:6" ht="24">
      <c r="B22" s="89">
        <v>1.18</v>
      </c>
      <c r="C22" s="2" t="s">
        <v>85</v>
      </c>
      <c r="D22" s="7">
        <v>44294</v>
      </c>
      <c r="E22" s="2" t="s">
        <v>203</v>
      </c>
      <c r="F22" s="2" t="s">
        <v>209</v>
      </c>
    </row>
    <row r="23" spans="2:6">
      <c r="B23" s="89"/>
      <c r="C23" s="2"/>
      <c r="D23" s="7"/>
      <c r="E23" s="2"/>
      <c r="F23" s="2"/>
    </row>
    <row r="24" spans="2:6">
      <c r="B24" s="89"/>
      <c r="C24" s="2"/>
      <c r="D24" s="7"/>
      <c r="E24" s="2"/>
      <c r="F24" s="2"/>
    </row>
    <row r="25" spans="2:6">
      <c r="B25" s="89"/>
      <c r="C25" s="2"/>
      <c r="D25" s="7"/>
      <c r="E25" s="2"/>
      <c r="F25" s="2"/>
    </row>
    <row r="26" spans="2:6">
      <c r="B26" s="89"/>
      <c r="C26" s="2"/>
      <c r="D26" s="7"/>
      <c r="E26" s="2"/>
      <c r="F26" s="2"/>
    </row>
    <row r="27" spans="2:6">
      <c r="B27" s="89"/>
      <c r="C27" s="2"/>
      <c r="D27" s="7"/>
      <c r="E27" s="2"/>
      <c r="F27" s="2"/>
    </row>
    <row r="28" spans="2:6">
      <c r="B28" s="89"/>
      <c r="C28" s="2"/>
      <c r="D28" s="7"/>
      <c r="E28" s="2"/>
      <c r="F28" s="2"/>
    </row>
    <row r="29" spans="2:6">
      <c r="B29" s="89"/>
      <c r="C29" s="2"/>
      <c r="D29" s="7"/>
      <c r="E29" s="2"/>
      <c r="F29" s="2"/>
    </row>
    <row r="30" spans="2:6">
      <c r="B30" s="89"/>
      <c r="C30" s="2"/>
      <c r="D30" s="7"/>
      <c r="E30" s="2"/>
      <c r="F30" s="2"/>
    </row>
    <row r="31" spans="2:6">
      <c r="B31" s="89"/>
      <c r="C31" s="2"/>
      <c r="D31" s="7"/>
      <c r="E31" s="2"/>
      <c r="F31" s="2"/>
    </row>
    <row r="32" spans="2:6">
      <c r="B32" s="89"/>
      <c r="C32" s="2"/>
      <c r="D32" s="7"/>
      <c r="E32" s="2"/>
      <c r="F32" s="2"/>
    </row>
  </sheetData>
  <mergeCells count="1">
    <mergeCell ref="B1:F1"/>
  </mergeCells>
  <phoneticPr fontId="5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M102"/>
  <sheetViews>
    <sheetView showGridLines="0" view="pageBreakPreview" topLeftCell="A41" zoomScale="85" zoomScaleNormal="70" zoomScaleSheetLayoutView="85" workbookViewId="0">
      <selection activeCell="BH77" sqref="BH77"/>
    </sheetView>
  </sheetViews>
  <sheetFormatPr defaultColWidth="2.625" defaultRowHeight="15.75"/>
  <cols>
    <col min="1" max="50" width="2.625" style="12"/>
    <col min="51" max="51" width="2.875" style="12" bestFit="1" customWidth="1"/>
    <col min="52" max="52" width="2.375" style="12" customWidth="1"/>
    <col min="53" max="16384" width="2.625" style="12"/>
  </cols>
  <sheetData>
    <row r="1" spans="1:90" ht="13.5" customHeight="1">
      <c r="A1" s="151" t="s">
        <v>21</v>
      </c>
      <c r="B1" s="152"/>
      <c r="C1" s="152"/>
      <c r="D1" s="152"/>
      <c r="E1" s="152"/>
      <c r="F1" s="152"/>
      <c r="G1" s="152"/>
      <c r="H1" s="152"/>
      <c r="I1" s="152"/>
      <c r="J1" s="152"/>
      <c r="K1" s="153"/>
      <c r="L1" s="111" t="s">
        <v>4</v>
      </c>
      <c r="M1" s="112"/>
      <c r="N1" s="112"/>
      <c r="O1" s="112"/>
      <c r="P1" s="112"/>
      <c r="Q1" s="112"/>
      <c r="R1" s="112"/>
      <c r="S1" s="112"/>
      <c r="T1" s="113"/>
      <c r="U1" s="111" t="s">
        <v>48</v>
      </c>
      <c r="V1" s="112"/>
      <c r="W1" s="112"/>
      <c r="X1" s="112"/>
      <c r="Y1" s="112"/>
      <c r="Z1" s="112"/>
      <c r="AA1" s="112"/>
      <c r="AB1" s="112"/>
      <c r="AC1" s="113"/>
      <c r="AD1" s="111" t="s">
        <v>49</v>
      </c>
      <c r="AE1" s="112"/>
      <c r="AF1" s="112"/>
      <c r="AG1" s="112"/>
      <c r="AH1" s="112"/>
      <c r="AI1" s="112"/>
      <c r="AJ1" s="112"/>
      <c r="AK1" s="112"/>
      <c r="AL1" s="113"/>
      <c r="AM1" s="111" t="s">
        <v>0</v>
      </c>
      <c r="AN1" s="112"/>
      <c r="AO1" s="112"/>
      <c r="AP1" s="112"/>
      <c r="AQ1" s="112"/>
      <c r="AR1" s="113"/>
      <c r="AS1" s="111" t="s">
        <v>1</v>
      </c>
      <c r="AT1" s="112"/>
      <c r="AU1" s="112"/>
      <c r="AV1" s="112"/>
      <c r="AW1" s="112"/>
      <c r="AX1" s="113"/>
      <c r="AY1" s="111" t="s">
        <v>2</v>
      </c>
      <c r="AZ1" s="112"/>
      <c r="BA1" s="112"/>
      <c r="BB1" s="112"/>
      <c r="BC1" s="112"/>
      <c r="BD1" s="113"/>
      <c r="BE1" s="111" t="s">
        <v>3</v>
      </c>
      <c r="BF1" s="112"/>
      <c r="BG1" s="112"/>
      <c r="BH1" s="112"/>
      <c r="BI1" s="112"/>
      <c r="BJ1" s="113"/>
    </row>
    <row r="2" spans="1:90" ht="25.5" customHeight="1">
      <c r="A2" s="154"/>
      <c r="B2" s="155"/>
      <c r="C2" s="155"/>
      <c r="D2" s="155"/>
      <c r="E2" s="155"/>
      <c r="F2" s="155"/>
      <c r="G2" s="155"/>
      <c r="H2" s="155"/>
      <c r="I2" s="155"/>
      <c r="J2" s="155"/>
      <c r="K2" s="156"/>
      <c r="L2" s="145" t="str">
        <f>表紙!D4</f>
        <v>4S　デジタルトランスフォーメーション・プラットフォーム構築</v>
      </c>
      <c r="M2" s="146"/>
      <c r="N2" s="146"/>
      <c r="O2" s="146"/>
      <c r="P2" s="146"/>
      <c r="Q2" s="146"/>
      <c r="R2" s="146"/>
      <c r="S2" s="146"/>
      <c r="T2" s="147"/>
      <c r="U2" s="148" t="s">
        <v>70</v>
      </c>
      <c r="V2" s="149"/>
      <c r="W2" s="149"/>
      <c r="X2" s="149"/>
      <c r="Y2" s="149"/>
      <c r="Z2" s="149"/>
      <c r="AA2" s="149"/>
      <c r="AB2" s="149"/>
      <c r="AC2" s="150"/>
      <c r="AD2" s="145" t="s">
        <v>72</v>
      </c>
      <c r="AE2" s="149"/>
      <c r="AF2" s="149"/>
      <c r="AG2" s="149"/>
      <c r="AH2" s="149"/>
      <c r="AI2" s="149"/>
      <c r="AJ2" s="149"/>
      <c r="AK2" s="149"/>
      <c r="AL2" s="150"/>
      <c r="AM2" s="157" t="str">
        <f>改版履歴!C4</f>
        <v>JSOL後藤</v>
      </c>
      <c r="AN2" s="158"/>
      <c r="AO2" s="158"/>
      <c r="AP2" s="158"/>
      <c r="AQ2" s="158"/>
      <c r="AR2" s="159"/>
      <c r="AS2" s="160">
        <v>43234</v>
      </c>
      <c r="AT2" s="149"/>
      <c r="AU2" s="149"/>
      <c r="AV2" s="149"/>
      <c r="AW2" s="149"/>
      <c r="AX2" s="150"/>
      <c r="AY2" s="161" t="str">
        <f>INDEX(改版履歴!C4:C32,COUNTA(改版履歴!C4:C32))</f>
        <v>JSOL王</v>
      </c>
      <c r="AZ2" s="158"/>
      <c r="BA2" s="158"/>
      <c r="BB2" s="158"/>
      <c r="BC2" s="158"/>
      <c r="BD2" s="159"/>
      <c r="BE2" s="160">
        <f>INDEX(改版履歴!D4:D32,COUNTA(改版履歴!D4:D32))</f>
        <v>44294</v>
      </c>
      <c r="BF2" s="162"/>
      <c r="BG2" s="162"/>
      <c r="BH2" s="162"/>
      <c r="BI2" s="162"/>
      <c r="BJ2" s="163"/>
    </row>
    <row r="4" spans="1:90">
      <c r="A4" s="111" t="s">
        <v>15</v>
      </c>
      <c r="B4" s="112"/>
      <c r="C4" s="112"/>
      <c r="D4" s="112"/>
      <c r="E4" s="112"/>
      <c r="F4" s="112"/>
      <c r="G4" s="113"/>
    </row>
    <row r="5" spans="1:90" s="11" customFormat="1" ht="13.5" customHeight="1">
      <c r="A5" s="126" t="s">
        <v>64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127"/>
      <c r="BZ5" s="127"/>
      <c r="CA5" s="127"/>
      <c r="CB5" s="127"/>
      <c r="CC5" s="127"/>
      <c r="CD5" s="127"/>
      <c r="CE5" s="127"/>
      <c r="CF5" s="127"/>
      <c r="CG5" s="127"/>
      <c r="CH5" s="127"/>
      <c r="CI5" s="128"/>
    </row>
    <row r="6" spans="1:90" s="11" customFormat="1" ht="13.5" customHeight="1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1"/>
    </row>
    <row r="7" spans="1:90" s="11" customFormat="1" ht="13.5" customHeight="1">
      <c r="A7" s="132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3"/>
      <c r="CI7" s="134"/>
    </row>
    <row r="8" spans="1:90" s="11" customFormat="1" ht="13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</row>
    <row r="9" spans="1:90" s="16" customFormat="1" ht="13.5" customHeight="1">
      <c r="A9" s="123" t="s">
        <v>16</v>
      </c>
      <c r="B9" s="124"/>
      <c r="C9" s="124"/>
      <c r="D9" s="124"/>
      <c r="E9" s="124"/>
      <c r="F9" s="124"/>
      <c r="G9" s="124"/>
      <c r="H9" s="125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 s="14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</row>
    <row r="10" spans="1:90" s="17" customFormat="1">
      <c r="A10" s="135" t="s">
        <v>23</v>
      </c>
      <c r="B10" s="136"/>
      <c r="C10" s="136"/>
      <c r="D10" s="136"/>
      <c r="E10" s="136"/>
      <c r="F10" s="136"/>
      <c r="G10" s="136"/>
      <c r="H10" s="137"/>
      <c r="I10" s="138" t="s">
        <v>73</v>
      </c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40"/>
    </row>
    <row r="11" spans="1:90" s="17" customFormat="1">
      <c r="A11" s="135" t="s">
        <v>24</v>
      </c>
      <c r="B11" s="136"/>
      <c r="C11" s="136"/>
      <c r="D11" s="136"/>
      <c r="E11" s="136"/>
      <c r="F11" s="136"/>
      <c r="G11" s="136"/>
      <c r="H11" s="137"/>
      <c r="I11" s="141" t="s">
        <v>188</v>
      </c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3"/>
    </row>
    <row r="12" spans="1:90" s="17" customFormat="1">
      <c r="A12" s="144" t="s">
        <v>25</v>
      </c>
      <c r="B12" s="106"/>
      <c r="C12" s="106"/>
      <c r="D12" s="106"/>
      <c r="E12" s="106"/>
      <c r="F12" s="106"/>
      <c r="G12" s="106"/>
      <c r="H12" s="107"/>
      <c r="I12" s="108" t="s">
        <v>42</v>
      </c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10"/>
    </row>
    <row r="13" spans="1:90" s="17" customFormat="1">
      <c r="A13" s="105" t="s">
        <v>17</v>
      </c>
      <c r="B13" s="106"/>
      <c r="C13" s="106"/>
      <c r="D13" s="106"/>
      <c r="E13" s="106"/>
      <c r="F13" s="106"/>
      <c r="G13" s="106"/>
      <c r="H13" s="107"/>
      <c r="I13" s="108" t="s">
        <v>43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10"/>
    </row>
    <row r="14" spans="1:90" s="17" customFormat="1">
      <c r="A14" s="105" t="s">
        <v>18</v>
      </c>
      <c r="B14" s="106"/>
      <c r="C14" s="106"/>
      <c r="D14" s="106"/>
      <c r="E14" s="106"/>
      <c r="F14" s="106"/>
      <c r="G14" s="106"/>
      <c r="H14" s="107"/>
      <c r="I14" s="108" t="s">
        <v>29</v>
      </c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10"/>
    </row>
    <row r="15" spans="1:90" s="17" customFormat="1">
      <c r="A15" s="105" t="s">
        <v>19</v>
      </c>
      <c r="B15" s="106"/>
      <c r="C15" s="106"/>
      <c r="D15" s="106"/>
      <c r="E15" s="106"/>
      <c r="F15" s="106"/>
      <c r="G15" s="106"/>
      <c r="H15" s="107"/>
      <c r="I15" s="114" t="s">
        <v>191</v>
      </c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115"/>
      <c r="CD15" s="115"/>
      <c r="CE15" s="115"/>
      <c r="CF15" s="115"/>
      <c r="CG15" s="115"/>
      <c r="CH15" s="115"/>
      <c r="CI15" s="115"/>
      <c r="CJ15" s="115"/>
      <c r="CK15" s="115"/>
      <c r="CL15" s="116"/>
    </row>
    <row r="16" spans="1:90" s="18" customFormat="1" ht="30.75" customHeight="1">
      <c r="A16" s="117" t="s">
        <v>5</v>
      </c>
      <c r="B16" s="118"/>
      <c r="C16" s="118"/>
      <c r="D16" s="118"/>
      <c r="E16" s="118"/>
      <c r="F16" s="118"/>
      <c r="G16" s="118"/>
      <c r="H16" s="119"/>
      <c r="I16" s="120" t="s">
        <v>40</v>
      </c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2"/>
    </row>
    <row r="17" spans="1:91" s="17" customForma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</row>
    <row r="18" spans="1:91" s="17" customFormat="1">
      <c r="A18" s="123" t="s">
        <v>50</v>
      </c>
      <c r="B18" s="124"/>
      <c r="C18" s="124"/>
      <c r="D18" s="124"/>
      <c r="E18" s="124"/>
      <c r="F18" s="124"/>
      <c r="G18" s="124"/>
      <c r="H18" s="125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123" t="s">
        <v>22</v>
      </c>
      <c r="AZ18" s="124"/>
      <c r="BA18" s="124"/>
      <c r="BB18" s="124"/>
      <c r="BC18" s="124"/>
      <c r="BD18" s="124"/>
      <c r="BE18" s="124"/>
      <c r="BF18" s="125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</row>
    <row r="19" spans="1:91" s="27" customFormat="1">
      <c r="A19" s="21"/>
      <c r="B19" s="22"/>
      <c r="C19" s="22"/>
      <c r="D19" s="22"/>
      <c r="E19" s="22"/>
      <c r="F19" s="22"/>
      <c r="G19" s="22"/>
      <c r="H19" s="22"/>
      <c r="I19" s="23"/>
      <c r="J19" s="22"/>
      <c r="K19" s="24"/>
      <c r="L19" s="25"/>
      <c r="M19" s="22"/>
      <c r="N19" s="22"/>
      <c r="O19" s="24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6"/>
      <c r="AY19" s="21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8"/>
    </row>
    <row r="20" spans="1:91" s="27" customFormat="1">
      <c r="A20" s="28"/>
      <c r="B20" s="29"/>
      <c r="C20" s="29"/>
      <c r="D20" s="29"/>
      <c r="E20" s="29"/>
      <c r="F20" s="29"/>
      <c r="G20" s="29"/>
      <c r="H20" s="29"/>
      <c r="I20" s="30"/>
      <c r="J20" s="29"/>
      <c r="K20" s="31"/>
      <c r="L20" s="32"/>
      <c r="M20" s="29"/>
      <c r="N20" s="29"/>
      <c r="O20" s="31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33"/>
      <c r="AY20" s="28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8"/>
    </row>
    <row r="21" spans="1:91" s="27" customFormat="1">
      <c r="A21" s="28"/>
      <c r="B21" s="29"/>
      <c r="C21" s="29"/>
      <c r="D21" s="29"/>
      <c r="E21" s="29"/>
      <c r="F21" s="29"/>
      <c r="G21" s="29"/>
      <c r="H21" s="29"/>
      <c r="I21" s="30"/>
      <c r="J21" s="29"/>
      <c r="K21" s="31"/>
      <c r="L21" s="32"/>
      <c r="M21" s="29"/>
      <c r="N21" s="29"/>
      <c r="O21" s="31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33"/>
      <c r="AY21" s="28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8"/>
    </row>
    <row r="22" spans="1:91" s="27" customFormat="1" ht="12.75" customHeight="1">
      <c r="A22" s="28"/>
      <c r="B22" s="29"/>
      <c r="C22" s="29"/>
      <c r="D22" s="29"/>
      <c r="E22" s="29"/>
      <c r="F22" s="29"/>
      <c r="G22" s="29"/>
      <c r="H22" s="29"/>
      <c r="I22" s="30"/>
      <c r="J22" s="29"/>
      <c r="K22" s="31"/>
      <c r="L22" s="29"/>
      <c r="M22" s="29"/>
      <c r="N22" s="29"/>
      <c r="O22" s="31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33"/>
      <c r="AY22" s="28"/>
      <c r="AZ22" s="93" t="s">
        <v>51</v>
      </c>
      <c r="BA22" s="56"/>
      <c r="BB22" s="56" t="s">
        <v>52</v>
      </c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8"/>
    </row>
    <row r="23" spans="1:91" s="27" customFormat="1" ht="12.75" customHeight="1">
      <c r="A23" s="28"/>
      <c r="B23" s="29"/>
      <c r="C23" s="29"/>
      <c r="D23" s="29"/>
      <c r="E23" s="29"/>
      <c r="F23" s="29"/>
      <c r="G23" s="29"/>
      <c r="H23" s="29"/>
      <c r="I23" s="30"/>
      <c r="J23" s="29"/>
      <c r="K23" s="31"/>
      <c r="L23" s="29"/>
      <c r="M23" s="29"/>
      <c r="N23" s="29"/>
      <c r="O23" s="31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33"/>
      <c r="AY23" s="28"/>
      <c r="AZ23" s="93"/>
      <c r="BA23" s="56"/>
      <c r="BB23" s="56" t="s">
        <v>53</v>
      </c>
      <c r="BC23" s="58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8"/>
    </row>
    <row r="24" spans="1:91" s="27" customFormat="1" ht="12.75" customHeight="1">
      <c r="A24" s="28"/>
      <c r="B24" s="29"/>
      <c r="C24" s="29"/>
      <c r="D24" s="29"/>
      <c r="E24" s="29"/>
      <c r="F24" s="29"/>
      <c r="G24" s="29"/>
      <c r="H24" s="29"/>
      <c r="I24" s="30"/>
      <c r="J24" s="29"/>
      <c r="K24" s="31"/>
      <c r="L24" s="29"/>
      <c r="M24" s="29"/>
      <c r="N24" s="29"/>
      <c r="O24" s="31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33"/>
      <c r="AY24" s="28"/>
      <c r="AZ24" s="93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8"/>
    </row>
    <row r="25" spans="1:91" s="27" customFormat="1" ht="12.75" customHeight="1">
      <c r="A25" s="28"/>
      <c r="B25" s="29"/>
      <c r="C25" s="29"/>
      <c r="D25" s="29"/>
      <c r="E25" s="29"/>
      <c r="F25" s="29"/>
      <c r="G25" s="29"/>
      <c r="H25" s="29"/>
      <c r="I25" s="30"/>
      <c r="J25" s="29"/>
      <c r="K25" s="31"/>
      <c r="L25" s="29"/>
      <c r="M25" s="29"/>
      <c r="N25" s="29"/>
      <c r="O25" s="31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33"/>
      <c r="AY25" s="28"/>
      <c r="AZ25" s="93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8"/>
    </row>
    <row r="26" spans="1:91" s="27" customFormat="1" ht="12.75" customHeight="1">
      <c r="A26" s="28"/>
      <c r="B26" s="29"/>
      <c r="C26" s="29"/>
      <c r="D26" s="29"/>
      <c r="E26" s="29"/>
      <c r="F26" s="29"/>
      <c r="G26" s="29"/>
      <c r="H26" s="29"/>
      <c r="I26" s="30"/>
      <c r="J26" s="29"/>
      <c r="K26" s="31"/>
      <c r="L26" s="29"/>
      <c r="M26" s="29"/>
      <c r="N26" s="29"/>
      <c r="O26" s="31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33"/>
      <c r="AY26" s="28"/>
      <c r="AZ26" s="57" t="s">
        <v>44</v>
      </c>
      <c r="BA26" s="56"/>
      <c r="BB26" s="56" t="s">
        <v>54</v>
      </c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8"/>
    </row>
    <row r="27" spans="1:91" s="27" customFormat="1" ht="12.75" customHeight="1">
      <c r="A27" s="28"/>
      <c r="B27" s="29"/>
      <c r="C27" s="29"/>
      <c r="D27" s="29"/>
      <c r="E27" s="29"/>
      <c r="F27" s="29"/>
      <c r="G27" s="29"/>
      <c r="H27" s="29"/>
      <c r="I27" s="30"/>
      <c r="J27" s="29"/>
      <c r="K27" s="31"/>
      <c r="L27" s="29"/>
      <c r="M27" s="29"/>
      <c r="N27" s="29"/>
      <c r="O27" s="31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33"/>
      <c r="AY27" s="28"/>
      <c r="AZ27" s="58"/>
      <c r="BA27" s="58"/>
      <c r="BB27" s="56" t="s">
        <v>200</v>
      </c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8"/>
    </row>
    <row r="28" spans="1:91" s="27" customFormat="1" ht="12.75" customHeight="1">
      <c r="A28" s="28"/>
      <c r="B28" s="29"/>
      <c r="C28" s="29"/>
      <c r="D28" s="29"/>
      <c r="E28" s="29"/>
      <c r="F28" s="29"/>
      <c r="G28" s="29"/>
      <c r="H28" s="29"/>
      <c r="I28" s="30"/>
      <c r="J28" s="29"/>
      <c r="K28" s="31"/>
      <c r="L28" s="32"/>
      <c r="M28" s="29"/>
      <c r="N28" s="29"/>
      <c r="O28" s="31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33"/>
      <c r="AY28" s="28"/>
      <c r="AZ28" s="56"/>
      <c r="BA28" s="56"/>
      <c r="BB28" s="92" t="s">
        <v>175</v>
      </c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8"/>
    </row>
    <row r="29" spans="1:91" s="27" customFormat="1">
      <c r="A29" s="28"/>
      <c r="B29" s="29"/>
      <c r="C29" s="29"/>
      <c r="D29" s="29"/>
      <c r="E29" s="29"/>
      <c r="F29" s="29"/>
      <c r="G29" s="29"/>
      <c r="H29" s="29"/>
      <c r="I29" s="30"/>
      <c r="J29" s="29"/>
      <c r="K29" s="31"/>
      <c r="L29" s="32"/>
      <c r="M29" s="29"/>
      <c r="N29" s="29"/>
      <c r="O29" s="31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33"/>
      <c r="AY29" s="28"/>
      <c r="AZ29" s="56"/>
      <c r="BA29" s="56"/>
      <c r="BB29" s="92" t="s">
        <v>199</v>
      </c>
      <c r="BC29" s="58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8"/>
    </row>
    <row r="30" spans="1:91" s="27" customFormat="1">
      <c r="A30" s="28"/>
      <c r="B30" s="29"/>
      <c r="C30" s="29"/>
      <c r="D30" s="29"/>
      <c r="E30" s="29"/>
      <c r="F30" s="29"/>
      <c r="G30" s="29"/>
      <c r="H30" s="29"/>
      <c r="I30" s="30"/>
      <c r="J30" s="29"/>
      <c r="K30" s="31"/>
      <c r="L30" s="32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33"/>
      <c r="AY30" s="34"/>
      <c r="AZ30" s="58"/>
      <c r="BA30" s="58"/>
      <c r="BB30" s="58" t="s">
        <v>173</v>
      </c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F30" s="29"/>
      <c r="CG30" s="29"/>
      <c r="CH30" s="29"/>
      <c r="CI30" s="29"/>
      <c r="CJ30" s="29"/>
      <c r="CK30" s="29"/>
      <c r="CL30" s="29"/>
      <c r="CM30" s="28"/>
    </row>
    <row r="31" spans="1:91" s="27" customFormat="1">
      <c r="A31" s="28"/>
      <c r="B31" s="29"/>
      <c r="C31" s="29"/>
      <c r="D31" s="29"/>
      <c r="E31" s="29"/>
      <c r="F31" s="29"/>
      <c r="G31" s="29"/>
      <c r="H31" s="29"/>
      <c r="I31" s="30"/>
      <c r="J31" s="29"/>
      <c r="K31" s="31"/>
      <c r="L31" s="32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33"/>
      <c r="AY31" s="35"/>
      <c r="AZ31" s="58"/>
      <c r="BA31" s="58"/>
      <c r="BB31" s="58"/>
      <c r="BC31" s="58" t="s">
        <v>174</v>
      </c>
      <c r="BD31" s="58"/>
      <c r="BE31" s="58"/>
      <c r="BF31" s="58"/>
      <c r="BG31" s="58" t="s">
        <v>177</v>
      </c>
      <c r="BH31" s="58" t="s">
        <v>178</v>
      </c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F31" s="29"/>
      <c r="CG31" s="29"/>
      <c r="CH31" s="29"/>
      <c r="CI31" s="29"/>
      <c r="CJ31" s="29"/>
      <c r="CK31" s="29"/>
      <c r="CL31" s="29"/>
      <c r="CM31" s="28"/>
    </row>
    <row r="32" spans="1:91" s="27" customFormat="1">
      <c r="A32" s="28"/>
      <c r="B32" s="29"/>
      <c r="C32" s="29"/>
      <c r="D32" s="29"/>
      <c r="E32" s="29"/>
      <c r="F32" s="29"/>
      <c r="G32" s="29"/>
      <c r="H32" s="29"/>
      <c r="I32" s="30"/>
      <c r="J32" s="29"/>
      <c r="K32" s="31"/>
      <c r="L32" s="32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33"/>
      <c r="AY32" s="28"/>
      <c r="AZ32" s="58"/>
      <c r="BA32" s="58"/>
      <c r="BB32" s="58"/>
      <c r="BC32" s="58" t="s">
        <v>176</v>
      </c>
      <c r="BD32" s="58"/>
      <c r="BE32" s="58"/>
      <c r="BF32" s="58"/>
      <c r="BG32" s="58" t="s">
        <v>177</v>
      </c>
      <c r="BH32" s="58" t="s">
        <v>179</v>
      </c>
      <c r="BI32" s="58"/>
      <c r="BJ32" s="56"/>
      <c r="BK32" s="58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8"/>
    </row>
    <row r="33" spans="1:91" s="27" customFormat="1">
      <c r="A33" s="28"/>
      <c r="B33" s="29"/>
      <c r="C33" s="29"/>
      <c r="D33" s="29"/>
      <c r="E33" s="29"/>
      <c r="F33" s="29"/>
      <c r="G33" s="29"/>
      <c r="H33" s="29"/>
      <c r="I33" s="30"/>
      <c r="J33" s="29"/>
      <c r="K33" s="31"/>
      <c r="L33" s="32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33"/>
      <c r="AY33" s="2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8"/>
    </row>
    <row r="34" spans="1:91" s="27" customFormat="1">
      <c r="A34" s="28"/>
      <c r="B34" s="29"/>
      <c r="C34" s="29"/>
      <c r="D34" s="29"/>
      <c r="E34" s="29"/>
      <c r="F34" s="29"/>
      <c r="G34" s="29"/>
      <c r="H34" s="29"/>
      <c r="I34" s="30"/>
      <c r="J34" s="29"/>
      <c r="K34" s="31"/>
      <c r="L34" s="32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33"/>
      <c r="AY34" s="28"/>
      <c r="AZ34" s="57" t="s">
        <v>55</v>
      </c>
      <c r="BA34" s="56"/>
      <c r="BB34" s="56" t="s">
        <v>56</v>
      </c>
      <c r="BC34" s="56"/>
      <c r="BD34" s="56"/>
      <c r="BE34" s="56"/>
      <c r="BF34" s="56"/>
      <c r="BG34" s="56"/>
      <c r="BH34" s="56"/>
      <c r="BI34" s="56"/>
      <c r="BJ34" s="56"/>
      <c r="BK34" s="56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6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8"/>
    </row>
    <row r="35" spans="1:91" s="27" customFormat="1">
      <c r="A35" s="28"/>
      <c r="B35" s="29"/>
      <c r="C35" s="29"/>
      <c r="D35" s="29"/>
      <c r="E35" s="29"/>
      <c r="F35" s="29"/>
      <c r="G35" s="29"/>
      <c r="H35" s="29"/>
      <c r="I35" s="30"/>
      <c r="J35" s="29"/>
      <c r="K35" s="31"/>
      <c r="L35" s="32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33"/>
      <c r="AY35" s="28"/>
      <c r="AZ35" s="56"/>
      <c r="BA35" s="56"/>
      <c r="BB35" s="56" t="s">
        <v>57</v>
      </c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 t="s">
        <v>59</v>
      </c>
      <c r="BY35" s="58" t="s">
        <v>60</v>
      </c>
      <c r="BZ35" s="56"/>
      <c r="CA35" s="56"/>
      <c r="CB35" s="56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8"/>
    </row>
    <row r="36" spans="1:91" s="27" customFormat="1">
      <c r="A36" s="28"/>
      <c r="B36" s="29"/>
      <c r="C36" s="29"/>
      <c r="D36" s="29"/>
      <c r="E36" s="29"/>
      <c r="F36" s="29"/>
      <c r="G36" s="29"/>
      <c r="H36" s="29"/>
      <c r="I36" s="30"/>
      <c r="J36" s="29"/>
      <c r="K36" s="31"/>
      <c r="L36" s="32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33"/>
      <c r="AY36" s="28"/>
      <c r="AZ36" s="56"/>
      <c r="BA36" s="56"/>
      <c r="BB36" s="58" t="s">
        <v>58</v>
      </c>
      <c r="BC36" s="58"/>
      <c r="BD36" s="58"/>
      <c r="BE36" s="58"/>
      <c r="BF36" s="58"/>
      <c r="BG36" s="58"/>
      <c r="BH36" s="58"/>
      <c r="BI36" s="58"/>
      <c r="BJ36" s="58"/>
      <c r="BK36" s="58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 t="s">
        <v>61</v>
      </c>
      <c r="BY36" s="56" t="s">
        <v>32</v>
      </c>
      <c r="BZ36" s="56"/>
      <c r="CA36" s="56"/>
      <c r="CB36" s="56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8"/>
    </row>
    <row r="37" spans="1:91" s="27" customFormat="1">
      <c r="A37" s="28"/>
      <c r="B37" s="29"/>
      <c r="C37" s="29"/>
      <c r="D37" s="29"/>
      <c r="E37" s="29"/>
      <c r="F37" s="29"/>
      <c r="G37" s="29"/>
      <c r="H37" s="29"/>
      <c r="I37" s="30"/>
      <c r="J37" s="29"/>
      <c r="K37" s="31"/>
      <c r="L37" s="32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33"/>
      <c r="AY37" s="28"/>
      <c r="AZ37" s="58"/>
      <c r="BA37" s="58"/>
      <c r="BB37" s="56" t="s">
        <v>31</v>
      </c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8"/>
    </row>
    <row r="38" spans="1:91" s="27" customFormat="1">
      <c r="A38" s="28"/>
      <c r="B38" s="29"/>
      <c r="C38" s="29"/>
      <c r="D38" s="29"/>
      <c r="E38" s="29"/>
      <c r="F38" s="29"/>
      <c r="G38" s="29"/>
      <c r="H38" s="29"/>
      <c r="I38" s="30"/>
      <c r="J38" s="29"/>
      <c r="K38" s="31"/>
      <c r="L38" s="32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33"/>
      <c r="AY38" s="28"/>
      <c r="AZ38" s="58"/>
      <c r="BA38" s="58"/>
      <c r="BB38" s="58"/>
      <c r="BC38" s="58"/>
      <c r="BD38" s="58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8"/>
    </row>
    <row r="39" spans="1:91" s="27" customFormat="1">
      <c r="A39" s="28"/>
      <c r="B39" s="29"/>
      <c r="C39" s="29"/>
      <c r="D39" s="29"/>
      <c r="E39" s="29"/>
      <c r="F39" s="29"/>
      <c r="G39" s="29"/>
      <c r="H39" s="29"/>
      <c r="I39" s="30"/>
      <c r="J39" s="29"/>
      <c r="K39" s="31"/>
      <c r="L39" s="32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33"/>
      <c r="AY39" s="28"/>
      <c r="AZ39" s="56"/>
      <c r="BA39" s="56"/>
      <c r="BB39" s="58"/>
      <c r="BC39" s="56" t="s">
        <v>201</v>
      </c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8"/>
    </row>
    <row r="40" spans="1:91" s="27" customFormat="1">
      <c r="A40" s="28"/>
      <c r="B40" s="29"/>
      <c r="C40" s="29"/>
      <c r="D40" s="29"/>
      <c r="E40" s="29"/>
      <c r="F40" s="29"/>
      <c r="G40" s="29"/>
      <c r="H40" s="29"/>
      <c r="I40" s="30"/>
      <c r="J40" s="29"/>
      <c r="K40" s="31"/>
      <c r="L40" s="32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33"/>
      <c r="AY40" s="36"/>
      <c r="AZ40" s="56"/>
      <c r="BA40" s="56"/>
      <c r="BB40" s="58"/>
      <c r="BC40" s="56" t="s">
        <v>30</v>
      </c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8"/>
    </row>
    <row r="41" spans="1:91" s="27" customFormat="1">
      <c r="A41" s="28"/>
      <c r="B41" s="29"/>
      <c r="C41" s="29"/>
      <c r="D41" s="29"/>
      <c r="E41" s="29"/>
      <c r="F41" s="29"/>
      <c r="G41" s="29"/>
      <c r="H41" s="29"/>
      <c r="I41" s="30"/>
      <c r="J41" s="29"/>
      <c r="K41" s="31"/>
      <c r="L41" s="32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33"/>
      <c r="AY41" s="36"/>
      <c r="AZ41" s="59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29"/>
      <c r="CD41" s="29"/>
      <c r="CE41" s="29"/>
      <c r="CG41" s="29"/>
      <c r="CH41" s="29"/>
      <c r="CI41" s="29"/>
      <c r="CJ41" s="29"/>
      <c r="CK41" s="29"/>
      <c r="CL41" s="29"/>
      <c r="CM41" s="28"/>
    </row>
    <row r="42" spans="1:91" s="27" customFormat="1">
      <c r="A42" s="28"/>
      <c r="B42" s="29"/>
      <c r="C42" s="29"/>
      <c r="D42" s="29"/>
      <c r="E42" s="29"/>
      <c r="F42" s="29"/>
      <c r="G42" s="29"/>
      <c r="H42" s="29"/>
      <c r="I42" s="30"/>
      <c r="J42" s="29"/>
      <c r="K42" s="31"/>
      <c r="L42" s="32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33"/>
      <c r="AY42" s="34"/>
      <c r="AZ42" s="58"/>
      <c r="BA42" s="58"/>
      <c r="BB42" s="58"/>
      <c r="BC42" s="58"/>
      <c r="BD42" s="58"/>
      <c r="BE42" s="58"/>
      <c r="BF42" s="58"/>
      <c r="BG42" s="58"/>
      <c r="BH42" s="58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8"/>
    </row>
    <row r="43" spans="1:91" s="27" customFormat="1" ht="15.75" customHeight="1">
      <c r="A43" s="28"/>
      <c r="B43" s="29"/>
      <c r="C43" s="29"/>
      <c r="D43" s="29"/>
      <c r="E43" s="29"/>
      <c r="F43" s="29"/>
      <c r="G43" s="29"/>
      <c r="H43" s="29"/>
      <c r="I43" s="30"/>
      <c r="J43" s="29"/>
      <c r="K43" s="31"/>
      <c r="L43" s="32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33"/>
      <c r="AY43" s="36"/>
      <c r="AZ43" s="57" t="s">
        <v>62</v>
      </c>
      <c r="BA43" s="58"/>
      <c r="BB43" s="56" t="s">
        <v>33</v>
      </c>
      <c r="BC43" s="58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F43" s="29"/>
      <c r="CG43" s="29"/>
      <c r="CH43" s="29"/>
      <c r="CI43" s="29"/>
      <c r="CJ43" s="29"/>
      <c r="CK43" s="29"/>
      <c r="CL43" s="29"/>
      <c r="CM43" s="28"/>
    </row>
    <row r="44" spans="1:91" s="27" customFormat="1">
      <c r="A44" s="28"/>
      <c r="B44" s="29"/>
      <c r="C44" s="29"/>
      <c r="D44" s="29"/>
      <c r="E44" s="29"/>
      <c r="F44" s="29"/>
      <c r="G44" s="29"/>
      <c r="H44" s="29"/>
      <c r="I44" s="30"/>
      <c r="J44" s="29"/>
      <c r="K44" s="31"/>
      <c r="L44" s="32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33"/>
      <c r="AY44" s="34"/>
      <c r="AZ44" s="94"/>
      <c r="BA44" s="56"/>
      <c r="BB44" s="56" t="s">
        <v>34</v>
      </c>
      <c r="BC44" s="58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8"/>
    </row>
    <row r="45" spans="1:91" s="27" customFormat="1">
      <c r="A45" s="28"/>
      <c r="B45" s="29"/>
      <c r="C45" s="29"/>
      <c r="D45" s="29"/>
      <c r="E45" s="29"/>
      <c r="F45" s="29"/>
      <c r="G45" s="29"/>
      <c r="H45" s="29"/>
      <c r="I45" s="30"/>
      <c r="J45" s="29"/>
      <c r="K45" s="31"/>
      <c r="L45" s="32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33"/>
      <c r="AY45" s="34"/>
      <c r="AZ45" s="56"/>
      <c r="BA45" s="58"/>
      <c r="BB45" s="58" t="s">
        <v>63</v>
      </c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8"/>
    </row>
    <row r="46" spans="1:91" s="27" customFormat="1">
      <c r="A46" s="28"/>
      <c r="B46" s="29"/>
      <c r="C46" s="29"/>
      <c r="D46" s="29"/>
      <c r="E46" s="29"/>
      <c r="F46" s="29"/>
      <c r="G46" s="29"/>
      <c r="H46" s="29"/>
      <c r="I46" s="30"/>
      <c r="J46" s="29"/>
      <c r="K46" s="31"/>
      <c r="L46" s="32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33"/>
      <c r="AY46" s="34"/>
      <c r="AZ46" s="58"/>
      <c r="BA46" s="58"/>
      <c r="BB46" s="58" t="s">
        <v>36</v>
      </c>
      <c r="BC46" s="58"/>
      <c r="BD46" s="58"/>
      <c r="BE46" s="58"/>
      <c r="BF46" s="56"/>
      <c r="BG46" s="56"/>
      <c r="BH46" s="56"/>
      <c r="BI46" s="56"/>
      <c r="BJ46" s="56"/>
      <c r="BK46" s="56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D46" s="29"/>
      <c r="CE46" s="29"/>
      <c r="CF46" s="29"/>
      <c r="CG46" s="29"/>
      <c r="CH46" s="29"/>
      <c r="CI46" s="29"/>
      <c r="CJ46" s="29"/>
      <c r="CK46" s="29"/>
      <c r="CL46" s="29"/>
      <c r="CM46" s="28"/>
    </row>
    <row r="47" spans="1:91" s="27" customFormat="1">
      <c r="A47" s="28"/>
      <c r="B47" s="29"/>
      <c r="C47" s="29"/>
      <c r="D47" s="29"/>
      <c r="E47" s="29"/>
      <c r="F47" s="29"/>
      <c r="G47" s="29"/>
      <c r="H47" s="29"/>
      <c r="I47" s="30"/>
      <c r="J47" s="29"/>
      <c r="K47" s="31"/>
      <c r="L47" s="32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33"/>
      <c r="AY47" s="34"/>
      <c r="AZ47" s="58"/>
      <c r="BA47" s="58"/>
      <c r="BB47" s="58"/>
      <c r="BC47" s="58"/>
      <c r="BD47" s="58"/>
      <c r="BE47" s="58"/>
      <c r="BF47" s="56"/>
      <c r="BG47" s="56"/>
      <c r="BH47" s="56"/>
      <c r="BI47" s="56"/>
      <c r="BJ47" s="56"/>
      <c r="BK47" s="56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D47" s="29"/>
      <c r="CE47" s="29"/>
      <c r="CF47" s="29"/>
      <c r="CG47" s="29"/>
      <c r="CH47" s="29"/>
      <c r="CI47" s="29"/>
      <c r="CJ47" s="29"/>
      <c r="CK47" s="29"/>
      <c r="CL47" s="29"/>
      <c r="CM47" s="28"/>
    </row>
    <row r="48" spans="1:91" s="27" customFormat="1">
      <c r="A48" s="28"/>
      <c r="B48" s="29"/>
      <c r="C48" s="29"/>
      <c r="D48" s="29"/>
      <c r="E48" s="29"/>
      <c r="F48" s="29"/>
      <c r="G48" s="29"/>
      <c r="H48" s="29"/>
      <c r="I48" s="30"/>
      <c r="J48" s="29"/>
      <c r="K48" s="31"/>
      <c r="L48" s="32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33"/>
      <c r="AY48" s="34"/>
      <c r="AZ48" s="58"/>
      <c r="BA48" s="58"/>
      <c r="BB48" s="58"/>
      <c r="BC48" s="56" t="s">
        <v>37</v>
      </c>
      <c r="BD48" s="58"/>
      <c r="BE48" s="58"/>
      <c r="BF48" s="56"/>
      <c r="BG48" s="56"/>
      <c r="BH48" s="56"/>
      <c r="BI48" s="58"/>
      <c r="BJ48" s="58"/>
      <c r="BK48" s="58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8"/>
    </row>
    <row r="49" spans="1:91" s="27" customFormat="1">
      <c r="A49" s="28"/>
      <c r="B49" s="29"/>
      <c r="C49" s="29"/>
      <c r="D49" s="29"/>
      <c r="E49" s="29"/>
      <c r="F49" s="29"/>
      <c r="G49" s="29"/>
      <c r="H49" s="29"/>
      <c r="I49" s="30"/>
      <c r="J49" s="29"/>
      <c r="K49" s="31"/>
      <c r="L49" s="32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33"/>
      <c r="AY49" s="34"/>
      <c r="AZ49" s="58"/>
      <c r="BA49" s="58"/>
      <c r="BB49" s="58"/>
      <c r="BC49" s="56" t="s">
        <v>38</v>
      </c>
      <c r="BD49" s="58"/>
      <c r="BE49" s="58"/>
      <c r="BF49" s="58"/>
      <c r="BG49" s="58"/>
      <c r="BH49" s="58"/>
      <c r="BI49" s="58"/>
      <c r="BJ49" s="58"/>
      <c r="BK49" s="58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8"/>
    </row>
    <row r="50" spans="1:91" s="27" customFormat="1">
      <c r="A50" s="28"/>
      <c r="B50" s="29"/>
      <c r="C50" s="29"/>
      <c r="D50" s="29"/>
      <c r="E50" s="29"/>
      <c r="F50" s="29"/>
      <c r="G50" s="29"/>
      <c r="H50" s="29"/>
      <c r="I50" s="30"/>
      <c r="J50" s="29"/>
      <c r="K50" s="31"/>
      <c r="L50" s="32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33"/>
      <c r="AY50" s="34"/>
      <c r="AZ50" s="58"/>
      <c r="BA50" s="58"/>
      <c r="BB50" s="58"/>
      <c r="BC50" s="58"/>
      <c r="BD50" s="58"/>
      <c r="BE50" s="58"/>
      <c r="BF50" s="58"/>
      <c r="BG50" s="58"/>
      <c r="BH50" s="58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8"/>
    </row>
    <row r="51" spans="1:91" s="27" customFormat="1">
      <c r="A51" s="28"/>
      <c r="B51" s="29"/>
      <c r="C51" s="29"/>
      <c r="D51" s="29"/>
      <c r="E51" s="29"/>
      <c r="F51" s="29"/>
      <c r="G51" s="29"/>
      <c r="H51" s="29"/>
      <c r="I51" s="30"/>
      <c r="J51" s="29"/>
      <c r="K51" s="31"/>
      <c r="L51" s="32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33"/>
      <c r="AY51" s="34"/>
      <c r="AZ51" s="57" t="s">
        <v>66</v>
      </c>
      <c r="BA51" s="58"/>
      <c r="BB51" s="56" t="s">
        <v>152</v>
      </c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8"/>
    </row>
    <row r="52" spans="1:91" s="27" customFormat="1">
      <c r="A52" s="28"/>
      <c r="B52" s="29"/>
      <c r="C52" s="29"/>
      <c r="D52" s="29"/>
      <c r="E52" s="29"/>
      <c r="F52" s="29"/>
      <c r="G52" s="29"/>
      <c r="H52" s="29"/>
      <c r="I52" s="30"/>
      <c r="J52" s="29"/>
      <c r="K52" s="31"/>
      <c r="L52" s="32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F52" s="29"/>
      <c r="AG52" s="29"/>
      <c r="AH52" s="29"/>
      <c r="AI52" s="60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33"/>
      <c r="AY52" s="34"/>
      <c r="AZ52" s="58"/>
      <c r="BA52" s="58"/>
      <c r="BB52" s="95" t="s">
        <v>202</v>
      </c>
      <c r="BC52" s="58"/>
      <c r="BD52" s="58"/>
      <c r="BE52" s="58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8"/>
    </row>
    <row r="53" spans="1:91" s="27" customFormat="1" ht="15.75" customHeight="1">
      <c r="A53" s="28"/>
      <c r="B53" s="29"/>
      <c r="C53" s="29"/>
      <c r="D53" s="29"/>
      <c r="E53" s="29"/>
      <c r="F53" s="29"/>
      <c r="G53" s="29"/>
      <c r="H53" s="29"/>
      <c r="I53" s="61"/>
      <c r="J53" s="60"/>
      <c r="K53" s="62"/>
      <c r="L53" s="63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33"/>
      <c r="AY53" s="34"/>
      <c r="AZ53" s="58"/>
      <c r="BA53" s="58"/>
      <c r="BB53" s="58" t="s">
        <v>67</v>
      </c>
      <c r="BC53" s="58"/>
      <c r="BD53" s="58"/>
      <c r="BE53" s="9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8"/>
    </row>
    <row r="54" spans="1:91" s="27" customFormat="1" ht="15.75" customHeight="1">
      <c r="A54" s="28"/>
      <c r="B54" s="29"/>
      <c r="C54" s="29"/>
      <c r="D54" s="29"/>
      <c r="E54" s="29"/>
      <c r="F54" s="29"/>
      <c r="G54" s="29"/>
      <c r="H54" s="29"/>
      <c r="I54" s="61"/>
      <c r="J54" s="60"/>
      <c r="K54" s="62"/>
      <c r="L54" s="63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33"/>
      <c r="AY54" s="36"/>
      <c r="AZ54" s="58"/>
      <c r="BA54" s="58"/>
      <c r="BB54" s="58" t="s">
        <v>169</v>
      </c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8"/>
    </row>
    <row r="55" spans="1:91" s="27" customFormat="1">
      <c r="A55" s="28"/>
      <c r="B55" s="29"/>
      <c r="C55" s="29"/>
      <c r="D55" s="29"/>
      <c r="E55" s="29"/>
      <c r="F55" s="29"/>
      <c r="G55" s="29"/>
      <c r="H55" s="29"/>
      <c r="I55" s="61"/>
      <c r="J55" s="60"/>
      <c r="K55" s="62"/>
      <c r="L55" s="63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33"/>
      <c r="AY55" s="36"/>
      <c r="AZ55" s="58"/>
      <c r="BA55" s="58"/>
      <c r="BB55" s="58"/>
      <c r="BC55" s="58"/>
      <c r="BD55" s="58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29"/>
      <c r="CD55" s="29"/>
      <c r="CE55" s="29"/>
      <c r="CF55" s="56"/>
      <c r="CG55" s="56"/>
      <c r="CH55" s="56"/>
      <c r="CI55" s="56"/>
      <c r="CJ55" s="56"/>
      <c r="CK55" s="56"/>
      <c r="CL55" s="29"/>
      <c r="CM55" s="28"/>
    </row>
    <row r="56" spans="1:91" s="27" customFormat="1" ht="15.75" customHeight="1">
      <c r="A56" s="28"/>
      <c r="B56" s="29"/>
      <c r="C56" s="29"/>
      <c r="D56" s="29"/>
      <c r="E56" s="29"/>
      <c r="F56" s="29"/>
      <c r="G56" s="29"/>
      <c r="H56" s="29"/>
      <c r="I56" s="61"/>
      <c r="J56" s="60"/>
      <c r="K56" s="62"/>
      <c r="L56" s="63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33"/>
      <c r="AY56" s="36"/>
      <c r="AZ56" s="90" t="s">
        <v>163</v>
      </c>
      <c r="BA56" s="58"/>
      <c r="BB56" s="58" t="s">
        <v>162</v>
      </c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29"/>
      <c r="CD56" s="29"/>
      <c r="CE56" s="29"/>
      <c r="CF56" s="56"/>
      <c r="CG56" s="56"/>
      <c r="CH56" s="56"/>
      <c r="CI56" s="56"/>
      <c r="CJ56" s="56"/>
      <c r="CK56" s="56"/>
      <c r="CL56" s="29"/>
      <c r="CM56" s="28"/>
    </row>
    <row r="57" spans="1:91" s="27" customFormat="1" ht="15.75" customHeight="1">
      <c r="A57" s="28"/>
      <c r="B57" s="29"/>
      <c r="C57" s="29"/>
      <c r="D57" s="29"/>
      <c r="E57" s="29"/>
      <c r="F57" s="29"/>
      <c r="G57" s="29"/>
      <c r="H57" s="29"/>
      <c r="I57" s="30"/>
      <c r="J57" s="29"/>
      <c r="K57" s="31"/>
      <c r="L57" s="32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33"/>
      <c r="AY57" s="36"/>
      <c r="AZ57" s="58"/>
      <c r="BA57" s="58"/>
      <c r="BB57" s="58" t="s">
        <v>164</v>
      </c>
      <c r="BC57" s="58"/>
      <c r="BD57" s="58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29"/>
      <c r="CM57" s="28"/>
    </row>
    <row r="58" spans="1:91" s="27" customFormat="1">
      <c r="A58" s="28"/>
      <c r="B58" s="29"/>
      <c r="C58" s="29"/>
      <c r="D58" s="29"/>
      <c r="E58" s="29"/>
      <c r="F58" s="29"/>
      <c r="G58" s="29"/>
      <c r="H58" s="29"/>
      <c r="I58" s="30"/>
      <c r="J58" s="29"/>
      <c r="K58" s="31"/>
      <c r="L58" s="32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33"/>
      <c r="AY58" s="36"/>
      <c r="AZ58" s="58"/>
      <c r="BA58" s="58"/>
      <c r="BB58" s="58" t="s">
        <v>165</v>
      </c>
      <c r="BC58" s="58"/>
      <c r="BD58" s="56"/>
      <c r="BE58" s="56"/>
      <c r="BF58" s="9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29"/>
      <c r="CM58" s="28"/>
    </row>
    <row r="59" spans="1:91" s="27" customFormat="1" ht="15.75" customHeight="1">
      <c r="A59" s="28"/>
      <c r="B59" s="29"/>
      <c r="C59" s="29"/>
      <c r="D59" s="29"/>
      <c r="E59" s="29"/>
      <c r="F59" s="29"/>
      <c r="G59" s="29"/>
      <c r="H59" s="29"/>
      <c r="I59" s="30"/>
      <c r="J59" s="29"/>
      <c r="K59" s="31"/>
      <c r="L59" s="32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33"/>
      <c r="AY59" s="34"/>
      <c r="AZ59" s="58"/>
      <c r="BA59" s="58"/>
      <c r="BB59" s="58" t="s">
        <v>170</v>
      </c>
      <c r="BC59" s="58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8"/>
      <c r="CG59" s="58"/>
      <c r="CH59" s="58"/>
      <c r="CI59" s="58"/>
      <c r="CJ59" s="58"/>
      <c r="CK59" s="58"/>
      <c r="CL59" s="29"/>
      <c r="CM59" s="28"/>
    </row>
    <row r="60" spans="1:91" s="27" customFormat="1">
      <c r="A60" s="28"/>
      <c r="B60" s="29"/>
      <c r="C60" s="29"/>
      <c r="D60" s="29"/>
      <c r="E60" s="29"/>
      <c r="F60" s="29"/>
      <c r="G60" s="29"/>
      <c r="H60" s="29"/>
      <c r="I60" s="30"/>
      <c r="J60" s="29"/>
      <c r="K60" s="31"/>
      <c r="L60" s="32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33"/>
      <c r="AY60" s="34"/>
      <c r="AZ60" s="57"/>
      <c r="BA60" s="58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8"/>
      <c r="CG60" s="58"/>
      <c r="CH60" s="58"/>
      <c r="CI60" s="58"/>
      <c r="CJ60" s="58"/>
      <c r="CK60" s="58"/>
      <c r="CL60" s="29"/>
      <c r="CM60" s="28"/>
    </row>
    <row r="61" spans="1:91" s="27" customFormat="1">
      <c r="A61" s="28"/>
      <c r="B61" s="29"/>
      <c r="C61" s="29"/>
      <c r="D61" s="29"/>
      <c r="E61" s="29"/>
      <c r="F61" s="29"/>
      <c r="G61" s="29"/>
      <c r="H61" s="29"/>
      <c r="I61" s="30"/>
      <c r="J61" s="29"/>
      <c r="K61" s="31"/>
      <c r="L61" s="32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33"/>
      <c r="AY61" s="34"/>
      <c r="AZ61" s="57" t="s">
        <v>160</v>
      </c>
      <c r="BA61" s="58"/>
      <c r="BB61" s="56" t="s">
        <v>35</v>
      </c>
      <c r="BC61" s="91"/>
      <c r="BD61" s="56"/>
      <c r="BE61" s="56"/>
      <c r="BF61" s="56"/>
      <c r="BG61" s="56"/>
      <c r="BH61" s="56"/>
      <c r="BI61" s="56"/>
      <c r="BJ61" s="56"/>
      <c r="BK61" s="56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29"/>
      <c r="CM61" s="28"/>
    </row>
    <row r="62" spans="1:91" s="27" customFormat="1">
      <c r="A62" s="28"/>
      <c r="B62" s="29"/>
      <c r="C62" s="29"/>
      <c r="D62" s="29"/>
      <c r="E62" s="29"/>
      <c r="F62" s="29"/>
      <c r="G62" s="29"/>
      <c r="H62" s="29"/>
      <c r="I62" s="30"/>
      <c r="J62" s="29"/>
      <c r="K62" s="31"/>
      <c r="L62" s="32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33"/>
      <c r="AY62" s="34"/>
      <c r="AZ62" s="59"/>
      <c r="BA62" s="56"/>
      <c r="BB62" s="56" t="s">
        <v>198</v>
      </c>
      <c r="BC62" s="58"/>
      <c r="BD62" s="56"/>
      <c r="BE62" s="56"/>
      <c r="BF62" s="56"/>
      <c r="BG62" s="56"/>
      <c r="BH62" s="56"/>
      <c r="BI62" s="56"/>
      <c r="BJ62" s="56"/>
      <c r="BK62" s="56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29"/>
      <c r="CM62" s="28"/>
    </row>
    <row r="63" spans="1:91" s="27" customFormat="1">
      <c r="A63" s="28"/>
      <c r="B63" s="29"/>
      <c r="C63" s="29"/>
      <c r="D63" s="29"/>
      <c r="E63" s="29"/>
      <c r="F63" s="29"/>
      <c r="G63" s="29"/>
      <c r="H63" s="29"/>
      <c r="I63" s="30"/>
      <c r="J63" s="29"/>
      <c r="K63" s="31"/>
      <c r="L63" s="32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33"/>
      <c r="AY63" s="34"/>
      <c r="AZ63" s="58"/>
      <c r="BA63" s="58"/>
      <c r="BB63" s="92" t="s">
        <v>183</v>
      </c>
      <c r="BC63" s="58"/>
      <c r="BD63" s="56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29"/>
      <c r="CM63" s="28"/>
    </row>
    <row r="64" spans="1:91" s="27" customFormat="1">
      <c r="A64" s="28"/>
      <c r="B64" s="29"/>
      <c r="C64" s="29"/>
      <c r="D64" s="29"/>
      <c r="E64" s="29"/>
      <c r="F64" s="29"/>
      <c r="G64" s="29"/>
      <c r="H64" s="29"/>
      <c r="I64" s="30"/>
      <c r="J64" s="29"/>
      <c r="K64" s="31"/>
      <c r="L64" s="32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33"/>
      <c r="AY64" s="34"/>
      <c r="AZ64" s="58"/>
      <c r="BA64" s="58"/>
      <c r="BB64" s="92" t="s">
        <v>199</v>
      </c>
      <c r="BC64" s="58"/>
      <c r="BD64" s="56"/>
      <c r="BE64" s="56"/>
      <c r="BF64" s="56"/>
      <c r="BG64" s="56"/>
      <c r="BH64" s="56"/>
      <c r="BI64" s="56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29"/>
      <c r="CM64" s="28"/>
    </row>
    <row r="65" spans="1:91" s="27" customFormat="1">
      <c r="A65" s="28"/>
      <c r="B65" s="29"/>
      <c r="C65" s="29"/>
      <c r="D65" s="29"/>
      <c r="E65" s="29"/>
      <c r="F65" s="29"/>
      <c r="G65" s="29"/>
      <c r="H65" s="29"/>
      <c r="I65" s="30"/>
      <c r="J65" s="29"/>
      <c r="K65" s="31"/>
      <c r="L65" s="32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P65" s="29"/>
      <c r="AQ65" s="29"/>
      <c r="AR65" s="29"/>
      <c r="AS65" s="29"/>
      <c r="AT65" s="29"/>
      <c r="AU65" s="29"/>
      <c r="AV65" s="29"/>
      <c r="AW65" s="29"/>
      <c r="AX65" s="33"/>
      <c r="AY65" s="34"/>
      <c r="AZ65" s="58"/>
      <c r="BA65" s="58"/>
      <c r="BB65" s="58" t="s">
        <v>173</v>
      </c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29"/>
      <c r="CM65" s="28"/>
    </row>
    <row r="66" spans="1:91" s="27" customFormat="1">
      <c r="A66" s="28"/>
      <c r="B66" s="29"/>
      <c r="C66" s="29"/>
      <c r="D66" s="29"/>
      <c r="E66" s="29"/>
      <c r="F66" s="29"/>
      <c r="G66" s="29"/>
      <c r="H66" s="29"/>
      <c r="I66" s="30"/>
      <c r="J66" s="29"/>
      <c r="K66" s="31"/>
      <c r="L66" s="32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33"/>
      <c r="AY66" s="34"/>
      <c r="AZ66" s="58"/>
      <c r="BA66" s="58"/>
      <c r="BB66" s="58"/>
      <c r="BC66" s="58" t="s">
        <v>174</v>
      </c>
      <c r="BD66" s="58"/>
      <c r="BE66" s="58"/>
      <c r="BF66" s="58"/>
      <c r="BG66" s="58" t="s">
        <v>177</v>
      </c>
      <c r="BH66" s="58" t="s">
        <v>178</v>
      </c>
      <c r="BI66" s="58"/>
      <c r="BJ66" s="56"/>
      <c r="BK66" s="56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29"/>
      <c r="CM66" s="28"/>
    </row>
    <row r="67" spans="1:91" s="27" customFormat="1">
      <c r="A67" s="28"/>
      <c r="B67" s="29"/>
      <c r="C67" s="29"/>
      <c r="D67" s="29"/>
      <c r="E67" s="29"/>
      <c r="F67" s="29"/>
      <c r="G67" s="29"/>
      <c r="H67" s="29"/>
      <c r="I67" s="30"/>
      <c r="J67" s="29"/>
      <c r="K67" s="31"/>
      <c r="L67" s="32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P67" s="29"/>
      <c r="AQ67" s="29"/>
      <c r="AR67" s="29"/>
      <c r="AS67" s="29"/>
      <c r="AT67" s="29"/>
      <c r="AU67" s="29"/>
      <c r="AV67" s="29"/>
      <c r="AW67" s="29"/>
      <c r="AX67" s="33"/>
      <c r="AY67" s="34"/>
      <c r="AZ67" s="58"/>
      <c r="BA67" s="58"/>
      <c r="BB67" s="58"/>
      <c r="BC67" s="58" t="s">
        <v>176</v>
      </c>
      <c r="BD67" s="58"/>
      <c r="BE67" s="58"/>
      <c r="BF67" s="58"/>
      <c r="BG67" s="58" t="s">
        <v>177</v>
      </c>
      <c r="BH67" s="58" t="s">
        <v>184</v>
      </c>
      <c r="BI67" s="58"/>
      <c r="BJ67" s="56"/>
      <c r="BK67" s="56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29"/>
      <c r="CM67" s="28"/>
    </row>
    <row r="68" spans="1:91" s="27" customFormat="1">
      <c r="A68" s="28"/>
      <c r="B68" s="29"/>
      <c r="C68" s="29"/>
      <c r="D68" s="29"/>
      <c r="E68" s="29"/>
      <c r="F68" s="29"/>
      <c r="G68" s="29"/>
      <c r="H68" s="29"/>
      <c r="I68" s="30"/>
      <c r="J68" s="29"/>
      <c r="K68" s="31"/>
      <c r="L68" s="32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33"/>
      <c r="AY68" s="34"/>
      <c r="AZ68" s="58"/>
      <c r="BA68" s="58"/>
      <c r="BB68" s="58"/>
      <c r="BC68" s="56"/>
      <c r="BD68" s="56"/>
      <c r="BE68" s="56"/>
      <c r="BF68" s="56"/>
      <c r="BG68" s="56"/>
      <c r="BH68" s="56"/>
      <c r="BI68" s="56"/>
      <c r="BJ68" s="56"/>
      <c r="BK68" s="56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29"/>
      <c r="CM68" s="28"/>
    </row>
    <row r="69" spans="1:91" s="27" customFormat="1">
      <c r="A69" s="28"/>
      <c r="B69" s="29"/>
      <c r="C69" s="29"/>
      <c r="D69" s="29"/>
      <c r="E69" s="29"/>
      <c r="F69" s="29"/>
      <c r="G69" s="29"/>
      <c r="H69" s="29"/>
      <c r="I69" s="30"/>
      <c r="J69" s="29"/>
      <c r="K69" s="31"/>
      <c r="L69" s="32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P69" s="29"/>
      <c r="AQ69" s="29"/>
      <c r="AR69" s="29"/>
      <c r="AS69" s="29"/>
      <c r="AT69" s="29"/>
      <c r="AU69" s="29"/>
      <c r="AV69" s="29"/>
      <c r="AW69" s="29"/>
      <c r="AX69" s="33"/>
      <c r="AY69" s="34"/>
      <c r="AZ69" s="57" t="s">
        <v>161</v>
      </c>
      <c r="BB69" s="56" t="s">
        <v>45</v>
      </c>
      <c r="BC69" s="56"/>
      <c r="BD69" s="56"/>
      <c r="BE69" s="56"/>
      <c r="BF69" s="56"/>
      <c r="BG69" s="56"/>
      <c r="BH69" s="56"/>
      <c r="BI69" s="56"/>
      <c r="BJ69" s="56"/>
      <c r="BK69" s="56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29"/>
      <c r="CM69" s="28"/>
    </row>
    <row r="70" spans="1:91" s="27" customFormat="1">
      <c r="A70" s="28"/>
      <c r="B70" s="29"/>
      <c r="C70" s="29"/>
      <c r="D70" s="29"/>
      <c r="E70" s="29"/>
      <c r="F70" s="29"/>
      <c r="G70" s="29"/>
      <c r="H70" s="29"/>
      <c r="I70" s="30"/>
      <c r="J70" s="29"/>
      <c r="K70" s="31"/>
      <c r="L70" s="32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33"/>
      <c r="AY70" s="34"/>
      <c r="AZ70" s="58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29"/>
      <c r="CM70" s="28"/>
    </row>
    <row r="71" spans="1:91" s="27" customFormat="1">
      <c r="A71" s="28"/>
      <c r="B71" s="29"/>
      <c r="C71" s="29"/>
      <c r="D71" s="29"/>
      <c r="E71" s="29"/>
      <c r="F71" s="29"/>
      <c r="G71" s="29"/>
      <c r="H71" s="29"/>
      <c r="I71" s="30"/>
      <c r="J71" s="29"/>
      <c r="K71" s="31"/>
      <c r="L71" s="32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P71" s="29"/>
      <c r="AQ71" s="29"/>
      <c r="AR71" s="29"/>
      <c r="AS71" s="29"/>
      <c r="AT71" s="29"/>
      <c r="AU71" s="29"/>
      <c r="AV71" s="29"/>
      <c r="AW71" s="29"/>
      <c r="AX71" s="33"/>
      <c r="AY71" s="34"/>
      <c r="AZ71" s="58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29"/>
      <c r="CM71" s="28"/>
    </row>
    <row r="72" spans="1:91" s="27" customFormat="1">
      <c r="A72" s="28"/>
      <c r="B72" s="29"/>
      <c r="C72" s="29"/>
      <c r="D72" s="29"/>
      <c r="E72" s="29"/>
      <c r="F72" s="29"/>
      <c r="G72" s="29"/>
      <c r="H72" s="29"/>
      <c r="I72" s="30"/>
      <c r="J72" s="29"/>
      <c r="K72" s="31"/>
      <c r="L72" s="32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P72" s="29"/>
      <c r="AQ72" s="29"/>
      <c r="AR72" s="29"/>
      <c r="AS72" s="29"/>
      <c r="AT72" s="29"/>
      <c r="AU72" s="29"/>
      <c r="AV72" s="29"/>
      <c r="AW72" s="29"/>
      <c r="AX72" s="33"/>
      <c r="AY72" s="34"/>
      <c r="AZ72" s="58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29"/>
      <c r="CM72" s="28"/>
    </row>
    <row r="73" spans="1:91" s="27" customFormat="1">
      <c r="A73" s="28"/>
      <c r="B73" s="29"/>
      <c r="C73" s="29"/>
      <c r="D73" s="29"/>
      <c r="E73" s="29"/>
      <c r="F73" s="29"/>
      <c r="G73" s="29"/>
      <c r="H73" s="29"/>
      <c r="I73" s="30"/>
      <c r="J73" s="29"/>
      <c r="K73" s="31"/>
      <c r="L73" s="32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P73" s="29"/>
      <c r="AQ73" s="29"/>
      <c r="AR73" s="29"/>
      <c r="AS73" s="29"/>
      <c r="AT73" s="29"/>
      <c r="AU73" s="29"/>
      <c r="AV73" s="29"/>
      <c r="AW73" s="29"/>
      <c r="AX73" s="33"/>
      <c r="AY73" s="34"/>
      <c r="AZ73" s="58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29"/>
      <c r="CM73" s="28"/>
    </row>
    <row r="74" spans="1:91" s="27" customFormat="1">
      <c r="A74" s="28"/>
      <c r="B74" s="29"/>
      <c r="C74" s="29"/>
      <c r="D74" s="29"/>
      <c r="E74" s="29"/>
      <c r="F74" s="29"/>
      <c r="G74" s="29"/>
      <c r="H74" s="29"/>
      <c r="I74" s="30"/>
      <c r="J74" s="29"/>
      <c r="K74" s="31"/>
      <c r="L74" s="32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P74" s="29"/>
      <c r="AQ74" s="29"/>
      <c r="AR74" s="29"/>
      <c r="AS74" s="29"/>
      <c r="AT74" s="29"/>
      <c r="AU74" s="29"/>
      <c r="AV74" s="29"/>
      <c r="AW74" s="29"/>
      <c r="AX74" s="33"/>
      <c r="AY74" s="34"/>
      <c r="AZ74" s="58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29"/>
      <c r="CM74" s="28"/>
    </row>
    <row r="75" spans="1:91" s="27" customFormat="1">
      <c r="A75" s="28"/>
      <c r="B75" s="29"/>
      <c r="C75" s="29"/>
      <c r="D75" s="29"/>
      <c r="E75" s="29"/>
      <c r="F75" s="29"/>
      <c r="G75" s="29"/>
      <c r="H75" s="29"/>
      <c r="I75" s="30"/>
      <c r="J75" s="29"/>
      <c r="K75" s="31"/>
      <c r="L75" s="32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33"/>
      <c r="AY75" s="34"/>
      <c r="AZ75" s="58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29"/>
      <c r="CM75" s="28"/>
    </row>
    <row r="76" spans="1:91" s="27" customFormat="1">
      <c r="A76" s="28"/>
      <c r="B76" s="29"/>
      <c r="C76" s="29"/>
      <c r="D76" s="29"/>
      <c r="E76" s="29"/>
      <c r="F76" s="29"/>
      <c r="G76" s="29"/>
      <c r="H76" s="29"/>
      <c r="I76" s="30"/>
      <c r="J76" s="29"/>
      <c r="K76" s="31"/>
      <c r="L76" s="32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P76" s="29"/>
      <c r="AQ76" s="29"/>
      <c r="AR76" s="29"/>
      <c r="AS76" s="29"/>
      <c r="AT76" s="29"/>
      <c r="AU76" s="29"/>
      <c r="AV76" s="29"/>
      <c r="AW76" s="29"/>
      <c r="AX76" s="33"/>
      <c r="AY76" s="34"/>
      <c r="AZ76" s="58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29"/>
      <c r="CM76" s="28"/>
    </row>
    <row r="77" spans="1:91" s="27" customFormat="1">
      <c r="A77" s="28"/>
      <c r="B77" s="29"/>
      <c r="C77" s="29"/>
      <c r="D77" s="29"/>
      <c r="E77" s="29"/>
      <c r="F77" s="29"/>
      <c r="G77" s="29"/>
      <c r="H77" s="29"/>
      <c r="I77" s="30"/>
      <c r="J77" s="29"/>
      <c r="K77" s="31"/>
      <c r="L77" s="32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33"/>
      <c r="AY77" s="34"/>
      <c r="AZ77" s="58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29"/>
      <c r="CM77" s="28"/>
    </row>
    <row r="78" spans="1:91" s="27" customFormat="1">
      <c r="A78" s="28"/>
      <c r="B78" s="29"/>
      <c r="C78" s="29"/>
      <c r="D78" s="29"/>
      <c r="E78" s="29"/>
      <c r="F78" s="29"/>
      <c r="G78" s="29"/>
      <c r="H78" s="29"/>
      <c r="I78" s="30"/>
      <c r="J78" s="29"/>
      <c r="K78" s="31"/>
      <c r="L78" s="32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P78" s="29"/>
      <c r="AQ78" s="29"/>
      <c r="AR78" s="29"/>
      <c r="AS78" s="29"/>
      <c r="AT78" s="29"/>
      <c r="AU78" s="29"/>
      <c r="AV78" s="29"/>
      <c r="AW78" s="29"/>
      <c r="AX78" s="33"/>
      <c r="AY78" s="34"/>
      <c r="AZ78" s="58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29"/>
      <c r="CM78" s="28"/>
    </row>
    <row r="79" spans="1:91" s="27" customFormat="1">
      <c r="A79" s="28"/>
      <c r="B79" s="29"/>
      <c r="C79" s="29"/>
      <c r="D79" s="29"/>
      <c r="E79" s="29"/>
      <c r="F79" s="29"/>
      <c r="G79" s="29"/>
      <c r="H79" s="29"/>
      <c r="I79" s="30"/>
      <c r="J79" s="29"/>
      <c r="K79" s="31"/>
      <c r="L79" s="32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33"/>
      <c r="AY79" s="34"/>
      <c r="AZ79" s="58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29"/>
      <c r="CM79" s="28"/>
    </row>
    <row r="80" spans="1:91" s="27" customFormat="1">
      <c r="A80" s="28"/>
      <c r="B80" s="29"/>
      <c r="C80" s="29"/>
      <c r="D80" s="29"/>
      <c r="E80" s="29"/>
      <c r="F80" s="29"/>
      <c r="G80" s="29"/>
      <c r="H80" s="29"/>
      <c r="I80" s="30"/>
      <c r="J80" s="29"/>
      <c r="K80" s="31"/>
      <c r="L80" s="32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P80" s="29"/>
      <c r="AQ80" s="29"/>
      <c r="AR80" s="29"/>
      <c r="AS80" s="29"/>
      <c r="AT80" s="29"/>
      <c r="AU80" s="29"/>
      <c r="AV80" s="29"/>
      <c r="AW80" s="29"/>
      <c r="AX80" s="33"/>
      <c r="AY80" s="34"/>
      <c r="AZ80" s="58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29"/>
      <c r="CM80" s="28"/>
    </row>
    <row r="81" spans="1:91" s="27" customFormat="1">
      <c r="A81" s="28"/>
      <c r="B81" s="29"/>
      <c r="C81" s="29"/>
      <c r="D81" s="29"/>
      <c r="E81" s="29"/>
      <c r="F81" s="29"/>
      <c r="G81" s="29"/>
      <c r="H81" s="29"/>
      <c r="I81" s="30"/>
      <c r="J81" s="29"/>
      <c r="K81" s="31"/>
      <c r="L81" s="32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33"/>
      <c r="AY81" s="34"/>
      <c r="AZ81" s="58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29"/>
      <c r="CM81" s="28"/>
    </row>
    <row r="82" spans="1:91" s="27" customFormat="1">
      <c r="A82" s="28"/>
      <c r="B82" s="29"/>
      <c r="C82" s="29"/>
      <c r="D82" s="29"/>
      <c r="E82" s="29"/>
      <c r="F82" s="29"/>
      <c r="G82" s="29"/>
      <c r="H82" s="29"/>
      <c r="I82" s="30"/>
      <c r="J82" s="29"/>
      <c r="K82" s="31"/>
      <c r="L82" s="32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P82" s="29"/>
      <c r="AQ82" s="29"/>
      <c r="AR82" s="29"/>
      <c r="AS82" s="29"/>
      <c r="AT82" s="29"/>
      <c r="AU82" s="29"/>
      <c r="AV82" s="29"/>
      <c r="AW82" s="29"/>
      <c r="AX82" s="33"/>
      <c r="AY82" s="34"/>
      <c r="AZ82" s="58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29"/>
      <c r="CM82" s="28"/>
    </row>
    <row r="83" spans="1:91" s="27" customFormat="1">
      <c r="A83" s="28"/>
      <c r="B83" s="29"/>
      <c r="C83" s="29"/>
      <c r="D83" s="29"/>
      <c r="E83" s="29"/>
      <c r="F83" s="29"/>
      <c r="G83" s="29"/>
      <c r="H83" s="29"/>
      <c r="I83" s="30"/>
      <c r="J83" s="29"/>
      <c r="K83" s="31"/>
      <c r="L83" s="32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P83" s="29"/>
      <c r="AQ83" s="29"/>
      <c r="AR83" s="29"/>
      <c r="AS83" s="29"/>
      <c r="AT83" s="29"/>
      <c r="AU83" s="29"/>
      <c r="AV83" s="29"/>
      <c r="AW83" s="29"/>
      <c r="AX83" s="33"/>
      <c r="AY83" s="34"/>
      <c r="AZ83" s="58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29"/>
      <c r="CM83" s="28"/>
    </row>
    <row r="84" spans="1:91" s="27" customFormat="1">
      <c r="A84" s="28"/>
      <c r="B84" s="29"/>
      <c r="C84" s="29"/>
      <c r="D84" s="29"/>
      <c r="E84" s="29"/>
      <c r="F84" s="29"/>
      <c r="G84" s="29"/>
      <c r="H84" s="29"/>
      <c r="I84" s="30"/>
      <c r="J84" s="29"/>
      <c r="K84" s="31"/>
      <c r="L84" s="32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P84" s="29"/>
      <c r="AQ84" s="29"/>
      <c r="AR84" s="29"/>
      <c r="AS84" s="29"/>
      <c r="AT84" s="29"/>
      <c r="AU84" s="29"/>
      <c r="AV84" s="29"/>
      <c r="AW84" s="29"/>
      <c r="AX84" s="33"/>
      <c r="AY84" s="34"/>
      <c r="AZ84" s="58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29"/>
      <c r="CM84" s="28"/>
    </row>
    <row r="85" spans="1:91" s="27" customFormat="1">
      <c r="A85" s="28"/>
      <c r="B85" s="29"/>
      <c r="C85" s="29"/>
      <c r="D85" s="29"/>
      <c r="E85" s="29"/>
      <c r="F85" s="29"/>
      <c r="G85" s="29"/>
      <c r="H85" s="29"/>
      <c r="I85" s="30"/>
      <c r="J85" s="29"/>
      <c r="K85" s="31"/>
      <c r="L85" s="32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33"/>
      <c r="AY85" s="34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29"/>
      <c r="CM85" s="28"/>
    </row>
    <row r="86" spans="1:91" s="27" customFormat="1">
      <c r="A86" s="37"/>
      <c r="B86" s="38"/>
      <c r="C86" s="38"/>
      <c r="D86" s="38"/>
      <c r="E86" s="38"/>
      <c r="F86" s="38"/>
      <c r="G86" s="38"/>
      <c r="H86" s="38"/>
      <c r="I86" s="39"/>
      <c r="J86" s="38"/>
      <c r="K86" s="40"/>
      <c r="L86" s="40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41"/>
      <c r="AY86" s="37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28"/>
    </row>
    <row r="87" spans="1:91" s="27" customFormat="1">
      <c r="A87" s="53" t="s">
        <v>46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28"/>
    </row>
    <row r="88" spans="1:91" s="27" customFormat="1">
      <c r="A88" s="21"/>
      <c r="B88" s="22"/>
      <c r="C88" s="22"/>
      <c r="D88" s="22"/>
      <c r="E88" s="22"/>
      <c r="F88" s="22"/>
      <c r="G88" s="22"/>
      <c r="H88" s="22"/>
      <c r="I88" s="23"/>
      <c r="J88" s="22"/>
      <c r="K88" s="24"/>
      <c r="L88" s="25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8"/>
    </row>
    <row r="89" spans="1:91" s="27" customFormat="1">
      <c r="A89" s="28"/>
      <c r="B89" s="29"/>
      <c r="C89" s="29"/>
      <c r="D89" s="29"/>
      <c r="E89" s="29"/>
      <c r="F89" s="29"/>
      <c r="G89" s="29"/>
      <c r="H89" s="29"/>
      <c r="I89" s="30"/>
      <c r="J89" s="29"/>
      <c r="K89" s="31"/>
      <c r="L89" s="32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8"/>
    </row>
    <row r="90" spans="1:91" s="27" customFormat="1">
      <c r="A90" s="28"/>
      <c r="B90" s="29"/>
      <c r="C90" s="29"/>
      <c r="D90" s="29"/>
      <c r="E90" s="29"/>
      <c r="F90" s="29"/>
      <c r="G90" s="29"/>
      <c r="H90" s="29"/>
      <c r="I90" s="30"/>
      <c r="J90" s="29"/>
      <c r="K90" s="31"/>
      <c r="L90" s="32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8"/>
    </row>
    <row r="91" spans="1:91" s="27" customFormat="1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42"/>
      <c r="L91" s="43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8"/>
    </row>
    <row r="92" spans="1:91" s="27" customFormat="1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42"/>
      <c r="L92" s="43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8"/>
    </row>
    <row r="93" spans="1:91" s="27" customFormat="1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42"/>
      <c r="L93" s="43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8"/>
    </row>
    <row r="94" spans="1:91" s="27" customFormat="1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8"/>
    </row>
    <row r="95" spans="1:91" s="27" customFormat="1">
      <c r="A95" s="28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8"/>
    </row>
    <row r="96" spans="1:91" s="27" customFormat="1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8"/>
    </row>
    <row r="97" spans="1:91">
      <c r="A97" s="44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51"/>
    </row>
    <row r="98" spans="1:91">
      <c r="A98" s="44"/>
      <c r="B98" s="45"/>
      <c r="C98" s="45"/>
      <c r="D98" s="45"/>
      <c r="E98" s="45"/>
      <c r="F98" s="45"/>
      <c r="G98" s="45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</row>
    <row r="99" spans="1:91">
      <c r="A99" s="111" t="s">
        <v>5</v>
      </c>
      <c r="B99" s="112"/>
      <c r="C99" s="112"/>
      <c r="D99" s="112"/>
      <c r="E99" s="112"/>
      <c r="F99" s="112"/>
      <c r="G99" s="113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</row>
    <row r="100" spans="1:91">
      <c r="A100" s="48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50"/>
    </row>
    <row r="101" spans="1:91">
      <c r="A101" s="51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52"/>
    </row>
    <row r="102" spans="1:91">
      <c r="A102" s="44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6"/>
    </row>
  </sheetData>
  <mergeCells count="35">
    <mergeCell ref="AY1:BD1"/>
    <mergeCell ref="BE1:BJ1"/>
    <mergeCell ref="L2:T2"/>
    <mergeCell ref="U2:AC2"/>
    <mergeCell ref="A1:K2"/>
    <mergeCell ref="L1:T1"/>
    <mergeCell ref="U1:AC1"/>
    <mergeCell ref="AD1:AL1"/>
    <mergeCell ref="AM1:AR1"/>
    <mergeCell ref="AD2:AL2"/>
    <mergeCell ref="AM2:AR2"/>
    <mergeCell ref="AS2:AX2"/>
    <mergeCell ref="AY2:BD2"/>
    <mergeCell ref="BE2:BJ2"/>
    <mergeCell ref="AS1:AX1"/>
    <mergeCell ref="A13:H13"/>
    <mergeCell ref="I13:CL13"/>
    <mergeCell ref="A4:G4"/>
    <mergeCell ref="A5:CI7"/>
    <mergeCell ref="A9:H9"/>
    <mergeCell ref="A10:H10"/>
    <mergeCell ref="I10:CL10"/>
    <mergeCell ref="A11:H11"/>
    <mergeCell ref="I11:CL11"/>
    <mergeCell ref="A12:H12"/>
    <mergeCell ref="I12:CL12"/>
    <mergeCell ref="A14:H14"/>
    <mergeCell ref="I14:CL14"/>
    <mergeCell ref="A99:G99"/>
    <mergeCell ref="A15:H15"/>
    <mergeCell ref="I15:CL15"/>
    <mergeCell ref="A16:H16"/>
    <mergeCell ref="I16:CL16"/>
    <mergeCell ref="A18:H18"/>
    <mergeCell ref="AY18:BF18"/>
  </mergeCells>
  <phoneticPr fontId="5"/>
  <pageMargins left="0.39" right="0.4" top="0.98425196850393704" bottom="0.41" header="0.51181102362204722" footer="0.17"/>
  <pageSetup paperSize="8" scale="59" orientation="portrait" horizontalDpi="300" verticalDpi="300" r:id="rId1"/>
  <headerFooter alignWithMargins="0"/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CM70"/>
  <sheetViews>
    <sheetView showGridLines="0" view="pageBreakPreview" topLeftCell="B35" zoomScale="85" zoomScaleNormal="70" zoomScaleSheetLayoutView="85" workbookViewId="0">
      <selection activeCell="AM20" sqref="AM20"/>
    </sheetView>
  </sheetViews>
  <sheetFormatPr defaultColWidth="2.625" defaultRowHeight="15.75"/>
  <cols>
    <col min="1" max="50" width="2.625" style="12"/>
    <col min="51" max="51" width="2.875" style="12" bestFit="1" customWidth="1"/>
    <col min="52" max="52" width="2.375" style="12" customWidth="1"/>
    <col min="53" max="16384" width="2.625" style="12"/>
  </cols>
  <sheetData>
    <row r="1" spans="1:91" ht="13.5" customHeight="1">
      <c r="A1" s="151" t="s">
        <v>21</v>
      </c>
      <c r="B1" s="152"/>
      <c r="C1" s="152"/>
      <c r="D1" s="152"/>
      <c r="E1" s="152"/>
      <c r="F1" s="152"/>
      <c r="G1" s="152"/>
      <c r="H1" s="152"/>
      <c r="I1" s="152"/>
      <c r="J1" s="152"/>
      <c r="K1" s="153"/>
      <c r="L1" s="111" t="s">
        <v>4</v>
      </c>
      <c r="M1" s="112"/>
      <c r="N1" s="112"/>
      <c r="O1" s="112"/>
      <c r="P1" s="112"/>
      <c r="Q1" s="112"/>
      <c r="R1" s="112"/>
      <c r="S1" s="112"/>
      <c r="T1" s="113"/>
      <c r="U1" s="111" t="s">
        <v>48</v>
      </c>
      <c r="V1" s="112"/>
      <c r="W1" s="112"/>
      <c r="X1" s="112"/>
      <c r="Y1" s="112"/>
      <c r="Z1" s="112"/>
      <c r="AA1" s="112"/>
      <c r="AB1" s="112"/>
      <c r="AC1" s="113"/>
      <c r="AD1" s="111" t="s">
        <v>49</v>
      </c>
      <c r="AE1" s="112"/>
      <c r="AF1" s="112"/>
      <c r="AG1" s="112"/>
      <c r="AH1" s="112"/>
      <c r="AI1" s="112"/>
      <c r="AJ1" s="112"/>
      <c r="AK1" s="112"/>
      <c r="AL1" s="113"/>
      <c r="AM1" s="111" t="s">
        <v>0</v>
      </c>
      <c r="AN1" s="112"/>
      <c r="AO1" s="112"/>
      <c r="AP1" s="112"/>
      <c r="AQ1" s="112"/>
      <c r="AR1" s="113"/>
      <c r="AS1" s="111" t="s">
        <v>1</v>
      </c>
      <c r="AT1" s="112"/>
      <c r="AU1" s="112"/>
      <c r="AV1" s="112"/>
      <c r="AW1" s="112"/>
      <c r="AX1" s="113"/>
      <c r="AY1" s="111" t="s">
        <v>2</v>
      </c>
      <c r="AZ1" s="112"/>
      <c r="BA1" s="112"/>
      <c r="BB1" s="112"/>
      <c r="BC1" s="112"/>
      <c r="BD1" s="113"/>
      <c r="BE1" s="111" t="s">
        <v>3</v>
      </c>
      <c r="BF1" s="112"/>
      <c r="BG1" s="112"/>
      <c r="BH1" s="112"/>
      <c r="BI1" s="112"/>
      <c r="BJ1" s="113"/>
    </row>
    <row r="2" spans="1:91" ht="25.5" customHeight="1">
      <c r="A2" s="154"/>
      <c r="B2" s="155"/>
      <c r="C2" s="155"/>
      <c r="D2" s="155"/>
      <c r="E2" s="155"/>
      <c r="F2" s="155"/>
      <c r="G2" s="155"/>
      <c r="H2" s="155"/>
      <c r="I2" s="155"/>
      <c r="J2" s="155"/>
      <c r="K2" s="156"/>
      <c r="L2" s="145" t="str">
        <f>表紙!D4</f>
        <v>4S　デジタルトランスフォーメーション・プラットフォーム構築</v>
      </c>
      <c r="M2" s="146"/>
      <c r="N2" s="146"/>
      <c r="O2" s="146"/>
      <c r="P2" s="146"/>
      <c r="Q2" s="146"/>
      <c r="R2" s="146"/>
      <c r="S2" s="146"/>
      <c r="T2" s="147"/>
      <c r="U2" s="148" t="s">
        <v>70</v>
      </c>
      <c r="V2" s="149"/>
      <c r="W2" s="149"/>
      <c r="X2" s="149"/>
      <c r="Y2" s="149"/>
      <c r="Z2" s="149"/>
      <c r="AA2" s="149"/>
      <c r="AB2" s="149"/>
      <c r="AC2" s="150"/>
      <c r="AD2" s="145" t="s">
        <v>115</v>
      </c>
      <c r="AE2" s="149"/>
      <c r="AF2" s="149"/>
      <c r="AG2" s="149"/>
      <c r="AH2" s="149"/>
      <c r="AI2" s="149"/>
      <c r="AJ2" s="149"/>
      <c r="AK2" s="149"/>
      <c r="AL2" s="150"/>
      <c r="AM2" s="157" t="str">
        <f>改版履歴!C4</f>
        <v>JSOL後藤</v>
      </c>
      <c r="AN2" s="158"/>
      <c r="AO2" s="158"/>
      <c r="AP2" s="158"/>
      <c r="AQ2" s="158"/>
      <c r="AR2" s="159"/>
      <c r="AS2" s="160">
        <v>43234</v>
      </c>
      <c r="AT2" s="149"/>
      <c r="AU2" s="149"/>
      <c r="AV2" s="149"/>
      <c r="AW2" s="149"/>
      <c r="AX2" s="150"/>
      <c r="AY2" s="161" t="str">
        <f>INDEX(改版履歴!C4:C32,COUNTA(改版履歴!C4:C32))</f>
        <v>JSOL王</v>
      </c>
      <c r="AZ2" s="158"/>
      <c r="BA2" s="158"/>
      <c r="BB2" s="158"/>
      <c r="BC2" s="158"/>
      <c r="BD2" s="159"/>
      <c r="BE2" s="160">
        <f>INDEX(改版履歴!D4:D32,COUNTA(改版履歴!D4:D32))</f>
        <v>44294</v>
      </c>
      <c r="BF2" s="162"/>
      <c r="BG2" s="162"/>
      <c r="BH2" s="162"/>
      <c r="BI2" s="162"/>
      <c r="BJ2" s="163"/>
    </row>
    <row r="4" spans="1:91" s="64" customFormat="1" ht="13.5" customHeight="1">
      <c r="A4" s="182" t="s">
        <v>74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</row>
    <row r="5" spans="1:91" s="64" customFormat="1" ht="13.5" customHeight="1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7"/>
    </row>
    <row r="6" spans="1:91" s="27" customFormat="1">
      <c r="A6" s="21"/>
      <c r="B6" s="22"/>
      <c r="C6" s="22"/>
      <c r="D6" s="22"/>
      <c r="E6" s="22"/>
      <c r="F6" s="22"/>
      <c r="G6" s="22"/>
      <c r="H6" s="22"/>
      <c r="I6" s="23"/>
      <c r="J6" s="22"/>
      <c r="K6" s="24"/>
      <c r="L6" s="25"/>
      <c r="M6" s="22"/>
      <c r="N6" s="22"/>
      <c r="O6" s="24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68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</row>
    <row r="7" spans="1:91" s="71" customFormat="1" ht="13.5" customHeight="1">
      <c r="A7" s="28"/>
      <c r="B7" s="70" t="s">
        <v>116</v>
      </c>
      <c r="C7" s="29"/>
      <c r="D7" s="29"/>
      <c r="E7" s="29"/>
      <c r="F7" s="29"/>
      <c r="BY7" s="69"/>
    </row>
    <row r="8" spans="1:91" s="71" customFormat="1" ht="13.5" customHeight="1">
      <c r="A8" s="34"/>
      <c r="B8" s="27"/>
      <c r="C8" s="27"/>
      <c r="D8" s="58" t="s">
        <v>157</v>
      </c>
      <c r="E8" s="27"/>
      <c r="F8" s="27"/>
      <c r="BY8" s="69"/>
    </row>
    <row r="9" spans="1:91" s="71" customFormat="1" ht="13.5" customHeight="1">
      <c r="A9" s="34"/>
      <c r="B9" s="27"/>
      <c r="C9" s="27"/>
      <c r="D9" s="27" t="s">
        <v>67</v>
      </c>
      <c r="E9" s="27"/>
      <c r="F9" s="27"/>
      <c r="BY9" s="69"/>
    </row>
    <row r="10" spans="1:91" s="27" customFormat="1" ht="12.75" customHeight="1">
      <c r="A10" s="28"/>
      <c r="B10" s="29"/>
      <c r="C10" s="29"/>
      <c r="F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69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</row>
    <row r="11" spans="1:91" s="27" customFormat="1">
      <c r="A11" s="28"/>
      <c r="B11" s="29"/>
      <c r="C11" s="29"/>
      <c r="D11" s="29"/>
      <c r="E11" s="27" t="s">
        <v>196</v>
      </c>
      <c r="F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R11" s="29"/>
      <c r="AS11" s="29"/>
      <c r="AT11" s="29"/>
      <c r="AU11" s="29"/>
      <c r="AV11" s="29"/>
      <c r="AW11" s="29"/>
      <c r="AX11" s="29"/>
      <c r="AY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69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</row>
    <row r="12" spans="1:91" s="27" customFormat="1">
      <c r="A12" s="28"/>
      <c r="B12" s="29"/>
      <c r="C12" s="29"/>
      <c r="D12" s="29"/>
      <c r="E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R12" s="29"/>
      <c r="AS12" s="29"/>
      <c r="AT12" s="29"/>
      <c r="AU12" s="29"/>
      <c r="AV12" s="29"/>
      <c r="AW12" s="29"/>
      <c r="AX12" s="29"/>
      <c r="AY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69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</row>
    <row r="13" spans="1:91" s="27" customFormat="1" ht="15.75" customHeight="1">
      <c r="A13" s="28"/>
      <c r="B13" s="29"/>
      <c r="C13" s="29"/>
      <c r="D13" s="29"/>
      <c r="E13" s="29"/>
      <c r="F13" s="186" t="s">
        <v>109</v>
      </c>
      <c r="G13" s="187"/>
      <c r="H13" s="187"/>
      <c r="I13" s="188"/>
      <c r="J13" s="176" t="s">
        <v>95</v>
      </c>
      <c r="K13" s="177"/>
      <c r="L13" s="177"/>
      <c r="M13" s="178"/>
      <c r="N13" s="176" t="s">
        <v>76</v>
      </c>
      <c r="O13" s="177"/>
      <c r="P13" s="177"/>
      <c r="Q13" s="178"/>
      <c r="R13" s="176" t="s">
        <v>82</v>
      </c>
      <c r="S13" s="177"/>
      <c r="T13" s="177"/>
      <c r="U13" s="178"/>
      <c r="V13" s="176" t="s">
        <v>81</v>
      </c>
      <c r="W13" s="177"/>
      <c r="X13" s="177"/>
      <c r="Y13" s="178"/>
      <c r="Z13" s="176" t="s">
        <v>114</v>
      </c>
      <c r="AA13" s="177"/>
      <c r="AB13" s="177"/>
      <c r="AC13" s="178"/>
      <c r="AD13" s="176" t="s">
        <v>79</v>
      </c>
      <c r="AE13" s="177"/>
      <c r="AF13" s="177"/>
      <c r="AG13" s="178"/>
      <c r="AH13" s="176" t="s">
        <v>80</v>
      </c>
      <c r="AI13" s="177"/>
      <c r="AJ13" s="177"/>
      <c r="AK13" s="178"/>
      <c r="AL13" s="176" t="s">
        <v>83</v>
      </c>
      <c r="AM13" s="177"/>
      <c r="AN13" s="177"/>
      <c r="AO13" s="178"/>
      <c r="AP13" s="176" t="s">
        <v>84</v>
      </c>
      <c r="AQ13" s="177"/>
      <c r="AR13" s="177"/>
      <c r="AS13" s="178"/>
      <c r="AT13" s="164" t="s">
        <v>210</v>
      </c>
      <c r="AU13" s="165"/>
      <c r="AV13" s="165"/>
      <c r="AW13" s="166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69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</row>
    <row r="14" spans="1:91" s="27" customFormat="1">
      <c r="A14" s="28"/>
      <c r="B14" s="29"/>
      <c r="C14" s="29"/>
      <c r="D14" s="29"/>
      <c r="E14" s="29"/>
      <c r="F14" s="189"/>
      <c r="G14" s="190"/>
      <c r="H14" s="190"/>
      <c r="I14" s="191"/>
      <c r="J14" s="179"/>
      <c r="K14" s="180"/>
      <c r="L14" s="180"/>
      <c r="M14" s="181"/>
      <c r="N14" s="179"/>
      <c r="O14" s="180"/>
      <c r="P14" s="180"/>
      <c r="Q14" s="181"/>
      <c r="R14" s="179"/>
      <c r="S14" s="180"/>
      <c r="T14" s="180"/>
      <c r="U14" s="181"/>
      <c r="V14" s="179"/>
      <c r="W14" s="180"/>
      <c r="X14" s="180"/>
      <c r="Y14" s="181"/>
      <c r="Z14" s="179"/>
      <c r="AA14" s="180"/>
      <c r="AB14" s="180"/>
      <c r="AC14" s="181"/>
      <c r="AD14" s="179"/>
      <c r="AE14" s="180"/>
      <c r="AF14" s="180"/>
      <c r="AG14" s="181"/>
      <c r="AH14" s="179"/>
      <c r="AI14" s="180"/>
      <c r="AJ14" s="180"/>
      <c r="AK14" s="181"/>
      <c r="AL14" s="179"/>
      <c r="AM14" s="180"/>
      <c r="AN14" s="180"/>
      <c r="AO14" s="181"/>
      <c r="AP14" s="179"/>
      <c r="AQ14" s="180"/>
      <c r="AR14" s="180"/>
      <c r="AS14" s="181"/>
      <c r="AT14" s="167"/>
      <c r="AU14" s="168"/>
      <c r="AV14" s="168"/>
      <c r="AW14" s="16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69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</row>
    <row r="15" spans="1:91" s="27" customFormat="1" ht="15.75" customHeight="1">
      <c r="A15" s="28"/>
      <c r="B15" s="29"/>
      <c r="C15" s="29"/>
      <c r="D15" s="29"/>
      <c r="E15" s="29"/>
      <c r="F15" s="183" t="s">
        <v>108</v>
      </c>
      <c r="G15" s="184"/>
      <c r="H15" s="184"/>
      <c r="I15" s="185"/>
      <c r="J15" s="173" t="s">
        <v>110</v>
      </c>
      <c r="K15" s="174"/>
      <c r="L15" s="174"/>
      <c r="M15" s="175"/>
      <c r="N15" s="173" t="s">
        <v>111</v>
      </c>
      <c r="O15" s="174"/>
      <c r="P15" s="174"/>
      <c r="Q15" s="175"/>
      <c r="R15" s="173" t="s">
        <v>77</v>
      </c>
      <c r="S15" s="174"/>
      <c r="T15" s="174"/>
      <c r="U15" s="175"/>
      <c r="V15" s="173" t="s">
        <v>77</v>
      </c>
      <c r="W15" s="174"/>
      <c r="X15" s="174"/>
      <c r="Y15" s="175"/>
      <c r="Z15" s="173" t="s">
        <v>77</v>
      </c>
      <c r="AA15" s="174"/>
      <c r="AB15" s="174"/>
      <c r="AC15" s="175"/>
      <c r="AD15" s="173" t="s">
        <v>77</v>
      </c>
      <c r="AE15" s="174"/>
      <c r="AF15" s="174"/>
      <c r="AG15" s="175"/>
      <c r="AH15" s="173" t="s">
        <v>78</v>
      </c>
      <c r="AI15" s="174"/>
      <c r="AJ15" s="174"/>
      <c r="AK15" s="175"/>
      <c r="AL15" s="173" t="s">
        <v>78</v>
      </c>
      <c r="AM15" s="174"/>
      <c r="AN15" s="174"/>
      <c r="AO15" s="175"/>
      <c r="AP15" s="173" t="s">
        <v>77</v>
      </c>
      <c r="AQ15" s="174"/>
      <c r="AR15" s="174"/>
      <c r="AS15" s="175"/>
      <c r="AT15" s="170" t="s">
        <v>77</v>
      </c>
      <c r="AU15" s="171"/>
      <c r="AV15" s="171"/>
      <c r="AW15" s="172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69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</row>
    <row r="16" spans="1:91" s="27" customFormat="1">
      <c r="A16" s="28"/>
      <c r="B16" s="29"/>
      <c r="C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69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</row>
    <row r="17" spans="1:91" s="27" customFormat="1">
      <c r="A17" s="28"/>
      <c r="B17" s="29"/>
      <c r="C17" s="29"/>
      <c r="F17" s="71" t="s">
        <v>100</v>
      </c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69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</row>
    <row r="18" spans="1:91" s="27" customFormat="1" ht="18.75" customHeight="1">
      <c r="A18" s="28"/>
      <c r="B18" s="29"/>
      <c r="C18" s="29"/>
      <c r="F18" s="196" t="s">
        <v>75</v>
      </c>
      <c r="G18" s="196"/>
      <c r="H18" s="196"/>
      <c r="I18" s="196"/>
      <c r="J18" s="196" t="s">
        <v>96</v>
      </c>
      <c r="K18" s="196"/>
      <c r="L18" s="196"/>
      <c r="M18" s="196"/>
      <c r="N18" s="196" t="s">
        <v>101</v>
      </c>
      <c r="O18" s="196"/>
      <c r="P18" s="196"/>
      <c r="Q18" s="196"/>
      <c r="R18" s="196"/>
      <c r="S18" s="196"/>
      <c r="T18" s="196"/>
      <c r="U18" s="196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69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</row>
    <row r="19" spans="1:91" s="27" customFormat="1" ht="18.75" customHeight="1">
      <c r="A19" s="28"/>
      <c r="B19" s="29"/>
      <c r="C19" s="29"/>
      <c r="F19" s="192" t="s">
        <v>97</v>
      </c>
      <c r="G19" s="192"/>
      <c r="H19" s="192"/>
      <c r="I19" s="192"/>
      <c r="J19" s="192">
        <v>0</v>
      </c>
      <c r="K19" s="192"/>
      <c r="L19" s="192"/>
      <c r="M19" s="192"/>
      <c r="N19" s="193" t="s">
        <v>103</v>
      </c>
      <c r="O19" s="194"/>
      <c r="P19" s="194"/>
      <c r="Q19" s="194"/>
      <c r="R19" s="194"/>
      <c r="S19" s="194"/>
      <c r="T19" s="194"/>
      <c r="U19" s="19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69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</row>
    <row r="20" spans="1:91" s="27" customFormat="1" ht="18.75" customHeight="1">
      <c r="A20" s="28"/>
      <c r="B20" s="29"/>
      <c r="C20" s="29"/>
      <c r="F20" s="192" t="s">
        <v>98</v>
      </c>
      <c r="G20" s="192"/>
      <c r="H20" s="192"/>
      <c r="I20" s="192"/>
      <c r="J20" s="192">
        <v>1</v>
      </c>
      <c r="K20" s="192"/>
      <c r="L20" s="192"/>
      <c r="M20" s="192"/>
      <c r="N20" s="193" t="s">
        <v>94</v>
      </c>
      <c r="O20" s="194"/>
      <c r="P20" s="194"/>
      <c r="Q20" s="194"/>
      <c r="R20" s="194"/>
      <c r="S20" s="194"/>
      <c r="T20" s="194"/>
      <c r="U20" s="19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69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</row>
    <row r="21" spans="1:91" s="27" customFormat="1" ht="18.75" customHeight="1">
      <c r="A21" s="28"/>
      <c r="B21" s="29"/>
      <c r="C21" s="29"/>
      <c r="F21" s="192" t="s">
        <v>99</v>
      </c>
      <c r="G21" s="192"/>
      <c r="H21" s="192"/>
      <c r="I21" s="192"/>
      <c r="J21" s="192">
        <v>2</v>
      </c>
      <c r="K21" s="192"/>
      <c r="L21" s="192"/>
      <c r="M21" s="192"/>
      <c r="N21" s="193" t="s">
        <v>102</v>
      </c>
      <c r="O21" s="194"/>
      <c r="P21" s="194"/>
      <c r="Q21" s="194"/>
      <c r="R21" s="194"/>
      <c r="S21" s="194"/>
      <c r="T21" s="194"/>
      <c r="U21" s="19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69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</row>
    <row r="22" spans="1:91" s="27" customFormat="1">
      <c r="A22" s="28"/>
      <c r="B22" s="29"/>
      <c r="C22" s="29"/>
      <c r="F22" s="58" t="s">
        <v>207</v>
      </c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69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</row>
    <row r="23" spans="1:91" s="27" customFormat="1" ht="12.75" customHeight="1">
      <c r="A23" s="28"/>
      <c r="B23" s="29"/>
      <c r="C23" s="29"/>
      <c r="D23" s="29"/>
      <c r="E23" s="29"/>
      <c r="F23" s="29"/>
      <c r="G23" s="29"/>
      <c r="H23" s="29"/>
      <c r="I23" s="30"/>
      <c r="J23" s="29"/>
      <c r="K23" s="31"/>
      <c r="L23" s="29"/>
      <c r="M23" s="29"/>
      <c r="N23" s="29"/>
      <c r="O23" s="31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69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</row>
    <row r="24" spans="1:91" s="27" customFormat="1" ht="12.75" customHeight="1">
      <c r="A24" s="28"/>
      <c r="B24" s="29"/>
      <c r="C24" s="29"/>
      <c r="D24" s="29"/>
      <c r="E24" s="71" t="s">
        <v>127</v>
      </c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69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</row>
    <row r="25" spans="1:91" s="27" customFormat="1" ht="12.75" customHeight="1">
      <c r="A25" s="28"/>
      <c r="B25" s="29"/>
      <c r="C25" s="29"/>
      <c r="D25" s="29"/>
      <c r="E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69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</row>
    <row r="26" spans="1:91" s="71" customFormat="1" ht="13.5" customHeight="1">
      <c r="A26" s="34"/>
      <c r="B26" s="27"/>
      <c r="C26" s="27"/>
      <c r="F26" s="71" t="s">
        <v>121</v>
      </c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69"/>
    </row>
    <row r="27" spans="1:91" s="71" customFormat="1" ht="13.5" customHeight="1">
      <c r="A27" s="34"/>
      <c r="B27" s="27"/>
      <c r="C27" s="27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69"/>
    </row>
    <row r="28" spans="1:91" s="71" customFormat="1" ht="15.75" customHeight="1">
      <c r="A28" s="34"/>
      <c r="B28" s="27"/>
      <c r="C28" s="27"/>
      <c r="F28" s="83" t="s">
        <v>118</v>
      </c>
      <c r="G28" s="84"/>
      <c r="H28" s="84"/>
      <c r="I28" s="84"/>
      <c r="J28" s="84"/>
      <c r="K28" s="79" t="s">
        <v>122</v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2"/>
      <c r="BR28" s="29"/>
      <c r="BS28" s="29"/>
      <c r="BT28" s="29"/>
      <c r="BU28" s="29"/>
      <c r="BV28" s="29"/>
      <c r="BW28" s="29"/>
      <c r="BX28" s="29"/>
      <c r="BY28" s="69"/>
    </row>
    <row r="29" spans="1:91" s="71" customFormat="1" ht="15.75" customHeight="1">
      <c r="A29" s="34"/>
      <c r="B29" s="27"/>
      <c r="C29" s="27"/>
      <c r="F29" s="83" t="s">
        <v>119</v>
      </c>
      <c r="G29" s="84"/>
      <c r="H29" s="84"/>
      <c r="I29" s="84"/>
      <c r="J29" s="84"/>
      <c r="K29" s="79" t="s">
        <v>123</v>
      </c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1"/>
      <c r="AM29" s="81"/>
      <c r="AN29" s="81"/>
      <c r="AO29" s="81"/>
      <c r="AP29" s="81"/>
      <c r="AQ29" s="82"/>
      <c r="BR29" s="29"/>
      <c r="BS29" s="29"/>
      <c r="BT29" s="29"/>
      <c r="BU29" s="29"/>
      <c r="BV29" s="29"/>
      <c r="BW29" s="29"/>
      <c r="BX29" s="29"/>
      <c r="BY29" s="69"/>
    </row>
    <row r="30" spans="1:91" s="71" customFormat="1" ht="13.5" customHeight="1">
      <c r="A30" s="34"/>
      <c r="B30" s="27"/>
      <c r="C30" s="27"/>
      <c r="BR30" s="29"/>
      <c r="BS30" s="29"/>
      <c r="BT30" s="29"/>
      <c r="BU30" s="29"/>
      <c r="BV30" s="29"/>
      <c r="BW30" s="29"/>
      <c r="BX30" s="29"/>
      <c r="BY30" s="69"/>
    </row>
    <row r="31" spans="1:91" s="27" customFormat="1" ht="12.75" customHeight="1">
      <c r="A31" s="28"/>
      <c r="B31" s="29"/>
      <c r="C31" s="29"/>
      <c r="D31" s="29"/>
      <c r="E31" s="56"/>
      <c r="F31" s="71" t="s">
        <v>124</v>
      </c>
      <c r="G31" s="58"/>
      <c r="H31" s="56"/>
      <c r="I31" s="97"/>
      <c r="J31" s="29"/>
      <c r="K31" s="31"/>
      <c r="L31" s="29"/>
      <c r="M31" s="29"/>
      <c r="N31" s="29"/>
      <c r="O31" s="31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55"/>
      <c r="BA31" s="29"/>
      <c r="BB31" s="56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69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</row>
    <row r="32" spans="1:91" s="27" customFormat="1" ht="12.75" customHeight="1">
      <c r="A32" s="28"/>
      <c r="B32" s="29"/>
      <c r="C32" s="29"/>
      <c r="D32" s="29"/>
      <c r="E32" s="56"/>
      <c r="F32" s="56" t="s">
        <v>125</v>
      </c>
      <c r="G32" s="58"/>
      <c r="H32" s="56"/>
      <c r="I32" s="97"/>
      <c r="J32" s="29"/>
      <c r="K32" s="31"/>
      <c r="L32" s="29"/>
      <c r="M32" s="29"/>
      <c r="N32" s="29"/>
      <c r="O32" s="31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55"/>
      <c r="BA32" s="29"/>
      <c r="BB32" s="56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69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</row>
    <row r="33" spans="1:91">
      <c r="E33" s="98"/>
      <c r="F33" s="71" t="s">
        <v>128</v>
      </c>
      <c r="G33" s="98"/>
      <c r="H33" s="98"/>
      <c r="I33" s="98"/>
      <c r="BR33" s="29"/>
      <c r="BS33" s="29"/>
      <c r="BT33" s="29"/>
      <c r="BU33" s="29"/>
      <c r="BV33" s="29"/>
      <c r="BW33" s="29"/>
      <c r="BX33" s="29"/>
      <c r="BY33" s="69"/>
    </row>
    <row r="34" spans="1:91" s="27" customFormat="1" ht="12.75" customHeight="1">
      <c r="A34" s="28"/>
      <c r="B34" s="29"/>
      <c r="C34" s="29"/>
      <c r="D34" s="29"/>
      <c r="E34" s="56"/>
      <c r="F34" s="56" t="s">
        <v>126</v>
      </c>
      <c r="G34" s="58"/>
      <c r="H34" s="56"/>
      <c r="I34" s="97"/>
      <c r="J34" s="29"/>
      <c r="K34" s="31"/>
      <c r="L34" s="29"/>
      <c r="M34" s="29"/>
      <c r="N34" s="29"/>
      <c r="O34" s="31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55"/>
      <c r="BA34" s="29"/>
      <c r="BB34" s="56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69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</row>
    <row r="35" spans="1:91" s="27" customFormat="1">
      <c r="A35" s="28"/>
      <c r="B35" s="29"/>
      <c r="C35" s="29"/>
      <c r="D35" s="71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57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69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</row>
    <row r="36" spans="1:91" s="27" customFormat="1" ht="12.75" customHeight="1">
      <c r="A36" s="28"/>
      <c r="B36" s="29"/>
      <c r="C36" s="29"/>
      <c r="E36" s="27" t="s">
        <v>130</v>
      </c>
      <c r="F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69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</row>
    <row r="37" spans="1:91" s="27" customFormat="1" ht="12.75" customHeight="1">
      <c r="A37" s="28"/>
      <c r="B37" s="29"/>
      <c r="C37" s="29"/>
      <c r="F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69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</row>
    <row r="38" spans="1:91" s="27" customFormat="1">
      <c r="A38" s="28"/>
      <c r="B38" s="29"/>
      <c r="C38" s="29"/>
      <c r="D38" s="29"/>
      <c r="E38" s="29"/>
      <c r="AQ38" s="29"/>
      <c r="AR38" s="29"/>
      <c r="AS38" s="29"/>
      <c r="AT38" s="29"/>
      <c r="AU38" s="29"/>
      <c r="AV38" s="29"/>
      <c r="AW38" s="29"/>
      <c r="AX38" s="29"/>
      <c r="AY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69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</row>
    <row r="39" spans="1:91" s="27" customFormat="1">
      <c r="A39" s="28"/>
      <c r="B39" s="29"/>
      <c r="C39" s="29"/>
      <c r="D39" s="29"/>
      <c r="E39" s="29"/>
      <c r="AQ39" s="29"/>
      <c r="AR39" s="29"/>
      <c r="AS39" s="29"/>
      <c r="AT39" s="29"/>
      <c r="AU39" s="29"/>
      <c r="AV39" s="29"/>
      <c r="AW39" s="29"/>
      <c r="AX39" s="29"/>
      <c r="AY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69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</row>
    <row r="40" spans="1:91" s="27" customFormat="1">
      <c r="A40" s="28"/>
      <c r="B40" s="29"/>
      <c r="C40" s="29"/>
      <c r="D40" s="29"/>
      <c r="E40" s="29"/>
      <c r="AQ40" s="29"/>
      <c r="AR40" s="29"/>
      <c r="AS40" s="29"/>
      <c r="AT40" s="29"/>
      <c r="AU40" s="29"/>
      <c r="AV40" s="29"/>
      <c r="AW40" s="29"/>
      <c r="AX40" s="29"/>
      <c r="AY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69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</row>
    <row r="41" spans="1:91" s="27" customFormat="1">
      <c r="A41" s="28"/>
      <c r="B41" s="29"/>
      <c r="C41" s="29"/>
      <c r="D41" s="29"/>
      <c r="E41" s="29"/>
      <c r="AQ41" s="29"/>
      <c r="AR41" s="29"/>
      <c r="AS41" s="29"/>
      <c r="AT41" s="29"/>
      <c r="AU41" s="29"/>
      <c r="AV41" s="29"/>
      <c r="AW41" s="29"/>
      <c r="AX41" s="29"/>
      <c r="AY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69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</row>
    <row r="42" spans="1:91" s="27" customFormat="1">
      <c r="A42" s="28"/>
      <c r="B42" s="29"/>
      <c r="C42" s="29"/>
      <c r="D42" s="29"/>
      <c r="E42" s="29"/>
      <c r="AQ42" s="29"/>
      <c r="AR42" s="29"/>
      <c r="AS42" s="29"/>
      <c r="AT42" s="29"/>
      <c r="AU42" s="29"/>
      <c r="AV42" s="29"/>
      <c r="AW42" s="29"/>
      <c r="AX42" s="29"/>
      <c r="AY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69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</row>
    <row r="43" spans="1:91" s="27" customFormat="1">
      <c r="A43" s="28"/>
      <c r="B43" s="29"/>
      <c r="C43" s="29"/>
      <c r="D43" s="29"/>
      <c r="E43" s="29"/>
      <c r="AQ43" s="29"/>
      <c r="AR43" s="29"/>
      <c r="AS43" s="29"/>
      <c r="AT43" s="29"/>
      <c r="AU43" s="29"/>
      <c r="AV43" s="29"/>
      <c r="AW43" s="29"/>
      <c r="AX43" s="29"/>
      <c r="AY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69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</row>
    <row r="44" spans="1:91" s="27" customFormat="1">
      <c r="A44" s="28"/>
      <c r="B44" s="29"/>
      <c r="C44" s="29"/>
      <c r="D44" s="29"/>
      <c r="E44" s="29"/>
      <c r="AQ44" s="29"/>
      <c r="AR44" s="29"/>
      <c r="AS44" s="29"/>
      <c r="AT44" s="29"/>
      <c r="AU44" s="29"/>
      <c r="AV44" s="29"/>
      <c r="AW44" s="29"/>
      <c r="AX44" s="29"/>
      <c r="AY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69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</row>
    <row r="45" spans="1:91" s="27" customFormat="1">
      <c r="A45" s="28"/>
      <c r="B45" s="29"/>
      <c r="C45" s="29"/>
      <c r="D45" s="29"/>
      <c r="E45" s="29"/>
      <c r="AQ45" s="29"/>
      <c r="AR45" s="29"/>
      <c r="AS45" s="29"/>
      <c r="AT45" s="29"/>
      <c r="AU45" s="29"/>
      <c r="AV45" s="29"/>
      <c r="AW45" s="29"/>
      <c r="AX45" s="29"/>
      <c r="AY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69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</row>
    <row r="46" spans="1:91" s="27" customFormat="1">
      <c r="A46" s="28"/>
      <c r="B46" s="29"/>
      <c r="C46" s="29"/>
      <c r="D46" s="29"/>
      <c r="E46" s="29"/>
      <c r="AQ46" s="29"/>
      <c r="AR46" s="29"/>
      <c r="AS46" s="29"/>
      <c r="AT46" s="29"/>
      <c r="AU46" s="29"/>
      <c r="AV46" s="29"/>
      <c r="AW46" s="29"/>
      <c r="AX46" s="29"/>
      <c r="AY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69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</row>
    <row r="47" spans="1:91" s="27" customFormat="1">
      <c r="A47" s="28"/>
      <c r="B47" s="29"/>
      <c r="C47" s="29"/>
      <c r="D47" s="29"/>
      <c r="E47" s="29"/>
      <c r="AQ47" s="29"/>
      <c r="AR47" s="29"/>
      <c r="AS47" s="29"/>
      <c r="AT47" s="29"/>
      <c r="AU47" s="29"/>
      <c r="AV47" s="29"/>
      <c r="AW47" s="29"/>
      <c r="AX47" s="29"/>
      <c r="AY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69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</row>
    <row r="48" spans="1:91" s="27" customFormat="1">
      <c r="A48" s="28"/>
      <c r="B48" s="29"/>
      <c r="C48" s="29"/>
      <c r="D48" s="29"/>
      <c r="E48" s="29"/>
      <c r="AQ48" s="29"/>
      <c r="AR48" s="29"/>
      <c r="AS48" s="29"/>
      <c r="AT48" s="29"/>
      <c r="AU48" s="29"/>
      <c r="AV48" s="29"/>
      <c r="AW48" s="29"/>
      <c r="AX48" s="29"/>
      <c r="AY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69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</row>
    <row r="49" spans="1:91" s="27" customFormat="1">
      <c r="A49" s="28"/>
      <c r="B49" s="29"/>
      <c r="C49" s="29"/>
      <c r="D49" s="29"/>
      <c r="E49" s="29"/>
      <c r="AQ49" s="29"/>
      <c r="AR49" s="29"/>
      <c r="AS49" s="29"/>
      <c r="AT49" s="29"/>
      <c r="AU49" s="29"/>
      <c r="AV49" s="29"/>
      <c r="AW49" s="29"/>
      <c r="AX49" s="29"/>
      <c r="AY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69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</row>
    <row r="50" spans="1:91" s="27" customFormat="1">
      <c r="A50" s="28"/>
      <c r="B50" s="29"/>
      <c r="C50" s="29"/>
      <c r="D50" s="29"/>
      <c r="E50" s="29"/>
      <c r="AQ50" s="29"/>
      <c r="AR50" s="29"/>
      <c r="AS50" s="29"/>
      <c r="AT50" s="29"/>
      <c r="AU50" s="29"/>
      <c r="AV50" s="29"/>
      <c r="AW50" s="29"/>
      <c r="AX50" s="29"/>
      <c r="AY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69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</row>
    <row r="51" spans="1:91" s="27" customFormat="1">
      <c r="A51" s="28"/>
      <c r="B51" s="29"/>
      <c r="C51" s="29"/>
      <c r="D51" s="29"/>
      <c r="E51" s="29"/>
      <c r="AQ51" s="29"/>
      <c r="AR51" s="29"/>
      <c r="AS51" s="29"/>
      <c r="AT51" s="29"/>
      <c r="AU51" s="29"/>
      <c r="AV51" s="29"/>
      <c r="AW51" s="29"/>
      <c r="AX51" s="29"/>
      <c r="AY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69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</row>
    <row r="52" spans="1:91" s="27" customFormat="1">
      <c r="A52" s="28"/>
      <c r="B52" s="29"/>
      <c r="C52" s="29"/>
      <c r="D52" s="29"/>
      <c r="E52" s="29"/>
      <c r="AQ52" s="29"/>
      <c r="AR52" s="29"/>
      <c r="AS52" s="29"/>
      <c r="AT52" s="29"/>
      <c r="AU52" s="29"/>
      <c r="AV52" s="29"/>
      <c r="AW52" s="29"/>
      <c r="AX52" s="29"/>
      <c r="AY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69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</row>
    <row r="53" spans="1:91" s="27" customFormat="1">
      <c r="A53" s="28"/>
      <c r="B53" s="29"/>
      <c r="C53" s="29"/>
      <c r="D53" s="29"/>
      <c r="E53" s="29"/>
      <c r="AQ53" s="29"/>
      <c r="AR53" s="29"/>
      <c r="AS53" s="29"/>
      <c r="AT53" s="29"/>
      <c r="AU53" s="29"/>
      <c r="AV53" s="29"/>
      <c r="AW53" s="29"/>
      <c r="AX53" s="29"/>
      <c r="AY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69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</row>
    <row r="54" spans="1:91" s="27" customFormat="1">
      <c r="A54" s="28"/>
      <c r="B54" s="29"/>
      <c r="C54" s="29"/>
      <c r="D54" s="29"/>
      <c r="E54" s="29"/>
      <c r="AQ54" s="29"/>
      <c r="AR54" s="29"/>
      <c r="AS54" s="29"/>
      <c r="AT54" s="29"/>
      <c r="AU54" s="29"/>
      <c r="AV54" s="29"/>
      <c r="AW54" s="29"/>
      <c r="AX54" s="29"/>
      <c r="AY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69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</row>
    <row r="55" spans="1:91" s="27" customFormat="1">
      <c r="A55" s="28"/>
      <c r="B55" s="29"/>
      <c r="C55" s="29"/>
      <c r="D55" s="29"/>
      <c r="E55" s="29"/>
      <c r="AQ55" s="29"/>
      <c r="AR55" s="29"/>
      <c r="AS55" s="29"/>
      <c r="AT55" s="29"/>
      <c r="AU55" s="29"/>
      <c r="AV55" s="29"/>
      <c r="AW55" s="29"/>
      <c r="AX55" s="29"/>
      <c r="AY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69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</row>
    <row r="56" spans="1:91" s="27" customFormat="1">
      <c r="A56" s="28"/>
      <c r="B56" s="29"/>
      <c r="C56" s="29"/>
      <c r="D56" s="29"/>
      <c r="E56" s="29"/>
      <c r="AQ56" s="29"/>
      <c r="AR56" s="29"/>
      <c r="AS56" s="29"/>
      <c r="AT56" s="29"/>
      <c r="AU56" s="29"/>
      <c r="AV56" s="29"/>
      <c r="AW56" s="29"/>
      <c r="AX56" s="29"/>
      <c r="AY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69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</row>
    <row r="57" spans="1:91" s="27" customFormat="1">
      <c r="A57" s="28"/>
      <c r="B57" s="29"/>
      <c r="C57" s="29"/>
      <c r="D57" s="29"/>
      <c r="E57" s="29"/>
      <c r="AQ57" s="29"/>
      <c r="AR57" s="29"/>
      <c r="AS57" s="29"/>
      <c r="AT57" s="29"/>
      <c r="AU57" s="29"/>
      <c r="AV57" s="29"/>
      <c r="AW57" s="29"/>
      <c r="AX57" s="29"/>
      <c r="AY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69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</row>
    <row r="58" spans="1:91" s="27" customFormat="1">
      <c r="A58" s="28"/>
      <c r="B58" s="29"/>
      <c r="C58" s="29"/>
      <c r="D58" s="29"/>
      <c r="E58" s="29"/>
      <c r="AQ58" s="29"/>
      <c r="AR58" s="29"/>
      <c r="AS58" s="29"/>
      <c r="AT58" s="29"/>
      <c r="AU58" s="29"/>
      <c r="AV58" s="29"/>
      <c r="AW58" s="29"/>
      <c r="AX58" s="29"/>
      <c r="AY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69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</row>
    <row r="59" spans="1:91" s="27" customFormat="1" ht="12.75" customHeight="1">
      <c r="A59" s="28"/>
      <c r="B59" s="29"/>
      <c r="C59" s="29"/>
      <c r="D59" s="71" t="s">
        <v>120</v>
      </c>
      <c r="E59" s="29"/>
      <c r="F59" s="29"/>
      <c r="G59" s="29"/>
      <c r="H59" s="29"/>
      <c r="I59" s="30"/>
      <c r="J59" s="29"/>
      <c r="K59" s="31"/>
      <c r="L59" s="29"/>
      <c r="M59" s="29"/>
      <c r="N59" s="29"/>
      <c r="O59" s="31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55"/>
      <c r="BA59" s="29"/>
      <c r="BB59" s="56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69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</row>
    <row r="60" spans="1:91" s="71" customFormat="1" ht="13.5" customHeight="1">
      <c r="A60" s="34"/>
      <c r="B60" s="27"/>
      <c r="C60" s="27"/>
      <c r="BY60" s="69"/>
    </row>
    <row r="61" spans="1:91" s="71" customFormat="1" ht="13.5" customHeight="1">
      <c r="A61" s="34"/>
      <c r="B61" s="27"/>
      <c r="C61" s="27"/>
      <c r="E61" s="71" t="s">
        <v>129</v>
      </c>
      <c r="BY61" s="69"/>
    </row>
    <row r="62" spans="1:91" s="71" customFormat="1" ht="13.5" customHeight="1">
      <c r="A62" s="34"/>
      <c r="B62" s="27"/>
      <c r="C62" s="27"/>
      <c r="BY62" s="69"/>
    </row>
    <row r="63" spans="1:91" s="27" customFormat="1">
      <c r="A63" s="28"/>
      <c r="B63" s="29"/>
      <c r="C63" s="29"/>
      <c r="D63" s="71" t="s">
        <v>117</v>
      </c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57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69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</row>
    <row r="64" spans="1:91" s="27" customFormat="1">
      <c r="A64" s="28"/>
      <c r="B64" s="29"/>
      <c r="C64" s="29"/>
      <c r="D64" s="71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57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69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</row>
    <row r="65" spans="1:91" s="27" customFormat="1">
      <c r="A65" s="28"/>
      <c r="B65" s="29"/>
      <c r="C65" s="29"/>
      <c r="D65" s="29"/>
      <c r="E65" s="71" t="s">
        <v>112</v>
      </c>
      <c r="AQ65" s="29"/>
      <c r="AR65" s="29"/>
      <c r="AS65" s="29"/>
      <c r="AT65" s="29"/>
      <c r="AU65" s="29"/>
      <c r="AV65" s="29"/>
      <c r="AW65" s="29"/>
      <c r="AX65" s="29"/>
      <c r="AY65" s="29"/>
      <c r="AZ65" s="57"/>
      <c r="BB65" s="56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69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</row>
    <row r="66" spans="1:91" s="27" customFormat="1">
      <c r="A66" s="28"/>
      <c r="B66" s="29"/>
      <c r="C66" s="29"/>
      <c r="AQ66" s="29"/>
      <c r="AR66" s="29"/>
      <c r="AS66" s="29"/>
      <c r="AT66" s="29"/>
      <c r="AU66" s="29"/>
      <c r="AV66" s="29"/>
      <c r="AW66" s="29"/>
      <c r="AX66" s="29"/>
      <c r="AY66" s="29"/>
      <c r="AZ66" s="31"/>
      <c r="BA66" s="29"/>
      <c r="BB66" s="56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69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</row>
    <row r="67" spans="1:91" s="27" customFormat="1">
      <c r="A67" s="28"/>
      <c r="B67" s="29"/>
      <c r="C67" s="29"/>
      <c r="D67" s="58" t="s">
        <v>166</v>
      </c>
      <c r="E67" s="58"/>
      <c r="AQ67" s="29"/>
      <c r="AR67" s="29"/>
      <c r="AS67" s="29"/>
      <c r="AT67" s="29"/>
      <c r="AU67" s="29"/>
      <c r="AV67" s="29"/>
      <c r="AW67" s="29"/>
      <c r="AX67" s="29"/>
      <c r="AY67" s="29"/>
      <c r="AZ67" s="31"/>
      <c r="BA67" s="29"/>
      <c r="BB67" s="56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69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</row>
    <row r="68" spans="1:91" s="27" customFormat="1">
      <c r="A68" s="28"/>
      <c r="B68" s="29"/>
      <c r="C68" s="29"/>
      <c r="D68" s="58"/>
      <c r="E68" s="58" t="s">
        <v>189</v>
      </c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69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</row>
    <row r="69" spans="1:91">
      <c r="A69" s="44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6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</row>
    <row r="70" spans="1:91"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</row>
  </sheetData>
  <mergeCells count="50">
    <mergeCell ref="F19:I19"/>
    <mergeCell ref="F20:I20"/>
    <mergeCell ref="N21:U21"/>
    <mergeCell ref="N18:U18"/>
    <mergeCell ref="N19:U19"/>
    <mergeCell ref="N20:U20"/>
    <mergeCell ref="F21:I21"/>
    <mergeCell ref="J18:M18"/>
    <mergeCell ref="J19:M19"/>
    <mergeCell ref="J20:M20"/>
    <mergeCell ref="J21:M21"/>
    <mergeCell ref="F18:I18"/>
    <mergeCell ref="A1:K2"/>
    <mergeCell ref="Z15:AC15"/>
    <mergeCell ref="A4:M4"/>
    <mergeCell ref="AP13:AS14"/>
    <mergeCell ref="F15:I15"/>
    <mergeCell ref="J15:M15"/>
    <mergeCell ref="N15:Q15"/>
    <mergeCell ref="F13:I14"/>
    <mergeCell ref="R13:U14"/>
    <mergeCell ref="J13:M14"/>
    <mergeCell ref="N13:Q14"/>
    <mergeCell ref="R15:U15"/>
    <mergeCell ref="V15:Y15"/>
    <mergeCell ref="AD15:AG15"/>
    <mergeCell ref="AH15:AK15"/>
    <mergeCell ref="AL15:AO15"/>
    <mergeCell ref="AY1:BD1"/>
    <mergeCell ref="BE1:BJ1"/>
    <mergeCell ref="L2:T2"/>
    <mergeCell ref="U2:AC2"/>
    <mergeCell ref="AD2:AL2"/>
    <mergeCell ref="AM2:AR2"/>
    <mergeCell ref="AS2:AX2"/>
    <mergeCell ref="AY2:BD2"/>
    <mergeCell ref="BE2:BJ2"/>
    <mergeCell ref="AS1:AX1"/>
    <mergeCell ref="L1:T1"/>
    <mergeCell ref="U1:AC1"/>
    <mergeCell ref="AD1:AL1"/>
    <mergeCell ref="AM1:AR1"/>
    <mergeCell ref="AT13:AW14"/>
    <mergeCell ref="AT15:AW15"/>
    <mergeCell ref="AP15:AS15"/>
    <mergeCell ref="V13:Y14"/>
    <mergeCell ref="AD13:AG14"/>
    <mergeCell ref="AH13:AK14"/>
    <mergeCell ref="AL13:AO14"/>
    <mergeCell ref="Z13:AC14"/>
  </mergeCells>
  <phoneticPr fontId="38"/>
  <pageMargins left="0.39" right="0.4" top="0.98425196850393704" bottom="0.41" header="0.51181102362204722" footer="0.17"/>
  <pageSetup paperSize="8" scale="69" orientation="portrait" horizontalDpi="300" verticalDpi="300" r:id="rId1"/>
  <headerFooter alignWithMargins="0"/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V42"/>
  <sheetViews>
    <sheetView showGridLines="0" tabSelected="1" view="pageBreakPreview" topLeftCell="A10" zoomScale="85" zoomScaleNormal="70" zoomScaleSheetLayoutView="85" workbookViewId="0">
      <selection activeCell="BC17" sqref="BC17"/>
    </sheetView>
  </sheetViews>
  <sheetFormatPr defaultColWidth="2.625" defaultRowHeight="15.75"/>
  <cols>
    <col min="1" max="10" width="2.625" style="77" customWidth="1"/>
    <col min="11" max="16" width="3.25" style="77" customWidth="1"/>
    <col min="17" max="30" width="2.625" style="77" customWidth="1"/>
    <col min="31" max="54" width="2.625" style="74" customWidth="1"/>
    <col min="55" max="16384" width="2.625" style="74"/>
  </cols>
  <sheetData>
    <row r="1" spans="1:152" s="12" customFormat="1" ht="13.5" customHeight="1">
      <c r="A1" s="151" t="s">
        <v>21</v>
      </c>
      <c r="B1" s="152"/>
      <c r="C1" s="152"/>
      <c r="D1" s="152"/>
      <c r="E1" s="152"/>
      <c r="F1" s="152"/>
      <c r="G1" s="152"/>
      <c r="H1" s="152"/>
      <c r="I1" s="152"/>
      <c r="J1" s="152"/>
      <c r="K1" s="153"/>
      <c r="L1" s="111" t="s">
        <v>4</v>
      </c>
      <c r="M1" s="112"/>
      <c r="N1" s="112"/>
      <c r="O1" s="112"/>
      <c r="P1" s="112"/>
      <c r="Q1" s="112"/>
      <c r="R1" s="112"/>
      <c r="S1" s="112"/>
      <c r="T1" s="113"/>
      <c r="U1" s="111" t="s">
        <v>48</v>
      </c>
      <c r="V1" s="112"/>
      <c r="W1" s="112"/>
      <c r="X1" s="112"/>
      <c r="Y1" s="112"/>
      <c r="Z1" s="112"/>
      <c r="AA1" s="112"/>
      <c r="AB1" s="112"/>
      <c r="AC1" s="113"/>
      <c r="AD1" s="111" t="s">
        <v>49</v>
      </c>
      <c r="AE1" s="112"/>
      <c r="AF1" s="112"/>
      <c r="AG1" s="112"/>
      <c r="AH1" s="112"/>
      <c r="AI1" s="112"/>
      <c r="AJ1" s="112"/>
      <c r="AK1" s="112"/>
      <c r="AL1" s="113"/>
      <c r="AM1" s="111" t="s">
        <v>0</v>
      </c>
      <c r="AN1" s="112"/>
      <c r="AO1" s="112"/>
      <c r="AP1" s="112"/>
      <c r="AQ1" s="112"/>
      <c r="AR1" s="113"/>
      <c r="AS1" s="111" t="s">
        <v>1</v>
      </c>
      <c r="AT1" s="112"/>
      <c r="AU1" s="112"/>
      <c r="AV1" s="112"/>
      <c r="AW1" s="112"/>
      <c r="AX1" s="113"/>
      <c r="AY1" s="111" t="s">
        <v>2</v>
      </c>
      <c r="AZ1" s="112"/>
      <c r="BA1" s="112"/>
      <c r="BB1" s="112"/>
      <c r="BC1" s="112"/>
      <c r="BD1" s="113"/>
      <c r="BE1" s="111" t="s">
        <v>3</v>
      </c>
      <c r="BF1" s="112"/>
      <c r="BG1" s="112"/>
      <c r="BH1" s="112"/>
      <c r="BI1" s="112"/>
      <c r="BJ1" s="113"/>
    </row>
    <row r="2" spans="1:152" s="12" customFormat="1" ht="25.5" customHeight="1">
      <c r="A2" s="154"/>
      <c r="B2" s="155"/>
      <c r="C2" s="155"/>
      <c r="D2" s="155"/>
      <c r="E2" s="155"/>
      <c r="F2" s="155"/>
      <c r="G2" s="155"/>
      <c r="H2" s="155"/>
      <c r="I2" s="155"/>
      <c r="J2" s="155"/>
      <c r="K2" s="156"/>
      <c r="L2" s="145" t="str">
        <f>表紙!D4</f>
        <v>4S　デジタルトランスフォーメーション・プラットフォーム構築</v>
      </c>
      <c r="M2" s="146"/>
      <c r="N2" s="146"/>
      <c r="O2" s="146"/>
      <c r="P2" s="146"/>
      <c r="Q2" s="146"/>
      <c r="R2" s="146"/>
      <c r="S2" s="146"/>
      <c r="T2" s="147"/>
      <c r="U2" s="148" t="s">
        <v>70</v>
      </c>
      <c r="V2" s="149"/>
      <c r="W2" s="149"/>
      <c r="X2" s="149"/>
      <c r="Y2" s="149"/>
      <c r="Z2" s="149"/>
      <c r="AA2" s="149"/>
      <c r="AB2" s="149"/>
      <c r="AC2" s="150"/>
      <c r="AD2" s="145" t="s">
        <v>72</v>
      </c>
      <c r="AE2" s="149"/>
      <c r="AF2" s="149"/>
      <c r="AG2" s="149"/>
      <c r="AH2" s="149"/>
      <c r="AI2" s="149"/>
      <c r="AJ2" s="149"/>
      <c r="AK2" s="149"/>
      <c r="AL2" s="150"/>
      <c r="AM2" s="157" t="str">
        <f>改版履歴!C4</f>
        <v>JSOL後藤</v>
      </c>
      <c r="AN2" s="158"/>
      <c r="AO2" s="158"/>
      <c r="AP2" s="158"/>
      <c r="AQ2" s="158"/>
      <c r="AR2" s="159"/>
      <c r="AS2" s="160">
        <v>43234</v>
      </c>
      <c r="AT2" s="149"/>
      <c r="AU2" s="149"/>
      <c r="AV2" s="149"/>
      <c r="AW2" s="149"/>
      <c r="AX2" s="150"/>
      <c r="AY2" s="161" t="str">
        <f>INDEX(改版履歴!C4:C32,COUNTA(改版履歴!C4:C32))</f>
        <v>JSOL王</v>
      </c>
      <c r="AZ2" s="158"/>
      <c r="BA2" s="158"/>
      <c r="BB2" s="158"/>
      <c r="BC2" s="158"/>
      <c r="BD2" s="159"/>
      <c r="BE2" s="160">
        <f>INDEX(改版履歴!D4:D32,COUNTA(改版履歴!D4:D32))</f>
        <v>44294</v>
      </c>
      <c r="BF2" s="162"/>
      <c r="BG2" s="162"/>
      <c r="BH2" s="162"/>
      <c r="BI2" s="162"/>
      <c r="BJ2" s="163"/>
    </row>
    <row r="3" spans="1:152" ht="13.5" customHeight="1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</row>
    <row r="4" spans="1:152" ht="13.5" customHeight="1">
      <c r="A4" s="200" t="s">
        <v>87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</row>
    <row r="5" spans="1:152" ht="13.5" customHeight="1">
      <c r="A5" s="201" t="s">
        <v>113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</row>
    <row r="6" spans="1:152" ht="13.5" customHeight="1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</row>
    <row r="7" spans="1:152" ht="13.5" customHeight="1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</row>
    <row r="8" spans="1:152" ht="13.5" customHeight="1">
      <c r="A8" s="202" t="s">
        <v>88</v>
      </c>
      <c r="B8" s="203"/>
      <c r="C8" s="203"/>
      <c r="D8" s="203"/>
      <c r="E8" s="203"/>
      <c r="F8" s="203"/>
      <c r="G8" s="203"/>
      <c r="H8" s="203"/>
      <c r="I8" s="204"/>
      <c r="J8" s="201" t="s">
        <v>149</v>
      </c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</row>
    <row r="9" spans="1:152" ht="13.5" customHeight="1">
      <c r="A9" s="205" t="s">
        <v>89</v>
      </c>
      <c r="B9" s="206"/>
      <c r="C9" s="206"/>
      <c r="D9" s="206"/>
      <c r="E9" s="206"/>
      <c r="F9" s="206"/>
      <c r="G9" s="206"/>
      <c r="H9" s="206"/>
      <c r="I9" s="207"/>
      <c r="J9" s="211" t="s">
        <v>107</v>
      </c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</row>
    <row r="10" spans="1:152" ht="13.5" customHeight="1">
      <c r="A10" s="208"/>
      <c r="B10" s="209"/>
      <c r="C10" s="209"/>
      <c r="D10" s="209"/>
      <c r="E10" s="209"/>
      <c r="F10" s="209"/>
      <c r="G10" s="209"/>
      <c r="H10" s="209"/>
      <c r="I10" s="210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</row>
    <row r="11" spans="1:152" ht="13.5" customHeight="1">
      <c r="A11" s="75" t="s">
        <v>90</v>
      </c>
      <c r="B11" s="212" t="s">
        <v>91</v>
      </c>
      <c r="C11" s="212"/>
      <c r="D11" s="212"/>
      <c r="E11" s="212"/>
      <c r="F11" s="212"/>
      <c r="G11" s="212"/>
      <c r="H11" s="212"/>
      <c r="I11" s="212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</row>
    <row r="12" spans="1:152" ht="18.75">
      <c r="A12" s="76">
        <v>1</v>
      </c>
      <c r="B12" s="197" t="s">
        <v>93</v>
      </c>
      <c r="C12" s="198"/>
      <c r="D12" s="198"/>
      <c r="E12" s="198"/>
      <c r="F12" s="198"/>
      <c r="G12" s="198"/>
      <c r="H12" s="198"/>
      <c r="I12" s="199"/>
      <c r="J12" s="213" t="s">
        <v>104</v>
      </c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</row>
    <row r="13" spans="1:152" ht="73.5" customHeight="1">
      <c r="A13" s="76">
        <v>2</v>
      </c>
      <c r="B13" s="197" t="s">
        <v>151</v>
      </c>
      <c r="C13" s="198"/>
      <c r="D13" s="198"/>
      <c r="E13" s="198"/>
      <c r="F13" s="198"/>
      <c r="G13" s="198"/>
      <c r="H13" s="198"/>
      <c r="I13" s="199"/>
      <c r="J13" s="213" t="s">
        <v>150</v>
      </c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</row>
    <row r="14" spans="1:152" s="77" customFormat="1" ht="18.75">
      <c r="A14" s="76">
        <v>3</v>
      </c>
      <c r="B14" s="197" t="s">
        <v>140</v>
      </c>
      <c r="C14" s="198"/>
      <c r="D14" s="198"/>
      <c r="E14" s="198"/>
      <c r="F14" s="198"/>
      <c r="G14" s="198"/>
      <c r="H14" s="198"/>
      <c r="I14" s="199"/>
      <c r="J14" s="201" t="s">
        <v>105</v>
      </c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4"/>
      <c r="DP14" s="74"/>
      <c r="DQ14" s="74"/>
      <c r="DR14" s="74"/>
      <c r="DS14" s="74"/>
      <c r="DT14" s="74"/>
      <c r="DU14" s="74"/>
      <c r="DV14" s="74"/>
      <c r="DW14" s="74"/>
      <c r="DX14" s="74"/>
      <c r="DY14" s="74"/>
      <c r="DZ14" s="74"/>
      <c r="EA14" s="74"/>
      <c r="EB14" s="74"/>
      <c r="EC14" s="74"/>
      <c r="ED14" s="74"/>
      <c r="EE14" s="74"/>
      <c r="EF14" s="74"/>
      <c r="EG14" s="74"/>
      <c r="EH14" s="74"/>
      <c r="EI14" s="74"/>
      <c r="EJ14" s="74"/>
      <c r="EK14" s="74"/>
      <c r="EL14" s="74"/>
      <c r="EM14" s="74"/>
      <c r="EN14" s="74"/>
      <c r="EO14" s="74"/>
      <c r="EP14" s="74"/>
      <c r="EQ14" s="74"/>
      <c r="ER14" s="74"/>
      <c r="ES14" s="74"/>
      <c r="ET14" s="74"/>
      <c r="EU14" s="74"/>
      <c r="EV14" s="74"/>
    </row>
    <row r="15" spans="1:152" s="77" customFormat="1" ht="18.75">
      <c r="A15" s="76">
        <v>4</v>
      </c>
      <c r="B15" s="197" t="s">
        <v>141</v>
      </c>
      <c r="C15" s="198"/>
      <c r="D15" s="198"/>
      <c r="E15" s="198"/>
      <c r="F15" s="198"/>
      <c r="G15" s="198"/>
      <c r="H15" s="198"/>
      <c r="I15" s="199"/>
      <c r="J15" s="78" t="s">
        <v>204</v>
      </c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214" t="s">
        <v>138</v>
      </c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6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  <c r="DK15" s="74"/>
      <c r="DL15" s="74"/>
      <c r="DM15" s="74"/>
      <c r="DN15" s="74"/>
      <c r="DO15" s="74"/>
      <c r="DP15" s="74"/>
      <c r="DQ15" s="74"/>
      <c r="DR15" s="74"/>
      <c r="DS15" s="74"/>
      <c r="DT15" s="74"/>
      <c r="DU15" s="74"/>
      <c r="DV15" s="74"/>
      <c r="DW15" s="74"/>
      <c r="DX15" s="74"/>
      <c r="DY15" s="74"/>
      <c r="DZ15" s="74"/>
      <c r="EA15" s="74"/>
      <c r="EB15" s="74"/>
      <c r="EC15" s="74"/>
      <c r="ED15" s="74"/>
      <c r="EE15" s="74"/>
      <c r="EF15" s="74"/>
      <c r="EG15" s="74"/>
      <c r="EH15" s="74"/>
      <c r="EI15" s="74"/>
      <c r="EJ15" s="74"/>
      <c r="EK15" s="74"/>
      <c r="EL15" s="74"/>
      <c r="EM15" s="74"/>
      <c r="EN15" s="74"/>
      <c r="EO15" s="74"/>
      <c r="EP15" s="74"/>
      <c r="EQ15" s="74"/>
      <c r="ER15" s="74"/>
      <c r="ES15" s="74"/>
      <c r="ET15" s="74"/>
      <c r="EU15" s="74"/>
      <c r="EV15" s="74"/>
    </row>
    <row r="16" spans="1:152" s="77" customFormat="1" ht="18.75">
      <c r="A16" s="76">
        <v>5</v>
      </c>
      <c r="B16" s="197" t="s">
        <v>142</v>
      </c>
      <c r="C16" s="198"/>
      <c r="D16" s="198"/>
      <c r="E16" s="198"/>
      <c r="F16" s="198"/>
      <c r="G16" s="198"/>
      <c r="H16" s="198"/>
      <c r="I16" s="199"/>
      <c r="J16" s="78" t="s">
        <v>205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217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9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4"/>
      <c r="DP16" s="74"/>
      <c r="DQ16" s="74"/>
      <c r="DR16" s="74"/>
      <c r="DS16" s="74"/>
      <c r="DT16" s="74"/>
      <c r="DU16" s="74"/>
      <c r="DV16" s="74"/>
      <c r="DW16" s="74"/>
      <c r="DX16" s="74"/>
      <c r="DY16" s="74"/>
      <c r="DZ16" s="74"/>
      <c r="EA16" s="74"/>
      <c r="EB16" s="74"/>
      <c r="EC16" s="74"/>
      <c r="ED16" s="74"/>
      <c r="EE16" s="74"/>
      <c r="EF16" s="74"/>
      <c r="EG16" s="74"/>
      <c r="EH16" s="74"/>
      <c r="EI16" s="74"/>
      <c r="EJ16" s="74"/>
      <c r="EK16" s="74"/>
      <c r="EL16" s="74"/>
      <c r="EM16" s="74"/>
      <c r="EN16" s="74"/>
      <c r="EO16" s="74"/>
      <c r="EP16" s="74"/>
      <c r="EQ16" s="74"/>
      <c r="ER16" s="74"/>
      <c r="ES16" s="74"/>
      <c r="ET16" s="74"/>
      <c r="EU16" s="74"/>
      <c r="EV16" s="74"/>
    </row>
    <row r="17" spans="1:152" s="77" customFormat="1" ht="18.75">
      <c r="A17" s="76">
        <v>6</v>
      </c>
      <c r="B17" s="197" t="s">
        <v>143</v>
      </c>
      <c r="C17" s="198"/>
      <c r="D17" s="198"/>
      <c r="E17" s="198"/>
      <c r="F17" s="198"/>
      <c r="G17" s="198"/>
      <c r="H17" s="198"/>
      <c r="I17" s="199"/>
      <c r="J17" s="78" t="s">
        <v>206</v>
      </c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220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2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  <c r="DK17" s="74"/>
      <c r="DL17" s="74"/>
      <c r="DM17" s="74"/>
      <c r="DN17" s="74"/>
      <c r="DO17" s="74"/>
      <c r="DP17" s="74"/>
      <c r="DQ17" s="74"/>
      <c r="DR17" s="74"/>
      <c r="DS17" s="74"/>
      <c r="DT17" s="74"/>
      <c r="DU17" s="74"/>
      <c r="DV17" s="74"/>
      <c r="DW17" s="74"/>
      <c r="DX17" s="74"/>
      <c r="DY17" s="74"/>
      <c r="DZ17" s="74"/>
      <c r="EA17" s="74"/>
      <c r="EB17" s="74"/>
      <c r="EC17" s="74"/>
      <c r="ED17" s="74"/>
      <c r="EE17" s="74"/>
      <c r="EF17" s="74"/>
      <c r="EG17" s="74"/>
      <c r="EH17" s="74"/>
      <c r="EI17" s="74"/>
      <c r="EJ17" s="74"/>
      <c r="EK17" s="74"/>
      <c r="EL17" s="74"/>
      <c r="EM17" s="74"/>
      <c r="EN17" s="74"/>
      <c r="EO17" s="74"/>
      <c r="EP17" s="74"/>
      <c r="EQ17" s="74"/>
      <c r="ER17" s="74"/>
      <c r="ES17" s="74"/>
      <c r="ET17" s="74"/>
      <c r="EU17" s="74"/>
      <c r="EV17" s="74"/>
    </row>
    <row r="18" spans="1:152" s="77" customFormat="1" ht="18.75">
      <c r="A18" s="76">
        <v>7</v>
      </c>
      <c r="B18" s="197" t="s">
        <v>158</v>
      </c>
      <c r="C18" s="198"/>
      <c r="D18" s="198"/>
      <c r="E18" s="198"/>
      <c r="F18" s="198"/>
      <c r="G18" s="198"/>
      <c r="H18" s="198"/>
      <c r="I18" s="199"/>
      <c r="J18" s="201" t="s">
        <v>167</v>
      </c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  <c r="DK18" s="74"/>
      <c r="DL18" s="74"/>
      <c r="DM18" s="74"/>
      <c r="DN18" s="74"/>
      <c r="DO18" s="74"/>
      <c r="DP18" s="74"/>
      <c r="DQ18" s="74"/>
      <c r="DR18" s="74"/>
      <c r="DS18" s="74"/>
      <c r="DT18" s="74"/>
      <c r="DU18" s="74"/>
      <c r="DV18" s="74"/>
      <c r="DW18" s="74"/>
      <c r="DX18" s="74"/>
      <c r="DY18" s="74"/>
      <c r="DZ18" s="74"/>
      <c r="EA18" s="74"/>
      <c r="EB18" s="74"/>
      <c r="EC18" s="74"/>
      <c r="ED18" s="74"/>
      <c r="EE18" s="74"/>
      <c r="EF18" s="74"/>
      <c r="EG18" s="74"/>
      <c r="EH18" s="74"/>
      <c r="EI18" s="74"/>
      <c r="EJ18" s="74"/>
      <c r="EK18" s="74"/>
      <c r="EL18" s="74"/>
      <c r="EM18" s="74"/>
      <c r="EN18" s="74"/>
      <c r="EO18" s="74"/>
      <c r="EP18" s="74"/>
      <c r="EQ18" s="74"/>
      <c r="ER18" s="74"/>
      <c r="ES18" s="74"/>
      <c r="ET18" s="74"/>
      <c r="EU18" s="74"/>
      <c r="EV18" s="74"/>
    </row>
    <row r="19" spans="1:152" s="77" customFormat="1">
      <c r="A19" s="212" t="s">
        <v>5</v>
      </c>
      <c r="B19" s="212"/>
      <c r="C19" s="212"/>
      <c r="D19" s="212"/>
      <c r="E19" s="212"/>
      <c r="F19" s="212"/>
      <c r="G19" s="212"/>
      <c r="H19" s="212"/>
      <c r="I19" s="212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223"/>
      <c r="AT19" s="223"/>
      <c r="AU19" s="223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  <c r="DK19" s="74"/>
      <c r="DL19" s="74"/>
      <c r="DM19" s="74"/>
      <c r="DN19" s="74"/>
      <c r="DO19" s="74"/>
      <c r="DP19" s="74"/>
      <c r="DQ19" s="74"/>
      <c r="DR19" s="74"/>
      <c r="DS19" s="74"/>
      <c r="DT19" s="74"/>
      <c r="DU19" s="74"/>
      <c r="DV19" s="74"/>
      <c r="DW19" s="74"/>
      <c r="DX19" s="74"/>
      <c r="DY19" s="74"/>
      <c r="DZ19" s="74"/>
      <c r="EA19" s="74"/>
      <c r="EB19" s="74"/>
      <c r="EC19" s="74"/>
      <c r="ED19" s="74"/>
      <c r="EE19" s="74"/>
      <c r="EF19" s="74"/>
      <c r="EG19" s="74"/>
      <c r="EH19" s="74"/>
      <c r="EI19" s="74"/>
      <c r="EJ19" s="74"/>
      <c r="EK19" s="74"/>
      <c r="EL19" s="74"/>
      <c r="EM19" s="74"/>
      <c r="EN19" s="74"/>
      <c r="EO19" s="74"/>
      <c r="EP19" s="74"/>
      <c r="EQ19" s="74"/>
      <c r="ER19" s="74"/>
      <c r="ES19" s="74"/>
      <c r="ET19" s="74"/>
      <c r="EU19" s="74"/>
      <c r="EV19" s="74"/>
    </row>
    <row r="20" spans="1:152" s="77" customFormat="1">
      <c r="A20" s="201" t="s">
        <v>135</v>
      </c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74"/>
      <c r="DI20" s="74"/>
      <c r="DJ20" s="74"/>
      <c r="DK20" s="74"/>
      <c r="DL20" s="74"/>
      <c r="DM20" s="74"/>
      <c r="DN20" s="74"/>
      <c r="DO20" s="74"/>
      <c r="DP20" s="74"/>
      <c r="DQ20" s="74"/>
      <c r="DR20" s="74"/>
      <c r="DS20" s="74"/>
      <c r="DT20" s="74"/>
      <c r="DU20" s="74"/>
      <c r="DV20" s="74"/>
      <c r="DW20" s="74"/>
      <c r="DX20" s="74"/>
      <c r="DY20" s="74"/>
      <c r="DZ20" s="74"/>
      <c r="EA20" s="74"/>
      <c r="EB20" s="74"/>
      <c r="EC20" s="74"/>
      <c r="ED20" s="74"/>
      <c r="EE20" s="74"/>
      <c r="EF20" s="74"/>
      <c r="EG20" s="74"/>
      <c r="EH20" s="74"/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</row>
    <row r="21" spans="1:152" s="77" customFormat="1">
      <c r="A21" s="201"/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  <c r="AT21" s="201"/>
      <c r="AU21" s="201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</row>
    <row r="22" spans="1:152" s="77" customFormat="1">
      <c r="A22" s="201"/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/>
      <c r="AU22" s="201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</row>
    <row r="23" spans="1:152" s="87" customFormat="1" ht="9.75" customHeight="1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</row>
    <row r="24" spans="1:152" ht="13.5" customHeight="1">
      <c r="A24" s="200" t="s">
        <v>87</v>
      </c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</row>
    <row r="25" spans="1:152" ht="13.5" customHeight="1">
      <c r="A25" s="201" t="s">
        <v>131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  <c r="AU25" s="201"/>
    </row>
    <row r="26" spans="1:152" ht="13.5" customHeight="1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</row>
    <row r="27" spans="1:152" ht="13.5" customHeight="1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</row>
    <row r="28" spans="1:152" ht="13.5" customHeight="1">
      <c r="A28" s="202" t="s">
        <v>88</v>
      </c>
      <c r="B28" s="203"/>
      <c r="C28" s="203"/>
      <c r="D28" s="203"/>
      <c r="E28" s="203"/>
      <c r="F28" s="203"/>
      <c r="G28" s="203"/>
      <c r="H28" s="203"/>
      <c r="I28" s="204"/>
      <c r="J28" s="201" t="s">
        <v>92</v>
      </c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</row>
    <row r="29" spans="1:152" ht="13.5" customHeight="1">
      <c r="A29" s="205" t="s">
        <v>89</v>
      </c>
      <c r="B29" s="206"/>
      <c r="C29" s="206"/>
      <c r="D29" s="206"/>
      <c r="E29" s="206"/>
      <c r="F29" s="206"/>
      <c r="G29" s="206"/>
      <c r="H29" s="206"/>
      <c r="I29" s="207"/>
      <c r="J29" s="211" t="s">
        <v>132</v>
      </c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</row>
    <row r="30" spans="1:152" ht="13.5" customHeight="1">
      <c r="A30" s="208"/>
      <c r="B30" s="209"/>
      <c r="C30" s="209"/>
      <c r="D30" s="209"/>
      <c r="E30" s="209"/>
      <c r="F30" s="209"/>
      <c r="G30" s="209"/>
      <c r="H30" s="209"/>
      <c r="I30" s="210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</row>
    <row r="31" spans="1:152" ht="13.5" customHeight="1">
      <c r="A31" s="75" t="s">
        <v>90</v>
      </c>
      <c r="B31" s="212" t="s">
        <v>91</v>
      </c>
      <c r="C31" s="212"/>
      <c r="D31" s="212"/>
      <c r="E31" s="212"/>
      <c r="F31" s="212"/>
      <c r="G31" s="212"/>
      <c r="H31" s="212"/>
      <c r="I31" s="212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</row>
    <row r="32" spans="1:152" ht="18.75">
      <c r="A32" s="76">
        <v>1</v>
      </c>
      <c r="B32" s="197" t="s">
        <v>144</v>
      </c>
      <c r="C32" s="198"/>
      <c r="D32" s="198"/>
      <c r="E32" s="198"/>
      <c r="F32" s="198"/>
      <c r="G32" s="198"/>
      <c r="H32" s="198"/>
      <c r="I32" s="199"/>
      <c r="J32" s="213" t="s">
        <v>133</v>
      </c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</row>
    <row r="33" spans="1:152" ht="73.5" customHeight="1">
      <c r="A33" s="76">
        <v>2</v>
      </c>
      <c r="B33" s="197" t="s">
        <v>139</v>
      </c>
      <c r="C33" s="198"/>
      <c r="D33" s="198"/>
      <c r="E33" s="198"/>
      <c r="F33" s="198"/>
      <c r="G33" s="198"/>
      <c r="H33" s="198"/>
      <c r="I33" s="199"/>
      <c r="J33" s="213" t="s">
        <v>150</v>
      </c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</row>
    <row r="34" spans="1:152" s="77" customFormat="1" ht="18.75">
      <c r="A34" s="76">
        <v>3</v>
      </c>
      <c r="B34" s="197" t="s">
        <v>145</v>
      </c>
      <c r="C34" s="198"/>
      <c r="D34" s="198"/>
      <c r="E34" s="198"/>
      <c r="F34" s="198"/>
      <c r="G34" s="198"/>
      <c r="H34" s="198"/>
      <c r="I34" s="199"/>
      <c r="J34" s="201" t="s">
        <v>105</v>
      </c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1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</row>
    <row r="35" spans="1:152" s="77" customFormat="1" ht="18.75">
      <c r="A35" s="76">
        <v>4</v>
      </c>
      <c r="B35" s="197" t="s">
        <v>146</v>
      </c>
      <c r="C35" s="198"/>
      <c r="D35" s="198"/>
      <c r="E35" s="198"/>
      <c r="F35" s="198"/>
      <c r="G35" s="198"/>
      <c r="H35" s="198"/>
      <c r="I35" s="199"/>
      <c r="J35" s="78" t="s">
        <v>204</v>
      </c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214" t="s">
        <v>138</v>
      </c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6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74"/>
      <c r="DF35" s="74"/>
      <c r="DG35" s="74"/>
      <c r="DH35" s="74"/>
      <c r="DI35" s="74"/>
      <c r="DJ35" s="74"/>
      <c r="DK35" s="74"/>
      <c r="DL35" s="74"/>
      <c r="DM35" s="74"/>
      <c r="DN35" s="74"/>
      <c r="DO35" s="74"/>
      <c r="DP35" s="74"/>
      <c r="DQ35" s="74"/>
      <c r="DR35" s="74"/>
      <c r="DS35" s="74"/>
      <c r="DT35" s="74"/>
      <c r="DU35" s="74"/>
      <c r="DV35" s="74"/>
      <c r="DW35" s="74"/>
      <c r="DX35" s="74"/>
      <c r="DY35" s="74"/>
      <c r="DZ35" s="74"/>
      <c r="EA35" s="74"/>
      <c r="EB35" s="74"/>
      <c r="EC35" s="74"/>
      <c r="ED35" s="74"/>
      <c r="EE35" s="74"/>
      <c r="EF35" s="74"/>
      <c r="EG35" s="74"/>
      <c r="EH35" s="74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</row>
    <row r="36" spans="1:152" s="77" customFormat="1" ht="18.75">
      <c r="A36" s="76">
        <v>5</v>
      </c>
      <c r="B36" s="197" t="s">
        <v>147</v>
      </c>
      <c r="C36" s="198"/>
      <c r="D36" s="198"/>
      <c r="E36" s="198"/>
      <c r="F36" s="198"/>
      <c r="G36" s="198"/>
      <c r="H36" s="198"/>
      <c r="I36" s="199"/>
      <c r="J36" s="78" t="s">
        <v>205</v>
      </c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217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9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74"/>
      <c r="DI36" s="74"/>
      <c r="DJ36" s="74"/>
      <c r="DK36" s="74"/>
      <c r="DL36" s="74"/>
      <c r="DM36" s="74"/>
      <c r="DN36" s="74"/>
      <c r="DO36" s="7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74"/>
      <c r="EB36" s="74"/>
      <c r="EC36" s="74"/>
      <c r="ED36" s="74"/>
      <c r="EE36" s="74"/>
      <c r="EF36" s="74"/>
      <c r="EG36" s="74"/>
      <c r="EH36" s="74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</row>
    <row r="37" spans="1:152" s="77" customFormat="1" ht="18.75">
      <c r="A37" s="76">
        <v>6</v>
      </c>
      <c r="B37" s="197" t="s">
        <v>148</v>
      </c>
      <c r="C37" s="198"/>
      <c r="D37" s="198"/>
      <c r="E37" s="198"/>
      <c r="F37" s="198"/>
      <c r="G37" s="198"/>
      <c r="H37" s="198"/>
      <c r="I37" s="199"/>
      <c r="J37" s="78" t="s">
        <v>206</v>
      </c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220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2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C37" s="74"/>
      <c r="DD37" s="74"/>
      <c r="DE37" s="74"/>
      <c r="DF37" s="74"/>
      <c r="DG37" s="74"/>
      <c r="DH37" s="74"/>
      <c r="DI37" s="74"/>
      <c r="DJ37" s="74"/>
      <c r="DK37" s="74"/>
      <c r="DL37" s="74"/>
      <c r="DM37" s="74"/>
      <c r="DN37" s="74"/>
      <c r="DO37" s="7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74"/>
      <c r="EB37" s="74"/>
      <c r="EC37" s="74"/>
      <c r="ED37" s="74"/>
      <c r="EE37" s="74"/>
      <c r="EF37" s="74"/>
      <c r="EG37" s="74"/>
      <c r="EH37" s="74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</row>
    <row r="38" spans="1:152" s="77" customFormat="1" ht="18.75">
      <c r="A38" s="76">
        <v>7</v>
      </c>
      <c r="B38" s="197" t="s">
        <v>158</v>
      </c>
      <c r="C38" s="198"/>
      <c r="D38" s="198"/>
      <c r="E38" s="198"/>
      <c r="F38" s="198"/>
      <c r="G38" s="198"/>
      <c r="H38" s="198"/>
      <c r="I38" s="199"/>
      <c r="J38" s="201" t="s">
        <v>167</v>
      </c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/>
      <c r="DH38" s="74"/>
      <c r="DI38" s="74"/>
      <c r="DJ38" s="74"/>
      <c r="DK38" s="74"/>
      <c r="DL38" s="74"/>
      <c r="DM38" s="74"/>
      <c r="DN38" s="74"/>
      <c r="DO38" s="74"/>
      <c r="DP38" s="74"/>
      <c r="DQ38" s="74"/>
      <c r="DR38" s="74"/>
      <c r="DS38" s="74"/>
      <c r="DT38" s="74"/>
      <c r="DU38" s="74"/>
      <c r="DV38" s="74"/>
      <c r="DW38" s="74"/>
      <c r="DX38" s="74"/>
      <c r="DY38" s="74"/>
      <c r="DZ38" s="74"/>
      <c r="EA38" s="74"/>
      <c r="EB38" s="74"/>
      <c r="EC38" s="74"/>
      <c r="ED38" s="74"/>
      <c r="EE38" s="74"/>
      <c r="EF38" s="74"/>
      <c r="EG38" s="74"/>
      <c r="EH38" s="74"/>
      <c r="EI38" s="74"/>
      <c r="EJ38" s="74"/>
      <c r="EK38" s="74"/>
      <c r="EL38" s="74"/>
      <c r="EM38" s="74"/>
      <c r="EN38" s="74"/>
      <c r="EO38" s="74"/>
      <c r="EP38" s="74"/>
      <c r="EQ38" s="74"/>
      <c r="ER38" s="74"/>
      <c r="ES38" s="74"/>
      <c r="ET38" s="74"/>
      <c r="EU38" s="74"/>
      <c r="EV38" s="74"/>
    </row>
    <row r="39" spans="1:152" s="77" customFormat="1">
      <c r="A39" s="212" t="s">
        <v>5</v>
      </c>
      <c r="B39" s="212"/>
      <c r="C39" s="212"/>
      <c r="D39" s="212"/>
      <c r="E39" s="212"/>
      <c r="F39" s="212"/>
      <c r="G39" s="212"/>
      <c r="H39" s="212"/>
      <c r="I39" s="212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223"/>
      <c r="AU39" s="223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4"/>
      <c r="DL39" s="74"/>
      <c r="DM39" s="74"/>
      <c r="DN39" s="74"/>
      <c r="DO39" s="74"/>
      <c r="DP39" s="74"/>
      <c r="DQ39" s="74"/>
      <c r="DR39" s="74"/>
      <c r="DS39" s="74"/>
      <c r="DT39" s="74"/>
      <c r="DU39" s="74"/>
      <c r="DV39" s="74"/>
      <c r="DW39" s="74"/>
      <c r="DX39" s="74"/>
      <c r="DY39" s="74"/>
      <c r="DZ39" s="74"/>
      <c r="EA39" s="74"/>
      <c r="EB39" s="74"/>
      <c r="EC39" s="74"/>
      <c r="ED39" s="74"/>
      <c r="EE39" s="74"/>
      <c r="EF39" s="74"/>
      <c r="EG39" s="74"/>
      <c r="EH39" s="74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</row>
    <row r="40" spans="1:152" s="77" customFormat="1">
      <c r="A40" s="201" t="s">
        <v>134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C40" s="74"/>
      <c r="DD40" s="74"/>
      <c r="DE40" s="74"/>
      <c r="DF40" s="74"/>
      <c r="DG40" s="74"/>
      <c r="DH40" s="74"/>
      <c r="DI40" s="74"/>
      <c r="DJ40" s="74"/>
      <c r="DK40" s="74"/>
      <c r="DL40" s="74"/>
      <c r="DM40" s="74"/>
      <c r="DN40" s="74"/>
      <c r="DO40" s="74"/>
      <c r="DP40" s="74"/>
      <c r="DQ40" s="74"/>
      <c r="DR40" s="74"/>
      <c r="DS40" s="74"/>
      <c r="DT40" s="74"/>
      <c r="DU40" s="74"/>
      <c r="DV40" s="74"/>
      <c r="DW40" s="74"/>
      <c r="DX40" s="74"/>
      <c r="DY40" s="74"/>
      <c r="DZ40" s="74"/>
      <c r="EA40" s="74"/>
      <c r="EB40" s="74"/>
      <c r="EC40" s="74"/>
      <c r="ED40" s="74"/>
      <c r="EE40" s="74"/>
      <c r="EF40" s="74"/>
      <c r="EG40" s="74"/>
      <c r="EH40" s="74"/>
      <c r="EI40" s="74"/>
      <c r="EJ40" s="74"/>
      <c r="EK40" s="74"/>
      <c r="EL40" s="74"/>
      <c r="EM40" s="74"/>
      <c r="EN40" s="74"/>
      <c r="EO40" s="74"/>
      <c r="EP40" s="74"/>
      <c r="EQ40" s="74"/>
      <c r="ER40" s="74"/>
      <c r="ES40" s="74"/>
      <c r="ET40" s="74"/>
      <c r="EU40" s="74"/>
      <c r="EV40" s="74"/>
    </row>
    <row r="41" spans="1:152" s="77" customFormat="1">
      <c r="A41" s="201"/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  <c r="AQ41" s="201"/>
      <c r="AR41" s="201"/>
      <c r="AS41" s="201"/>
      <c r="AT41" s="201"/>
      <c r="AU41" s="201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4"/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C41" s="74"/>
      <c r="DD41" s="74"/>
      <c r="DE41" s="74"/>
      <c r="DF41" s="74"/>
      <c r="DG41" s="74"/>
      <c r="DH41" s="74"/>
      <c r="DI41" s="74"/>
      <c r="DJ41" s="74"/>
      <c r="DK41" s="74"/>
      <c r="DL41" s="74"/>
      <c r="DM41" s="74"/>
      <c r="DN41" s="74"/>
      <c r="DO41" s="74"/>
      <c r="DP41" s="74"/>
      <c r="DQ41" s="74"/>
      <c r="DR41" s="74"/>
      <c r="DS41" s="74"/>
      <c r="DT41" s="74"/>
      <c r="DU41" s="74"/>
      <c r="DV41" s="74"/>
      <c r="DW41" s="74"/>
      <c r="DX41" s="74"/>
      <c r="DY41" s="74"/>
      <c r="DZ41" s="74"/>
      <c r="EA41" s="74"/>
      <c r="EB41" s="74"/>
      <c r="EC41" s="74"/>
      <c r="ED41" s="74"/>
      <c r="EE41" s="74"/>
      <c r="EF41" s="74"/>
      <c r="EG41" s="74"/>
      <c r="EH41" s="74"/>
      <c r="EI41" s="74"/>
      <c r="EJ41" s="74"/>
      <c r="EK41" s="74"/>
      <c r="EL41" s="74"/>
      <c r="EM41" s="74"/>
      <c r="EN41" s="74"/>
      <c r="EO41" s="74"/>
      <c r="EP41" s="74"/>
      <c r="EQ41" s="74"/>
      <c r="ER41" s="74"/>
      <c r="ES41" s="74"/>
      <c r="ET41" s="74"/>
      <c r="EU41" s="74"/>
      <c r="EV41" s="74"/>
    </row>
    <row r="42" spans="1:152" s="77" customFormat="1">
      <c r="A42" s="201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  <c r="AU42" s="201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C42" s="74"/>
      <c r="DD42" s="74"/>
      <c r="DE42" s="74"/>
      <c r="DF42" s="74"/>
      <c r="DG42" s="74"/>
      <c r="DH42" s="74"/>
      <c r="DI42" s="74"/>
      <c r="DJ42" s="74"/>
      <c r="DK42" s="74"/>
      <c r="DL42" s="74"/>
      <c r="DM42" s="74"/>
      <c r="DN42" s="74"/>
      <c r="DO42" s="74"/>
      <c r="DP42" s="74"/>
      <c r="DQ42" s="74"/>
      <c r="DR42" s="74"/>
      <c r="DS42" s="74"/>
      <c r="DT42" s="74"/>
      <c r="DU42" s="74"/>
      <c r="DV42" s="74"/>
      <c r="DW42" s="74"/>
      <c r="DX42" s="74"/>
      <c r="DY42" s="74"/>
      <c r="DZ42" s="74"/>
      <c r="EA42" s="74"/>
      <c r="EB42" s="74"/>
      <c r="EC42" s="74"/>
      <c r="ED42" s="74"/>
      <c r="EE42" s="74"/>
      <c r="EF42" s="74"/>
      <c r="EG42" s="74"/>
      <c r="EH42" s="74"/>
      <c r="EI42" s="74"/>
      <c r="EJ42" s="74"/>
      <c r="EK42" s="74"/>
      <c r="EL42" s="74"/>
      <c r="EM42" s="74"/>
      <c r="EN42" s="74"/>
      <c r="EO42" s="74"/>
      <c r="EP42" s="74"/>
      <c r="EQ42" s="74"/>
      <c r="ER42" s="74"/>
      <c r="ES42" s="74"/>
      <c r="ET42" s="74"/>
      <c r="EU42" s="74"/>
      <c r="EV42" s="74"/>
    </row>
  </sheetData>
  <mergeCells count="59">
    <mergeCell ref="A20:AU22"/>
    <mergeCell ref="A19:I19"/>
    <mergeCell ref="J19:AU19"/>
    <mergeCell ref="B38:I38"/>
    <mergeCell ref="J38:AU38"/>
    <mergeCell ref="A39:I39"/>
    <mergeCell ref="J39:AU39"/>
    <mergeCell ref="A28:I28"/>
    <mergeCell ref="J28:AU28"/>
    <mergeCell ref="A29:I30"/>
    <mergeCell ref="J29:AU31"/>
    <mergeCell ref="B31:I31"/>
    <mergeCell ref="A40:AU42"/>
    <mergeCell ref="AA15:AU17"/>
    <mergeCell ref="AA35:AU37"/>
    <mergeCell ref="B16:I16"/>
    <mergeCell ref="B17:I17"/>
    <mergeCell ref="B32:I32"/>
    <mergeCell ref="B34:I34"/>
    <mergeCell ref="B35:I35"/>
    <mergeCell ref="B36:I36"/>
    <mergeCell ref="B37:I37"/>
    <mergeCell ref="B33:I33"/>
    <mergeCell ref="J32:AU32"/>
    <mergeCell ref="J34:AU34"/>
    <mergeCell ref="J33:AU33"/>
    <mergeCell ref="A24:AU24"/>
    <mergeCell ref="A25:AU27"/>
    <mergeCell ref="B15:I15"/>
    <mergeCell ref="B18:I18"/>
    <mergeCell ref="A4:AU4"/>
    <mergeCell ref="A5:AU7"/>
    <mergeCell ref="A8:I8"/>
    <mergeCell ref="J8:AU8"/>
    <mergeCell ref="A9:I10"/>
    <mergeCell ref="J9:AU11"/>
    <mergeCell ref="B11:I11"/>
    <mergeCell ref="J14:AU14"/>
    <mergeCell ref="J12:AU12"/>
    <mergeCell ref="J13:AU13"/>
    <mergeCell ref="B12:I12"/>
    <mergeCell ref="B13:I13"/>
    <mergeCell ref="B14:I14"/>
    <mergeCell ref="J18:AU18"/>
    <mergeCell ref="AY1:BD1"/>
    <mergeCell ref="BE1:BJ1"/>
    <mergeCell ref="L2:T2"/>
    <mergeCell ref="U2:AC2"/>
    <mergeCell ref="AD2:AL2"/>
    <mergeCell ref="AM2:AR2"/>
    <mergeCell ref="AS2:AX2"/>
    <mergeCell ref="AY2:BD2"/>
    <mergeCell ref="BE2:BJ2"/>
    <mergeCell ref="AS1:AX1"/>
    <mergeCell ref="A1:K2"/>
    <mergeCell ref="L1:T1"/>
    <mergeCell ref="U1:AC1"/>
    <mergeCell ref="AD1:AL1"/>
    <mergeCell ref="AM1:AR1"/>
  </mergeCells>
  <phoneticPr fontId="5"/>
  <dataValidations disablePrompts="1" count="1">
    <dataValidation type="list" allowBlank="1" showInputMessage="1" showErrorMessage="1" sqref="WVR982817:WVW982838 WLV982817:WMA982838 WBZ982817:WCE982838 VSD982817:VSI982838 VIH982817:VIM982838 UYL982817:UYQ982838 UOP982817:UOU982838 UET982817:UEY982838 TUX982817:TVC982838 TLB982817:TLG982838 TBF982817:TBK982838 SRJ982817:SRO982838 SHN982817:SHS982838 RXR982817:RXW982838 RNV982817:ROA982838 RDZ982817:REE982838 QUD982817:QUI982838 QKH982817:QKM982838 QAL982817:QAQ982838 PQP982817:PQU982838 PGT982817:PGY982838 OWX982817:OXC982838 ONB982817:ONG982838 ODF982817:ODK982838 NTJ982817:NTO982838 NJN982817:NJS982838 MZR982817:MZW982838 MPV982817:MQA982838 MFZ982817:MGE982838 LWD982817:LWI982838 LMH982817:LMM982838 LCL982817:LCQ982838 KSP982817:KSU982838 KIT982817:KIY982838 JYX982817:JZC982838 JPB982817:JPG982838 JFF982817:JFK982838 IVJ982817:IVO982838 ILN982817:ILS982838 IBR982817:IBW982838 HRV982817:HSA982838 HHZ982817:HIE982838 GYD982817:GYI982838 GOH982817:GOM982838 GEL982817:GEQ982838 FUP982817:FUU982838 FKT982817:FKY982838 FAX982817:FBC982838 ERB982817:ERG982838 EHF982817:EHK982838 DXJ982817:DXO982838 DNN982817:DNS982838 DDR982817:DDW982838 CTV982817:CUA982838 CJZ982817:CKE982838 CAD982817:CAI982838 BQH982817:BQM982838 BGL982817:BGQ982838 AWP982817:AWU982838 AMT982817:AMY982838 ACX982817:ADC982838 TB982817:TG982838 JF982817:JK982838 J982817:O982838 WVR917281:WVW917302 WLV917281:WMA917302 WBZ917281:WCE917302 VSD917281:VSI917302 VIH917281:VIM917302 UYL917281:UYQ917302 UOP917281:UOU917302 UET917281:UEY917302 TUX917281:TVC917302 TLB917281:TLG917302 TBF917281:TBK917302 SRJ917281:SRO917302 SHN917281:SHS917302 RXR917281:RXW917302 RNV917281:ROA917302 RDZ917281:REE917302 QUD917281:QUI917302 QKH917281:QKM917302 QAL917281:QAQ917302 PQP917281:PQU917302 PGT917281:PGY917302 OWX917281:OXC917302 ONB917281:ONG917302 ODF917281:ODK917302 NTJ917281:NTO917302 NJN917281:NJS917302 MZR917281:MZW917302 MPV917281:MQA917302 MFZ917281:MGE917302 LWD917281:LWI917302 LMH917281:LMM917302 LCL917281:LCQ917302 KSP917281:KSU917302 KIT917281:KIY917302 JYX917281:JZC917302 JPB917281:JPG917302 JFF917281:JFK917302 IVJ917281:IVO917302 ILN917281:ILS917302 IBR917281:IBW917302 HRV917281:HSA917302 HHZ917281:HIE917302 GYD917281:GYI917302 GOH917281:GOM917302 GEL917281:GEQ917302 FUP917281:FUU917302 FKT917281:FKY917302 FAX917281:FBC917302 ERB917281:ERG917302 EHF917281:EHK917302 DXJ917281:DXO917302 DNN917281:DNS917302 DDR917281:DDW917302 CTV917281:CUA917302 CJZ917281:CKE917302 CAD917281:CAI917302 BQH917281:BQM917302 BGL917281:BGQ917302 AWP917281:AWU917302 AMT917281:AMY917302 ACX917281:ADC917302 TB917281:TG917302 JF917281:JK917302 J917281:O917302 WVR851745:WVW851766 WLV851745:WMA851766 WBZ851745:WCE851766 VSD851745:VSI851766 VIH851745:VIM851766 UYL851745:UYQ851766 UOP851745:UOU851766 UET851745:UEY851766 TUX851745:TVC851766 TLB851745:TLG851766 TBF851745:TBK851766 SRJ851745:SRO851766 SHN851745:SHS851766 RXR851745:RXW851766 RNV851745:ROA851766 RDZ851745:REE851766 QUD851745:QUI851766 QKH851745:QKM851766 QAL851745:QAQ851766 PQP851745:PQU851766 PGT851745:PGY851766 OWX851745:OXC851766 ONB851745:ONG851766 ODF851745:ODK851766 NTJ851745:NTO851766 NJN851745:NJS851766 MZR851745:MZW851766 MPV851745:MQA851766 MFZ851745:MGE851766 LWD851745:LWI851766 LMH851745:LMM851766 LCL851745:LCQ851766 KSP851745:KSU851766 KIT851745:KIY851766 JYX851745:JZC851766 JPB851745:JPG851766 JFF851745:JFK851766 IVJ851745:IVO851766 ILN851745:ILS851766 IBR851745:IBW851766 HRV851745:HSA851766 HHZ851745:HIE851766 GYD851745:GYI851766 GOH851745:GOM851766 GEL851745:GEQ851766 FUP851745:FUU851766 FKT851745:FKY851766 FAX851745:FBC851766 ERB851745:ERG851766 EHF851745:EHK851766 DXJ851745:DXO851766 DNN851745:DNS851766 DDR851745:DDW851766 CTV851745:CUA851766 CJZ851745:CKE851766 CAD851745:CAI851766 BQH851745:BQM851766 BGL851745:BGQ851766 AWP851745:AWU851766 AMT851745:AMY851766 ACX851745:ADC851766 TB851745:TG851766 JF851745:JK851766 J851745:O851766 WVR786209:WVW786230 WLV786209:WMA786230 WBZ786209:WCE786230 VSD786209:VSI786230 VIH786209:VIM786230 UYL786209:UYQ786230 UOP786209:UOU786230 UET786209:UEY786230 TUX786209:TVC786230 TLB786209:TLG786230 TBF786209:TBK786230 SRJ786209:SRO786230 SHN786209:SHS786230 RXR786209:RXW786230 RNV786209:ROA786230 RDZ786209:REE786230 QUD786209:QUI786230 QKH786209:QKM786230 QAL786209:QAQ786230 PQP786209:PQU786230 PGT786209:PGY786230 OWX786209:OXC786230 ONB786209:ONG786230 ODF786209:ODK786230 NTJ786209:NTO786230 NJN786209:NJS786230 MZR786209:MZW786230 MPV786209:MQA786230 MFZ786209:MGE786230 LWD786209:LWI786230 LMH786209:LMM786230 LCL786209:LCQ786230 KSP786209:KSU786230 KIT786209:KIY786230 JYX786209:JZC786230 JPB786209:JPG786230 JFF786209:JFK786230 IVJ786209:IVO786230 ILN786209:ILS786230 IBR786209:IBW786230 HRV786209:HSA786230 HHZ786209:HIE786230 GYD786209:GYI786230 GOH786209:GOM786230 GEL786209:GEQ786230 FUP786209:FUU786230 FKT786209:FKY786230 FAX786209:FBC786230 ERB786209:ERG786230 EHF786209:EHK786230 DXJ786209:DXO786230 DNN786209:DNS786230 DDR786209:DDW786230 CTV786209:CUA786230 CJZ786209:CKE786230 CAD786209:CAI786230 BQH786209:BQM786230 BGL786209:BGQ786230 AWP786209:AWU786230 AMT786209:AMY786230 ACX786209:ADC786230 TB786209:TG786230 JF786209:JK786230 J786209:O786230 WVR720673:WVW720694 WLV720673:WMA720694 WBZ720673:WCE720694 VSD720673:VSI720694 VIH720673:VIM720694 UYL720673:UYQ720694 UOP720673:UOU720694 UET720673:UEY720694 TUX720673:TVC720694 TLB720673:TLG720694 TBF720673:TBK720694 SRJ720673:SRO720694 SHN720673:SHS720694 RXR720673:RXW720694 RNV720673:ROA720694 RDZ720673:REE720694 QUD720673:QUI720694 QKH720673:QKM720694 QAL720673:QAQ720694 PQP720673:PQU720694 PGT720673:PGY720694 OWX720673:OXC720694 ONB720673:ONG720694 ODF720673:ODK720694 NTJ720673:NTO720694 NJN720673:NJS720694 MZR720673:MZW720694 MPV720673:MQA720694 MFZ720673:MGE720694 LWD720673:LWI720694 LMH720673:LMM720694 LCL720673:LCQ720694 KSP720673:KSU720694 KIT720673:KIY720694 JYX720673:JZC720694 JPB720673:JPG720694 JFF720673:JFK720694 IVJ720673:IVO720694 ILN720673:ILS720694 IBR720673:IBW720694 HRV720673:HSA720694 HHZ720673:HIE720694 GYD720673:GYI720694 GOH720673:GOM720694 GEL720673:GEQ720694 FUP720673:FUU720694 FKT720673:FKY720694 FAX720673:FBC720694 ERB720673:ERG720694 EHF720673:EHK720694 DXJ720673:DXO720694 DNN720673:DNS720694 DDR720673:DDW720694 CTV720673:CUA720694 CJZ720673:CKE720694 CAD720673:CAI720694 BQH720673:BQM720694 BGL720673:BGQ720694 AWP720673:AWU720694 AMT720673:AMY720694 ACX720673:ADC720694 TB720673:TG720694 JF720673:JK720694 J720673:O720694 WVR655137:WVW655158 WLV655137:WMA655158 WBZ655137:WCE655158 VSD655137:VSI655158 VIH655137:VIM655158 UYL655137:UYQ655158 UOP655137:UOU655158 UET655137:UEY655158 TUX655137:TVC655158 TLB655137:TLG655158 TBF655137:TBK655158 SRJ655137:SRO655158 SHN655137:SHS655158 RXR655137:RXW655158 RNV655137:ROA655158 RDZ655137:REE655158 QUD655137:QUI655158 QKH655137:QKM655158 QAL655137:QAQ655158 PQP655137:PQU655158 PGT655137:PGY655158 OWX655137:OXC655158 ONB655137:ONG655158 ODF655137:ODK655158 NTJ655137:NTO655158 NJN655137:NJS655158 MZR655137:MZW655158 MPV655137:MQA655158 MFZ655137:MGE655158 LWD655137:LWI655158 LMH655137:LMM655158 LCL655137:LCQ655158 KSP655137:KSU655158 KIT655137:KIY655158 JYX655137:JZC655158 JPB655137:JPG655158 JFF655137:JFK655158 IVJ655137:IVO655158 ILN655137:ILS655158 IBR655137:IBW655158 HRV655137:HSA655158 HHZ655137:HIE655158 GYD655137:GYI655158 GOH655137:GOM655158 GEL655137:GEQ655158 FUP655137:FUU655158 FKT655137:FKY655158 FAX655137:FBC655158 ERB655137:ERG655158 EHF655137:EHK655158 DXJ655137:DXO655158 DNN655137:DNS655158 DDR655137:DDW655158 CTV655137:CUA655158 CJZ655137:CKE655158 CAD655137:CAI655158 BQH655137:BQM655158 BGL655137:BGQ655158 AWP655137:AWU655158 AMT655137:AMY655158 ACX655137:ADC655158 TB655137:TG655158 JF655137:JK655158 J655137:O655158 WVR589601:WVW589622 WLV589601:WMA589622 WBZ589601:WCE589622 VSD589601:VSI589622 VIH589601:VIM589622 UYL589601:UYQ589622 UOP589601:UOU589622 UET589601:UEY589622 TUX589601:TVC589622 TLB589601:TLG589622 TBF589601:TBK589622 SRJ589601:SRO589622 SHN589601:SHS589622 RXR589601:RXW589622 RNV589601:ROA589622 RDZ589601:REE589622 QUD589601:QUI589622 QKH589601:QKM589622 QAL589601:QAQ589622 PQP589601:PQU589622 PGT589601:PGY589622 OWX589601:OXC589622 ONB589601:ONG589622 ODF589601:ODK589622 NTJ589601:NTO589622 NJN589601:NJS589622 MZR589601:MZW589622 MPV589601:MQA589622 MFZ589601:MGE589622 LWD589601:LWI589622 LMH589601:LMM589622 LCL589601:LCQ589622 KSP589601:KSU589622 KIT589601:KIY589622 JYX589601:JZC589622 JPB589601:JPG589622 JFF589601:JFK589622 IVJ589601:IVO589622 ILN589601:ILS589622 IBR589601:IBW589622 HRV589601:HSA589622 HHZ589601:HIE589622 GYD589601:GYI589622 GOH589601:GOM589622 GEL589601:GEQ589622 FUP589601:FUU589622 FKT589601:FKY589622 FAX589601:FBC589622 ERB589601:ERG589622 EHF589601:EHK589622 DXJ589601:DXO589622 DNN589601:DNS589622 DDR589601:DDW589622 CTV589601:CUA589622 CJZ589601:CKE589622 CAD589601:CAI589622 BQH589601:BQM589622 BGL589601:BGQ589622 AWP589601:AWU589622 AMT589601:AMY589622 ACX589601:ADC589622 TB589601:TG589622 JF589601:JK589622 J589601:O589622 WVR524065:WVW524086 WLV524065:WMA524086 WBZ524065:WCE524086 VSD524065:VSI524086 VIH524065:VIM524086 UYL524065:UYQ524086 UOP524065:UOU524086 UET524065:UEY524086 TUX524065:TVC524086 TLB524065:TLG524086 TBF524065:TBK524086 SRJ524065:SRO524086 SHN524065:SHS524086 RXR524065:RXW524086 RNV524065:ROA524086 RDZ524065:REE524086 QUD524065:QUI524086 QKH524065:QKM524086 QAL524065:QAQ524086 PQP524065:PQU524086 PGT524065:PGY524086 OWX524065:OXC524086 ONB524065:ONG524086 ODF524065:ODK524086 NTJ524065:NTO524086 NJN524065:NJS524086 MZR524065:MZW524086 MPV524065:MQA524086 MFZ524065:MGE524086 LWD524065:LWI524086 LMH524065:LMM524086 LCL524065:LCQ524086 KSP524065:KSU524086 KIT524065:KIY524086 JYX524065:JZC524086 JPB524065:JPG524086 JFF524065:JFK524086 IVJ524065:IVO524086 ILN524065:ILS524086 IBR524065:IBW524086 HRV524065:HSA524086 HHZ524065:HIE524086 GYD524065:GYI524086 GOH524065:GOM524086 GEL524065:GEQ524086 FUP524065:FUU524086 FKT524065:FKY524086 FAX524065:FBC524086 ERB524065:ERG524086 EHF524065:EHK524086 DXJ524065:DXO524086 DNN524065:DNS524086 DDR524065:DDW524086 CTV524065:CUA524086 CJZ524065:CKE524086 CAD524065:CAI524086 BQH524065:BQM524086 BGL524065:BGQ524086 AWP524065:AWU524086 AMT524065:AMY524086 ACX524065:ADC524086 TB524065:TG524086 JF524065:JK524086 J524065:O524086 WVR458529:WVW458550 WLV458529:WMA458550 WBZ458529:WCE458550 VSD458529:VSI458550 VIH458529:VIM458550 UYL458529:UYQ458550 UOP458529:UOU458550 UET458529:UEY458550 TUX458529:TVC458550 TLB458529:TLG458550 TBF458529:TBK458550 SRJ458529:SRO458550 SHN458529:SHS458550 RXR458529:RXW458550 RNV458529:ROA458550 RDZ458529:REE458550 QUD458529:QUI458550 QKH458529:QKM458550 QAL458529:QAQ458550 PQP458529:PQU458550 PGT458529:PGY458550 OWX458529:OXC458550 ONB458529:ONG458550 ODF458529:ODK458550 NTJ458529:NTO458550 NJN458529:NJS458550 MZR458529:MZW458550 MPV458529:MQA458550 MFZ458529:MGE458550 LWD458529:LWI458550 LMH458529:LMM458550 LCL458529:LCQ458550 KSP458529:KSU458550 KIT458529:KIY458550 JYX458529:JZC458550 JPB458529:JPG458550 JFF458529:JFK458550 IVJ458529:IVO458550 ILN458529:ILS458550 IBR458529:IBW458550 HRV458529:HSA458550 HHZ458529:HIE458550 GYD458529:GYI458550 GOH458529:GOM458550 GEL458529:GEQ458550 FUP458529:FUU458550 FKT458529:FKY458550 FAX458529:FBC458550 ERB458529:ERG458550 EHF458529:EHK458550 DXJ458529:DXO458550 DNN458529:DNS458550 DDR458529:DDW458550 CTV458529:CUA458550 CJZ458529:CKE458550 CAD458529:CAI458550 BQH458529:BQM458550 BGL458529:BGQ458550 AWP458529:AWU458550 AMT458529:AMY458550 ACX458529:ADC458550 TB458529:TG458550 JF458529:JK458550 J458529:O458550 WVR392993:WVW393014 WLV392993:WMA393014 WBZ392993:WCE393014 VSD392993:VSI393014 VIH392993:VIM393014 UYL392993:UYQ393014 UOP392993:UOU393014 UET392993:UEY393014 TUX392993:TVC393014 TLB392993:TLG393014 TBF392993:TBK393014 SRJ392993:SRO393014 SHN392993:SHS393014 RXR392993:RXW393014 RNV392993:ROA393014 RDZ392993:REE393014 QUD392993:QUI393014 QKH392993:QKM393014 QAL392993:QAQ393014 PQP392993:PQU393014 PGT392993:PGY393014 OWX392993:OXC393014 ONB392993:ONG393014 ODF392993:ODK393014 NTJ392993:NTO393014 NJN392993:NJS393014 MZR392993:MZW393014 MPV392993:MQA393014 MFZ392993:MGE393014 LWD392993:LWI393014 LMH392993:LMM393014 LCL392993:LCQ393014 KSP392993:KSU393014 KIT392993:KIY393014 JYX392993:JZC393014 JPB392993:JPG393014 JFF392993:JFK393014 IVJ392993:IVO393014 ILN392993:ILS393014 IBR392993:IBW393014 HRV392993:HSA393014 HHZ392993:HIE393014 GYD392993:GYI393014 GOH392993:GOM393014 GEL392993:GEQ393014 FUP392993:FUU393014 FKT392993:FKY393014 FAX392993:FBC393014 ERB392993:ERG393014 EHF392993:EHK393014 DXJ392993:DXO393014 DNN392993:DNS393014 DDR392993:DDW393014 CTV392993:CUA393014 CJZ392993:CKE393014 CAD392993:CAI393014 BQH392993:BQM393014 BGL392993:BGQ393014 AWP392993:AWU393014 AMT392993:AMY393014 ACX392993:ADC393014 TB392993:TG393014 JF392993:JK393014 J392993:O393014 WVR327457:WVW327478 WLV327457:WMA327478 WBZ327457:WCE327478 VSD327457:VSI327478 VIH327457:VIM327478 UYL327457:UYQ327478 UOP327457:UOU327478 UET327457:UEY327478 TUX327457:TVC327478 TLB327457:TLG327478 TBF327457:TBK327478 SRJ327457:SRO327478 SHN327457:SHS327478 RXR327457:RXW327478 RNV327457:ROA327478 RDZ327457:REE327478 QUD327457:QUI327478 QKH327457:QKM327478 QAL327457:QAQ327478 PQP327457:PQU327478 PGT327457:PGY327478 OWX327457:OXC327478 ONB327457:ONG327478 ODF327457:ODK327478 NTJ327457:NTO327478 NJN327457:NJS327478 MZR327457:MZW327478 MPV327457:MQA327478 MFZ327457:MGE327478 LWD327457:LWI327478 LMH327457:LMM327478 LCL327457:LCQ327478 KSP327457:KSU327478 KIT327457:KIY327478 JYX327457:JZC327478 JPB327457:JPG327478 JFF327457:JFK327478 IVJ327457:IVO327478 ILN327457:ILS327478 IBR327457:IBW327478 HRV327457:HSA327478 HHZ327457:HIE327478 GYD327457:GYI327478 GOH327457:GOM327478 GEL327457:GEQ327478 FUP327457:FUU327478 FKT327457:FKY327478 FAX327457:FBC327478 ERB327457:ERG327478 EHF327457:EHK327478 DXJ327457:DXO327478 DNN327457:DNS327478 DDR327457:DDW327478 CTV327457:CUA327478 CJZ327457:CKE327478 CAD327457:CAI327478 BQH327457:BQM327478 BGL327457:BGQ327478 AWP327457:AWU327478 AMT327457:AMY327478 ACX327457:ADC327478 TB327457:TG327478 JF327457:JK327478 J327457:O327478 WVR261921:WVW261942 WLV261921:WMA261942 WBZ261921:WCE261942 VSD261921:VSI261942 VIH261921:VIM261942 UYL261921:UYQ261942 UOP261921:UOU261942 UET261921:UEY261942 TUX261921:TVC261942 TLB261921:TLG261942 TBF261921:TBK261942 SRJ261921:SRO261942 SHN261921:SHS261942 RXR261921:RXW261942 RNV261921:ROA261942 RDZ261921:REE261942 QUD261921:QUI261942 QKH261921:QKM261942 QAL261921:QAQ261942 PQP261921:PQU261942 PGT261921:PGY261942 OWX261921:OXC261942 ONB261921:ONG261942 ODF261921:ODK261942 NTJ261921:NTO261942 NJN261921:NJS261942 MZR261921:MZW261942 MPV261921:MQA261942 MFZ261921:MGE261942 LWD261921:LWI261942 LMH261921:LMM261942 LCL261921:LCQ261942 KSP261921:KSU261942 KIT261921:KIY261942 JYX261921:JZC261942 JPB261921:JPG261942 JFF261921:JFK261942 IVJ261921:IVO261942 ILN261921:ILS261942 IBR261921:IBW261942 HRV261921:HSA261942 HHZ261921:HIE261942 GYD261921:GYI261942 GOH261921:GOM261942 GEL261921:GEQ261942 FUP261921:FUU261942 FKT261921:FKY261942 FAX261921:FBC261942 ERB261921:ERG261942 EHF261921:EHK261942 DXJ261921:DXO261942 DNN261921:DNS261942 DDR261921:DDW261942 CTV261921:CUA261942 CJZ261921:CKE261942 CAD261921:CAI261942 BQH261921:BQM261942 BGL261921:BGQ261942 AWP261921:AWU261942 AMT261921:AMY261942 ACX261921:ADC261942 TB261921:TG261942 JF261921:JK261942 J261921:O261942 WVR196385:WVW196406 WLV196385:WMA196406 WBZ196385:WCE196406 VSD196385:VSI196406 VIH196385:VIM196406 UYL196385:UYQ196406 UOP196385:UOU196406 UET196385:UEY196406 TUX196385:TVC196406 TLB196385:TLG196406 TBF196385:TBK196406 SRJ196385:SRO196406 SHN196385:SHS196406 RXR196385:RXW196406 RNV196385:ROA196406 RDZ196385:REE196406 QUD196385:QUI196406 QKH196385:QKM196406 QAL196385:QAQ196406 PQP196385:PQU196406 PGT196385:PGY196406 OWX196385:OXC196406 ONB196385:ONG196406 ODF196385:ODK196406 NTJ196385:NTO196406 NJN196385:NJS196406 MZR196385:MZW196406 MPV196385:MQA196406 MFZ196385:MGE196406 LWD196385:LWI196406 LMH196385:LMM196406 LCL196385:LCQ196406 KSP196385:KSU196406 KIT196385:KIY196406 JYX196385:JZC196406 JPB196385:JPG196406 JFF196385:JFK196406 IVJ196385:IVO196406 ILN196385:ILS196406 IBR196385:IBW196406 HRV196385:HSA196406 HHZ196385:HIE196406 GYD196385:GYI196406 GOH196385:GOM196406 GEL196385:GEQ196406 FUP196385:FUU196406 FKT196385:FKY196406 FAX196385:FBC196406 ERB196385:ERG196406 EHF196385:EHK196406 DXJ196385:DXO196406 DNN196385:DNS196406 DDR196385:DDW196406 CTV196385:CUA196406 CJZ196385:CKE196406 CAD196385:CAI196406 BQH196385:BQM196406 BGL196385:BGQ196406 AWP196385:AWU196406 AMT196385:AMY196406 ACX196385:ADC196406 TB196385:TG196406 JF196385:JK196406 J196385:O196406 WVR130849:WVW130870 WLV130849:WMA130870 WBZ130849:WCE130870 VSD130849:VSI130870 VIH130849:VIM130870 UYL130849:UYQ130870 UOP130849:UOU130870 UET130849:UEY130870 TUX130849:TVC130870 TLB130849:TLG130870 TBF130849:TBK130870 SRJ130849:SRO130870 SHN130849:SHS130870 RXR130849:RXW130870 RNV130849:ROA130870 RDZ130849:REE130870 QUD130849:QUI130870 QKH130849:QKM130870 QAL130849:QAQ130870 PQP130849:PQU130870 PGT130849:PGY130870 OWX130849:OXC130870 ONB130849:ONG130870 ODF130849:ODK130870 NTJ130849:NTO130870 NJN130849:NJS130870 MZR130849:MZW130870 MPV130849:MQA130870 MFZ130849:MGE130870 LWD130849:LWI130870 LMH130849:LMM130870 LCL130849:LCQ130870 KSP130849:KSU130870 KIT130849:KIY130870 JYX130849:JZC130870 JPB130849:JPG130870 JFF130849:JFK130870 IVJ130849:IVO130870 ILN130849:ILS130870 IBR130849:IBW130870 HRV130849:HSA130870 HHZ130849:HIE130870 GYD130849:GYI130870 GOH130849:GOM130870 GEL130849:GEQ130870 FUP130849:FUU130870 FKT130849:FKY130870 FAX130849:FBC130870 ERB130849:ERG130870 EHF130849:EHK130870 DXJ130849:DXO130870 DNN130849:DNS130870 DDR130849:DDW130870 CTV130849:CUA130870 CJZ130849:CKE130870 CAD130849:CAI130870 BQH130849:BQM130870 BGL130849:BGQ130870 AWP130849:AWU130870 AMT130849:AMY130870 ACX130849:ADC130870 TB130849:TG130870 JF130849:JK130870 J130849:O130870 WVR65313:WVW65334 WLV65313:WMA65334 WBZ65313:WCE65334 VSD65313:VSI65334 VIH65313:VIM65334 UYL65313:UYQ65334 UOP65313:UOU65334 UET65313:UEY65334 TUX65313:TVC65334 TLB65313:TLG65334 TBF65313:TBK65334 SRJ65313:SRO65334 SHN65313:SHS65334 RXR65313:RXW65334 RNV65313:ROA65334 RDZ65313:REE65334 QUD65313:QUI65334 QKH65313:QKM65334 QAL65313:QAQ65334 PQP65313:PQU65334 PGT65313:PGY65334 OWX65313:OXC65334 ONB65313:ONG65334 ODF65313:ODK65334 NTJ65313:NTO65334 NJN65313:NJS65334 MZR65313:MZW65334 MPV65313:MQA65334 MFZ65313:MGE65334 LWD65313:LWI65334 LMH65313:LMM65334 LCL65313:LCQ65334 KSP65313:KSU65334 KIT65313:KIY65334 JYX65313:JZC65334 JPB65313:JPG65334 JFF65313:JFK65334 IVJ65313:IVO65334 ILN65313:ILS65334 IBR65313:IBW65334 HRV65313:HSA65334 HHZ65313:HIE65334 GYD65313:GYI65334 GOH65313:GOM65334 GEL65313:GEQ65334 FUP65313:FUU65334 FKT65313:FKY65334 FAX65313:FBC65334 ERB65313:ERG65334 EHF65313:EHK65334 DXJ65313:DXO65334 DNN65313:DNS65334 DDR65313:DDW65334 CTV65313:CUA65334 CJZ65313:CKE65334 CAD65313:CAI65334 BQH65313:BQM65334 BGL65313:BGQ65334 AWP65313:AWU65334 AMT65313:AMY65334 ACX65313:ADC65334 TB65313:TG65334 JF65313:JK65334 J65313:O65334 WWF982817:WWM982838 WMJ982817:WMQ982838 WCN982817:WCU982838 VSR982817:VSY982838 VIV982817:VJC982838 UYZ982817:UZG982838 UPD982817:UPK982838 UFH982817:UFO982838 TVL982817:TVS982838 TLP982817:TLW982838 TBT982817:TCA982838 SRX982817:SSE982838 SIB982817:SII982838 RYF982817:RYM982838 ROJ982817:ROQ982838 REN982817:REU982838 QUR982817:QUY982838 QKV982817:QLC982838 QAZ982817:QBG982838 PRD982817:PRK982838 PHH982817:PHO982838 OXL982817:OXS982838 ONP982817:ONW982838 ODT982817:OEA982838 NTX982817:NUE982838 NKB982817:NKI982838 NAF982817:NAM982838 MQJ982817:MQQ982838 MGN982817:MGU982838 LWR982817:LWY982838 LMV982817:LNC982838 LCZ982817:LDG982838 KTD982817:KTK982838 KJH982817:KJO982838 JZL982817:JZS982838 JPP982817:JPW982838 JFT982817:JGA982838 IVX982817:IWE982838 IMB982817:IMI982838 ICF982817:ICM982838 HSJ982817:HSQ982838 HIN982817:HIU982838 GYR982817:GYY982838 GOV982817:GPC982838 GEZ982817:GFG982838 FVD982817:FVK982838 FLH982817:FLO982838 FBL982817:FBS982838 ERP982817:ERW982838 EHT982817:EIA982838 DXX982817:DYE982838 DOB982817:DOI982838 DEF982817:DEM982838 CUJ982817:CUQ982838 CKN982817:CKU982838 CAR982817:CAY982838 BQV982817:BRC982838 BGZ982817:BHG982838 AXD982817:AXK982838 ANH982817:ANO982838 ADL982817:ADS982838 TP982817:TW982838 JT982817:KA982838 X982817:AE982838 WWF917281:WWM917302 WMJ917281:WMQ917302 WCN917281:WCU917302 VSR917281:VSY917302 VIV917281:VJC917302 UYZ917281:UZG917302 UPD917281:UPK917302 UFH917281:UFO917302 TVL917281:TVS917302 TLP917281:TLW917302 TBT917281:TCA917302 SRX917281:SSE917302 SIB917281:SII917302 RYF917281:RYM917302 ROJ917281:ROQ917302 REN917281:REU917302 QUR917281:QUY917302 QKV917281:QLC917302 QAZ917281:QBG917302 PRD917281:PRK917302 PHH917281:PHO917302 OXL917281:OXS917302 ONP917281:ONW917302 ODT917281:OEA917302 NTX917281:NUE917302 NKB917281:NKI917302 NAF917281:NAM917302 MQJ917281:MQQ917302 MGN917281:MGU917302 LWR917281:LWY917302 LMV917281:LNC917302 LCZ917281:LDG917302 KTD917281:KTK917302 KJH917281:KJO917302 JZL917281:JZS917302 JPP917281:JPW917302 JFT917281:JGA917302 IVX917281:IWE917302 IMB917281:IMI917302 ICF917281:ICM917302 HSJ917281:HSQ917302 HIN917281:HIU917302 GYR917281:GYY917302 GOV917281:GPC917302 GEZ917281:GFG917302 FVD917281:FVK917302 FLH917281:FLO917302 FBL917281:FBS917302 ERP917281:ERW917302 EHT917281:EIA917302 DXX917281:DYE917302 DOB917281:DOI917302 DEF917281:DEM917302 CUJ917281:CUQ917302 CKN917281:CKU917302 CAR917281:CAY917302 BQV917281:BRC917302 BGZ917281:BHG917302 AXD917281:AXK917302 ANH917281:ANO917302 ADL917281:ADS917302 TP917281:TW917302 JT917281:KA917302 X917281:AE917302 WWF851745:WWM851766 WMJ851745:WMQ851766 WCN851745:WCU851766 VSR851745:VSY851766 VIV851745:VJC851766 UYZ851745:UZG851766 UPD851745:UPK851766 UFH851745:UFO851766 TVL851745:TVS851766 TLP851745:TLW851766 TBT851745:TCA851766 SRX851745:SSE851766 SIB851745:SII851766 RYF851745:RYM851766 ROJ851745:ROQ851766 REN851745:REU851766 QUR851745:QUY851766 QKV851745:QLC851766 QAZ851745:QBG851766 PRD851745:PRK851766 PHH851745:PHO851766 OXL851745:OXS851766 ONP851745:ONW851766 ODT851745:OEA851766 NTX851745:NUE851766 NKB851745:NKI851766 NAF851745:NAM851766 MQJ851745:MQQ851766 MGN851745:MGU851766 LWR851745:LWY851766 LMV851745:LNC851766 LCZ851745:LDG851766 KTD851745:KTK851766 KJH851745:KJO851766 JZL851745:JZS851766 JPP851745:JPW851766 JFT851745:JGA851766 IVX851745:IWE851766 IMB851745:IMI851766 ICF851745:ICM851766 HSJ851745:HSQ851766 HIN851745:HIU851766 GYR851745:GYY851766 GOV851745:GPC851766 GEZ851745:GFG851766 FVD851745:FVK851766 FLH851745:FLO851766 FBL851745:FBS851766 ERP851745:ERW851766 EHT851745:EIA851766 DXX851745:DYE851766 DOB851745:DOI851766 DEF851745:DEM851766 CUJ851745:CUQ851766 CKN851745:CKU851766 CAR851745:CAY851766 BQV851745:BRC851766 BGZ851745:BHG851766 AXD851745:AXK851766 ANH851745:ANO851766 ADL851745:ADS851766 TP851745:TW851766 JT851745:KA851766 X851745:AE851766 WWF786209:WWM786230 WMJ786209:WMQ786230 WCN786209:WCU786230 VSR786209:VSY786230 VIV786209:VJC786230 UYZ786209:UZG786230 UPD786209:UPK786230 UFH786209:UFO786230 TVL786209:TVS786230 TLP786209:TLW786230 TBT786209:TCA786230 SRX786209:SSE786230 SIB786209:SII786230 RYF786209:RYM786230 ROJ786209:ROQ786230 REN786209:REU786230 QUR786209:QUY786230 QKV786209:QLC786230 QAZ786209:QBG786230 PRD786209:PRK786230 PHH786209:PHO786230 OXL786209:OXS786230 ONP786209:ONW786230 ODT786209:OEA786230 NTX786209:NUE786230 NKB786209:NKI786230 NAF786209:NAM786230 MQJ786209:MQQ786230 MGN786209:MGU786230 LWR786209:LWY786230 LMV786209:LNC786230 LCZ786209:LDG786230 KTD786209:KTK786230 KJH786209:KJO786230 JZL786209:JZS786230 JPP786209:JPW786230 JFT786209:JGA786230 IVX786209:IWE786230 IMB786209:IMI786230 ICF786209:ICM786230 HSJ786209:HSQ786230 HIN786209:HIU786230 GYR786209:GYY786230 GOV786209:GPC786230 GEZ786209:GFG786230 FVD786209:FVK786230 FLH786209:FLO786230 FBL786209:FBS786230 ERP786209:ERW786230 EHT786209:EIA786230 DXX786209:DYE786230 DOB786209:DOI786230 DEF786209:DEM786230 CUJ786209:CUQ786230 CKN786209:CKU786230 CAR786209:CAY786230 BQV786209:BRC786230 BGZ786209:BHG786230 AXD786209:AXK786230 ANH786209:ANO786230 ADL786209:ADS786230 TP786209:TW786230 JT786209:KA786230 X786209:AE786230 WWF720673:WWM720694 WMJ720673:WMQ720694 WCN720673:WCU720694 VSR720673:VSY720694 VIV720673:VJC720694 UYZ720673:UZG720694 UPD720673:UPK720694 UFH720673:UFO720694 TVL720673:TVS720694 TLP720673:TLW720694 TBT720673:TCA720694 SRX720673:SSE720694 SIB720673:SII720694 RYF720673:RYM720694 ROJ720673:ROQ720694 REN720673:REU720694 QUR720673:QUY720694 QKV720673:QLC720694 QAZ720673:QBG720694 PRD720673:PRK720694 PHH720673:PHO720694 OXL720673:OXS720694 ONP720673:ONW720694 ODT720673:OEA720694 NTX720673:NUE720694 NKB720673:NKI720694 NAF720673:NAM720694 MQJ720673:MQQ720694 MGN720673:MGU720694 LWR720673:LWY720694 LMV720673:LNC720694 LCZ720673:LDG720694 KTD720673:KTK720694 KJH720673:KJO720694 JZL720673:JZS720694 JPP720673:JPW720694 JFT720673:JGA720694 IVX720673:IWE720694 IMB720673:IMI720694 ICF720673:ICM720694 HSJ720673:HSQ720694 HIN720673:HIU720694 GYR720673:GYY720694 GOV720673:GPC720694 GEZ720673:GFG720694 FVD720673:FVK720694 FLH720673:FLO720694 FBL720673:FBS720694 ERP720673:ERW720694 EHT720673:EIA720694 DXX720673:DYE720694 DOB720673:DOI720694 DEF720673:DEM720694 CUJ720673:CUQ720694 CKN720673:CKU720694 CAR720673:CAY720694 BQV720673:BRC720694 BGZ720673:BHG720694 AXD720673:AXK720694 ANH720673:ANO720694 ADL720673:ADS720694 TP720673:TW720694 JT720673:KA720694 X720673:AE720694 WWF655137:WWM655158 WMJ655137:WMQ655158 WCN655137:WCU655158 VSR655137:VSY655158 VIV655137:VJC655158 UYZ655137:UZG655158 UPD655137:UPK655158 UFH655137:UFO655158 TVL655137:TVS655158 TLP655137:TLW655158 TBT655137:TCA655158 SRX655137:SSE655158 SIB655137:SII655158 RYF655137:RYM655158 ROJ655137:ROQ655158 REN655137:REU655158 QUR655137:QUY655158 QKV655137:QLC655158 QAZ655137:QBG655158 PRD655137:PRK655158 PHH655137:PHO655158 OXL655137:OXS655158 ONP655137:ONW655158 ODT655137:OEA655158 NTX655137:NUE655158 NKB655137:NKI655158 NAF655137:NAM655158 MQJ655137:MQQ655158 MGN655137:MGU655158 LWR655137:LWY655158 LMV655137:LNC655158 LCZ655137:LDG655158 KTD655137:KTK655158 KJH655137:KJO655158 JZL655137:JZS655158 JPP655137:JPW655158 JFT655137:JGA655158 IVX655137:IWE655158 IMB655137:IMI655158 ICF655137:ICM655158 HSJ655137:HSQ655158 HIN655137:HIU655158 GYR655137:GYY655158 GOV655137:GPC655158 GEZ655137:GFG655158 FVD655137:FVK655158 FLH655137:FLO655158 FBL655137:FBS655158 ERP655137:ERW655158 EHT655137:EIA655158 DXX655137:DYE655158 DOB655137:DOI655158 DEF655137:DEM655158 CUJ655137:CUQ655158 CKN655137:CKU655158 CAR655137:CAY655158 BQV655137:BRC655158 BGZ655137:BHG655158 AXD655137:AXK655158 ANH655137:ANO655158 ADL655137:ADS655158 TP655137:TW655158 JT655137:KA655158 X655137:AE655158 WWF589601:WWM589622 WMJ589601:WMQ589622 WCN589601:WCU589622 VSR589601:VSY589622 VIV589601:VJC589622 UYZ589601:UZG589622 UPD589601:UPK589622 UFH589601:UFO589622 TVL589601:TVS589622 TLP589601:TLW589622 TBT589601:TCA589622 SRX589601:SSE589622 SIB589601:SII589622 RYF589601:RYM589622 ROJ589601:ROQ589622 REN589601:REU589622 QUR589601:QUY589622 QKV589601:QLC589622 QAZ589601:QBG589622 PRD589601:PRK589622 PHH589601:PHO589622 OXL589601:OXS589622 ONP589601:ONW589622 ODT589601:OEA589622 NTX589601:NUE589622 NKB589601:NKI589622 NAF589601:NAM589622 MQJ589601:MQQ589622 MGN589601:MGU589622 LWR589601:LWY589622 LMV589601:LNC589622 LCZ589601:LDG589622 KTD589601:KTK589622 KJH589601:KJO589622 JZL589601:JZS589622 JPP589601:JPW589622 JFT589601:JGA589622 IVX589601:IWE589622 IMB589601:IMI589622 ICF589601:ICM589622 HSJ589601:HSQ589622 HIN589601:HIU589622 GYR589601:GYY589622 GOV589601:GPC589622 GEZ589601:GFG589622 FVD589601:FVK589622 FLH589601:FLO589622 FBL589601:FBS589622 ERP589601:ERW589622 EHT589601:EIA589622 DXX589601:DYE589622 DOB589601:DOI589622 DEF589601:DEM589622 CUJ589601:CUQ589622 CKN589601:CKU589622 CAR589601:CAY589622 BQV589601:BRC589622 BGZ589601:BHG589622 AXD589601:AXK589622 ANH589601:ANO589622 ADL589601:ADS589622 TP589601:TW589622 JT589601:KA589622 X589601:AE589622 WWF524065:WWM524086 WMJ524065:WMQ524086 WCN524065:WCU524086 VSR524065:VSY524086 VIV524065:VJC524086 UYZ524065:UZG524086 UPD524065:UPK524086 UFH524065:UFO524086 TVL524065:TVS524086 TLP524065:TLW524086 TBT524065:TCA524086 SRX524065:SSE524086 SIB524065:SII524086 RYF524065:RYM524086 ROJ524065:ROQ524086 REN524065:REU524086 QUR524065:QUY524086 QKV524065:QLC524086 QAZ524065:QBG524086 PRD524065:PRK524086 PHH524065:PHO524086 OXL524065:OXS524086 ONP524065:ONW524086 ODT524065:OEA524086 NTX524065:NUE524086 NKB524065:NKI524086 NAF524065:NAM524086 MQJ524065:MQQ524086 MGN524065:MGU524086 LWR524065:LWY524086 LMV524065:LNC524086 LCZ524065:LDG524086 KTD524065:KTK524086 KJH524065:KJO524086 JZL524065:JZS524086 JPP524065:JPW524086 JFT524065:JGA524086 IVX524065:IWE524086 IMB524065:IMI524086 ICF524065:ICM524086 HSJ524065:HSQ524086 HIN524065:HIU524086 GYR524065:GYY524086 GOV524065:GPC524086 GEZ524065:GFG524086 FVD524065:FVK524086 FLH524065:FLO524086 FBL524065:FBS524086 ERP524065:ERW524086 EHT524065:EIA524086 DXX524065:DYE524086 DOB524065:DOI524086 DEF524065:DEM524086 CUJ524065:CUQ524086 CKN524065:CKU524086 CAR524065:CAY524086 BQV524065:BRC524086 BGZ524065:BHG524086 AXD524065:AXK524086 ANH524065:ANO524086 ADL524065:ADS524086 TP524065:TW524086 JT524065:KA524086 X524065:AE524086 WWF458529:WWM458550 WMJ458529:WMQ458550 WCN458529:WCU458550 VSR458529:VSY458550 VIV458529:VJC458550 UYZ458529:UZG458550 UPD458529:UPK458550 UFH458529:UFO458550 TVL458529:TVS458550 TLP458529:TLW458550 TBT458529:TCA458550 SRX458529:SSE458550 SIB458529:SII458550 RYF458529:RYM458550 ROJ458529:ROQ458550 REN458529:REU458550 QUR458529:QUY458550 QKV458529:QLC458550 QAZ458529:QBG458550 PRD458529:PRK458550 PHH458529:PHO458550 OXL458529:OXS458550 ONP458529:ONW458550 ODT458529:OEA458550 NTX458529:NUE458550 NKB458529:NKI458550 NAF458529:NAM458550 MQJ458529:MQQ458550 MGN458529:MGU458550 LWR458529:LWY458550 LMV458529:LNC458550 LCZ458529:LDG458550 KTD458529:KTK458550 KJH458529:KJO458550 JZL458529:JZS458550 JPP458529:JPW458550 JFT458529:JGA458550 IVX458529:IWE458550 IMB458529:IMI458550 ICF458529:ICM458550 HSJ458529:HSQ458550 HIN458529:HIU458550 GYR458529:GYY458550 GOV458529:GPC458550 GEZ458529:GFG458550 FVD458529:FVK458550 FLH458529:FLO458550 FBL458529:FBS458550 ERP458529:ERW458550 EHT458529:EIA458550 DXX458529:DYE458550 DOB458529:DOI458550 DEF458529:DEM458550 CUJ458529:CUQ458550 CKN458529:CKU458550 CAR458529:CAY458550 BQV458529:BRC458550 BGZ458529:BHG458550 AXD458529:AXK458550 ANH458529:ANO458550 ADL458529:ADS458550 TP458529:TW458550 JT458529:KA458550 X458529:AE458550 WWF392993:WWM393014 WMJ392993:WMQ393014 WCN392993:WCU393014 VSR392993:VSY393014 VIV392993:VJC393014 UYZ392993:UZG393014 UPD392993:UPK393014 UFH392993:UFO393014 TVL392993:TVS393014 TLP392993:TLW393014 TBT392993:TCA393014 SRX392993:SSE393014 SIB392993:SII393014 RYF392993:RYM393014 ROJ392993:ROQ393014 REN392993:REU393014 QUR392993:QUY393014 QKV392993:QLC393014 QAZ392993:QBG393014 PRD392993:PRK393014 PHH392993:PHO393014 OXL392993:OXS393014 ONP392993:ONW393014 ODT392993:OEA393014 NTX392993:NUE393014 NKB392993:NKI393014 NAF392993:NAM393014 MQJ392993:MQQ393014 MGN392993:MGU393014 LWR392993:LWY393014 LMV392993:LNC393014 LCZ392993:LDG393014 KTD392993:KTK393014 KJH392993:KJO393014 JZL392993:JZS393014 JPP392993:JPW393014 JFT392993:JGA393014 IVX392993:IWE393014 IMB392993:IMI393014 ICF392993:ICM393014 HSJ392993:HSQ393014 HIN392993:HIU393014 GYR392993:GYY393014 GOV392993:GPC393014 GEZ392993:GFG393014 FVD392993:FVK393014 FLH392993:FLO393014 FBL392993:FBS393014 ERP392993:ERW393014 EHT392993:EIA393014 DXX392993:DYE393014 DOB392993:DOI393014 DEF392993:DEM393014 CUJ392993:CUQ393014 CKN392993:CKU393014 CAR392993:CAY393014 BQV392993:BRC393014 BGZ392993:BHG393014 AXD392993:AXK393014 ANH392993:ANO393014 ADL392993:ADS393014 TP392993:TW393014 JT392993:KA393014 X392993:AE393014 WWF327457:WWM327478 WMJ327457:WMQ327478 WCN327457:WCU327478 VSR327457:VSY327478 VIV327457:VJC327478 UYZ327457:UZG327478 UPD327457:UPK327478 UFH327457:UFO327478 TVL327457:TVS327478 TLP327457:TLW327478 TBT327457:TCA327478 SRX327457:SSE327478 SIB327457:SII327478 RYF327457:RYM327478 ROJ327457:ROQ327478 REN327457:REU327478 QUR327457:QUY327478 QKV327457:QLC327478 QAZ327457:QBG327478 PRD327457:PRK327478 PHH327457:PHO327478 OXL327457:OXS327478 ONP327457:ONW327478 ODT327457:OEA327478 NTX327457:NUE327478 NKB327457:NKI327478 NAF327457:NAM327478 MQJ327457:MQQ327478 MGN327457:MGU327478 LWR327457:LWY327478 LMV327457:LNC327478 LCZ327457:LDG327478 KTD327457:KTK327478 KJH327457:KJO327478 JZL327457:JZS327478 JPP327457:JPW327478 JFT327457:JGA327478 IVX327457:IWE327478 IMB327457:IMI327478 ICF327457:ICM327478 HSJ327457:HSQ327478 HIN327457:HIU327478 GYR327457:GYY327478 GOV327457:GPC327478 GEZ327457:GFG327478 FVD327457:FVK327478 FLH327457:FLO327478 FBL327457:FBS327478 ERP327457:ERW327478 EHT327457:EIA327478 DXX327457:DYE327478 DOB327457:DOI327478 DEF327457:DEM327478 CUJ327457:CUQ327478 CKN327457:CKU327478 CAR327457:CAY327478 BQV327457:BRC327478 BGZ327457:BHG327478 AXD327457:AXK327478 ANH327457:ANO327478 ADL327457:ADS327478 TP327457:TW327478 JT327457:KA327478 X327457:AE327478 WWF261921:WWM261942 WMJ261921:WMQ261942 WCN261921:WCU261942 VSR261921:VSY261942 VIV261921:VJC261942 UYZ261921:UZG261942 UPD261921:UPK261942 UFH261921:UFO261942 TVL261921:TVS261942 TLP261921:TLW261942 TBT261921:TCA261942 SRX261921:SSE261942 SIB261921:SII261942 RYF261921:RYM261942 ROJ261921:ROQ261942 REN261921:REU261942 QUR261921:QUY261942 QKV261921:QLC261942 QAZ261921:QBG261942 PRD261921:PRK261942 PHH261921:PHO261942 OXL261921:OXS261942 ONP261921:ONW261942 ODT261921:OEA261942 NTX261921:NUE261942 NKB261921:NKI261942 NAF261921:NAM261942 MQJ261921:MQQ261942 MGN261921:MGU261942 LWR261921:LWY261942 LMV261921:LNC261942 LCZ261921:LDG261942 KTD261921:KTK261942 KJH261921:KJO261942 JZL261921:JZS261942 JPP261921:JPW261942 JFT261921:JGA261942 IVX261921:IWE261942 IMB261921:IMI261942 ICF261921:ICM261942 HSJ261921:HSQ261942 HIN261921:HIU261942 GYR261921:GYY261942 GOV261921:GPC261942 GEZ261921:GFG261942 FVD261921:FVK261942 FLH261921:FLO261942 FBL261921:FBS261942 ERP261921:ERW261942 EHT261921:EIA261942 DXX261921:DYE261942 DOB261921:DOI261942 DEF261921:DEM261942 CUJ261921:CUQ261942 CKN261921:CKU261942 CAR261921:CAY261942 BQV261921:BRC261942 BGZ261921:BHG261942 AXD261921:AXK261942 ANH261921:ANO261942 ADL261921:ADS261942 TP261921:TW261942 JT261921:KA261942 X261921:AE261942 WWF196385:WWM196406 WMJ196385:WMQ196406 WCN196385:WCU196406 VSR196385:VSY196406 VIV196385:VJC196406 UYZ196385:UZG196406 UPD196385:UPK196406 UFH196385:UFO196406 TVL196385:TVS196406 TLP196385:TLW196406 TBT196385:TCA196406 SRX196385:SSE196406 SIB196385:SII196406 RYF196385:RYM196406 ROJ196385:ROQ196406 REN196385:REU196406 QUR196385:QUY196406 QKV196385:QLC196406 QAZ196385:QBG196406 PRD196385:PRK196406 PHH196385:PHO196406 OXL196385:OXS196406 ONP196385:ONW196406 ODT196385:OEA196406 NTX196385:NUE196406 NKB196385:NKI196406 NAF196385:NAM196406 MQJ196385:MQQ196406 MGN196385:MGU196406 LWR196385:LWY196406 LMV196385:LNC196406 LCZ196385:LDG196406 KTD196385:KTK196406 KJH196385:KJO196406 JZL196385:JZS196406 JPP196385:JPW196406 JFT196385:JGA196406 IVX196385:IWE196406 IMB196385:IMI196406 ICF196385:ICM196406 HSJ196385:HSQ196406 HIN196385:HIU196406 GYR196385:GYY196406 GOV196385:GPC196406 GEZ196385:GFG196406 FVD196385:FVK196406 FLH196385:FLO196406 FBL196385:FBS196406 ERP196385:ERW196406 EHT196385:EIA196406 DXX196385:DYE196406 DOB196385:DOI196406 DEF196385:DEM196406 CUJ196385:CUQ196406 CKN196385:CKU196406 CAR196385:CAY196406 BQV196385:BRC196406 BGZ196385:BHG196406 AXD196385:AXK196406 ANH196385:ANO196406 ADL196385:ADS196406 TP196385:TW196406 JT196385:KA196406 X196385:AE196406 WWF130849:WWM130870 WMJ130849:WMQ130870 WCN130849:WCU130870 VSR130849:VSY130870 VIV130849:VJC130870 UYZ130849:UZG130870 UPD130849:UPK130870 UFH130849:UFO130870 TVL130849:TVS130870 TLP130849:TLW130870 TBT130849:TCA130870 SRX130849:SSE130870 SIB130849:SII130870 RYF130849:RYM130870 ROJ130849:ROQ130870 REN130849:REU130870 QUR130849:QUY130870 QKV130849:QLC130870 QAZ130849:QBG130870 PRD130849:PRK130870 PHH130849:PHO130870 OXL130849:OXS130870 ONP130849:ONW130870 ODT130849:OEA130870 NTX130849:NUE130870 NKB130849:NKI130870 NAF130849:NAM130870 MQJ130849:MQQ130870 MGN130849:MGU130870 LWR130849:LWY130870 LMV130849:LNC130870 LCZ130849:LDG130870 KTD130849:KTK130870 KJH130849:KJO130870 JZL130849:JZS130870 JPP130849:JPW130870 JFT130849:JGA130870 IVX130849:IWE130870 IMB130849:IMI130870 ICF130849:ICM130870 HSJ130849:HSQ130870 HIN130849:HIU130870 GYR130849:GYY130870 GOV130849:GPC130870 GEZ130849:GFG130870 FVD130849:FVK130870 FLH130849:FLO130870 FBL130849:FBS130870 ERP130849:ERW130870 EHT130849:EIA130870 DXX130849:DYE130870 DOB130849:DOI130870 DEF130849:DEM130870 CUJ130849:CUQ130870 CKN130849:CKU130870 CAR130849:CAY130870 BQV130849:BRC130870 BGZ130849:BHG130870 AXD130849:AXK130870 ANH130849:ANO130870 ADL130849:ADS130870 TP130849:TW130870 JT130849:KA130870 X130849:AE130870 WWF65313:WWM65334 WMJ65313:WMQ65334 WCN65313:WCU65334 VSR65313:VSY65334 VIV65313:VJC65334 UYZ65313:UZG65334 UPD65313:UPK65334 UFH65313:UFO65334 TVL65313:TVS65334 TLP65313:TLW65334 TBT65313:TCA65334 SRX65313:SSE65334 SIB65313:SII65334 RYF65313:RYM65334 ROJ65313:ROQ65334 REN65313:REU65334 QUR65313:QUY65334 QKV65313:QLC65334 QAZ65313:QBG65334 PRD65313:PRK65334 PHH65313:PHO65334 OXL65313:OXS65334 ONP65313:ONW65334 ODT65313:OEA65334 NTX65313:NUE65334 NKB65313:NKI65334 NAF65313:NAM65334 MQJ65313:MQQ65334 MGN65313:MGU65334 LWR65313:LWY65334 LMV65313:LNC65334 LCZ65313:LDG65334 KTD65313:KTK65334 KJH65313:KJO65334 JZL65313:JZS65334 JPP65313:JPW65334 JFT65313:JGA65334 IVX65313:IWE65334 IMB65313:IMI65334 ICF65313:ICM65334 HSJ65313:HSQ65334 HIN65313:HIU65334 GYR65313:GYY65334 GOV65313:GPC65334 GEZ65313:GFG65334 FVD65313:FVK65334 FLH65313:FLO65334 FBL65313:FBS65334 ERP65313:ERW65334 EHT65313:EIA65334 DXX65313:DYE65334 DOB65313:DOI65334 DEF65313:DEM65334 CUJ65313:CUQ65334 CKN65313:CKU65334 CAR65313:CAY65334 BQV65313:BRC65334 BGZ65313:BHG65334 AXD65313:AXK65334 ANH65313:ANO65334 ADL65313:ADS65334 TP65313:TW65334 JT65313:KA65334 X65313:AE65334" xr:uid="{00000000-0002-0000-0400-000000000000}">
      <formula1>#REF!</formula1>
    </dataValidation>
  </dataValidations>
  <pageMargins left="0.7" right="0.7" top="0.75" bottom="0.75" header="0.3" footer="0.3"/>
  <pageSetup paperSize="9" scale="2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5621b1f977971e7213f36adfb759221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fbb2581ec78a079e9c6e678a132983ef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8EC45D-0100-4B21-99BB-FED83EA559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E5C72D-4EBC-4B0C-8E6E-638F77377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8e4964-1bbc-429e-8942-e88792f4a3c1"/>
    <ds:schemaRef ds:uri="c3f6baff-d587-4c1c-bacf-1fb9fe7661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005654-1BBB-4251-BF42-BDC8B5AF5702}">
  <ds:schemaRefs>
    <ds:schemaRef ds:uri="http://schemas.microsoft.com/office/2006/metadata/properties"/>
    <ds:schemaRef ds:uri="http://schemas.microsoft.com/office/infopath/2007/PartnerControls"/>
    <ds:schemaRef ds:uri="f98e4964-1bbc-429e-8942-e88792f4a3c1"/>
    <ds:schemaRef ds:uri="c3f6baff-d587-4c1c-bacf-1fb9fe7661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表紙</vt:lpstr>
      <vt:lpstr>改版履歴</vt:lpstr>
      <vt:lpstr>バッチ機能定義</vt:lpstr>
      <vt:lpstr>処理詳細</vt:lpstr>
      <vt:lpstr>出力編集仕様</vt:lpstr>
      <vt:lpstr>バッチ機能定義!Print_Area</vt:lpstr>
      <vt:lpstr>出力編集仕様!Print_Area</vt:lpstr>
      <vt:lpstr>処理詳細!Print_Area</vt:lpstr>
    </vt:vector>
  </TitlesOfParts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cp:lastPrinted>2014-03-27T06:32:19Z</cp:lastPrinted>
  <dcterms:created xsi:type="dcterms:W3CDTF">2008-02-29T05:57:29Z</dcterms:created>
  <dcterms:modified xsi:type="dcterms:W3CDTF">2026-05-19T04:48:42Z</dcterms:modified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</Properties>
</file>