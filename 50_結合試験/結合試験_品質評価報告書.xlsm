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project\hrs_環境証明書\50_結合試験\"/>
    </mc:Choice>
  </mc:AlternateContent>
  <xr:revisionPtr revIDLastSave="0" documentId="13_ncr:1_{138C2D53-5FC7-4C5F-85B0-D856D37B3E3D}" xr6:coauthVersionLast="47" xr6:coauthVersionMax="47" xr10:uidLastSave="{00000000-0000-0000-0000-000000000000}"/>
  <bookViews>
    <workbookView xWindow="7125" yWindow="2040" windowWidth="21600" windowHeight="10680" tabRatio="780" xr2:uid="{00000000-000D-0000-FFFF-FFFF00000000}"/>
  </bookViews>
  <sheets>
    <sheet name="使い方" sheetId="6" r:id="rId1"/>
    <sheet name="パラメータ" sheetId="2" r:id="rId2"/>
    <sheet name="品質管理(QC)報告書" sheetId="1" r:id="rId3"/>
  </sheets>
  <functionGroups builtInGroupCount="19"/>
  <definedNames>
    <definedName name="_xlnm.Print_Area" localSheetId="1">パラメータ!$A$1:$Q$36</definedName>
    <definedName name="_xlnm.Print_Area" localSheetId="0">使い方!$A$1:$P$17</definedName>
    <definedName name="_xlnm.Print_Area" localSheetId="2">'品質管理(QC)報告書'!$A$1:$AJ$45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18" i="1" l="1"/>
  <c r="O18" i="1"/>
  <c r="N18" i="1"/>
  <c r="M18" i="1"/>
  <c r="L18" i="1"/>
  <c r="K18" i="1"/>
  <c r="J18" i="1"/>
  <c r="I18" i="1"/>
  <c r="H18" i="1"/>
  <c r="G18" i="1"/>
  <c r="K11" i="1"/>
  <c r="J11" i="1"/>
  <c r="I11" i="1"/>
  <c r="V11" i="1"/>
  <c r="U11" i="1"/>
  <c r="N11" i="1"/>
  <c r="M11" i="1"/>
  <c r="H11" i="1"/>
  <c r="G11" i="1"/>
</calcChain>
</file>

<file path=xl/sharedStrings.xml><?xml version="1.0" encoding="utf-8"?>
<sst xmlns="http://schemas.openxmlformats.org/spreadsheetml/2006/main" count="200" uniqueCount="137">
  <si>
    <t>プロジェクト名</t>
    <rPh sb="6" eb="7">
      <t>メイ</t>
    </rPh>
    <phoneticPr fontId="2"/>
  </si>
  <si>
    <t>報告日</t>
    <rPh sb="0" eb="2">
      <t>ホウコク</t>
    </rPh>
    <rPh sb="2" eb="3">
      <t>ビ</t>
    </rPh>
    <phoneticPr fontId="2"/>
  </si>
  <si>
    <t>S1</t>
    <phoneticPr fontId="2"/>
  </si>
  <si>
    <t>プログラム名</t>
    <rPh sb="5" eb="6">
      <t>メイ</t>
    </rPh>
    <phoneticPr fontId="2"/>
  </si>
  <si>
    <t>論理名</t>
    <rPh sb="0" eb="2">
      <t>ロンリ</t>
    </rPh>
    <rPh sb="2" eb="3">
      <t>メイ</t>
    </rPh>
    <phoneticPr fontId="2"/>
  </si>
  <si>
    <t>実績</t>
    <rPh sb="0" eb="2">
      <t>ジッセキ</t>
    </rPh>
    <phoneticPr fontId="2"/>
  </si>
  <si>
    <t>新規</t>
    <rPh sb="0" eb="2">
      <t>シンキ</t>
    </rPh>
    <phoneticPr fontId="2"/>
  </si>
  <si>
    <t>修正</t>
    <rPh sb="0" eb="2">
      <t>シュウセイ</t>
    </rPh>
    <phoneticPr fontId="2"/>
  </si>
  <si>
    <t>判定</t>
    <rPh sb="0" eb="2">
      <t>ハンテイ</t>
    </rPh>
    <phoneticPr fontId="2"/>
  </si>
  <si>
    <t>品質管理報告書</t>
    <rPh sb="0" eb="2">
      <t>ヒンシツ</t>
    </rPh>
    <rPh sb="2" eb="4">
      <t>カンリ</t>
    </rPh>
    <rPh sb="4" eb="7">
      <t>ホウコクショ</t>
    </rPh>
    <phoneticPr fontId="2"/>
  </si>
  <si>
    <t>担当</t>
    <rPh sb="0" eb="2">
      <t>タントウ</t>
    </rPh>
    <phoneticPr fontId="2"/>
  </si>
  <si>
    <t>計画</t>
    <rPh sb="0" eb="2">
      <t>ケイカク</t>
    </rPh>
    <phoneticPr fontId="2"/>
  </si>
  <si>
    <t>評価対象</t>
    <rPh sb="0" eb="2">
      <t>ヒョウカ</t>
    </rPh>
    <rPh sb="2" eb="4">
      <t>タイショウ</t>
    </rPh>
    <phoneticPr fontId="2"/>
  </si>
  <si>
    <t>試験密度</t>
    <rPh sb="0" eb="2">
      <t>シケン</t>
    </rPh>
    <rPh sb="2" eb="4">
      <t>ミツド</t>
    </rPh>
    <phoneticPr fontId="2"/>
  </si>
  <si>
    <t>製造</t>
    <rPh sb="0" eb="2">
      <t>セイゾウ</t>
    </rPh>
    <phoneticPr fontId="2"/>
  </si>
  <si>
    <t>STEP数</t>
    <rPh sb="4" eb="5">
      <t>スウ</t>
    </rPh>
    <phoneticPr fontId="2"/>
  </si>
  <si>
    <t>流用</t>
    <rPh sb="0" eb="2">
      <t>リュウヨウ</t>
    </rPh>
    <phoneticPr fontId="2"/>
  </si>
  <si>
    <t>備考</t>
    <rPh sb="0" eb="2">
      <t>ビコウ</t>
    </rPh>
    <phoneticPr fontId="2"/>
  </si>
  <si>
    <t>試験</t>
    <rPh sb="0" eb="2">
      <t>シケン</t>
    </rPh>
    <phoneticPr fontId="2"/>
  </si>
  <si>
    <t>計画数</t>
    <rPh sb="0" eb="2">
      <t>ケイカク</t>
    </rPh>
    <rPh sb="2" eb="3">
      <t>スウ</t>
    </rPh>
    <phoneticPr fontId="2"/>
  </si>
  <si>
    <t>不良数</t>
    <rPh sb="0" eb="2">
      <t>フリョウ</t>
    </rPh>
    <rPh sb="2" eb="3">
      <t>スウ</t>
    </rPh>
    <phoneticPr fontId="2"/>
  </si>
  <si>
    <t>密度</t>
    <rPh sb="0" eb="2">
      <t>ミツド</t>
    </rPh>
    <phoneticPr fontId="2"/>
  </si>
  <si>
    <t>誤り</t>
    <rPh sb="0" eb="1">
      <t>アヤマ</t>
    </rPh>
    <phoneticPr fontId="2"/>
  </si>
  <si>
    <t>検出数</t>
    <rPh sb="0" eb="2">
      <t>ケンシュツ</t>
    </rPh>
    <rPh sb="2" eb="3">
      <t>スウ</t>
    </rPh>
    <phoneticPr fontId="2"/>
  </si>
  <si>
    <t>総評価</t>
    <rPh sb="0" eb="1">
      <t>ソウ</t>
    </rPh>
    <rPh sb="1" eb="3">
      <t>ヒョウカ</t>
    </rPh>
    <phoneticPr fontId="2"/>
  </si>
  <si>
    <t>マーク</t>
    <phoneticPr fontId="2"/>
  </si>
  <si>
    <t>ゾーン</t>
    <phoneticPr fontId="2"/>
  </si>
  <si>
    <t>NO</t>
    <phoneticPr fontId="2"/>
  </si>
  <si>
    <t>E1</t>
    <phoneticPr fontId="2"/>
  </si>
  <si>
    <t>判定</t>
    <phoneticPr fontId="2"/>
  </si>
  <si>
    <t>基本設計レビュー指標</t>
    <rPh sb="0" eb="2">
      <t>キホン</t>
    </rPh>
    <rPh sb="2" eb="4">
      <t>セッケイ</t>
    </rPh>
    <rPh sb="8" eb="10">
      <t>シヒョウ</t>
    </rPh>
    <phoneticPr fontId="2"/>
  </si>
  <si>
    <t>件</t>
    <rPh sb="0" eb="1">
      <t>ケン</t>
    </rPh>
    <phoneticPr fontId="2"/>
  </si>
  <si>
    <t>レビュー密度（1ページ当たりの指摘件数）</t>
    <rPh sb="4" eb="6">
      <t>ミツド</t>
    </rPh>
    <rPh sb="11" eb="12">
      <t>ア</t>
    </rPh>
    <rPh sb="15" eb="17">
      <t>シテキ</t>
    </rPh>
    <rPh sb="17" eb="19">
      <t>ケンスウ</t>
    </rPh>
    <phoneticPr fontId="2"/>
  </si>
  <si>
    <t>新規レビュー係数（難易度により付加係数）</t>
    <rPh sb="0" eb="2">
      <t>シンキ</t>
    </rPh>
    <rPh sb="6" eb="8">
      <t>ケイスウ</t>
    </rPh>
    <rPh sb="9" eb="12">
      <t>ナンイド</t>
    </rPh>
    <rPh sb="15" eb="17">
      <t>フカ</t>
    </rPh>
    <rPh sb="17" eb="19">
      <t>ケイスウ</t>
    </rPh>
    <phoneticPr fontId="2"/>
  </si>
  <si>
    <t>修正レビュー係数（難易度により付加係数）</t>
    <rPh sb="0" eb="2">
      <t>シュウセイ</t>
    </rPh>
    <rPh sb="6" eb="8">
      <t>ケイスウ</t>
    </rPh>
    <rPh sb="9" eb="12">
      <t>ナンイド</t>
    </rPh>
    <rPh sb="15" eb="17">
      <t>フカ</t>
    </rPh>
    <rPh sb="17" eb="19">
      <t>ケイスウ</t>
    </rPh>
    <phoneticPr fontId="2"/>
  </si>
  <si>
    <t>（基本は1.00）</t>
  </si>
  <si>
    <t>（基本は1.00）</t>
    <rPh sb="1" eb="3">
      <t>キホン</t>
    </rPh>
    <phoneticPr fontId="2"/>
  </si>
  <si>
    <t>詳細設計レビュー指標</t>
    <rPh sb="0" eb="2">
      <t>ショウサイ</t>
    </rPh>
    <rPh sb="2" eb="4">
      <t>セッケイ</t>
    </rPh>
    <rPh sb="8" eb="10">
      <t>シヒョウ</t>
    </rPh>
    <phoneticPr fontId="2"/>
  </si>
  <si>
    <t>誤り件数</t>
    <rPh sb="0" eb="1">
      <t>アヤマ</t>
    </rPh>
    <rPh sb="2" eb="4">
      <t>ケンスウ</t>
    </rPh>
    <phoneticPr fontId="2"/>
  </si>
  <si>
    <t>単体試験対象換算係数（難易度により付加係数）</t>
    <rPh sb="11" eb="14">
      <t>ナンイド</t>
    </rPh>
    <rPh sb="17" eb="19">
      <t>フカ</t>
    </rPh>
    <rPh sb="19" eb="21">
      <t>ケイスウ</t>
    </rPh>
    <phoneticPr fontId="2"/>
  </si>
  <si>
    <t>（基本は2.00）</t>
    <phoneticPr fontId="2"/>
  </si>
  <si>
    <t>（基本は0.10）</t>
    <phoneticPr fontId="2"/>
  </si>
  <si>
    <t>単体試験（１回目）</t>
    <rPh sb="0" eb="2">
      <t>タンタイ</t>
    </rPh>
    <rPh sb="2" eb="4">
      <t>シケン</t>
    </rPh>
    <rPh sb="6" eb="8">
      <t>カイメ</t>
    </rPh>
    <phoneticPr fontId="2"/>
  </si>
  <si>
    <t>×</t>
  </si>
  <si>
    <t>プロジェクトにより適正値を設定</t>
    <rPh sb="9" eb="11">
      <t>テキセイ</t>
    </rPh>
    <rPh sb="11" eb="12">
      <t>チ</t>
    </rPh>
    <rPh sb="13" eb="15">
      <t>セッテイ</t>
    </rPh>
    <phoneticPr fontId="2"/>
  </si>
  <si>
    <t>（基本は2.00）</t>
    <rPh sb="1" eb="3">
      <t>キホン</t>
    </rPh>
    <phoneticPr fontId="2"/>
  </si>
  <si>
    <t>ZONE設定</t>
    <rPh sb="4" eb="6">
      <t>セッテイ</t>
    </rPh>
    <phoneticPr fontId="2"/>
  </si>
  <si>
    <t>最大基準値</t>
    <rPh sb="0" eb="2">
      <t>サイダイ</t>
    </rPh>
    <rPh sb="2" eb="5">
      <t>キジュンチ</t>
    </rPh>
    <phoneticPr fontId="2"/>
  </si>
  <si>
    <t>試験密度と誤り検出率の基準値から最大基準値を求める係数である。基準値の範囲を広げる場合は、既定値より高い値を入力する。</t>
    <phoneticPr fontId="2"/>
  </si>
  <si>
    <t>収束度</t>
    <rPh sb="0" eb="2">
      <t>シュウソク</t>
    </rPh>
    <rPh sb="2" eb="3">
      <t>ド</t>
    </rPh>
    <phoneticPr fontId="2"/>
  </si>
  <si>
    <t>残存誤りを算出する係数である。試験の完成度が低いと判断した場合は、既定値より低い値を入力する。</t>
  </si>
  <si>
    <t>残存</t>
    <phoneticPr fontId="2"/>
  </si>
  <si>
    <t>△</t>
  </si>
  <si>
    <t>◎</t>
  </si>
  <si>
    <t>⑩</t>
  </si>
  <si>
    <t>⑦</t>
  </si>
  <si>
    <t>①</t>
  </si>
  <si>
    <t>○</t>
  </si>
  <si>
    <t>⑫</t>
  </si>
  <si>
    <t>⑤</t>
  </si>
  <si>
    <t>▲</t>
  </si>
  <si>
    <t>⑥</t>
  </si>
  <si>
    <t>⑨</t>
  </si>
  <si>
    <t>評価（１回目）</t>
    <rPh sb="0" eb="2">
      <t>ヒョウカ</t>
    </rPh>
    <phoneticPr fontId="2"/>
  </si>
  <si>
    <t>評価（２回目）</t>
    <rPh sb="0" eb="2">
      <t>ヒョウカ</t>
    </rPh>
    <phoneticPr fontId="2"/>
  </si>
  <si>
    <t>ゾーン</t>
  </si>
  <si>
    <t>マーク</t>
  </si>
  <si>
    <t>判断と対策</t>
  </si>
  <si>
    <t>②</t>
  </si>
  <si>
    <t>③</t>
  </si>
  <si>
    <t>④</t>
  </si>
  <si>
    <t>⑧</t>
  </si>
  <si>
    <t>⑪</t>
  </si>
  <si>
    <t>④　×</t>
    <phoneticPr fontId="2"/>
  </si>
  <si>
    <t>③　▲</t>
    <phoneticPr fontId="2"/>
  </si>
  <si>
    <t>②　▲</t>
    <phoneticPr fontId="2"/>
  </si>
  <si>
    <t>①　△</t>
    <phoneticPr fontId="2"/>
  </si>
  <si>
    <t>⑧　〇</t>
    <phoneticPr fontId="2"/>
  </si>
  <si>
    <t>⑨　〇</t>
    <phoneticPr fontId="2"/>
  </si>
  <si>
    <t>⑤　△</t>
    <phoneticPr fontId="2"/>
  </si>
  <si>
    <t>⑥　▲</t>
    <phoneticPr fontId="2"/>
  </si>
  <si>
    <t>⑦　△</t>
    <phoneticPr fontId="2"/>
  </si>
  <si>
    <t>⑫　〇</t>
    <phoneticPr fontId="2"/>
  </si>
  <si>
    <t>⑪　〇</t>
    <phoneticPr fontId="2"/>
  </si>
  <si>
    <t>⑩　◎</t>
    <phoneticPr fontId="2"/>
  </si>
  <si>
    <t>合計</t>
    <rPh sb="0" eb="2">
      <t>ゴウケイ</t>
    </rPh>
    <phoneticPr fontId="2"/>
  </si>
  <si>
    <t>項目を追加し強化試験</t>
  </si>
  <si>
    <t>項目を追加し強化試験</t>
    <rPh sb="6" eb="8">
      <t>キョウカ</t>
    </rPh>
    <rPh sb="8" eb="10">
      <t>シケン</t>
    </rPh>
    <phoneticPr fontId="2"/>
  </si>
  <si>
    <t>品質良</t>
    <phoneticPr fontId="2"/>
  </si>
  <si>
    <t>使い方</t>
    <rPh sb="0" eb="1">
      <t>ツカ</t>
    </rPh>
    <rPh sb="2" eb="3">
      <t>カタ</t>
    </rPh>
    <phoneticPr fontId="2"/>
  </si>
  <si>
    <t>1.</t>
    <phoneticPr fontId="2"/>
  </si>
  <si>
    <t>3.</t>
    <phoneticPr fontId="2"/>
  </si>
  <si>
    <t>単体試験の試験項目を作成し、試験を実施する</t>
    <rPh sb="0" eb="2">
      <t>タンタイ</t>
    </rPh>
    <rPh sb="2" eb="4">
      <t>シケン</t>
    </rPh>
    <rPh sb="5" eb="7">
      <t>シケン</t>
    </rPh>
    <rPh sb="7" eb="9">
      <t>コウモク</t>
    </rPh>
    <rPh sb="10" eb="12">
      <t>サクセイ</t>
    </rPh>
    <rPh sb="14" eb="16">
      <t>シケン</t>
    </rPh>
    <rPh sb="17" eb="19">
      <t>ジッシ</t>
    </rPh>
    <phoneticPr fontId="2"/>
  </si>
  <si>
    <t>4.</t>
    <phoneticPr fontId="2"/>
  </si>
  <si>
    <t>評価の方法</t>
    <rPh sb="0" eb="2">
      <t>ヒョウカ</t>
    </rPh>
    <rPh sb="3" eb="5">
      <t>ホウホウ</t>
    </rPh>
    <phoneticPr fontId="2"/>
  </si>
  <si>
    <t>2.</t>
    <phoneticPr fontId="2"/>
  </si>
  <si>
    <t>「シート値反映」ボタン押下で必要な行が自動で作成され、シートの値が転記されます。</t>
    <rPh sb="4" eb="5">
      <t>チ</t>
    </rPh>
    <rPh sb="5" eb="7">
      <t>ハンエイ</t>
    </rPh>
    <rPh sb="11" eb="13">
      <t>オウカ</t>
    </rPh>
    <rPh sb="14" eb="16">
      <t>ヒツヨウ</t>
    </rPh>
    <rPh sb="17" eb="18">
      <t>ギョウ</t>
    </rPh>
    <rPh sb="19" eb="21">
      <t>ジドウ</t>
    </rPh>
    <rPh sb="22" eb="24">
      <t>サクセイ</t>
    </rPh>
    <rPh sb="31" eb="32">
      <t>アタイ</t>
    </rPh>
    <rPh sb="33" eb="35">
      <t>テンキ</t>
    </rPh>
    <phoneticPr fontId="2"/>
  </si>
  <si>
    <t>※この際、既に入力されている値はすべて削除されますので、気を付けて下さい。</t>
    <rPh sb="3" eb="4">
      <t>サイ</t>
    </rPh>
    <rPh sb="5" eb="6">
      <t>スデ</t>
    </rPh>
    <rPh sb="7" eb="9">
      <t>ニュウリョク</t>
    </rPh>
    <rPh sb="14" eb="15">
      <t>アタイ</t>
    </rPh>
    <rPh sb="19" eb="21">
      <t>サクジョ</t>
    </rPh>
    <rPh sb="28" eb="29">
      <t>キ</t>
    </rPh>
    <rPh sb="30" eb="31">
      <t>ツ</t>
    </rPh>
    <rPh sb="33" eb="34">
      <t>クダ</t>
    </rPh>
    <phoneticPr fontId="2"/>
  </si>
  <si>
    <t>「ZONE評価開始」ボタンで単体試験（１回目）の評価がされます。</t>
    <rPh sb="5" eb="7">
      <t>ヒョウカ</t>
    </rPh>
    <rPh sb="7" eb="9">
      <t>カイシ</t>
    </rPh>
    <rPh sb="14" eb="16">
      <t>タンタイ</t>
    </rPh>
    <rPh sb="16" eb="18">
      <t>シケン</t>
    </rPh>
    <rPh sb="20" eb="22">
      <t>カイメ</t>
    </rPh>
    <rPh sb="24" eb="26">
      <t>ヒョウカ</t>
    </rPh>
    <phoneticPr fontId="2"/>
  </si>
  <si>
    <t>障害分析</t>
    <rPh sb="0" eb="2">
      <t>ショウガイ</t>
    </rPh>
    <rPh sb="2" eb="4">
      <t>ブンセキ</t>
    </rPh>
    <phoneticPr fontId="2"/>
  </si>
  <si>
    <t>NO</t>
    <phoneticPr fontId="2"/>
  </si>
  <si>
    <t>S2</t>
    <phoneticPr fontId="2"/>
  </si>
  <si>
    <t>E2</t>
    <phoneticPr fontId="2"/>
  </si>
  <si>
    <t>単体試験（２回目）強化試験</t>
    <rPh sb="0" eb="2">
      <t>タンタイ</t>
    </rPh>
    <rPh sb="2" eb="4">
      <t>シケン</t>
    </rPh>
    <rPh sb="6" eb="8">
      <t>カイメ</t>
    </rPh>
    <rPh sb="9" eb="11">
      <t>キョウカ</t>
    </rPh>
    <rPh sb="11" eb="13">
      <t>シケン</t>
    </rPh>
    <phoneticPr fontId="2"/>
  </si>
  <si>
    <t>障害分析して強化試験</t>
    <rPh sb="0" eb="2">
      <t>ショウガイ</t>
    </rPh>
    <rPh sb="2" eb="4">
      <t>ブンセキ</t>
    </rPh>
    <phoneticPr fontId="2"/>
  </si>
  <si>
    <t>かなり障害分析して強化試験</t>
    <rPh sb="3" eb="5">
      <t>ショウガイ</t>
    </rPh>
    <rPh sb="5" eb="7">
      <t>ブンセキ</t>
    </rPh>
    <phoneticPr fontId="2"/>
  </si>
  <si>
    <t>（1,000Stepあたりの目標値）</t>
    <phoneticPr fontId="2"/>
  </si>
  <si>
    <t>単体試験要領書のフォルダパス</t>
    <rPh sb="0" eb="2">
      <t>タンタイ</t>
    </rPh>
    <rPh sb="2" eb="4">
      <t>シケン</t>
    </rPh>
    <rPh sb="4" eb="7">
      <t>ヨウリョウショ</t>
    </rPh>
    <phoneticPr fontId="2"/>
  </si>
  <si>
    <t>1.</t>
    <phoneticPr fontId="2"/>
  </si>
  <si>
    <t>まずはシート「パラメータ」の35行目のパスを正しい値に変更してください。</t>
    <rPh sb="16" eb="18">
      <t>ギョウメ</t>
    </rPh>
    <rPh sb="22" eb="23">
      <t>タダ</t>
    </rPh>
    <rPh sb="25" eb="26">
      <t>アタイ</t>
    </rPh>
    <rPh sb="27" eb="29">
      <t>ヘンコウ</t>
    </rPh>
    <phoneticPr fontId="2"/>
  </si>
  <si>
    <t>2.</t>
  </si>
  <si>
    <t>3.</t>
  </si>
  <si>
    <t>4.</t>
  </si>
  <si>
    <t>5.</t>
  </si>
  <si>
    <t>上記で設定したパスの中のブック名が『単体試験』で始まるファイルのみ処理する仕様です。</t>
    <rPh sb="0" eb="2">
      <t>ジョウキ</t>
    </rPh>
    <rPh sb="3" eb="5">
      <t>セッテイ</t>
    </rPh>
    <rPh sb="10" eb="11">
      <t>ナカ</t>
    </rPh>
    <rPh sb="15" eb="16">
      <t>メイ</t>
    </rPh>
    <rPh sb="18" eb="20">
      <t>タンタイ</t>
    </rPh>
    <rPh sb="20" eb="22">
      <t>シケン</t>
    </rPh>
    <rPh sb="24" eb="25">
      <t>ハジ</t>
    </rPh>
    <rPh sb="33" eb="35">
      <t>ショリ</t>
    </rPh>
    <rPh sb="37" eb="39">
      <t>シヨウ</t>
    </rPh>
    <phoneticPr fontId="2"/>
  </si>
  <si>
    <t>さらにシート「単体試験」で始めるシートを処理します。</t>
    <rPh sb="7" eb="9">
      <t>タンタイ</t>
    </rPh>
    <rPh sb="9" eb="11">
      <t>シケン</t>
    </rPh>
    <rPh sb="13" eb="14">
      <t>ハジ</t>
    </rPh>
    <rPh sb="20" eb="22">
      <t>ショリ</t>
    </rPh>
    <phoneticPr fontId="2"/>
  </si>
  <si>
    <t>シート「単体試験」の水色の項目をすべて埋める</t>
    <rPh sb="4" eb="6">
      <t>タンタイ</t>
    </rPh>
    <rPh sb="6" eb="8">
      <t>シケン</t>
    </rPh>
    <rPh sb="10" eb="12">
      <t>ミズイロ</t>
    </rPh>
    <rPh sb="13" eb="15">
      <t>コウモク</t>
    </rPh>
    <rPh sb="19" eb="20">
      <t>ウ</t>
    </rPh>
    <phoneticPr fontId="2"/>
  </si>
  <si>
    <t>シート名の先頭がすべて「単体試験」となっているシートを評価します。</t>
    <rPh sb="3" eb="4">
      <t>メイ</t>
    </rPh>
    <rPh sb="5" eb="7">
      <t>セントウ</t>
    </rPh>
    <rPh sb="12" eb="14">
      <t>タンタイ</t>
    </rPh>
    <rPh sb="14" eb="16">
      <t>シケン</t>
    </rPh>
    <rPh sb="27" eb="29">
      <t>ヒョウカ</t>
    </rPh>
    <phoneticPr fontId="2"/>
  </si>
  <si>
    <t>※行を0行にしないで下さい。(1行は残す！）</t>
    <rPh sb="1" eb="2">
      <t>ギョウ</t>
    </rPh>
    <rPh sb="4" eb="5">
      <t>ギョウ</t>
    </rPh>
    <rPh sb="10" eb="11">
      <t>クダ</t>
    </rPh>
    <rPh sb="16" eb="17">
      <t>ギョウ</t>
    </rPh>
    <rPh sb="18" eb="19">
      <t>ノコ</t>
    </rPh>
    <phoneticPr fontId="2"/>
  </si>
  <si>
    <t>※シート値反映は「単体試験」シートに対応しています。</t>
    <rPh sb="4" eb="5">
      <t>チ</t>
    </rPh>
    <rPh sb="5" eb="7">
      <t>ハンエイ</t>
    </rPh>
    <rPh sb="9" eb="11">
      <t>タンタイ</t>
    </rPh>
    <rPh sb="11" eb="13">
      <t>シケン</t>
    </rPh>
    <rPh sb="18" eb="20">
      <t>タイオウ</t>
    </rPh>
    <phoneticPr fontId="2"/>
  </si>
  <si>
    <t>※シート値反映は「強化試験」シートに対応しています。</t>
    <rPh sb="4" eb="5">
      <t>チ</t>
    </rPh>
    <rPh sb="5" eb="7">
      <t>ハンエイ</t>
    </rPh>
    <rPh sb="9" eb="11">
      <t>キョウカ</t>
    </rPh>
    <rPh sb="11" eb="13">
      <t>シケン</t>
    </rPh>
    <rPh sb="18" eb="20">
      <t>タイオウ</t>
    </rPh>
    <phoneticPr fontId="2"/>
  </si>
  <si>
    <t>6.</t>
  </si>
  <si>
    <t>シート「強化試験」で始めるシートは単体試験2回目で処理します。</t>
    <rPh sb="4" eb="6">
      <t>キョウカ</t>
    </rPh>
    <rPh sb="6" eb="8">
      <t>シケン</t>
    </rPh>
    <rPh sb="10" eb="11">
      <t>ハジ</t>
    </rPh>
    <rPh sb="17" eb="19">
      <t>タンタイ</t>
    </rPh>
    <rPh sb="19" eb="21">
      <t>シケン</t>
    </rPh>
    <rPh sb="22" eb="24">
      <t>カイメ</t>
    </rPh>
    <rPh sb="25" eb="27">
      <t>ショリ</t>
    </rPh>
    <phoneticPr fontId="2"/>
  </si>
  <si>
    <t>追加試験が必要だと判断された場合、シート名の先頭が「強化試験」となっているシートを評価し、</t>
    <rPh sb="0" eb="2">
      <t>ツイカ</t>
    </rPh>
    <rPh sb="2" eb="4">
      <t>シケン</t>
    </rPh>
    <rPh sb="5" eb="7">
      <t>ヒツヨウ</t>
    </rPh>
    <rPh sb="9" eb="11">
      <t>ハンダン</t>
    </rPh>
    <rPh sb="14" eb="16">
      <t>バアイ</t>
    </rPh>
    <rPh sb="20" eb="21">
      <t>メイ</t>
    </rPh>
    <rPh sb="22" eb="24">
      <t>セントウ</t>
    </rPh>
    <rPh sb="26" eb="28">
      <t>キョウカ</t>
    </rPh>
    <rPh sb="28" eb="30">
      <t>シケン</t>
    </rPh>
    <rPh sb="41" eb="43">
      <t>ヒョウカ</t>
    </rPh>
    <phoneticPr fontId="2"/>
  </si>
  <si>
    <t>単体試験（２回目）の試験計画数、試験不良数に値が転記され、「ZONE評価開始」ボタン押下で１回目と２回目を合算して評価します。</t>
    <rPh sb="46" eb="48">
      <t>カイメ</t>
    </rPh>
    <rPh sb="50" eb="52">
      <t>カイメ</t>
    </rPh>
    <rPh sb="53" eb="55">
      <t>ガッサン</t>
    </rPh>
    <rPh sb="57" eb="59">
      <t>ヒョウカ</t>
    </rPh>
    <phoneticPr fontId="2"/>
  </si>
  <si>
    <t>これですべて品質良になるようにしてください。</t>
  </si>
  <si>
    <t>総評：</t>
    <rPh sb="0" eb="2">
      <t>ソウヒョウ</t>
    </rPh>
    <phoneticPr fontId="2"/>
  </si>
  <si>
    <t>結合の中央値1.565</t>
    <rPh sb="0" eb="2">
      <t>ケツゴウ</t>
    </rPh>
    <rPh sb="3" eb="6">
      <t>チュウオウチ</t>
    </rPh>
    <phoneticPr fontId="2"/>
  </si>
  <si>
    <t>結合の中央値37.63</t>
    <rPh sb="0" eb="2">
      <t>ケツゴウ</t>
    </rPh>
    <rPh sb="3" eb="6">
      <t>チュウオウチ</t>
    </rPh>
    <phoneticPr fontId="2"/>
  </si>
  <si>
    <t>{application_path}\結合試験要領書兼報告書</t>
    <rPh sb="19" eb="21">
      <t>ケツゴウ</t>
    </rPh>
    <phoneticPr fontId="2"/>
  </si>
  <si>
    <t>結合試験結果指標</t>
    <rPh sb="0" eb="2">
      <t>ケツゴウ</t>
    </rPh>
    <rPh sb="2" eb="4">
      <t>シケン</t>
    </rPh>
    <rPh sb="4" eb="6">
      <t>ケッカ</t>
    </rPh>
    <rPh sb="6" eb="8">
      <t>シヒョウ</t>
    </rPh>
    <phoneticPr fontId="2"/>
  </si>
  <si>
    <t>榎本</t>
  </si>
  <si>
    <t>環境証明書</t>
  </si>
  <si>
    <t>環境証明書</t>
    <rPh sb="0" eb="2">
      <t>カンキョウ</t>
    </rPh>
    <rPh sb="2" eb="5">
      <t>ショウメイショ</t>
    </rPh>
    <phoneticPr fontId="2"/>
  </si>
  <si>
    <t>hrs_envcrt</t>
  </si>
  <si>
    <t>*</t>
  </si>
  <si>
    <t>　試験密度、誤り検出率のゾーン分析結果が全て品質良となっており、品質について問題ないと判断致します。</t>
    <rPh sb="1" eb="3">
      <t>シケン</t>
    </rPh>
    <rPh sb="3" eb="5">
      <t>ミツド</t>
    </rPh>
    <rPh sb="6" eb="7">
      <t>アヤマ</t>
    </rPh>
    <rPh sb="8" eb="10">
      <t>ケンシュツ</t>
    </rPh>
    <rPh sb="10" eb="11">
      <t>リツ</t>
    </rPh>
    <rPh sb="15" eb="17">
      <t>ブンセキ</t>
    </rPh>
    <rPh sb="17" eb="19">
      <t>ケッカ</t>
    </rPh>
    <rPh sb="20" eb="21">
      <t>スベ</t>
    </rPh>
    <rPh sb="22" eb="24">
      <t>ヒンシツ</t>
    </rPh>
    <rPh sb="24" eb="25">
      <t>リョウ</t>
    </rPh>
    <rPh sb="32" eb="34">
      <t>ヒンシツ</t>
    </rPh>
    <rPh sb="38" eb="40">
      <t>モンダイ</t>
    </rPh>
    <rPh sb="43" eb="45">
      <t>ハンダン</t>
    </rPh>
    <rPh sb="45" eb="46">
      <t>イタ</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</si>
</sst>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quot;年&quot;m&quot;月&quot;d&quot;日&quot;;@"/>
    <numFmt numFmtId="177" formatCode="0.00_ "/>
    <numFmt numFmtId="178" formatCode="0_ "/>
    <numFmt numFmtId="179" formatCode="0.00_);[Red]\(0.00\)"/>
  </numFmts>
  <fonts count="26">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b/>
      <sz val="14"/>
      <color theme="1"/>
      <name val="ＭＳ ゴシック"/>
      <family val="3"/>
      <charset val="128"/>
    </font>
    <font>
      <sz val="9"/>
      <color theme="1"/>
      <name val="ＭＳ ゴシック"/>
      <family val="3"/>
      <charset val="128"/>
    </font>
    <font>
      <b/>
      <sz val="9"/>
      <color theme="1"/>
      <name val="ＭＳ ゴシック"/>
      <family val="3"/>
      <charset val="128"/>
    </font>
    <font>
      <b/>
      <u/>
      <sz val="9"/>
      <color theme="1"/>
      <name val="ＭＳ ゴシック"/>
      <family val="3"/>
      <charset val="128"/>
    </font>
    <font>
      <b/>
      <u/>
      <sz val="14"/>
      <color theme="1"/>
      <name val="ＭＳ ゴシック"/>
      <family val="3"/>
      <charset val="128"/>
    </font>
    <font>
      <sz val="9"/>
      <color theme="0" tint="-0.14999847407452621"/>
      <name val="ＭＳ ゴシック"/>
      <family val="3"/>
      <charset val="128"/>
    </font>
    <font>
      <b/>
      <sz val="11"/>
      <color theme="1"/>
      <name val="游ゴシック"/>
      <family val="3"/>
      <charset val="128"/>
      <scheme val="minor"/>
    </font>
    <font>
      <sz val="11"/>
      <name val="ＭＳ Ｐゴシック"/>
      <family val="3"/>
      <charset val="128"/>
    </font>
    <font>
      <sz val="11"/>
      <color indexed="8"/>
      <name val="ＭＳ Ｐゴシック"/>
      <family val="3"/>
      <charset val="128"/>
    </font>
    <font>
      <sz val="11"/>
      <name val="ＭＳ ゴシック"/>
      <family val="3"/>
      <charset val="128"/>
    </font>
    <font>
      <sz val="12"/>
      <name val="新細明體"/>
      <family val="1"/>
    </font>
    <font>
      <sz val="11"/>
      <color theme="1"/>
      <name val="游ゴシック"/>
      <family val="3"/>
      <charset val="128"/>
      <scheme val="minor"/>
    </font>
    <font>
      <b/>
      <sz val="9"/>
      <color rgb="FFFF0000"/>
      <name val="ＭＳ ゴシック"/>
      <family val="3"/>
      <charset val="128"/>
    </font>
    <font>
      <sz val="11"/>
      <name val="明朝"/>
      <family val="3"/>
      <charset val="128"/>
    </font>
    <font>
      <sz val="10"/>
      <name val="ＭＳ Ｐゴシック"/>
      <family val="3"/>
      <charset val="128"/>
    </font>
    <font>
      <b/>
      <sz val="9"/>
      <color theme="0"/>
      <name val="ＭＳ ゴシック"/>
      <family val="3"/>
      <charset val="128"/>
    </font>
    <font>
      <b/>
      <sz val="11"/>
      <color theme="1"/>
      <name val="ＭＳ ゴシック"/>
      <family val="3"/>
      <charset val="128"/>
    </font>
    <font>
      <sz val="11"/>
      <color theme="1"/>
      <name val="ＭＳ ゴシック"/>
      <family val="3"/>
      <charset val="128"/>
    </font>
    <font>
      <b/>
      <sz val="9"/>
      <color theme="1"/>
      <name val="Times New Roman"/>
      <family val="1"/>
    </font>
    <font>
      <sz val="9"/>
      <name val="ＭＳ ゴシック"/>
      <family val="3"/>
      <charset val="128"/>
    </font>
    <font>
      <b/>
      <sz val="9"/>
      <name val="ＭＳ ゴシック"/>
      <family val="3"/>
      <charset val="128"/>
    </font>
    <font>
      <b/>
      <sz val="11"/>
      <name val="ＭＳ Ｐゴシック"/>
      <family val="3"/>
      <charset val="128"/>
    </font>
    <font>
      <sz val="11"/>
      <color rgb="FFFF0000"/>
      <name val="游ゴシック"/>
      <family val="2"/>
      <charset val="128"/>
      <scheme val="minor"/>
    </font>
  </fonts>
  <fills count="15">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0000"/>
        <bgColor indexed="64"/>
      </patternFill>
    </fill>
    <fill>
      <patternFill patternType="solid">
        <fgColor theme="1" tint="0.49998474074526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style="dotted">
        <color indexed="64"/>
      </top>
      <bottom style="medium">
        <color indexed="64"/>
      </bottom>
      <diagonal/>
    </border>
  </borders>
  <cellStyleXfs count="11">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10" fillId="0" borderId="0"/>
    <xf numFmtId="0" fontId="13" fillId="0" borderId="0"/>
    <xf numFmtId="0" fontId="12" fillId="0" borderId="0"/>
    <xf numFmtId="9" fontId="10" fillId="0" borderId="0" applyFont="0" applyFill="0" applyBorder="0" applyAlignment="0" applyProtection="0"/>
    <xf numFmtId="38" fontId="10" fillId="0" borderId="0" applyFont="0" applyFill="0" applyBorder="0" applyAlignment="0" applyProtection="0"/>
    <xf numFmtId="0" fontId="11" fillId="0" borderId="0" applyNumberFormat="0" applyFill="0" applyBorder="0" applyAlignment="0" applyProtection="0">
      <alignment vertical="center"/>
    </xf>
    <xf numFmtId="0" fontId="14" fillId="0" borderId="0">
      <alignment vertical="center"/>
    </xf>
    <xf numFmtId="0" fontId="16" fillId="0" borderId="0"/>
  </cellStyleXfs>
  <cellXfs count="141">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vertical="top"/>
    </xf>
    <xf numFmtId="0" fontId="4" fillId="5" borderId="5" xfId="0" applyFont="1" applyFill="1" applyBorder="1" applyAlignment="1">
      <alignment horizontal="center" vertical="center" wrapText="1"/>
    </xf>
    <xf numFmtId="0" fontId="4" fillId="5" borderId="6" xfId="0" applyFont="1" applyFill="1" applyBorder="1" applyAlignment="1">
      <alignment horizontal="center" vertical="center" wrapText="1"/>
    </xf>
    <xf numFmtId="0" fontId="4" fillId="5" borderId="5" xfId="0" applyFont="1" applyFill="1" applyBorder="1" applyAlignment="1">
      <alignment horizontal="center" vertical="top" wrapText="1"/>
    </xf>
    <xf numFmtId="0" fontId="4" fillId="5" borderId="6" xfId="0" applyFont="1" applyFill="1" applyBorder="1" applyAlignment="1">
      <alignment horizontal="center" vertical="top" wrapText="1"/>
    </xf>
    <xf numFmtId="0" fontId="4" fillId="0" borderId="1" xfId="0" applyFont="1" applyBorder="1" applyAlignment="1">
      <alignment horizontal="center" vertical="center" wrapText="1"/>
    </xf>
    <xf numFmtId="0" fontId="5" fillId="5" borderId="5" xfId="0" applyFont="1" applyFill="1" applyBorder="1" applyAlignment="1">
      <alignment horizontal="center" vertical="top" wrapText="1"/>
    </xf>
    <xf numFmtId="0" fontId="5" fillId="5" borderId="6" xfId="0" applyFont="1" applyFill="1" applyBorder="1" applyAlignment="1">
      <alignment horizontal="center" vertical="top" wrapText="1"/>
    </xf>
    <xf numFmtId="0" fontId="4" fillId="5" borderId="0" xfId="0" applyFont="1" applyFill="1" applyAlignment="1">
      <alignment vertical="top"/>
    </xf>
    <xf numFmtId="0" fontId="4" fillId="5" borderId="5" xfId="0" applyFont="1" applyFill="1" applyBorder="1" applyAlignment="1">
      <alignment vertical="top"/>
    </xf>
    <xf numFmtId="0" fontId="4" fillId="5" borderId="6" xfId="0" applyFont="1" applyFill="1" applyBorder="1" applyAlignment="1">
      <alignment vertical="top"/>
    </xf>
    <xf numFmtId="0" fontId="8" fillId="5" borderId="0" xfId="0" applyFont="1" applyFill="1" applyAlignment="1">
      <alignment vertical="top"/>
    </xf>
    <xf numFmtId="0" fontId="4" fillId="2" borderId="1" xfId="0" applyFont="1" applyFill="1" applyBorder="1">
      <alignment vertical="center"/>
    </xf>
    <xf numFmtId="38" fontId="4" fillId="2" borderId="1" xfId="1" applyFont="1" applyFill="1" applyBorder="1">
      <alignment vertical="center"/>
    </xf>
    <xf numFmtId="0" fontId="5" fillId="6" borderId="2" xfId="0" applyFont="1" applyFill="1" applyBorder="1">
      <alignment vertical="center"/>
    </xf>
    <xf numFmtId="0" fontId="5" fillId="6" borderId="3" xfId="0" applyFont="1" applyFill="1" applyBorder="1">
      <alignment vertical="center"/>
    </xf>
    <xf numFmtId="0" fontId="4" fillId="5" borderId="5" xfId="0" applyFont="1" applyFill="1" applyBorder="1" applyAlignment="1">
      <alignment horizontal="center" vertical="top"/>
    </xf>
    <xf numFmtId="0" fontId="4" fillId="5" borderId="6" xfId="0" applyFont="1" applyFill="1" applyBorder="1" applyAlignment="1">
      <alignment horizontal="center" vertical="top"/>
    </xf>
    <xf numFmtId="0" fontId="8" fillId="5" borderId="6" xfId="0" applyFont="1" applyFill="1" applyBorder="1" applyAlignment="1">
      <alignment horizontal="center" vertical="top"/>
    </xf>
    <xf numFmtId="0" fontId="4" fillId="0" borderId="1" xfId="0" applyFont="1" applyBorder="1" applyAlignment="1">
      <alignment horizontal="center" vertical="center"/>
    </xf>
    <xf numFmtId="0" fontId="9" fillId="5" borderId="0" xfId="0" applyFont="1" applyFill="1">
      <alignment vertical="center"/>
    </xf>
    <xf numFmtId="0" fontId="0" fillId="5" borderId="0" xfId="0" applyFill="1">
      <alignment vertical="center"/>
    </xf>
    <xf numFmtId="2" fontId="0" fillId="5" borderId="0" xfId="0" applyNumberFormat="1" applyFill="1">
      <alignment vertical="center"/>
    </xf>
    <xf numFmtId="0" fontId="5" fillId="3" borderId="2" xfId="0" applyFont="1" applyFill="1" applyBorder="1" applyAlignment="1">
      <alignment horizontal="left" vertical="top"/>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5" fillId="7" borderId="2" xfId="0" applyFont="1" applyFill="1" applyBorder="1">
      <alignment vertical="center"/>
    </xf>
    <xf numFmtId="0" fontId="4" fillId="7" borderId="3" xfId="0" applyFont="1" applyFill="1" applyBorder="1">
      <alignment vertical="center"/>
    </xf>
    <xf numFmtId="0" fontId="4" fillId="7" borderId="3" xfId="0" applyFont="1" applyFill="1" applyBorder="1" applyAlignment="1">
      <alignment horizontal="center" vertical="center"/>
    </xf>
    <xf numFmtId="0" fontId="4" fillId="7" borderId="4" xfId="0" applyFont="1" applyFill="1" applyBorder="1">
      <alignment vertical="center"/>
    </xf>
    <xf numFmtId="0" fontId="5" fillId="8" borderId="2" xfId="0" applyFont="1" applyFill="1" applyBorder="1">
      <alignment vertical="center"/>
    </xf>
    <xf numFmtId="0" fontId="4" fillId="8" borderId="3" xfId="0" applyFont="1" applyFill="1" applyBorder="1">
      <alignment vertical="center"/>
    </xf>
    <xf numFmtId="0" fontId="4" fillId="8" borderId="3" xfId="0" applyFont="1" applyFill="1" applyBorder="1" applyAlignment="1">
      <alignment horizontal="center" vertical="center"/>
    </xf>
    <xf numFmtId="0" fontId="4" fillId="8" borderId="4" xfId="0" applyFont="1" applyFill="1" applyBorder="1">
      <alignment vertical="center"/>
    </xf>
    <xf numFmtId="38" fontId="4" fillId="9" borderId="1" xfId="1" applyFont="1" applyFill="1" applyBorder="1">
      <alignment vertical="center"/>
    </xf>
    <xf numFmtId="177" fontId="4" fillId="9" borderId="1" xfId="0" applyNumberFormat="1" applyFont="1" applyFill="1" applyBorder="1" applyAlignment="1">
      <alignment horizontal="right" vertical="center"/>
    </xf>
    <xf numFmtId="0" fontId="0" fillId="2" borderId="0" xfId="0" applyFill="1">
      <alignment vertical="center"/>
    </xf>
    <xf numFmtId="2" fontId="0" fillId="2" borderId="0" xfId="0" applyNumberFormat="1" applyFill="1">
      <alignment vertical="center"/>
    </xf>
    <xf numFmtId="0" fontId="0" fillId="5" borderId="0" xfId="0" applyFill="1" applyAlignment="1">
      <alignment horizontal="right" vertical="center"/>
    </xf>
    <xf numFmtId="0" fontId="5" fillId="9" borderId="1" xfId="0" applyFont="1" applyFill="1" applyBorder="1" applyAlignment="1">
      <alignment horizontal="right" vertical="center"/>
    </xf>
    <xf numFmtId="9" fontId="0" fillId="2" borderId="0" xfId="2" applyFont="1" applyFill="1">
      <alignment vertical="center"/>
    </xf>
    <xf numFmtId="9" fontId="0" fillId="2" borderId="0" xfId="0" applyNumberFormat="1" applyFill="1">
      <alignment vertical="center"/>
    </xf>
    <xf numFmtId="0" fontId="15" fillId="9" borderId="1" xfId="0" applyFont="1" applyFill="1" applyBorder="1" applyAlignment="1">
      <alignment horizontal="center" vertical="center"/>
    </xf>
    <xf numFmtId="0" fontId="5" fillId="9" borderId="1" xfId="0" applyFont="1" applyFill="1" applyBorder="1" applyAlignment="1">
      <alignment horizontal="center" vertical="center"/>
    </xf>
    <xf numFmtId="0" fontId="4" fillId="5" borderId="16" xfId="0" applyFont="1" applyFill="1" applyBorder="1">
      <alignment vertical="center"/>
    </xf>
    <xf numFmtId="0" fontId="4" fillId="5" borderId="17" xfId="0" applyFont="1" applyFill="1" applyBorder="1">
      <alignment vertical="center"/>
    </xf>
    <xf numFmtId="0" fontId="4" fillId="5" borderId="18" xfId="0" applyFont="1" applyFill="1" applyBorder="1" applyAlignment="1">
      <alignment horizontal="center" vertical="center"/>
    </xf>
    <xf numFmtId="0" fontId="4" fillId="5" borderId="19" xfId="0" applyFont="1" applyFill="1" applyBorder="1">
      <alignment vertical="center"/>
    </xf>
    <xf numFmtId="0" fontId="4" fillId="5" borderId="0" xfId="0" applyFont="1" applyFill="1">
      <alignment vertical="center"/>
    </xf>
    <xf numFmtId="0" fontId="4" fillId="5" borderId="20" xfId="0" applyFont="1" applyFill="1" applyBorder="1" applyAlignment="1">
      <alignment horizontal="center" vertical="center"/>
    </xf>
    <xf numFmtId="0" fontId="4" fillId="5" borderId="19" xfId="0" applyFont="1" applyFill="1" applyBorder="1" applyAlignment="1">
      <alignment horizontal="center" vertical="center"/>
    </xf>
    <xf numFmtId="0" fontId="4" fillId="5" borderId="13" xfId="0" applyFont="1" applyFill="1" applyBorder="1">
      <alignment vertical="center"/>
    </xf>
    <xf numFmtId="0" fontId="4" fillId="5" borderId="14" xfId="0" applyFont="1" applyFill="1" applyBorder="1">
      <alignment vertical="center"/>
    </xf>
    <xf numFmtId="0" fontId="4" fillId="5" borderId="15" xfId="0" applyFont="1" applyFill="1" applyBorder="1" applyAlignment="1">
      <alignment horizontal="center" vertical="center"/>
    </xf>
    <xf numFmtId="0" fontId="4" fillId="5" borderId="5" xfId="0" applyFont="1" applyFill="1" applyBorder="1">
      <alignment vertical="center"/>
    </xf>
    <xf numFmtId="0" fontId="4" fillId="5" borderId="21" xfId="0" applyFont="1" applyFill="1" applyBorder="1">
      <alignment vertical="center"/>
    </xf>
    <xf numFmtId="0" fontId="4" fillId="5" borderId="6" xfId="0" applyFont="1" applyFill="1" applyBorder="1">
      <alignment vertical="center"/>
    </xf>
    <xf numFmtId="0" fontId="4" fillId="5" borderId="21" xfId="0" applyFont="1" applyFill="1" applyBorder="1" applyAlignment="1">
      <alignment horizontal="center" vertical="center"/>
    </xf>
    <xf numFmtId="0" fontId="4" fillId="5" borderId="6" xfId="0" applyFont="1" applyFill="1" applyBorder="1" applyAlignment="1">
      <alignment horizontal="right" vertical="center"/>
    </xf>
    <xf numFmtId="38" fontId="4" fillId="9" borderId="4" xfId="0" applyNumberFormat="1" applyFont="1" applyFill="1" applyBorder="1">
      <alignment vertical="center"/>
    </xf>
    <xf numFmtId="0" fontId="4" fillId="10" borderId="2" xfId="0" applyFont="1" applyFill="1" applyBorder="1" applyAlignment="1">
      <alignment horizontal="left" vertical="center"/>
    </xf>
    <xf numFmtId="0" fontId="4" fillId="10" borderId="3" xfId="0" applyFont="1" applyFill="1" applyBorder="1">
      <alignment vertical="center"/>
    </xf>
    <xf numFmtId="0" fontId="4" fillId="10" borderId="0" xfId="0" applyFont="1" applyFill="1" applyAlignment="1">
      <alignment horizontal="center" vertical="center"/>
    </xf>
    <xf numFmtId="38" fontId="4" fillId="9" borderId="1" xfId="0" applyNumberFormat="1" applyFont="1" applyFill="1" applyBorder="1">
      <alignment vertical="center"/>
    </xf>
    <xf numFmtId="0" fontId="19" fillId="0" borderId="0" xfId="0" applyFont="1" applyAlignment="1">
      <alignment horizontal="left" vertical="center"/>
    </xf>
    <xf numFmtId="0" fontId="20" fillId="0" borderId="0" xfId="0" applyFont="1">
      <alignment vertical="center"/>
    </xf>
    <xf numFmtId="0" fontId="20" fillId="0" borderId="0" xfId="0" quotePrefix="1" applyFont="1" applyAlignment="1">
      <alignment horizontal="left" vertical="top"/>
    </xf>
    <xf numFmtId="0" fontId="19" fillId="0" borderId="0" xfId="0" applyFont="1" applyAlignment="1">
      <alignment horizontal="left" vertical="top"/>
    </xf>
    <xf numFmtId="0" fontId="20" fillId="0" borderId="0" xfId="0" applyFont="1" applyAlignment="1">
      <alignment horizontal="center" vertical="center"/>
    </xf>
    <xf numFmtId="0" fontId="20" fillId="0" borderId="0" xfId="0" quotePrefix="1" applyFont="1" applyAlignment="1">
      <alignment horizontal="center" vertical="top"/>
    </xf>
    <xf numFmtId="0" fontId="20" fillId="0" borderId="0" xfId="0" applyFont="1" applyAlignment="1">
      <alignment horizontal="center" vertical="top"/>
    </xf>
    <xf numFmtId="0" fontId="18" fillId="10" borderId="4" xfId="0" applyFont="1" applyFill="1" applyBorder="1" applyAlignment="1">
      <alignment horizontal="right" vertical="center"/>
    </xf>
    <xf numFmtId="0" fontId="4" fillId="5" borderId="5" xfId="0" applyFont="1" applyFill="1" applyBorder="1" applyAlignment="1">
      <alignment horizontal="center" vertical="center"/>
    </xf>
    <xf numFmtId="0" fontId="4" fillId="5" borderId="0" xfId="0" applyFont="1" applyFill="1" applyAlignment="1">
      <alignment horizontal="center" vertical="center"/>
    </xf>
    <xf numFmtId="0" fontId="4" fillId="5" borderId="6" xfId="0" applyFont="1" applyFill="1" applyBorder="1" applyAlignment="1">
      <alignment horizontal="center" vertical="center"/>
    </xf>
    <xf numFmtId="0" fontId="8" fillId="5" borderId="6" xfId="0" applyFont="1" applyFill="1" applyBorder="1" applyAlignment="1">
      <alignment horizontal="right" vertical="center"/>
    </xf>
    <xf numFmtId="0" fontId="4" fillId="5" borderId="1" xfId="0" applyFont="1" applyFill="1" applyBorder="1" applyAlignment="1">
      <alignment horizontal="center" vertical="center"/>
    </xf>
    <xf numFmtId="0" fontId="4" fillId="4" borderId="5" xfId="0" applyFont="1" applyFill="1" applyBorder="1" applyAlignment="1">
      <alignment vertical="top"/>
    </xf>
    <xf numFmtId="0" fontId="22" fillId="4" borderId="6" xfId="0" applyFont="1" applyFill="1" applyBorder="1" applyAlignment="1">
      <alignment horizontal="left" vertical="center" shrinkToFit="1"/>
    </xf>
    <xf numFmtId="178" fontId="10" fillId="5" borderId="7" xfId="10" applyNumberFormat="1" applyFont="1" applyFill="1" applyBorder="1" applyAlignment="1">
      <alignment horizontal="center"/>
    </xf>
    <xf numFmtId="179" fontId="10" fillId="5" borderId="7" xfId="10" applyNumberFormat="1" applyFont="1" applyFill="1" applyBorder="1" applyAlignment="1">
      <alignment horizontal="centerContinuous"/>
    </xf>
    <xf numFmtId="179" fontId="10" fillId="5" borderId="8" xfId="10" applyNumberFormat="1" applyFont="1" applyFill="1" applyBorder="1" applyAlignment="1">
      <alignment horizontal="centerContinuous"/>
    </xf>
    <xf numFmtId="0" fontId="17" fillId="5" borderId="8" xfId="10" applyFont="1" applyFill="1" applyBorder="1" applyAlignment="1">
      <alignment horizontal="centerContinuous"/>
    </xf>
    <xf numFmtId="0" fontId="10" fillId="5" borderId="9" xfId="10" applyFont="1" applyFill="1" applyBorder="1" applyAlignment="1">
      <alignment horizontal="centerContinuous"/>
    </xf>
    <xf numFmtId="0" fontId="3" fillId="5" borderId="0" xfId="0" applyFont="1" applyFill="1" applyAlignment="1">
      <alignment horizontal="left" vertical="center"/>
    </xf>
    <xf numFmtId="0" fontId="21" fillId="5" borderId="0" xfId="0" applyFont="1" applyFill="1">
      <alignment vertical="center"/>
    </xf>
    <xf numFmtId="0" fontId="5" fillId="5" borderId="0" xfId="0" applyFont="1" applyFill="1">
      <alignment vertical="center"/>
    </xf>
    <xf numFmtId="0" fontId="4" fillId="5" borderId="0" xfId="0" applyFont="1" applyFill="1" applyAlignment="1">
      <alignment horizontal="right"/>
    </xf>
    <xf numFmtId="0" fontId="7" fillId="5" borderId="0" xfId="0" applyFont="1" applyFill="1">
      <alignment vertical="center"/>
    </xf>
    <xf numFmtId="0" fontId="6" fillId="5" borderId="0" xfId="0" applyFont="1" applyFill="1">
      <alignment vertical="center"/>
    </xf>
    <xf numFmtId="0" fontId="4" fillId="5" borderId="0" xfId="0" applyFont="1" applyFill="1" applyAlignment="1">
      <alignment horizontal="right" vertical="center"/>
    </xf>
    <xf numFmtId="176" fontId="4" fillId="5" borderId="0" xfId="0" applyNumberFormat="1" applyFont="1" applyFill="1" applyAlignment="1">
      <alignment horizontal="left" vertical="center"/>
    </xf>
    <xf numFmtId="176" fontId="4" fillId="5" borderId="0" xfId="0" applyNumberFormat="1" applyFont="1" applyFill="1" applyAlignment="1">
      <alignment horizontal="left" vertical="top"/>
    </xf>
    <xf numFmtId="0" fontId="4" fillId="5" borderId="0" xfId="0" applyFont="1" applyFill="1" applyAlignment="1">
      <alignment horizontal="left" vertical="center"/>
    </xf>
    <xf numFmtId="0" fontId="15" fillId="5" borderId="0" xfId="0" applyFont="1" applyFill="1" applyAlignment="1">
      <alignment horizontal="left" vertical="top"/>
    </xf>
    <xf numFmtId="179" fontId="17" fillId="11" borderId="11" xfId="10" applyNumberFormat="1" applyFont="1" applyFill="1" applyBorder="1"/>
    <xf numFmtId="0" fontId="17" fillId="11" borderId="11" xfId="10" applyFont="1" applyFill="1" applyBorder="1" applyAlignment="1">
      <alignment horizontal="center"/>
    </xf>
    <xf numFmtId="0" fontId="10" fillId="11" borderId="12" xfId="10" applyFont="1" applyFill="1" applyBorder="1"/>
    <xf numFmtId="179" fontId="17" fillId="11" borderId="14" xfId="10" applyNumberFormat="1" applyFont="1" applyFill="1" applyBorder="1"/>
    <xf numFmtId="0" fontId="17" fillId="11" borderId="14" xfId="10" applyFont="1" applyFill="1" applyBorder="1" applyAlignment="1">
      <alignment horizontal="center"/>
    </xf>
    <xf numFmtId="0" fontId="10" fillId="11" borderId="15" xfId="10" applyFont="1" applyFill="1" applyBorder="1"/>
    <xf numFmtId="179" fontId="17" fillId="12" borderId="11" xfId="10" applyNumberFormat="1" applyFont="1" applyFill="1" applyBorder="1"/>
    <xf numFmtId="0" fontId="17" fillId="12" borderId="11" xfId="10" applyFont="1" applyFill="1" applyBorder="1" applyAlignment="1">
      <alignment horizontal="center"/>
    </xf>
    <xf numFmtId="0" fontId="10" fillId="12" borderId="12" xfId="10" applyFont="1" applyFill="1" applyBorder="1"/>
    <xf numFmtId="179" fontId="17" fillId="13" borderId="11" xfId="10" applyNumberFormat="1" applyFont="1" applyFill="1" applyBorder="1"/>
    <xf numFmtId="0" fontId="17" fillId="13" borderId="11" xfId="10" applyFont="1" applyFill="1" applyBorder="1" applyAlignment="1">
      <alignment horizontal="center"/>
    </xf>
    <xf numFmtId="0" fontId="10" fillId="13" borderId="12" xfId="10" applyFont="1" applyFill="1" applyBorder="1"/>
    <xf numFmtId="0" fontId="23" fillId="6" borderId="5" xfId="0" applyFont="1" applyFill="1" applyBorder="1" applyAlignment="1">
      <alignment horizontal="center" vertical="top" wrapText="1"/>
    </xf>
    <xf numFmtId="0" fontId="23" fillId="6" borderId="6" xfId="0" applyFont="1" applyFill="1" applyBorder="1" applyAlignment="1">
      <alignment horizontal="center" vertical="top" wrapText="1"/>
    </xf>
    <xf numFmtId="0" fontId="5" fillId="6" borderId="5" xfId="0" applyFont="1" applyFill="1" applyBorder="1" applyAlignment="1">
      <alignment horizontal="center" vertical="top" wrapText="1"/>
    </xf>
    <xf numFmtId="0" fontId="5" fillId="6" borderId="6" xfId="0" applyFont="1" applyFill="1" applyBorder="1" applyAlignment="1">
      <alignment horizontal="center" vertical="top" wrapText="1"/>
    </xf>
    <xf numFmtId="179" fontId="17" fillId="7" borderId="11" xfId="10" applyNumberFormat="1" applyFont="1" applyFill="1" applyBorder="1"/>
    <xf numFmtId="0" fontId="17" fillId="7" borderId="11" xfId="10" applyFont="1" applyFill="1" applyBorder="1" applyAlignment="1">
      <alignment horizontal="center"/>
    </xf>
    <xf numFmtId="0" fontId="10" fillId="7" borderId="12" xfId="10" applyFont="1" applyFill="1" applyBorder="1"/>
    <xf numFmtId="178" fontId="24" fillId="7" borderId="10" xfId="10" applyNumberFormat="1" applyFont="1" applyFill="1" applyBorder="1" applyAlignment="1">
      <alignment horizontal="center"/>
    </xf>
    <xf numFmtId="178" fontId="24" fillId="12" borderId="10" xfId="10" applyNumberFormat="1" applyFont="1" applyFill="1" applyBorder="1" applyAlignment="1">
      <alignment horizontal="center"/>
    </xf>
    <xf numFmtId="178" fontId="24" fillId="13" borderId="10" xfId="10" applyNumberFormat="1" applyFont="1" applyFill="1" applyBorder="1" applyAlignment="1">
      <alignment horizontal="center"/>
    </xf>
    <xf numFmtId="178" fontId="24" fillId="11" borderId="10" xfId="10" applyNumberFormat="1" applyFont="1" applyFill="1" applyBorder="1" applyAlignment="1">
      <alignment horizontal="center"/>
    </xf>
    <xf numFmtId="178" fontId="24" fillId="11" borderId="13" xfId="10" applyNumberFormat="1" applyFont="1" applyFill="1" applyBorder="1" applyAlignment="1">
      <alignment horizontal="center"/>
    </xf>
    <xf numFmtId="179" fontId="24" fillId="7" borderId="10" xfId="10" applyNumberFormat="1" applyFont="1" applyFill="1" applyBorder="1"/>
    <xf numFmtId="179" fontId="24" fillId="12" borderId="10" xfId="10" applyNumberFormat="1" applyFont="1" applyFill="1" applyBorder="1"/>
    <xf numFmtId="179" fontId="24" fillId="13" borderId="10" xfId="10" applyNumberFormat="1" applyFont="1" applyFill="1" applyBorder="1"/>
    <xf numFmtId="179" fontId="24" fillId="11" borderId="10" xfId="10" applyNumberFormat="1" applyFont="1" applyFill="1" applyBorder="1"/>
    <xf numFmtId="179" fontId="24" fillId="11" borderId="22" xfId="10" applyNumberFormat="1" applyFont="1" applyFill="1" applyBorder="1"/>
    <xf numFmtId="0" fontId="4" fillId="14" borderId="0" xfId="0" applyFont="1" applyFill="1" applyAlignment="1">
      <alignment horizontal="center" vertical="center"/>
    </xf>
    <xf numFmtId="0" fontId="4" fillId="14" borderId="0" xfId="0" applyFont="1" applyFill="1">
      <alignment vertical="center"/>
    </xf>
    <xf numFmtId="38" fontId="8" fillId="5" borderId="0" xfId="0" applyNumberFormat="1" applyFont="1" applyFill="1" applyAlignment="1">
      <alignment vertical="top"/>
    </xf>
    <xf numFmtId="38" fontId="4" fillId="5" borderId="0" xfId="0" applyNumberFormat="1" applyFont="1" applyFill="1" applyAlignment="1">
      <alignment horizontal="left" vertical="center"/>
    </xf>
    <xf numFmtId="38" fontId="4" fillId="5" borderId="0" xfId="0" applyNumberFormat="1" applyFont="1" applyFill="1">
      <alignment vertical="center"/>
    </xf>
    <xf numFmtId="0" fontId="19" fillId="0" borderId="0" xfId="0" quotePrefix="1" applyFont="1" applyAlignment="1">
      <alignment horizontal="center" vertical="center"/>
    </xf>
    <xf numFmtId="0" fontId="25" fillId="5" borderId="0" xfId="0" applyFont="1" applyFill="1">
      <alignment vertical="center"/>
    </xf>
    <xf numFmtId="38" fontId="4" fillId="9" borderId="1" xfId="0" applyNumberFormat="1" applyFont="1" applyFill="1" applyBorder="1" applyAlignment="1">
      <alignment horizontal="center" vertical="center"/>
    </xf>
    <xf numFmtId="38" fontId="4" fillId="9" borderId="4" xfId="0" applyNumberFormat="1" applyFont="1" applyFill="1" applyBorder="1" applyAlignment="1">
      <alignment horizontal="center" vertical="center"/>
    </xf>
    <xf numFmtId="0" fontId="0" fillId="4" borderId="0" xfId="0" applyFill="1">
      <alignment vertical="center"/>
    </xf>
    <xf numFmtId="22" fontId="22" fillId="4" borderId="6" xfId="0" applyNumberFormat="1" applyFont="1" applyFill="1" applyBorder="1" applyAlignment="1">
      <alignment horizontal="left" vertical="center" shrinkToFit="1"/>
    </xf>
    <xf numFmtId="22" fontId="4" fillId="5" borderId="0" xfId="0" applyNumberFormat="1" applyFont="1" applyFill="1">
      <alignment vertical="center"/>
    </xf>
    <xf numFmtId="38" fontId="4" fillId="9" borderId="1" xfId="1" applyFont="1" applyFill="1" applyBorder="1" applyAlignment="1">
      <alignment horizontal="center" vertical="center"/>
    </xf>
    <xf numFmtId="0" fontId="3" fillId="0" borderId="0" xfId="0" applyFont="1" applyAlignment="1">
      <alignment horizontal="left" vertical="center"/>
    </xf>
  </cellXfs>
  <cellStyles count="11">
    <cellStyle name="9" xfId="4" xr:uid="{00000000-0005-0000-0000-000000000000}"/>
    <cellStyle name="Normal_02_samp海外旅費システム業務フロー" xfId="5" xr:uid="{00000000-0005-0000-0000-000001000000}"/>
    <cellStyle name="パーセント" xfId="2" builtinId="5"/>
    <cellStyle name="パーセント 2" xfId="6" xr:uid="{00000000-0005-0000-0000-000003000000}"/>
    <cellStyle name="桁区切り" xfId="1" builtinId="6"/>
    <cellStyle name="桁区切り 2" xfId="7" xr:uid="{00000000-0005-0000-0000-000005000000}"/>
    <cellStyle name="標準" xfId="0" builtinId="0"/>
    <cellStyle name="標準 2" xfId="8" xr:uid="{00000000-0005-0000-0000-000007000000}"/>
    <cellStyle name="標準 3" xfId="9" xr:uid="{00000000-0005-0000-0000-000008000000}"/>
    <cellStyle name="標準 4" xfId="3" xr:uid="{00000000-0005-0000-0000-000009000000}"/>
    <cellStyle name="標準_品質評価一覧表_品質評価一覧表 (2)" xfId="10" xr:uid="{00000000-0005-0000-0000-00000A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95250</xdr:colOff>
          <xdr:row>1</xdr:row>
          <xdr:rowOff>95250</xdr:rowOff>
        </xdr:from>
        <xdr:to>
          <xdr:col>13</xdr:col>
          <xdr:colOff>314325</xdr:colOff>
          <xdr:row>3</xdr:row>
          <xdr:rowOff>133350</xdr:rowOff>
        </xdr:to>
        <xdr:sp macro="" textlink="">
          <xdr:nvSpPr>
            <xdr:cNvPr id="1026" name="btn_Zone"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xdr:row>
          <xdr:rowOff>95250</xdr:rowOff>
        </xdr:from>
        <xdr:to>
          <xdr:col>10</xdr:col>
          <xdr:colOff>38100</xdr:colOff>
          <xdr:row>4</xdr:row>
          <xdr:rowOff>9525</xdr:rowOff>
        </xdr:to>
        <xdr:sp macro="" textlink="">
          <xdr:nvSpPr>
            <xdr:cNvPr id="1027" name="btn_Ref"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284550</xdr:colOff>
      <xdr:row>20</xdr:row>
      <xdr:rowOff>96454</xdr:rowOff>
    </xdr:from>
    <xdr:to>
      <xdr:col>17</xdr:col>
      <xdr:colOff>284550</xdr:colOff>
      <xdr:row>23</xdr:row>
      <xdr:rowOff>70040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a:xfrm flipH="1" flipV="1">
          <a:off x="11378374" y="2298410"/>
          <a:ext cx="0" cy="461042"/>
        </a:xfrm>
        <a:prstGeom prst="straightConnector1">
          <a:avLst/>
        </a:prstGeom>
        <a:ln w="38100">
          <a:solidFill>
            <a:schemeClr val="accent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81491</xdr:colOff>
      <xdr:row>23</xdr:row>
      <xdr:rowOff>120065</xdr:rowOff>
    </xdr:from>
    <xdr:ext cx="420693" cy="797654"/>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11298579" y="4092551"/>
          <a:ext cx="420693" cy="7976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eaVert" wrap="none" rtlCol="0" anchor="t">
          <a:spAutoFit/>
        </a:bodyPr>
        <a:lstStyle/>
        <a:p>
          <a:r>
            <a:rPr kumimoji="1" lang="ja-JP" altLang="en-US" sz="1100" b="1"/>
            <a:t>誤り検出率</a:t>
          </a:r>
        </a:p>
      </xdr:txBody>
    </xdr:sp>
    <xdr:clientData/>
  </xdr:oneCellAnchor>
  <xdr:twoCellAnchor>
    <xdr:from>
      <xdr:col>19</xdr:col>
      <xdr:colOff>326571</xdr:colOff>
      <xdr:row>30</xdr:row>
      <xdr:rowOff>65233</xdr:rowOff>
    </xdr:from>
    <xdr:to>
      <xdr:col>20</xdr:col>
      <xdr:colOff>428624</xdr:colOff>
      <xdr:row>30</xdr:row>
      <xdr:rowOff>65233</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a:xfrm>
          <a:off x="12574600" y="3892042"/>
          <a:ext cx="712775" cy="0"/>
        </a:xfrm>
        <a:prstGeom prst="straightConnector1">
          <a:avLst/>
        </a:prstGeom>
        <a:ln w="38100">
          <a:solidFill>
            <a:srgbClr val="00B05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121105</xdr:colOff>
      <xdr:row>29</xdr:row>
      <xdr:rowOff>65233</xdr:rowOff>
    </xdr:from>
    <xdr:ext cx="748923" cy="328423"/>
    <xdr:sp macro="" textlink="">
      <xdr:nvSpPr>
        <xdr:cNvPr id="10" name="テキスト ボックス 9">
          <a:extLst>
            <a:ext uri="{FF2B5EF4-FFF2-40B4-BE49-F238E27FC236}">
              <a16:creationId xmlns:a16="http://schemas.microsoft.com/office/drawing/2014/main" id="{00000000-0008-0000-0200-00000A000000}"/>
            </a:ext>
          </a:extLst>
        </xdr:cNvPr>
        <xdr:cNvSpPr txBox="1"/>
      </xdr:nvSpPr>
      <xdr:spPr>
        <a:xfrm>
          <a:off x="11792032" y="3729557"/>
          <a:ext cx="748923"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試験密度</a:t>
          </a:r>
        </a:p>
      </xdr:txBody>
    </xdr:sp>
    <xdr:clientData/>
  </xdr:oneCellAnchor>
  <xdr:twoCellAnchor>
    <xdr:from>
      <xdr:col>18</xdr:col>
      <xdr:colOff>6803</xdr:colOff>
      <xdr:row>20</xdr:row>
      <xdr:rowOff>4141</xdr:rowOff>
    </xdr:from>
    <xdr:to>
      <xdr:col>21</xdr:col>
      <xdr:colOff>0</xdr:colOff>
      <xdr:row>28</xdr:row>
      <xdr:rowOff>160623</xdr:rowOff>
    </xdr:to>
    <xdr:cxnSp macro="">
      <xdr:nvCxnSpPr>
        <xdr:cNvPr id="13" name="直線コネクタ 12">
          <a:extLst>
            <a:ext uri="{FF2B5EF4-FFF2-40B4-BE49-F238E27FC236}">
              <a16:creationId xmlns:a16="http://schemas.microsoft.com/office/drawing/2014/main" id="{00000000-0008-0000-0200-00000D000000}"/>
            </a:ext>
          </a:extLst>
        </xdr:cNvPr>
        <xdr:cNvCxnSpPr/>
      </xdr:nvCxnSpPr>
      <xdr:spPr>
        <a:xfrm flipV="1">
          <a:off x="11668716" y="2170044"/>
          <a:ext cx="1753252" cy="1448569"/>
        </a:xfrm>
        <a:prstGeom prst="line">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E17"/>
  <sheetViews>
    <sheetView tabSelected="1" view="pageBreakPreview" zoomScale="85" zoomScaleNormal="70" zoomScaleSheetLayoutView="85" workbookViewId="0">
      <selection activeCell="C46" sqref="C46"/>
    </sheetView>
  </sheetViews>
  <sheetFormatPr defaultColWidth="9" defaultRowHeight="18.75"/>
  <cols>
    <col min="1" max="1" width="3.25" customWidth="1"/>
    <col min="3" max="3" width="11.5" customWidth="1"/>
  </cols>
  <sheetData>
    <row r="1" spans="1:5">
      <c r="A1" s="67" t="s">
        <v>89</v>
      </c>
      <c r="B1" s="68"/>
      <c r="C1" s="68"/>
      <c r="D1" s="68"/>
      <c r="E1" s="68"/>
    </row>
    <row r="2" spans="1:5">
      <c r="A2" s="132" t="s">
        <v>108</v>
      </c>
      <c r="B2" s="68" t="s">
        <v>109</v>
      </c>
      <c r="C2" s="68"/>
      <c r="D2" s="68"/>
      <c r="E2" s="68"/>
    </row>
    <row r="3" spans="1:5">
      <c r="A3" s="132" t="s">
        <v>110</v>
      </c>
      <c r="B3" s="68" t="s">
        <v>114</v>
      </c>
      <c r="C3" s="68"/>
      <c r="D3" s="68"/>
      <c r="E3" s="68"/>
    </row>
    <row r="4" spans="1:5">
      <c r="A4" s="132" t="s">
        <v>111</v>
      </c>
      <c r="B4" s="68" t="s">
        <v>115</v>
      </c>
      <c r="C4" s="68"/>
      <c r="D4" s="68"/>
      <c r="E4" s="68"/>
    </row>
    <row r="5" spans="1:5">
      <c r="A5" s="132" t="s">
        <v>112</v>
      </c>
      <c r="B5" s="68" t="s">
        <v>116</v>
      </c>
      <c r="C5" s="68"/>
      <c r="D5" s="68"/>
      <c r="E5" s="68"/>
    </row>
    <row r="6" spans="1:5">
      <c r="A6" s="132" t="s">
        <v>113</v>
      </c>
      <c r="B6" s="68" t="s">
        <v>92</v>
      </c>
      <c r="C6" s="68"/>
      <c r="D6" s="68"/>
      <c r="E6" s="68"/>
    </row>
    <row r="7" spans="1:5">
      <c r="A7" s="132" t="s">
        <v>121</v>
      </c>
      <c r="B7" s="68" t="s">
        <v>122</v>
      </c>
      <c r="C7" s="68"/>
      <c r="D7" s="68"/>
      <c r="E7" s="68"/>
    </row>
    <row r="8" spans="1:5">
      <c r="A8" s="69"/>
      <c r="B8" s="68"/>
      <c r="C8" s="68"/>
      <c r="D8" s="68"/>
      <c r="E8" s="68"/>
    </row>
    <row r="9" spans="1:5">
      <c r="A9" s="70" t="s">
        <v>94</v>
      </c>
      <c r="B9" s="68"/>
      <c r="C9" s="68"/>
      <c r="D9" s="68"/>
      <c r="E9" s="68"/>
    </row>
    <row r="10" spans="1:5">
      <c r="A10" s="72" t="s">
        <v>90</v>
      </c>
      <c r="B10" s="68" t="s">
        <v>117</v>
      </c>
      <c r="C10" s="68"/>
      <c r="D10" s="68"/>
      <c r="E10" s="68"/>
    </row>
    <row r="11" spans="1:5">
      <c r="A11" s="72" t="s">
        <v>95</v>
      </c>
      <c r="B11" s="68" t="s">
        <v>96</v>
      </c>
      <c r="C11" s="68"/>
      <c r="D11" s="68"/>
      <c r="E11" s="68"/>
    </row>
    <row r="12" spans="1:5">
      <c r="A12" s="73"/>
      <c r="B12" s="68" t="s">
        <v>97</v>
      </c>
      <c r="C12" s="68"/>
      <c r="D12" s="68"/>
      <c r="E12" s="68"/>
    </row>
    <row r="13" spans="1:5">
      <c r="A13" s="72" t="s">
        <v>91</v>
      </c>
      <c r="B13" s="68" t="s">
        <v>98</v>
      </c>
      <c r="C13" s="68"/>
      <c r="D13" s="68"/>
      <c r="E13" s="68"/>
    </row>
    <row r="14" spans="1:5">
      <c r="A14" s="72" t="s">
        <v>93</v>
      </c>
      <c r="B14" s="68" t="s">
        <v>123</v>
      </c>
      <c r="C14" s="71"/>
      <c r="D14" s="68"/>
      <c r="E14" s="71"/>
    </row>
    <row r="15" spans="1:5">
      <c r="A15" s="73"/>
      <c r="B15" s="68" t="s">
        <v>124</v>
      </c>
      <c r="C15" s="68"/>
      <c r="D15" s="68"/>
      <c r="E15" s="68"/>
    </row>
    <row r="16" spans="1:5">
      <c r="A16" s="71"/>
      <c r="B16" s="68" t="s">
        <v>125</v>
      </c>
      <c r="C16" s="68"/>
      <c r="D16" s="68"/>
      <c r="E16" s="68"/>
    </row>
    <row r="17" spans="1:5">
      <c r="A17" s="71"/>
      <c r="B17" s="68"/>
      <c r="C17" s="68"/>
      <c r="D17" s="68"/>
      <c r="E17" s="68"/>
    </row>
  </sheetData>
  <phoneticPr fontId="2"/>
  <pageMargins left="0.7" right="0.7" top="0.75" bottom="0.75" header="0.3" footer="0.3"/>
  <pageSetup paperSize="9" scale="71"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Q36"/>
  <sheetViews>
    <sheetView view="pageBreakPreview" topLeftCell="A18" zoomScale="85" zoomScaleNormal="70" zoomScaleSheetLayoutView="85" workbookViewId="0">
      <selection activeCell="C24" sqref="C24"/>
    </sheetView>
  </sheetViews>
  <sheetFormatPr defaultColWidth="9" defaultRowHeight="18.75"/>
  <cols>
    <col min="1" max="1" width="3.875" style="24" customWidth="1"/>
    <col min="2" max="16384" width="9" style="24"/>
  </cols>
  <sheetData>
    <row r="1" spans="2:7" hidden="1"/>
    <row r="2" spans="2:7" hidden="1">
      <c r="B2" s="23" t="s">
        <v>30</v>
      </c>
    </row>
    <row r="3" spans="2:7" hidden="1">
      <c r="C3" s="24" t="s">
        <v>32</v>
      </c>
    </row>
    <row r="4" spans="2:7" hidden="1">
      <c r="C4" s="39">
        <v>0.1</v>
      </c>
      <c r="D4" s="24" t="s">
        <v>31</v>
      </c>
    </row>
    <row r="5" spans="2:7" hidden="1">
      <c r="C5" s="24" t="s">
        <v>33</v>
      </c>
    </row>
    <row r="6" spans="2:7" hidden="1">
      <c r="C6" s="40">
        <v>1</v>
      </c>
      <c r="D6" s="24" t="s">
        <v>36</v>
      </c>
      <c r="G6" s="24" t="s">
        <v>44</v>
      </c>
    </row>
    <row r="7" spans="2:7" hidden="1">
      <c r="C7" s="24" t="s">
        <v>34</v>
      </c>
    </row>
    <row r="8" spans="2:7" hidden="1">
      <c r="C8" s="40">
        <v>2</v>
      </c>
      <c r="D8" s="24" t="s">
        <v>45</v>
      </c>
      <c r="G8" s="24" t="s">
        <v>44</v>
      </c>
    </row>
    <row r="9" spans="2:7" hidden="1">
      <c r="C9" s="25"/>
    </row>
    <row r="10" spans="2:7" hidden="1">
      <c r="B10" s="23" t="s">
        <v>37</v>
      </c>
    </row>
    <row r="11" spans="2:7" hidden="1">
      <c r="C11" s="24" t="s">
        <v>32</v>
      </c>
    </row>
    <row r="12" spans="2:7" hidden="1">
      <c r="C12" s="39">
        <v>0.14000000000000001</v>
      </c>
      <c r="D12" s="24" t="s">
        <v>31</v>
      </c>
    </row>
    <row r="13" spans="2:7" hidden="1">
      <c r="C13" s="24" t="s">
        <v>33</v>
      </c>
    </row>
    <row r="14" spans="2:7" hidden="1">
      <c r="C14" s="40">
        <v>1</v>
      </c>
      <c r="D14" s="24" t="s">
        <v>36</v>
      </c>
      <c r="G14" s="24" t="s">
        <v>44</v>
      </c>
    </row>
    <row r="15" spans="2:7" hidden="1">
      <c r="C15" s="24" t="s">
        <v>34</v>
      </c>
    </row>
    <row r="16" spans="2:7" hidden="1">
      <c r="C16" s="40">
        <v>2</v>
      </c>
      <c r="D16" s="24" t="s">
        <v>45</v>
      </c>
      <c r="G16" s="24" t="s">
        <v>44</v>
      </c>
    </row>
    <row r="17" spans="2:7" hidden="1">
      <c r="C17" s="25"/>
    </row>
    <row r="18" spans="2:7">
      <c r="B18" s="23" t="s">
        <v>130</v>
      </c>
    </row>
    <row r="19" spans="2:7">
      <c r="C19" s="24" t="s">
        <v>13</v>
      </c>
      <c r="D19" s="24" t="s">
        <v>106</v>
      </c>
    </row>
    <row r="20" spans="2:7">
      <c r="C20" s="39">
        <v>35</v>
      </c>
      <c r="D20" s="24" t="s">
        <v>31</v>
      </c>
      <c r="E20" s="24" t="s">
        <v>128</v>
      </c>
    </row>
    <row r="21" spans="2:7">
      <c r="C21" s="24" t="s">
        <v>38</v>
      </c>
      <c r="D21" s="24" t="s">
        <v>106</v>
      </c>
    </row>
    <row r="22" spans="2:7">
      <c r="C22" s="39">
        <v>2</v>
      </c>
      <c r="D22" s="24" t="s">
        <v>31</v>
      </c>
      <c r="E22" s="24" t="s">
        <v>127</v>
      </c>
    </row>
    <row r="23" spans="2:7">
      <c r="C23" s="24" t="s">
        <v>39</v>
      </c>
    </row>
    <row r="24" spans="2:7">
      <c r="C24" s="41" t="s">
        <v>6</v>
      </c>
      <c r="D24" s="40">
        <v>1</v>
      </c>
      <c r="E24" s="24" t="s">
        <v>35</v>
      </c>
      <c r="G24" s="24" t="s">
        <v>44</v>
      </c>
    </row>
    <row r="25" spans="2:7">
      <c r="C25" s="41" t="s">
        <v>7</v>
      </c>
      <c r="D25" s="40">
        <v>1</v>
      </c>
      <c r="E25" s="24" t="s">
        <v>40</v>
      </c>
      <c r="G25" s="24" t="s">
        <v>44</v>
      </c>
    </row>
    <row r="26" spans="2:7">
      <c r="C26" s="41" t="s">
        <v>16</v>
      </c>
      <c r="D26" s="40">
        <v>0.1</v>
      </c>
      <c r="E26" s="24" t="s">
        <v>41</v>
      </c>
      <c r="G26" s="24" t="s">
        <v>44</v>
      </c>
    </row>
    <row r="28" spans="2:7">
      <c r="B28" s="23" t="s">
        <v>46</v>
      </c>
    </row>
    <row r="29" spans="2:7">
      <c r="C29" s="24" t="s">
        <v>47</v>
      </c>
    </row>
    <row r="30" spans="2:7">
      <c r="C30" s="43">
        <v>1.3</v>
      </c>
      <c r="E30" s="24" t="s">
        <v>48</v>
      </c>
    </row>
    <row r="31" spans="2:7">
      <c r="C31" s="24" t="s">
        <v>49</v>
      </c>
    </row>
    <row r="32" spans="2:7">
      <c r="C32" s="44">
        <v>0.85</v>
      </c>
      <c r="E32" s="24" t="s">
        <v>50</v>
      </c>
    </row>
    <row r="34" spans="2:17">
      <c r="B34" s="23" t="s">
        <v>107</v>
      </c>
    </row>
    <row r="35" spans="2:17">
      <c r="C35" s="136" t="s">
        <v>129</v>
      </c>
      <c r="D35" s="136"/>
      <c r="E35" s="136"/>
      <c r="F35" s="136"/>
      <c r="G35" s="136"/>
      <c r="H35" s="136"/>
      <c r="I35" s="136"/>
      <c r="J35" s="136"/>
      <c r="K35" s="136"/>
      <c r="L35" s="136"/>
      <c r="M35" s="136"/>
      <c r="N35" s="136"/>
      <c r="O35" s="136"/>
      <c r="P35" s="136"/>
      <c r="Q35" s="136"/>
    </row>
    <row r="36" spans="2:17">
      <c r="C36" s="133"/>
    </row>
  </sheetData>
  <phoneticPr fontId="2"/>
  <pageMargins left="0.7" right="0.7" top="0.75" bottom="0.75" header="0.3" footer="0.3"/>
  <pageSetup paperSize="9" scale="73"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L33"/>
  <sheetViews>
    <sheetView showGridLines="0" view="pageBreakPreview" zoomScaleNormal="100" zoomScaleSheetLayoutView="100" workbookViewId="0">
      <selection activeCell="J17" sqref="J17"/>
    </sheetView>
  </sheetViews>
  <sheetFormatPr defaultColWidth="9" defaultRowHeight="11.25"/>
  <cols>
    <col min="1" max="1" width="2.25" style="51" customWidth="1"/>
    <col min="2" max="2" width="3.125" style="2" customWidth="1"/>
    <col min="3" max="3" width="12.75" style="1" customWidth="1"/>
    <col min="4" max="4" width="24.25" style="1" customWidth="1"/>
    <col min="5" max="5" width="6.25" style="1" customWidth="1"/>
    <col min="6" max="6" width="10.375" style="1" customWidth="1"/>
    <col min="7" max="15" width="7.625" style="1" customWidth="1"/>
    <col min="16" max="16" width="7.625" style="2" customWidth="1"/>
    <col min="17" max="23" width="7.625" style="1" customWidth="1"/>
    <col min="24" max="24" width="7.625" style="2" customWidth="1"/>
    <col min="25" max="25" width="7.625" style="2" hidden="1" customWidth="1"/>
    <col min="26" max="31" width="7.625" style="2" customWidth="1"/>
    <col min="32" max="33" width="7.625" style="1" customWidth="1"/>
    <col min="34" max="34" width="7.625" style="2" customWidth="1"/>
    <col min="35" max="38" width="7.625" style="1" customWidth="1"/>
    <col min="39" max="16384" width="9" style="1"/>
  </cols>
  <sheetData>
    <row r="1" spans="1:38" ht="17.25">
      <c r="B1" s="87" t="s">
        <v>9</v>
      </c>
      <c r="C1" s="51"/>
      <c r="D1" s="51"/>
      <c r="E1" s="51"/>
      <c r="F1" s="51"/>
      <c r="G1" s="51"/>
      <c r="H1" s="88"/>
      <c r="I1" s="51"/>
      <c r="J1" s="51"/>
      <c r="K1" s="51"/>
      <c r="L1" s="51"/>
      <c r="M1" s="51"/>
      <c r="N1" s="51"/>
      <c r="O1" s="51"/>
      <c r="P1" s="76"/>
      <c r="Q1" s="51"/>
      <c r="R1" s="51"/>
      <c r="S1" s="51"/>
      <c r="T1" s="51"/>
      <c r="U1" s="51"/>
      <c r="V1" s="51"/>
      <c r="W1" s="51"/>
      <c r="X1" s="76"/>
      <c r="Y1" s="76"/>
      <c r="Z1" s="76"/>
      <c r="AA1" s="76"/>
      <c r="AB1" s="76"/>
      <c r="AC1" s="76"/>
      <c r="AD1" s="76"/>
      <c r="AE1" s="76"/>
      <c r="AF1" s="51"/>
      <c r="AG1" s="51"/>
      <c r="AH1" s="76"/>
      <c r="AI1" s="51"/>
      <c r="AJ1" s="51"/>
      <c r="AK1" s="51"/>
      <c r="AL1" s="51"/>
    </row>
    <row r="2" spans="1:38">
      <c r="B2" s="76"/>
      <c r="C2" s="89"/>
      <c r="D2" s="51"/>
      <c r="E2" s="51"/>
      <c r="F2" s="51"/>
      <c r="G2" s="51"/>
      <c r="H2" s="51"/>
      <c r="I2" s="51"/>
      <c r="J2" s="51"/>
      <c r="K2" s="51"/>
      <c r="L2" s="51"/>
      <c r="M2" s="51"/>
      <c r="N2" s="51"/>
      <c r="O2" s="51"/>
      <c r="P2" s="76"/>
      <c r="Q2" s="51"/>
      <c r="R2" s="51"/>
      <c r="S2" s="51"/>
      <c r="T2" s="51"/>
      <c r="U2" s="51"/>
      <c r="V2" s="51"/>
      <c r="W2" s="51"/>
      <c r="X2" s="76"/>
      <c r="Y2" s="76"/>
      <c r="Z2" s="76"/>
      <c r="AA2" s="76"/>
      <c r="AB2" s="76"/>
      <c r="AC2" s="76"/>
      <c r="AD2" s="76"/>
      <c r="AE2" s="76"/>
      <c r="AF2" s="51"/>
      <c r="AG2" s="51"/>
      <c r="AH2" s="76"/>
      <c r="AI2" s="51"/>
      <c r="AJ2" s="51"/>
      <c r="AK2" s="51"/>
      <c r="AL2" s="51"/>
    </row>
    <row r="3" spans="1:38" ht="17.25">
      <c r="B3" s="76"/>
      <c r="C3" s="90" t="s">
        <v>0</v>
      </c>
      <c r="D3" s="91" t="s">
        <v>133</v>
      </c>
      <c r="E3" s="91"/>
      <c r="F3" s="92"/>
      <c r="G3" s="51"/>
      <c r="H3" s="51"/>
      <c r="I3" s="51"/>
      <c r="J3" s="51"/>
      <c r="K3" s="51"/>
      <c r="L3" s="51"/>
      <c r="M3" s="51"/>
      <c r="N3" s="51"/>
      <c r="O3" s="51"/>
      <c r="P3" s="76"/>
      <c r="Q3" s="51"/>
      <c r="R3" s="51"/>
      <c r="S3" s="51"/>
      <c r="T3" s="51"/>
      <c r="U3" s="51"/>
      <c r="V3" s="51"/>
      <c r="W3" s="51"/>
      <c r="X3" s="76"/>
      <c r="Y3" s="76"/>
      <c r="Z3" s="76"/>
      <c r="AA3" s="76"/>
      <c r="AB3" s="76"/>
      <c r="AC3" s="76"/>
      <c r="AD3" s="76"/>
      <c r="AE3" s="76"/>
      <c r="AF3" s="51"/>
      <c r="AG3" s="51"/>
      <c r="AH3" s="76"/>
      <c r="AI3" s="51"/>
      <c r="AJ3" s="51"/>
      <c r="AK3" s="51"/>
      <c r="AL3" s="51"/>
    </row>
    <row r="4" spans="1:38">
      <c r="B4" s="76"/>
      <c r="C4" s="93" t="s">
        <v>1</v>
      </c>
      <c r="D4" s="94">
        <v>46212</v>
      </c>
      <c r="E4" s="94"/>
      <c r="F4" s="94"/>
      <c r="G4" s="51"/>
      <c r="H4" s="51"/>
      <c r="I4" s="51"/>
      <c r="J4" s="51"/>
      <c r="K4" s="51"/>
      <c r="L4" s="51"/>
      <c r="M4" s="51"/>
      <c r="N4" s="51"/>
      <c r="O4" s="51"/>
      <c r="P4" s="76"/>
      <c r="Q4" s="51"/>
      <c r="R4" s="51"/>
      <c r="S4" s="51"/>
      <c r="T4" s="51"/>
      <c r="U4" s="51"/>
      <c r="V4" s="51"/>
      <c r="W4" s="51"/>
      <c r="X4" s="76"/>
      <c r="Y4" s="76"/>
      <c r="Z4" s="76"/>
      <c r="AA4" s="76"/>
      <c r="AB4" s="76"/>
      <c r="AC4" s="76"/>
      <c r="AD4" s="76"/>
      <c r="AE4" s="76"/>
      <c r="AF4" s="51"/>
      <c r="AG4" s="51"/>
      <c r="AH4" s="76"/>
      <c r="AI4" s="51"/>
      <c r="AJ4" s="51"/>
      <c r="AK4" s="51"/>
      <c r="AL4" s="51"/>
    </row>
    <row r="5" spans="1:38">
      <c r="B5" s="76"/>
      <c r="C5" s="51"/>
      <c r="D5" s="51"/>
      <c r="E5" s="51"/>
      <c r="F5" s="51"/>
      <c r="G5" s="51"/>
      <c r="H5" s="51"/>
      <c r="I5" s="51"/>
      <c r="J5" s="51"/>
      <c r="K5" s="51"/>
      <c r="L5" s="51"/>
      <c r="M5" s="51"/>
      <c r="N5" s="51"/>
      <c r="O5" s="51"/>
      <c r="P5" s="76"/>
      <c r="Q5" s="51"/>
      <c r="R5" s="51"/>
      <c r="S5" s="51"/>
      <c r="T5" s="51"/>
      <c r="U5" s="51" t="s">
        <v>119</v>
      </c>
      <c r="V5" s="51"/>
      <c r="W5" s="51"/>
      <c r="X5" s="76"/>
      <c r="Y5" s="76"/>
      <c r="Z5" s="76"/>
      <c r="AA5" s="76"/>
      <c r="AB5" s="76"/>
      <c r="AC5" s="51" t="s">
        <v>120</v>
      </c>
      <c r="AE5" s="76"/>
      <c r="AF5" s="51"/>
      <c r="AG5" s="95"/>
      <c r="AH5" s="76"/>
      <c r="AI5" s="51"/>
      <c r="AJ5" s="51"/>
      <c r="AK5" s="51"/>
      <c r="AL5" s="51"/>
    </row>
    <row r="6" spans="1:38">
      <c r="B6" s="97" t="s">
        <v>118</v>
      </c>
      <c r="C6" s="51"/>
      <c r="D6" s="51"/>
      <c r="E6" s="51"/>
      <c r="F6" s="51"/>
      <c r="G6" s="51"/>
      <c r="H6" s="51"/>
      <c r="I6" s="26" t="s">
        <v>14</v>
      </c>
      <c r="J6" s="27"/>
      <c r="K6" s="27"/>
      <c r="L6" s="28"/>
      <c r="M6" s="33" t="s">
        <v>42</v>
      </c>
      <c r="N6" s="34"/>
      <c r="O6" s="35"/>
      <c r="P6" s="34"/>
      <c r="Q6" s="36"/>
      <c r="R6" s="17" t="s">
        <v>63</v>
      </c>
      <c r="S6" s="18"/>
      <c r="T6" s="18"/>
      <c r="U6" s="29" t="s">
        <v>103</v>
      </c>
      <c r="V6" s="30"/>
      <c r="W6" s="31"/>
      <c r="X6" s="30"/>
      <c r="Y6" s="32"/>
      <c r="Z6" s="17" t="s">
        <v>64</v>
      </c>
      <c r="AA6" s="18"/>
      <c r="AB6" s="18"/>
      <c r="AC6" s="51"/>
      <c r="AD6" s="1"/>
      <c r="AE6" s="1"/>
      <c r="AH6" s="1"/>
    </row>
    <row r="7" spans="1:38" s="3" customFormat="1">
      <c r="A7" s="11"/>
      <c r="B7" s="19" t="s">
        <v>27</v>
      </c>
      <c r="C7" s="12" t="s">
        <v>3</v>
      </c>
      <c r="D7" s="12" t="s">
        <v>4</v>
      </c>
      <c r="E7" s="12" t="s">
        <v>10</v>
      </c>
      <c r="F7" s="12" t="s">
        <v>17</v>
      </c>
      <c r="G7" s="8" t="s">
        <v>11</v>
      </c>
      <c r="H7" s="8" t="s">
        <v>5</v>
      </c>
      <c r="I7" s="6" t="s">
        <v>6</v>
      </c>
      <c r="J7" s="6" t="s">
        <v>7</v>
      </c>
      <c r="K7" s="6" t="s">
        <v>16</v>
      </c>
      <c r="L7" s="9" t="s">
        <v>12</v>
      </c>
      <c r="M7" s="4" t="s">
        <v>18</v>
      </c>
      <c r="N7" s="4" t="s">
        <v>18</v>
      </c>
      <c r="O7" s="4" t="s">
        <v>18</v>
      </c>
      <c r="P7" s="4" t="s">
        <v>22</v>
      </c>
      <c r="Q7" s="4"/>
      <c r="R7" s="110" t="s">
        <v>24</v>
      </c>
      <c r="S7" s="110"/>
      <c r="T7" s="19" t="s">
        <v>51</v>
      </c>
      <c r="U7" s="4" t="s">
        <v>18</v>
      </c>
      <c r="V7" s="4" t="s">
        <v>18</v>
      </c>
      <c r="W7" s="4" t="s">
        <v>18</v>
      </c>
      <c r="X7" s="4" t="s">
        <v>22</v>
      </c>
      <c r="Y7" s="4" t="s">
        <v>8</v>
      </c>
      <c r="Z7" s="112" t="s">
        <v>24</v>
      </c>
      <c r="AA7" s="112"/>
      <c r="AB7" s="19" t="s">
        <v>51</v>
      </c>
      <c r="AC7" s="51"/>
    </row>
    <row r="8" spans="1:38" s="3" customFormat="1">
      <c r="A8" s="14" t="s">
        <v>2</v>
      </c>
      <c r="B8" s="21"/>
      <c r="C8" s="13"/>
      <c r="D8" s="13"/>
      <c r="E8" s="13"/>
      <c r="F8" s="13"/>
      <c r="G8" s="8" t="s">
        <v>15</v>
      </c>
      <c r="H8" s="8" t="s">
        <v>15</v>
      </c>
      <c r="I8" s="7" t="s">
        <v>15</v>
      </c>
      <c r="J8" s="7" t="s">
        <v>15</v>
      </c>
      <c r="K8" s="7" t="s">
        <v>15</v>
      </c>
      <c r="L8" s="10" t="s">
        <v>15</v>
      </c>
      <c r="M8" s="5" t="s">
        <v>19</v>
      </c>
      <c r="N8" s="5" t="s">
        <v>20</v>
      </c>
      <c r="O8" s="5" t="s">
        <v>21</v>
      </c>
      <c r="P8" s="5" t="s">
        <v>23</v>
      </c>
      <c r="Q8" s="5" t="s">
        <v>29</v>
      </c>
      <c r="R8" s="111" t="s">
        <v>25</v>
      </c>
      <c r="S8" s="111" t="s">
        <v>26</v>
      </c>
      <c r="T8" s="20" t="s">
        <v>22</v>
      </c>
      <c r="U8" s="5" t="s">
        <v>19</v>
      </c>
      <c r="V8" s="5" t="s">
        <v>20</v>
      </c>
      <c r="W8" s="5" t="s">
        <v>21</v>
      </c>
      <c r="X8" s="5" t="s">
        <v>23</v>
      </c>
      <c r="Y8" s="5"/>
      <c r="Z8" s="113" t="s">
        <v>25</v>
      </c>
      <c r="AA8" s="113" t="s">
        <v>26</v>
      </c>
      <c r="AB8" s="20" t="s">
        <v>22</v>
      </c>
      <c r="AC8" s="51"/>
    </row>
    <row r="9" spans="1:38">
      <c r="B9" s="22">
        <v>1</v>
      </c>
      <c r="C9" s="15" t="s">
        <v>134</v>
      </c>
      <c r="D9" s="15" t="s">
        <v>132</v>
      </c>
      <c r="E9" s="15" t="s">
        <v>131</v>
      </c>
      <c r="F9" s="15"/>
      <c r="G9" s="16">
        <v>4500</v>
      </c>
      <c r="H9" s="37">
        <v>4913</v>
      </c>
      <c r="I9" s="16">
        <v>4913</v>
      </c>
      <c r="J9" s="16">
        <v>0</v>
      </c>
      <c r="K9" s="16">
        <v>0</v>
      </c>
      <c r="L9" s="42">
        <v>4913</v>
      </c>
      <c r="M9" s="16">
        <v>201</v>
      </c>
      <c r="N9" s="16">
        <v>0</v>
      </c>
      <c r="O9" s="38">
        <v>40.911866476694485</v>
      </c>
      <c r="P9" s="38">
        <v>0</v>
      </c>
      <c r="Q9" s="139" t="s">
        <v>52</v>
      </c>
      <c r="R9" s="45" t="s">
        <v>57</v>
      </c>
      <c r="S9" s="46" t="s">
        <v>71</v>
      </c>
      <c r="T9" s="45" t="s">
        <v>135</v>
      </c>
      <c r="U9" s="16"/>
      <c r="V9" s="16"/>
      <c r="W9" s="38"/>
      <c r="X9" s="38"/>
      <c r="Y9" s="139"/>
      <c r="Z9" s="45"/>
      <c r="AA9" s="46"/>
      <c r="AB9" s="45"/>
      <c r="AC9" s="51"/>
      <c r="AD9" s="1"/>
      <c r="AE9" s="1"/>
      <c r="AH9" s="1"/>
    </row>
    <row r="10" spans="1:38">
      <c r="B10" s="22"/>
      <c r="C10" s="15"/>
      <c r="D10" s="15"/>
      <c r="E10" s="15"/>
      <c r="F10" s="15"/>
      <c r="G10" s="16"/>
      <c r="H10" s="37"/>
      <c r="I10" s="16"/>
      <c r="J10" s="16"/>
      <c r="K10" s="16"/>
      <c r="L10" s="42"/>
      <c r="M10" s="16"/>
      <c r="N10" s="16"/>
      <c r="O10" s="38"/>
      <c r="P10" s="38"/>
      <c r="Q10" s="139"/>
      <c r="R10" s="45"/>
      <c r="S10" s="46"/>
      <c r="T10" s="45"/>
      <c r="U10" s="16"/>
      <c r="V10" s="16"/>
      <c r="W10" s="38"/>
      <c r="X10" s="38"/>
      <c r="Y10" s="139"/>
      <c r="Z10" s="45"/>
      <c r="AA10" s="46"/>
      <c r="AB10" s="45"/>
      <c r="AC10" s="51"/>
      <c r="AD10" s="1"/>
      <c r="AE10" s="1"/>
      <c r="AH10" s="1"/>
    </row>
    <row r="11" spans="1:38">
      <c r="A11" s="14" t="s">
        <v>28</v>
      </c>
      <c r="B11" s="63"/>
      <c r="C11" s="64"/>
      <c r="D11" s="64"/>
      <c r="E11" s="64"/>
      <c r="F11" s="74" t="s">
        <v>85</v>
      </c>
      <c r="G11" s="62">
        <f>SUM($G$9:$G$10)</f>
        <v>4500</v>
      </c>
      <c r="H11" s="62">
        <f>SUM($H$9:$H$10)</f>
        <v>4913</v>
      </c>
      <c r="I11" s="66">
        <f>SUM($I$9:$I$10)</f>
        <v>4913</v>
      </c>
      <c r="J11" s="66">
        <f>SUM($J$9:$J$10)</f>
        <v>0</v>
      </c>
      <c r="K11" s="66">
        <f>SUM($K$9:$K$10)</f>
        <v>0</v>
      </c>
      <c r="L11" s="65"/>
      <c r="M11" s="66">
        <f>SUM($M$9:$M$10)</f>
        <v>201</v>
      </c>
      <c r="N11" s="66">
        <f>SUM($N$9:$N$10)</f>
        <v>0</v>
      </c>
      <c r="O11" s="65"/>
      <c r="P11" s="65"/>
      <c r="Q11" s="65"/>
      <c r="R11" s="65"/>
      <c r="S11" s="65"/>
      <c r="T11" s="65"/>
      <c r="U11" s="66">
        <f>SUM($U$9:$U$10)</f>
        <v>0</v>
      </c>
      <c r="V11" s="66">
        <f>SUM($V$9:$V$10)</f>
        <v>0</v>
      </c>
      <c r="W11" s="65"/>
      <c r="X11" s="65"/>
      <c r="Y11" s="65"/>
      <c r="Z11" s="65"/>
      <c r="AA11" s="65"/>
      <c r="AB11" s="65"/>
      <c r="AC11" s="51"/>
      <c r="AD11" s="1"/>
      <c r="AE11" s="1"/>
      <c r="AH11" s="1"/>
    </row>
    <row r="12" spans="1:38">
      <c r="A12" s="14"/>
      <c r="B12" s="96"/>
      <c r="C12" s="51"/>
      <c r="D12" s="14"/>
      <c r="E12" s="96"/>
      <c r="F12" s="51"/>
      <c r="G12" s="129"/>
      <c r="H12" s="130"/>
      <c r="I12" s="51"/>
      <c r="J12" s="14"/>
      <c r="K12" s="96"/>
      <c r="L12" s="51"/>
      <c r="M12" s="14"/>
      <c r="N12" s="96"/>
      <c r="O12" s="51"/>
      <c r="P12" s="14"/>
      <c r="Q12" s="96"/>
      <c r="R12" s="51"/>
      <c r="S12" s="14"/>
      <c r="T12" s="96"/>
      <c r="U12" s="131"/>
      <c r="V12" s="129"/>
      <c r="W12" s="96"/>
      <c r="X12" s="51"/>
      <c r="Y12" s="14"/>
      <c r="Z12" s="96"/>
      <c r="AA12" s="51"/>
      <c r="AB12" s="14"/>
      <c r="AC12" s="130"/>
      <c r="AD12" s="131"/>
      <c r="AE12" s="14"/>
      <c r="AF12" s="96"/>
      <c r="AG12" s="51"/>
      <c r="AH12" s="14"/>
      <c r="AI12" s="96"/>
      <c r="AJ12" s="51"/>
      <c r="AK12" s="51"/>
      <c r="AL12" s="51"/>
    </row>
    <row r="13" spans="1:38" ht="17.25">
      <c r="A13" s="14"/>
      <c r="B13" s="87" t="s">
        <v>99</v>
      </c>
      <c r="C13" s="51"/>
      <c r="D13" s="51"/>
      <c r="E13" s="51"/>
      <c r="F13" s="51"/>
      <c r="G13" s="51"/>
      <c r="H13" s="51"/>
      <c r="I13" s="51"/>
      <c r="J13" s="51"/>
      <c r="K13" s="51"/>
      <c r="L13" s="51"/>
      <c r="M13" s="51"/>
      <c r="N13" s="51"/>
      <c r="O13" s="51"/>
      <c r="P13" s="76"/>
      <c r="Q13" s="51"/>
      <c r="R13" s="51"/>
      <c r="S13" s="51"/>
      <c r="T13" s="51"/>
      <c r="U13" s="51"/>
      <c r="V13" s="51"/>
      <c r="W13" s="51"/>
      <c r="X13" s="76"/>
      <c r="Y13" s="76"/>
      <c r="Z13" s="76"/>
      <c r="AA13" s="76"/>
      <c r="AB13" s="76"/>
      <c r="AC13" s="76"/>
      <c r="AD13" s="76"/>
      <c r="AE13" s="76"/>
      <c r="AF13" s="51"/>
      <c r="AG13" s="51"/>
      <c r="AH13" s="76"/>
      <c r="AI13" s="51"/>
      <c r="AJ13" s="51"/>
      <c r="AK13" s="51"/>
      <c r="AL13" s="51"/>
    </row>
    <row r="14" spans="1:38">
      <c r="A14" s="14"/>
      <c r="B14" s="75" t="s">
        <v>100</v>
      </c>
      <c r="C14" s="12" t="s">
        <v>3</v>
      </c>
      <c r="D14" s="12" t="s">
        <v>4</v>
      </c>
      <c r="E14" s="12" t="s">
        <v>10</v>
      </c>
      <c r="F14" s="12" t="s">
        <v>17</v>
      </c>
      <c r="G14" s="80"/>
      <c r="H14" s="80"/>
      <c r="I14" s="80"/>
      <c r="J14" s="80"/>
      <c r="K14" s="80"/>
      <c r="L14" s="80"/>
      <c r="M14" s="80"/>
      <c r="N14" s="80"/>
      <c r="O14" s="80"/>
      <c r="P14" s="80"/>
      <c r="Q14" s="51"/>
      <c r="R14" s="51"/>
      <c r="S14" s="51"/>
      <c r="T14" s="51"/>
      <c r="U14" s="51"/>
      <c r="V14" s="51"/>
      <c r="W14" s="51"/>
      <c r="X14" s="76"/>
      <c r="Y14" s="76"/>
      <c r="Z14" s="76"/>
      <c r="AA14" s="76"/>
      <c r="AB14" s="76"/>
      <c r="AC14" s="76"/>
      <c r="AD14" s="76"/>
      <c r="AE14" s="76"/>
      <c r="AF14" s="51"/>
      <c r="AG14" s="51"/>
      <c r="AH14" s="76"/>
      <c r="AI14" s="51"/>
      <c r="AJ14" s="51"/>
      <c r="AK14" s="51"/>
      <c r="AL14" s="51"/>
    </row>
    <row r="15" spans="1:38">
      <c r="A15" s="14" t="s">
        <v>101</v>
      </c>
      <c r="B15" s="77"/>
      <c r="C15" s="59"/>
      <c r="D15" s="59"/>
      <c r="E15" s="59"/>
      <c r="F15" s="78"/>
      <c r="G15" s="81"/>
      <c r="H15" s="81"/>
      <c r="I15" s="81"/>
      <c r="J15" s="81"/>
      <c r="K15" s="81"/>
      <c r="L15" s="81"/>
      <c r="M15" s="81"/>
      <c r="N15" s="137"/>
      <c r="O15" s="137"/>
      <c r="P15" s="81"/>
      <c r="Q15" s="138"/>
      <c r="R15" s="138"/>
      <c r="S15" s="51"/>
      <c r="T15" s="138"/>
      <c r="U15" s="138"/>
      <c r="V15" s="138"/>
      <c r="W15" s="138"/>
      <c r="X15" s="76"/>
      <c r="Y15" s="76"/>
      <c r="Z15" s="76"/>
      <c r="AA15" s="76"/>
      <c r="AB15" s="76"/>
      <c r="AC15" s="76"/>
      <c r="AD15" s="76"/>
      <c r="AE15" s="76"/>
      <c r="AF15" s="51"/>
      <c r="AG15" s="51"/>
      <c r="AH15" s="76"/>
      <c r="AI15" s="51"/>
      <c r="AJ15" s="51"/>
      <c r="AK15" s="51"/>
      <c r="AL15" s="51"/>
    </row>
    <row r="16" spans="1:38">
      <c r="A16" s="14"/>
      <c r="B16" s="22">
        <v>1</v>
      </c>
      <c r="C16" s="15" t="s">
        <v>134</v>
      </c>
      <c r="D16" s="15" t="s">
        <v>132</v>
      </c>
      <c r="E16" s="15" t="s">
        <v>131</v>
      </c>
      <c r="F16" s="15"/>
      <c r="G16" s="79"/>
      <c r="H16" s="79"/>
      <c r="I16" s="79"/>
      <c r="J16" s="79"/>
      <c r="K16" s="79"/>
      <c r="L16" s="79"/>
      <c r="M16" s="79"/>
      <c r="N16" s="79"/>
      <c r="O16" s="79"/>
      <c r="P16" s="79"/>
      <c r="Q16" s="51"/>
      <c r="R16" s="51"/>
      <c r="S16" s="51"/>
      <c r="T16" s="51"/>
      <c r="U16" s="51"/>
      <c r="V16" s="51"/>
      <c r="W16" s="51"/>
      <c r="X16" s="76"/>
      <c r="Y16" s="76"/>
      <c r="Z16" s="76"/>
      <c r="AA16" s="76"/>
      <c r="AB16" s="76"/>
      <c r="AC16" s="76"/>
      <c r="AD16" s="76"/>
      <c r="AE16" s="76"/>
      <c r="AF16" s="51"/>
      <c r="AG16" s="51"/>
      <c r="AH16" s="76"/>
      <c r="AI16" s="51"/>
      <c r="AJ16" s="51"/>
      <c r="AK16" s="51"/>
      <c r="AL16" s="51"/>
    </row>
    <row r="17" spans="1:38">
      <c r="A17" s="14"/>
      <c r="B17" s="22"/>
      <c r="C17" s="15"/>
      <c r="D17" s="15"/>
      <c r="E17" s="15"/>
      <c r="F17" s="15"/>
      <c r="G17" s="79"/>
      <c r="H17" s="79"/>
      <c r="I17" s="79"/>
      <c r="J17" s="79"/>
      <c r="K17" s="79"/>
      <c r="L17" s="79"/>
      <c r="M17" s="79"/>
      <c r="N17" s="79"/>
      <c r="O17" s="79"/>
      <c r="P17" s="79"/>
      <c r="Q17" s="51"/>
      <c r="R17" s="51"/>
      <c r="S17" s="51"/>
      <c r="T17" s="51"/>
      <c r="U17" s="51"/>
      <c r="V17" s="51"/>
      <c r="W17" s="51"/>
      <c r="X17" s="76"/>
      <c r="Y17" s="76"/>
      <c r="Z17" s="76"/>
      <c r="AA17" s="76"/>
      <c r="AB17" s="76"/>
      <c r="AC17" s="76"/>
      <c r="AD17" s="76"/>
      <c r="AE17" s="76"/>
      <c r="AF17" s="51"/>
      <c r="AG17" s="51"/>
      <c r="AH17" s="76"/>
      <c r="AI17" s="51"/>
      <c r="AJ17" s="51"/>
      <c r="AK17" s="51"/>
      <c r="AL17" s="51"/>
    </row>
    <row r="18" spans="1:38">
      <c r="A18" s="14" t="s">
        <v>102</v>
      </c>
      <c r="B18" s="127"/>
      <c r="C18" s="128"/>
      <c r="D18" s="128"/>
      <c r="E18" s="128"/>
      <c r="F18" s="128"/>
      <c r="G18" s="134">
        <f>SUM($G$16:$G$17)</f>
        <v>0</v>
      </c>
      <c r="H18" s="135">
        <f>SUM($H$16:$H$17)</f>
        <v>0</v>
      </c>
      <c r="I18" s="135">
        <f>SUM($I$16:$I$17)</f>
        <v>0</v>
      </c>
      <c r="J18" s="135">
        <f>SUM($J$16:$J$17)</f>
        <v>0</v>
      </c>
      <c r="K18" s="135">
        <f>SUM($K$16:$K$17)</f>
        <v>0</v>
      </c>
      <c r="L18" s="135">
        <f>SUM($L$16:$L$17)</f>
        <v>0</v>
      </c>
      <c r="M18" s="135">
        <f>SUM($M$16:$M$17)</f>
        <v>0</v>
      </c>
      <c r="N18" s="135">
        <f>SUM($N$16:$N$17)</f>
        <v>0</v>
      </c>
      <c r="O18" s="135">
        <f>SUM($O$16:$O$17)</f>
        <v>0</v>
      </c>
      <c r="P18" s="135">
        <f>SUM($P$16:$P$17)</f>
        <v>0</v>
      </c>
      <c r="Q18" s="51"/>
      <c r="R18" s="51"/>
      <c r="S18" s="51"/>
      <c r="T18" s="51"/>
      <c r="U18" s="51"/>
      <c r="V18" s="51"/>
      <c r="W18" s="51"/>
      <c r="X18" s="76"/>
      <c r="Y18" s="76"/>
      <c r="Z18" s="76"/>
      <c r="AA18" s="76"/>
      <c r="AB18" s="76"/>
      <c r="AC18" s="76"/>
      <c r="AD18" s="76"/>
      <c r="AE18" s="76"/>
      <c r="AF18" s="51"/>
      <c r="AG18" s="51"/>
      <c r="AH18" s="76"/>
      <c r="AI18" s="51"/>
      <c r="AJ18" s="51"/>
      <c r="AK18" s="51"/>
      <c r="AL18" s="51"/>
    </row>
    <row r="19" spans="1:38" s="51" customFormat="1" ht="12" thickBot="1">
      <c r="B19" s="76"/>
      <c r="P19" s="76"/>
      <c r="X19" s="76"/>
      <c r="Y19" s="76"/>
      <c r="Z19" s="76"/>
      <c r="AA19" s="76"/>
      <c r="AB19" s="76"/>
      <c r="AC19" s="76"/>
      <c r="AD19" s="76"/>
      <c r="AE19" s="76"/>
      <c r="AH19" s="76"/>
    </row>
    <row r="20" spans="1:38" s="51" customFormat="1" ht="14.25" thickBot="1">
      <c r="B20" s="76"/>
      <c r="P20" s="76"/>
      <c r="R20" s="47"/>
      <c r="S20" s="48"/>
      <c r="T20" s="48"/>
      <c r="U20" s="48"/>
      <c r="V20" s="49"/>
      <c r="W20" s="50"/>
      <c r="Z20" s="82" t="s">
        <v>65</v>
      </c>
      <c r="AA20" s="82" t="s">
        <v>66</v>
      </c>
      <c r="AB20" s="83" t="s">
        <v>67</v>
      </c>
      <c r="AC20" s="84"/>
      <c r="AD20" s="85"/>
      <c r="AE20" s="86"/>
    </row>
    <row r="21" spans="1:38" s="51" customFormat="1" ht="13.5">
      <c r="B21" s="76"/>
      <c r="P21" s="76"/>
      <c r="R21" s="50"/>
      <c r="S21" s="57"/>
      <c r="T21" s="57"/>
      <c r="U21" s="57" t="s">
        <v>81</v>
      </c>
      <c r="V21" s="52"/>
      <c r="W21" s="50"/>
      <c r="Z21" s="117" t="s">
        <v>56</v>
      </c>
      <c r="AA21" s="117" t="s">
        <v>52</v>
      </c>
      <c r="AB21" s="122" t="s">
        <v>87</v>
      </c>
      <c r="AC21" s="114"/>
      <c r="AD21" s="115"/>
      <c r="AE21" s="116"/>
    </row>
    <row r="22" spans="1:38" s="51" customFormat="1" ht="13.5">
      <c r="B22" s="76"/>
      <c r="P22" s="76"/>
      <c r="R22" s="50"/>
      <c r="S22" s="60" t="s">
        <v>73</v>
      </c>
      <c r="T22" s="60" t="s">
        <v>80</v>
      </c>
      <c r="U22" s="58"/>
      <c r="V22" s="52"/>
      <c r="W22" s="50"/>
      <c r="Z22" s="118" t="s">
        <v>68</v>
      </c>
      <c r="AA22" s="118" t="s">
        <v>60</v>
      </c>
      <c r="AB22" s="123" t="s">
        <v>104</v>
      </c>
      <c r="AC22" s="104"/>
      <c r="AD22" s="105"/>
      <c r="AE22" s="106"/>
    </row>
    <row r="23" spans="1:38" s="51" customFormat="1" ht="13.5">
      <c r="P23" s="76"/>
      <c r="R23" s="50"/>
      <c r="S23" s="59"/>
      <c r="T23" s="59"/>
      <c r="U23" s="61" t="s">
        <v>82</v>
      </c>
      <c r="V23" s="52"/>
      <c r="W23" s="50"/>
      <c r="Z23" s="118" t="s">
        <v>69</v>
      </c>
      <c r="AA23" s="118" t="s">
        <v>60</v>
      </c>
      <c r="AB23" s="123" t="s">
        <v>104</v>
      </c>
      <c r="AC23" s="104"/>
      <c r="AD23" s="105"/>
      <c r="AE23" s="106"/>
    </row>
    <row r="24" spans="1:38" s="51" customFormat="1" ht="13.5">
      <c r="B24" s="76"/>
      <c r="P24" s="76"/>
      <c r="R24" s="50"/>
      <c r="S24" s="57"/>
      <c r="T24" s="57" t="s">
        <v>79</v>
      </c>
      <c r="U24" s="57"/>
      <c r="V24" s="52"/>
      <c r="W24" s="50"/>
      <c r="Z24" s="119" t="s">
        <v>70</v>
      </c>
      <c r="AA24" s="119" t="s">
        <v>43</v>
      </c>
      <c r="AB24" s="124" t="s">
        <v>105</v>
      </c>
      <c r="AC24" s="107"/>
      <c r="AD24" s="108"/>
      <c r="AE24" s="109"/>
    </row>
    <row r="25" spans="1:38" s="51" customFormat="1" ht="13.5">
      <c r="B25" s="76"/>
      <c r="P25" s="76"/>
      <c r="R25" s="50"/>
      <c r="S25" s="60" t="s">
        <v>74</v>
      </c>
      <c r="T25" s="58"/>
      <c r="U25" s="60" t="s">
        <v>83</v>
      </c>
      <c r="V25" s="52"/>
      <c r="W25" s="50"/>
      <c r="Z25" s="117" t="s">
        <v>59</v>
      </c>
      <c r="AA25" s="117" t="s">
        <v>52</v>
      </c>
      <c r="AB25" s="122" t="s">
        <v>86</v>
      </c>
      <c r="AC25" s="114"/>
      <c r="AD25" s="115"/>
      <c r="AE25" s="116"/>
    </row>
    <row r="26" spans="1:38" s="51" customFormat="1" ht="13.5">
      <c r="B26" s="76"/>
      <c r="P26" s="76"/>
      <c r="R26" s="50"/>
      <c r="S26" s="59"/>
      <c r="T26" s="61" t="s">
        <v>78</v>
      </c>
      <c r="U26" s="59"/>
      <c r="V26" s="52"/>
      <c r="W26" s="50"/>
      <c r="Z26" s="118" t="s">
        <v>61</v>
      </c>
      <c r="AA26" s="118" t="s">
        <v>60</v>
      </c>
      <c r="AB26" s="123" t="s">
        <v>104</v>
      </c>
      <c r="AC26" s="104"/>
      <c r="AD26" s="105"/>
      <c r="AE26" s="106"/>
      <c r="AK26" s="1"/>
    </row>
    <row r="27" spans="1:38" s="51" customFormat="1" ht="13.5">
      <c r="B27" s="76"/>
      <c r="H27" s="76"/>
      <c r="J27" s="76"/>
      <c r="L27" s="76"/>
      <c r="N27" s="76"/>
      <c r="P27" s="76"/>
      <c r="R27" s="53"/>
      <c r="S27" s="57" t="s">
        <v>75</v>
      </c>
      <c r="T27" s="57"/>
      <c r="U27" s="57"/>
      <c r="V27" s="52"/>
      <c r="W27" s="50"/>
      <c r="Z27" s="117" t="s">
        <v>55</v>
      </c>
      <c r="AA27" s="117" t="s">
        <v>52</v>
      </c>
      <c r="AB27" s="122" t="s">
        <v>86</v>
      </c>
      <c r="AC27" s="114"/>
      <c r="AD27" s="115"/>
      <c r="AE27" s="116"/>
      <c r="AG27" s="76"/>
      <c r="AK27" s="1"/>
    </row>
    <row r="28" spans="1:38" s="51" customFormat="1" ht="13.5">
      <c r="B28" s="76"/>
      <c r="P28" s="76"/>
      <c r="R28" s="50"/>
      <c r="S28" s="60"/>
      <c r="T28" s="60" t="s">
        <v>77</v>
      </c>
      <c r="U28" s="60" t="s">
        <v>84</v>
      </c>
      <c r="V28" s="52"/>
      <c r="W28" s="50"/>
      <c r="Z28" s="120" t="s">
        <v>71</v>
      </c>
      <c r="AA28" s="120" t="s">
        <v>57</v>
      </c>
      <c r="AB28" s="125" t="s">
        <v>88</v>
      </c>
      <c r="AC28" s="98"/>
      <c r="AD28" s="99"/>
      <c r="AE28" s="100"/>
      <c r="AK28" s="1"/>
    </row>
    <row r="29" spans="1:38" s="51" customFormat="1" ht="13.5">
      <c r="B29" s="76"/>
      <c r="P29" s="76"/>
      <c r="R29" s="50"/>
      <c r="S29" s="61" t="s">
        <v>76</v>
      </c>
      <c r="T29" s="59"/>
      <c r="U29" s="59"/>
      <c r="V29" s="52"/>
      <c r="W29" s="50"/>
      <c r="Z29" s="120" t="s">
        <v>62</v>
      </c>
      <c r="AA29" s="120" t="s">
        <v>57</v>
      </c>
      <c r="AB29" s="125" t="s">
        <v>88</v>
      </c>
      <c r="AC29" s="98"/>
      <c r="AD29" s="99"/>
      <c r="AE29" s="100"/>
      <c r="AK29" s="1"/>
    </row>
    <row r="30" spans="1:38" s="51" customFormat="1" ht="13.5">
      <c r="B30" s="76"/>
      <c r="P30" s="76"/>
      <c r="R30" s="50"/>
      <c r="V30" s="52"/>
      <c r="W30" s="50"/>
      <c r="Z30" s="120" t="s">
        <v>54</v>
      </c>
      <c r="AA30" s="120" t="s">
        <v>53</v>
      </c>
      <c r="AB30" s="125" t="s">
        <v>88</v>
      </c>
      <c r="AC30" s="98"/>
      <c r="AD30" s="99"/>
      <c r="AE30" s="100"/>
      <c r="AK30" s="1"/>
    </row>
    <row r="31" spans="1:38" s="51" customFormat="1" ht="13.5">
      <c r="B31" s="76"/>
      <c r="P31" s="76"/>
      <c r="R31" s="50"/>
      <c r="V31" s="52"/>
      <c r="W31" s="50"/>
      <c r="Z31" s="120" t="s">
        <v>72</v>
      </c>
      <c r="AA31" s="120" t="s">
        <v>57</v>
      </c>
      <c r="AB31" s="125" t="s">
        <v>88</v>
      </c>
      <c r="AC31" s="98"/>
      <c r="AD31" s="99"/>
      <c r="AE31" s="100"/>
      <c r="AK31" s="1"/>
    </row>
    <row r="32" spans="1:38" s="51" customFormat="1" ht="18" thickBot="1">
      <c r="B32" s="140" t="s">
        <v>126</v>
      </c>
      <c r="C32" s="1"/>
      <c r="P32" s="76"/>
      <c r="R32" s="54"/>
      <c r="S32" s="55"/>
      <c r="T32" s="55"/>
      <c r="U32" s="55"/>
      <c r="V32" s="56"/>
      <c r="W32" s="50"/>
      <c r="Z32" s="121" t="s">
        <v>58</v>
      </c>
      <c r="AA32" s="121" t="s">
        <v>57</v>
      </c>
      <c r="AB32" s="126" t="s">
        <v>88</v>
      </c>
      <c r="AC32" s="101"/>
      <c r="AD32" s="102"/>
      <c r="AE32" s="103"/>
      <c r="AK32" s="1"/>
    </row>
    <row r="33" spans="2:37" s="51" customFormat="1">
      <c r="B33" s="2"/>
      <c r="C33" s="1" t="s">
        <v>136</v>
      </c>
      <c r="D33" s="1"/>
      <c r="P33" s="76"/>
      <c r="X33" s="76"/>
      <c r="Y33" s="76"/>
      <c r="Z33" s="76"/>
      <c r="AA33" s="76"/>
      <c r="AB33" s="76"/>
      <c r="AC33" s="76"/>
      <c r="AD33" s="76"/>
      <c r="AE33" s="76"/>
      <c r="AK33" s="1"/>
    </row>
  </sheetData>
  <phoneticPr fontId="2"/>
  <pageMargins left="0.25" right="0.25" top="0.75" bottom="0.75" header="0.3" footer="0.3"/>
  <pageSetup paperSize="8" scale="67" fitToHeight="0" orientation="landscape" horizontalDpi="4294967293" r:id="rId1"/>
  <drawing r:id="rId2"/>
  <legacyDrawing r:id="rId3"/>
  <controls>
    <mc:AlternateContent xmlns:mc="http://schemas.openxmlformats.org/markup-compatibility/2006">
      <mc:Choice Requires="x14">
        <control shapeId="1027" r:id="rId4" name="btn_Ref">
          <controlPr defaultSize="0" autoLine="0" r:id="rId5">
            <anchor moveWithCells="1">
              <from>
                <xdr:col>7</xdr:col>
                <xdr:colOff>19050</xdr:colOff>
                <xdr:row>1</xdr:row>
                <xdr:rowOff>95250</xdr:rowOff>
              </from>
              <to>
                <xdr:col>10</xdr:col>
                <xdr:colOff>38100</xdr:colOff>
                <xdr:row>4</xdr:row>
                <xdr:rowOff>9525</xdr:rowOff>
              </to>
            </anchor>
          </controlPr>
        </control>
      </mc:Choice>
      <mc:Fallback>
        <control shapeId="1027" r:id="rId4" name="btn_Ref"/>
      </mc:Fallback>
    </mc:AlternateContent>
    <mc:AlternateContent xmlns:mc="http://schemas.openxmlformats.org/markup-compatibility/2006">
      <mc:Choice Requires="x14">
        <control shapeId="1026" r:id="rId6" name="btn_Zone">
          <controlPr defaultSize="0" autoLine="0" r:id="rId7">
            <anchor moveWithCells="1">
              <from>
                <xdr:col>10</xdr:col>
                <xdr:colOff>95250</xdr:colOff>
                <xdr:row>1</xdr:row>
                <xdr:rowOff>95250</xdr:rowOff>
              </from>
              <to>
                <xdr:col>13</xdr:col>
                <xdr:colOff>314325</xdr:colOff>
                <xdr:row>3</xdr:row>
                <xdr:rowOff>133350</xdr:rowOff>
              </to>
            </anchor>
          </controlPr>
        </control>
      </mc:Choice>
      <mc:Fallback>
        <control shapeId="1026" r:id="rId6" name="btn_Zone"/>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使い方</vt:lpstr>
      <vt:lpstr>パラメータ</vt:lpstr>
      <vt:lpstr>品質管理(QC)報告書</vt:lpstr>
      <vt:lpstr>パラメータ!Print_Area</vt:lpstr>
      <vt:lpstr>使い方!Print_Area</vt:lpstr>
      <vt:lpstr>'品質管理(QC)報告書'!Print_Area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kitabayashi</dc:creator>
  <cp:lastModifiedBy>榎本亮二</cp:lastModifiedBy>
  <cp:lastPrinted>2025-10-21T08:55:05Z</cp:lastPrinted>
  <dcterms:created xsi:type="dcterms:W3CDTF">2017-03-16T03:42:51Z</dcterms:created>
  <dcterms:modified xsi:type="dcterms:W3CDTF">2026-07-09T06:58:45Z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a1105a14-2e6f-426a-a1bd-256ef2ab022f</vt:lpwstr>
  </property>
</Properties>
</file>