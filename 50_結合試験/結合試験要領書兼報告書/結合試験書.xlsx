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D:\project\hrs_環境証明書\50_結合試験\結合試験要領書兼報告書\"/>
    </mc:Choice>
  </mc:AlternateContent>
  <xr:revisionPtr revIDLastSave="0" documentId="13_ncr:1_{611BC580-ECAD-4E75-87ED-0579A2584A0C}" xr6:coauthVersionLast="47" xr6:coauthVersionMax="47" xr10:uidLastSave="{00000000-0000-0000-0000-000000000000}"/>
  <bookViews>
    <workbookView xWindow="7125" yWindow="0" windowWidth="21600" windowHeight="15585" tabRatio="849" firstSheet="1" activeTab="1" xr2:uid="{00000000-000D-0000-FFFF-FFFF00000000}"/>
  </bookViews>
  <sheets>
    <sheet name="指標" sheetId="26" state="hidden" r:id="rId1"/>
    <sheet name="結合試験仕様書兼結果報告書" sheetId="90" r:id="rId2"/>
    <sheet name="エビデンス" sheetId="85" r:id="rId3"/>
    <sheet name="マスタ" sheetId="78" state="hidden" r:id="rId4"/>
  </sheets>
  <externalReferences>
    <externalReference r:id="rId5"/>
  </externalReferences>
  <definedNames>
    <definedName name="_xlnm._FilterDatabase" localSheetId="1" hidden="1">結合試験仕様書兼結果報告書!$A$5:$M$98</definedName>
    <definedName name="_xlnm.Print_Area" localSheetId="1">結合試験仕様書兼結果報告書!$A$5:$K$90</definedName>
    <definedName name="宛">[1]マスタ!$B$2:$B$5</definedName>
    <definedName name="係数修正">指標!$D$9</definedName>
    <definedName name="係数新規">指標!$D$8</definedName>
    <definedName name="係数流用">指標!$D$10</definedName>
    <definedName name="原因">マスタ!$A$2:$A$8</definedName>
    <definedName name="誤り件数">指標!$C$6</definedName>
    <definedName name="合否">マスタ!$B$2:$B$5</definedName>
    <definedName name="試験密度">指標!$C$4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29" i="90" l="1"/>
  <c r="A228" i="90"/>
  <c r="A227" i="90"/>
  <c r="A226" i="90"/>
  <c r="A225" i="90"/>
  <c r="A224" i="90"/>
  <c r="A223" i="90"/>
  <c r="A222" i="90"/>
  <c r="A221" i="90"/>
  <c r="A220" i="90"/>
  <c r="A219" i="90"/>
  <c r="A218" i="90"/>
  <c r="A217" i="90"/>
  <c r="A216" i="90"/>
  <c r="A215" i="90"/>
  <c r="A214" i="90"/>
  <c r="A213" i="90"/>
  <c r="A212" i="90"/>
  <c r="A211" i="90"/>
  <c r="A210" i="90"/>
  <c r="A209" i="90"/>
  <c r="A208" i="90"/>
  <c r="A207" i="90"/>
  <c r="A206" i="90"/>
  <c r="A205" i="90"/>
  <c r="A204" i="90"/>
  <c r="A203" i="90"/>
  <c r="A202" i="90"/>
  <c r="A201" i="90"/>
  <c r="A200" i="90"/>
  <c r="A199" i="90"/>
  <c r="A198" i="90"/>
  <c r="A197" i="90"/>
  <c r="A196" i="90"/>
  <c r="A195" i="90"/>
  <c r="A194" i="90"/>
  <c r="A193" i="90"/>
  <c r="A192" i="90"/>
  <c r="A191" i="90"/>
  <c r="A190" i="90"/>
  <c r="A189" i="90"/>
  <c r="A188" i="90"/>
  <c r="A187" i="90"/>
  <c r="A186" i="90"/>
  <c r="A185" i="90"/>
  <c r="A184" i="90"/>
  <c r="A183" i="90"/>
  <c r="A182" i="90"/>
  <c r="A181" i="90"/>
  <c r="A180" i="90"/>
  <c r="A179" i="90"/>
  <c r="A178" i="90"/>
  <c r="A177" i="90"/>
  <c r="A176" i="90"/>
  <c r="A175" i="90"/>
  <c r="A174" i="90"/>
  <c r="A173" i="90"/>
  <c r="A172" i="90"/>
  <c r="A171" i="90"/>
  <c r="A170" i="90"/>
  <c r="A169" i="90"/>
  <c r="A168" i="90"/>
  <c r="A167" i="90"/>
  <c r="A166" i="90"/>
  <c r="A165" i="90"/>
  <c r="A164" i="90"/>
  <c r="A163" i="90"/>
  <c r="A162" i="90"/>
  <c r="A161" i="90"/>
  <c r="A160" i="90"/>
  <c r="A159" i="90"/>
  <c r="A158" i="90"/>
  <c r="A157" i="90"/>
  <c r="A156" i="90"/>
  <c r="A155" i="90"/>
  <c r="A154" i="90"/>
  <c r="A153" i="90"/>
  <c r="A152" i="90"/>
  <c r="A151" i="90"/>
  <c r="A150" i="90"/>
  <c r="A149" i="90"/>
  <c r="A148" i="90"/>
  <c r="A147" i="90"/>
  <c r="A146" i="90"/>
  <c r="A145" i="90"/>
  <c r="A144" i="90"/>
  <c r="A143" i="90"/>
  <c r="A142" i="90"/>
  <c r="A141" i="90"/>
  <c r="A140" i="90"/>
  <c r="A139" i="90"/>
  <c r="A138" i="90"/>
  <c r="A137" i="90"/>
  <c r="A136" i="90"/>
  <c r="A135" i="90"/>
  <c r="A134" i="90"/>
  <c r="A133" i="90"/>
  <c r="A132" i="90"/>
  <c r="A131" i="90"/>
  <c r="A130" i="90"/>
  <c r="A129" i="90"/>
  <c r="A128" i="90"/>
  <c r="A127" i="90"/>
  <c r="A120" i="90"/>
  <c r="A119" i="90"/>
  <c r="A118" i="90"/>
  <c r="A117" i="90"/>
  <c r="A116" i="90"/>
  <c r="A115" i="90"/>
  <c r="A114" i="90"/>
  <c r="A126" i="90"/>
  <c r="A125" i="90"/>
  <c r="A124" i="90"/>
  <c r="A123" i="90"/>
  <c r="A122" i="90"/>
  <c r="A121" i="90"/>
  <c r="A113" i="90"/>
  <c r="A112" i="90"/>
  <c r="A111" i="90"/>
  <c r="A110" i="90"/>
  <c r="A109" i="90"/>
  <c r="A108" i="90"/>
  <c r="A107" i="90"/>
  <c r="A106" i="90"/>
  <c r="A105" i="90"/>
  <c r="A104" i="90"/>
  <c r="A103" i="90"/>
  <c r="A102" i="90"/>
  <c r="A101" i="90"/>
  <c r="A100" i="90"/>
  <c r="A99" i="90"/>
  <c r="A98" i="90"/>
  <c r="A97" i="90"/>
  <c r="A96" i="90"/>
  <c r="A95" i="90"/>
  <c r="A94" i="90"/>
  <c r="A93" i="90"/>
  <c r="A92" i="90"/>
  <c r="A91" i="90"/>
  <c r="A76" i="90"/>
  <c r="A75" i="90"/>
  <c r="A74" i="90"/>
  <c r="A73" i="90"/>
  <c r="A7" i="90"/>
  <c r="I2" i="90"/>
  <c r="A77" i="90" l="1"/>
  <c r="A72" i="90"/>
  <c r="A71" i="90"/>
  <c r="A70" i="90"/>
  <c r="A69" i="90"/>
  <c r="A68" i="90"/>
  <c r="A67" i="90"/>
  <c r="A66" i="90"/>
  <c r="A65" i="90"/>
  <c r="A64" i="90"/>
  <c r="A63" i="90"/>
  <c r="A62" i="90"/>
  <c r="A61" i="90"/>
  <c r="A60" i="90"/>
  <c r="A59" i="90"/>
  <c r="A58" i="90"/>
  <c r="A57" i="90"/>
  <c r="A56" i="90"/>
  <c r="A55" i="90"/>
  <c r="A54" i="90"/>
  <c r="A53" i="90"/>
  <c r="A52" i="90"/>
  <c r="A51" i="90"/>
  <c r="A50" i="90"/>
  <c r="A49" i="90"/>
  <c r="A48" i="90"/>
  <c r="A47" i="90"/>
  <c r="A46" i="90"/>
  <c r="A45" i="90"/>
  <c r="A44" i="90"/>
  <c r="A43" i="90"/>
  <c r="A42" i="90"/>
  <c r="A41" i="90"/>
  <c r="A40" i="90"/>
  <c r="A39" i="90"/>
  <c r="A38" i="90"/>
  <c r="A37" i="90" l="1"/>
  <c r="A36" i="90"/>
  <c r="A35" i="90"/>
  <c r="A34" i="90"/>
  <c r="A33" i="90"/>
  <c r="A32" i="90"/>
  <c r="A31" i="90"/>
  <c r="A30" i="90"/>
  <c r="A29" i="90"/>
  <c r="A28" i="90"/>
  <c r="A27" i="90"/>
  <c r="A26" i="90"/>
  <c r="A25" i="90"/>
  <c r="A24" i="90"/>
  <c r="A23" i="90"/>
  <c r="A21" i="90"/>
  <c r="A20" i="90"/>
  <c r="A19" i="90"/>
  <c r="A18" i="90"/>
  <c r="A17" i="90"/>
  <c r="A8" i="90"/>
  <c r="A16" i="90"/>
  <c r="A15" i="90"/>
  <c r="A14" i="90"/>
  <c r="A90" i="90" l="1"/>
  <c r="A89" i="90"/>
  <c r="A88" i="90"/>
  <c r="A87" i="90"/>
  <c r="A86" i="90"/>
  <c r="A85" i="90"/>
  <c r="A84" i="90"/>
  <c r="A83" i="90"/>
  <c r="A82" i="90"/>
  <c r="A81" i="90"/>
  <c r="A80" i="90"/>
  <c r="A79" i="90"/>
  <c r="A78" i="90"/>
  <c r="A22" i="90"/>
  <c r="A13" i="90"/>
  <c r="A12" i="90"/>
  <c r="A11" i="90"/>
  <c r="A10" i="90"/>
  <c r="A9" i="90"/>
  <c r="A6" i="90"/>
  <c r="I3" i="90"/>
  <c r="I1" i="90" l="1"/>
  <c r="K1" i="90" s="1"/>
</calcChain>
</file>

<file path=xl/sharedStrings.xml><?xml version="1.0" encoding="utf-8"?>
<sst xmlns="http://schemas.openxmlformats.org/spreadsheetml/2006/main" count="1163" uniqueCount="280">
  <si>
    <t>新規</t>
    <rPh sb="0" eb="2">
      <t>シンキ</t>
    </rPh>
    <phoneticPr fontId="2"/>
  </si>
  <si>
    <t>修正</t>
    <rPh sb="0" eb="2">
      <t>シュウセイ</t>
    </rPh>
    <phoneticPr fontId="2"/>
  </si>
  <si>
    <t>流用</t>
    <rPh sb="0" eb="2">
      <t>リュウヨウ</t>
    </rPh>
    <phoneticPr fontId="2"/>
  </si>
  <si>
    <t>件</t>
    <rPh sb="0" eb="1">
      <t>ケン</t>
    </rPh>
    <phoneticPr fontId="2"/>
  </si>
  <si>
    <t>設定ミス</t>
    <rPh sb="0" eb="2">
      <t>セッテイ</t>
    </rPh>
    <phoneticPr fontId="2"/>
  </si>
  <si>
    <t>No</t>
    <phoneticPr fontId="2"/>
  </si>
  <si>
    <t>期待結果</t>
    <rPh sb="0" eb="2">
      <t>キタイ</t>
    </rPh>
    <rPh sb="2" eb="4">
      <t>ケッカ</t>
    </rPh>
    <phoneticPr fontId="2"/>
  </si>
  <si>
    <t>実施日</t>
    <rPh sb="0" eb="2">
      <t>ジッシ</t>
    </rPh>
    <rPh sb="2" eb="3">
      <t>ビ</t>
    </rPh>
    <phoneticPr fontId="2"/>
  </si>
  <si>
    <t>実施者</t>
    <rPh sb="0" eb="2">
      <t>ジッシ</t>
    </rPh>
    <rPh sb="2" eb="3">
      <t>シャ</t>
    </rPh>
    <phoneticPr fontId="2"/>
  </si>
  <si>
    <t>合否</t>
    <rPh sb="0" eb="2">
      <t>ゴウヒ</t>
    </rPh>
    <phoneticPr fontId="2"/>
  </si>
  <si>
    <t>エラー原因</t>
    <rPh sb="3" eb="5">
      <t>ゲンイン</t>
    </rPh>
    <phoneticPr fontId="2"/>
  </si>
  <si>
    <t>再試験日</t>
    <rPh sb="0" eb="3">
      <t>サイシケン</t>
    </rPh>
    <rPh sb="3" eb="4">
      <t>ビ</t>
    </rPh>
    <phoneticPr fontId="2"/>
  </si>
  <si>
    <t>テスト項目</t>
    <rPh sb="3" eb="5">
      <t>コウモク</t>
    </rPh>
    <phoneticPr fontId="2"/>
  </si>
  <si>
    <t>大分類</t>
    <rPh sb="0" eb="3">
      <t>ダイブンルイ</t>
    </rPh>
    <phoneticPr fontId="2"/>
  </si>
  <si>
    <t>中分類</t>
    <rPh sb="0" eb="3">
      <t>チュウブンルイ</t>
    </rPh>
    <phoneticPr fontId="2"/>
  </si>
  <si>
    <t>補足</t>
    <rPh sb="0" eb="2">
      <t>ホソク</t>
    </rPh>
    <phoneticPr fontId="2"/>
  </si>
  <si>
    <t>単体試験結果指標</t>
    <rPh sb="0" eb="2">
      <t>タンタイ</t>
    </rPh>
    <rPh sb="2" eb="4">
      <t>シケン</t>
    </rPh>
    <rPh sb="4" eb="6">
      <t>ケッカ</t>
    </rPh>
    <rPh sb="6" eb="8">
      <t>シヒョウ</t>
    </rPh>
    <phoneticPr fontId="2"/>
  </si>
  <si>
    <t>試験密度</t>
    <rPh sb="0" eb="2">
      <t>シケン</t>
    </rPh>
    <rPh sb="2" eb="4">
      <t>ミツド</t>
    </rPh>
    <phoneticPr fontId="2"/>
  </si>
  <si>
    <t>（1,000Stepあたりの目標値）</t>
  </si>
  <si>
    <t>誤り件数</t>
    <rPh sb="0" eb="1">
      <t>アヤマ</t>
    </rPh>
    <rPh sb="2" eb="4">
      <t>ケンスウ</t>
    </rPh>
    <phoneticPr fontId="2"/>
  </si>
  <si>
    <t>単体試験対象換算係数（難易度により付加係数）</t>
    <rPh sb="11" eb="14">
      <t>ナンイド</t>
    </rPh>
    <rPh sb="17" eb="19">
      <t>フカ</t>
    </rPh>
    <rPh sb="19" eb="21">
      <t>ケイスウ</t>
    </rPh>
    <phoneticPr fontId="2"/>
  </si>
  <si>
    <t>（基本は1.00）</t>
  </si>
  <si>
    <t>プロジェクトにより適正値を設定</t>
    <rPh sb="9" eb="11">
      <t>テキセイ</t>
    </rPh>
    <rPh sb="11" eb="12">
      <t>チ</t>
    </rPh>
    <rPh sb="13" eb="15">
      <t>セッテイ</t>
    </rPh>
    <phoneticPr fontId="2"/>
  </si>
  <si>
    <t>（基本は2.00）</t>
  </si>
  <si>
    <t>（基本は0.10）</t>
  </si>
  <si>
    <t>原因</t>
    <rPh sb="0" eb="2">
      <t>ゲンイン</t>
    </rPh>
    <phoneticPr fontId="2"/>
  </si>
  <si>
    <t>実装不具合</t>
    <rPh sb="0" eb="2">
      <t>ジッソウ</t>
    </rPh>
    <rPh sb="2" eb="5">
      <t>フグアイ</t>
    </rPh>
    <phoneticPr fontId="2"/>
  </si>
  <si>
    <t>設計不具合</t>
    <rPh sb="0" eb="2">
      <t>セッケイ</t>
    </rPh>
    <rPh sb="2" eb="5">
      <t>フグアイ</t>
    </rPh>
    <phoneticPr fontId="2"/>
  </si>
  <si>
    <t>環境不具合</t>
    <rPh sb="0" eb="2">
      <t>カンキョウ</t>
    </rPh>
    <rPh sb="2" eb="5">
      <t>フグアイ</t>
    </rPh>
    <phoneticPr fontId="2"/>
  </si>
  <si>
    <t>データの問題</t>
    <rPh sb="4" eb="6">
      <t>モンダイ</t>
    </rPh>
    <phoneticPr fontId="2"/>
  </si>
  <si>
    <t>そのほか</t>
    <phoneticPr fontId="2"/>
  </si>
  <si>
    <t>○</t>
    <phoneticPr fontId="2"/>
  </si>
  <si>
    <t>×</t>
    <phoneticPr fontId="2"/>
  </si>
  <si>
    <t>※</t>
    <phoneticPr fontId="2"/>
  </si>
  <si>
    <t>○</t>
  </si>
  <si>
    <t>榎本</t>
    <rPh sb="0" eb="2">
      <t>エノモト</t>
    </rPh>
    <phoneticPr fontId="2"/>
  </si>
  <si>
    <t>プログラム名　</t>
    <rPh sb="5" eb="6">
      <t>メイ</t>
    </rPh>
    <phoneticPr fontId="2"/>
  </si>
  <si>
    <t>計画コーディングStep数</t>
    <rPh sb="0" eb="2">
      <t>ケイカク</t>
    </rPh>
    <rPh sb="12" eb="13">
      <t>スウ</t>
    </rPh>
    <phoneticPr fontId="2"/>
  </si>
  <si>
    <t>単体試験項目件数</t>
    <rPh sb="0" eb="2">
      <t>タンタイ</t>
    </rPh>
    <rPh sb="2" eb="4">
      <t>シケン</t>
    </rPh>
    <rPh sb="4" eb="6">
      <t>コウモク</t>
    </rPh>
    <rPh sb="6" eb="7">
      <t>ケン</t>
    </rPh>
    <rPh sb="7" eb="8">
      <t>スウ</t>
    </rPh>
    <phoneticPr fontId="2"/>
  </si>
  <si>
    <t>論理名　</t>
    <rPh sb="0" eb="2">
      <t>ロンリ</t>
    </rPh>
    <rPh sb="2" eb="3">
      <t>メイ</t>
    </rPh>
    <phoneticPr fontId="2"/>
  </si>
  <si>
    <t>実施コーディングStep数</t>
    <rPh sb="0" eb="2">
      <t>ジッシ</t>
    </rPh>
    <rPh sb="12" eb="13">
      <t>スウ</t>
    </rPh>
    <phoneticPr fontId="2"/>
  </si>
  <si>
    <t>(新規STEP)</t>
    <rPh sb="1" eb="3">
      <t>シンキ</t>
    </rPh>
    <phoneticPr fontId="2"/>
  </si>
  <si>
    <t>合格件数</t>
    <rPh sb="0" eb="2">
      <t>ゴウカク</t>
    </rPh>
    <rPh sb="2" eb="4">
      <t>ケンスウ</t>
    </rPh>
    <phoneticPr fontId="2"/>
  </si>
  <si>
    <t>(修正STEP)</t>
    <rPh sb="1" eb="3">
      <t>シュウセイ</t>
    </rPh>
    <phoneticPr fontId="2"/>
  </si>
  <si>
    <t>不合格件数</t>
    <rPh sb="0" eb="3">
      <t>フゴウカク</t>
    </rPh>
    <rPh sb="3" eb="5">
      <t>ケンスウ</t>
    </rPh>
    <phoneticPr fontId="2"/>
  </si>
  <si>
    <t>(流用STEP)</t>
    <rPh sb="1" eb="3">
      <t>リュウヨウ</t>
    </rPh>
    <phoneticPr fontId="2"/>
  </si>
  <si>
    <t>エラー件数</t>
    <rPh sb="3" eb="5">
      <t>ケンスウ</t>
    </rPh>
    <phoneticPr fontId="2"/>
  </si>
  <si>
    <t>6,7</t>
    <phoneticPr fontId="2"/>
  </si>
  <si>
    <t>試験実施者</t>
    <phoneticPr fontId="2"/>
  </si>
  <si>
    <t>環境証明書</t>
    <rPh sb="0" eb="2">
      <t>カンキョウ</t>
    </rPh>
    <rPh sb="2" eb="5">
      <t>ショウメイショ</t>
    </rPh>
    <phoneticPr fontId="2"/>
  </si>
  <si>
    <t>hrs_envcrt</t>
    <phoneticPr fontId="2"/>
  </si>
  <si>
    <t>ログイン</t>
    <phoneticPr fontId="2"/>
  </si>
  <si>
    <t>単数申請</t>
    <rPh sb="0" eb="2">
      <t>タンスウ</t>
    </rPh>
    <rPh sb="2" eb="4">
      <t>シンセイ</t>
    </rPh>
    <phoneticPr fontId="2"/>
  </si>
  <si>
    <t>複数申請</t>
    <rPh sb="0" eb="2">
      <t>フクスウ</t>
    </rPh>
    <rPh sb="2" eb="4">
      <t>シンセイ</t>
    </rPh>
    <phoneticPr fontId="2"/>
  </si>
  <si>
    <t>一般ユーザ</t>
    <rPh sb="0" eb="2">
      <t>イッパン</t>
    </rPh>
    <phoneticPr fontId="2"/>
  </si>
  <si>
    <t>ホーム画面が表示されること</t>
    <rPh sb="3" eb="5">
      <t>ガメン</t>
    </rPh>
    <rPh sb="6" eb="8">
      <t>ヒョウジ</t>
    </rPh>
    <phoneticPr fontId="2"/>
  </si>
  <si>
    <t>成功</t>
    <rPh sb="0" eb="2">
      <t>セイコウ</t>
    </rPh>
    <phoneticPr fontId="2"/>
  </si>
  <si>
    <t>失敗</t>
    <rPh sb="0" eb="2">
      <t>シッパイ</t>
    </rPh>
    <phoneticPr fontId="2"/>
  </si>
  <si>
    <t>エラー画面がされること</t>
    <rPh sb="3" eb="5">
      <t>ガメン</t>
    </rPh>
    <phoneticPr fontId="2"/>
  </si>
  <si>
    <t>3</t>
    <phoneticPr fontId="2"/>
  </si>
  <si>
    <t>4,5</t>
    <phoneticPr fontId="2"/>
  </si>
  <si>
    <t>ログイン画面へ戻るクリック</t>
    <rPh sb="4" eb="6">
      <t>ガメン</t>
    </rPh>
    <rPh sb="7" eb="8">
      <t>モド</t>
    </rPh>
    <phoneticPr fontId="2"/>
  </si>
  <si>
    <t>ログイン画面へ戻ること</t>
    <rPh sb="4" eb="6">
      <t>ガメン</t>
    </rPh>
    <rPh sb="7" eb="8">
      <t>モド</t>
    </rPh>
    <phoneticPr fontId="2"/>
  </si>
  <si>
    <t>ホーム画面</t>
    <rPh sb="3" eb="5">
      <t>ガメン</t>
    </rPh>
    <phoneticPr fontId="2"/>
  </si>
  <si>
    <t>お知らせエリア</t>
    <rPh sb="1" eb="2">
      <t>シ</t>
    </rPh>
    <phoneticPr fontId="2"/>
  </si>
  <si>
    <t>お知らせの内容が表示されること</t>
    <rPh sb="1" eb="2">
      <t>シ</t>
    </rPh>
    <rPh sb="5" eb="7">
      <t>ナイヨウ</t>
    </rPh>
    <rPh sb="8" eb="10">
      <t>ヒョウジ</t>
    </rPh>
    <phoneticPr fontId="2"/>
  </si>
  <si>
    <t>お知らせ変更後</t>
    <rPh sb="1" eb="2">
      <t>シ</t>
    </rPh>
    <rPh sb="4" eb="7">
      <t>ヘンコウゴ</t>
    </rPh>
    <phoneticPr fontId="2"/>
  </si>
  <si>
    <t>最新のお知らせの内容が表示されること</t>
    <rPh sb="0" eb="2">
      <t>サイシン</t>
    </rPh>
    <rPh sb="4" eb="5">
      <t>シ</t>
    </rPh>
    <rPh sb="8" eb="10">
      <t>ナイヨウ</t>
    </rPh>
    <rPh sb="11" eb="13">
      <t>ヒョウジ</t>
    </rPh>
    <phoneticPr fontId="2"/>
  </si>
  <si>
    <t>ログアウトボタンクリック</t>
    <phoneticPr fontId="2"/>
  </si>
  <si>
    <t>ログイン画面</t>
    <rPh sb="4" eb="6">
      <t>ガメン</t>
    </rPh>
    <phoneticPr fontId="2"/>
  </si>
  <si>
    <t>ブラウザのバックボタン</t>
    <phoneticPr fontId="2"/>
  </si>
  <si>
    <t>ホーム画面へ遷移しないこと</t>
    <rPh sb="3" eb="5">
      <t>ガメン</t>
    </rPh>
    <rPh sb="6" eb="8">
      <t>センイ</t>
    </rPh>
    <phoneticPr fontId="2"/>
  </si>
  <si>
    <t>8,10</t>
    <phoneticPr fontId="2"/>
  </si>
  <si>
    <t>新規申請ボタン</t>
    <rPh sb="0" eb="2">
      <t>シンキ</t>
    </rPh>
    <rPh sb="2" eb="4">
      <t>シンセイ</t>
    </rPh>
    <phoneticPr fontId="2"/>
  </si>
  <si>
    <t>新規申請画面へ遷移すること</t>
    <rPh sb="0" eb="2">
      <t>シンキ</t>
    </rPh>
    <rPh sb="2" eb="4">
      <t>シンセイ</t>
    </rPh>
    <rPh sb="4" eb="6">
      <t>ガメン</t>
    </rPh>
    <rPh sb="7" eb="9">
      <t>センイ</t>
    </rPh>
    <phoneticPr fontId="2"/>
  </si>
  <si>
    <t>エビデンスなし</t>
    <phoneticPr fontId="2"/>
  </si>
  <si>
    <t>新規申請画面</t>
    <rPh sb="0" eb="2">
      <t>シンキ</t>
    </rPh>
    <rPh sb="2" eb="4">
      <t>シンセイ</t>
    </rPh>
    <rPh sb="4" eb="6">
      <t>ガメン</t>
    </rPh>
    <phoneticPr fontId="2"/>
  </si>
  <si>
    <t>データバージョンエリア</t>
    <phoneticPr fontId="2"/>
  </si>
  <si>
    <t>データバージョン変更後</t>
    <rPh sb="8" eb="11">
      <t>ヘンコウゴ</t>
    </rPh>
    <phoneticPr fontId="2"/>
  </si>
  <si>
    <t>データバージョン(日)が表示されること</t>
    <rPh sb="9" eb="10">
      <t>ニチ</t>
    </rPh>
    <rPh sb="12" eb="14">
      <t>ヒョウジ</t>
    </rPh>
    <phoneticPr fontId="2"/>
  </si>
  <si>
    <t>データバージョン(英)が表示されること</t>
    <rPh sb="9" eb="10">
      <t>エイ</t>
    </rPh>
    <rPh sb="12" eb="14">
      <t>ヒョウジ</t>
    </rPh>
    <phoneticPr fontId="2"/>
  </si>
  <si>
    <t>最新のデータバージョン(日)が表示されること</t>
    <rPh sb="0" eb="2">
      <t>サイシン</t>
    </rPh>
    <rPh sb="12" eb="13">
      <t>ニチ</t>
    </rPh>
    <rPh sb="15" eb="17">
      <t>ヒョウジ</t>
    </rPh>
    <phoneticPr fontId="2"/>
  </si>
  <si>
    <t>最新のデータバージョン(英)が表示されること</t>
    <rPh sb="12" eb="13">
      <t>エイ</t>
    </rPh>
    <rPh sb="15" eb="17">
      <t>ヒョウジ</t>
    </rPh>
    <phoneticPr fontId="2"/>
  </si>
  <si>
    <t>12～15</t>
    <phoneticPr fontId="2"/>
  </si>
  <si>
    <t>更新後</t>
    <rPh sb="0" eb="3">
      <t>コウシンゴ</t>
    </rPh>
    <phoneticPr fontId="2"/>
  </si>
  <si>
    <t>次へボタン押下</t>
    <rPh sb="0" eb="1">
      <t>ツギ</t>
    </rPh>
    <rPh sb="5" eb="7">
      <t>オウカ</t>
    </rPh>
    <phoneticPr fontId="2"/>
  </si>
  <si>
    <t>申請確認画面へ遷移すること</t>
    <rPh sb="0" eb="2">
      <t>シンセイ</t>
    </rPh>
    <rPh sb="2" eb="6">
      <t>カクニンガメン</t>
    </rPh>
    <rPh sb="7" eb="9">
      <t>センイ</t>
    </rPh>
    <phoneticPr fontId="2"/>
  </si>
  <si>
    <t>申請確認画面</t>
    <rPh sb="0" eb="2">
      <t>シンセイ</t>
    </rPh>
    <rPh sb="2" eb="4">
      <t>カクニン</t>
    </rPh>
    <rPh sb="4" eb="6">
      <t>ガメン</t>
    </rPh>
    <phoneticPr fontId="2"/>
  </si>
  <si>
    <t>画面項目</t>
    <rPh sb="0" eb="2">
      <t>ガメン</t>
    </rPh>
    <rPh sb="2" eb="4">
      <t>コウモク</t>
    </rPh>
    <phoneticPr fontId="2"/>
  </si>
  <si>
    <t>提出先企業名</t>
    <rPh sb="0" eb="3">
      <t>テイシュツサキ</t>
    </rPh>
    <rPh sb="3" eb="6">
      <t>キギョウメイ</t>
    </rPh>
    <phoneticPr fontId="2"/>
  </si>
  <si>
    <t>エンドユーザ名</t>
    <rPh sb="6" eb="7">
      <t>メイ</t>
    </rPh>
    <phoneticPr fontId="2"/>
  </si>
  <si>
    <t>申請した製品数</t>
    <rPh sb="0" eb="2">
      <t>シンセイ</t>
    </rPh>
    <rPh sb="4" eb="7">
      <t>セイヒンスウ</t>
    </rPh>
    <phoneticPr fontId="2"/>
  </si>
  <si>
    <t>一覧</t>
    <rPh sb="0" eb="2">
      <t>イチラン</t>
    </rPh>
    <phoneticPr fontId="2"/>
  </si>
  <si>
    <t>発行可否</t>
    <rPh sb="0" eb="2">
      <t>ハッコウ</t>
    </rPh>
    <rPh sb="2" eb="4">
      <t>カヒ</t>
    </rPh>
    <phoneticPr fontId="2"/>
  </si>
  <si>
    <t>製品名</t>
    <rPh sb="0" eb="3">
      <t>セイヒンメイ</t>
    </rPh>
    <phoneticPr fontId="2"/>
  </si>
  <si>
    <t>CLコード</t>
    <phoneticPr fontId="2"/>
  </si>
  <si>
    <t>証明書</t>
    <rPh sb="0" eb="3">
      <t>ショウメイショ</t>
    </rPh>
    <phoneticPr fontId="2"/>
  </si>
  <si>
    <t>18～25</t>
    <phoneticPr fontId="2"/>
  </si>
  <si>
    <t>申請画面で入力した内容であること</t>
    <rPh sb="0" eb="2">
      <t>シンセイ</t>
    </rPh>
    <rPh sb="2" eb="4">
      <t>ガメン</t>
    </rPh>
    <rPh sb="5" eb="7">
      <t>ニュウリョク</t>
    </rPh>
    <rPh sb="9" eb="11">
      <t>ナイヨウ</t>
    </rPh>
    <phoneticPr fontId="2"/>
  </si>
  <si>
    <t>申請画面で入力した件数であること</t>
    <rPh sb="0" eb="2">
      <t>シンセイ</t>
    </rPh>
    <rPh sb="2" eb="4">
      <t>ガメン</t>
    </rPh>
    <rPh sb="5" eb="7">
      <t>ニュウリョク</t>
    </rPh>
    <rPh sb="9" eb="11">
      <t>ケンスウ</t>
    </rPh>
    <phoneticPr fontId="2"/>
  </si>
  <si>
    <t>CLコードリンククリック</t>
    <phoneticPr fontId="2"/>
  </si>
  <si>
    <t>HRS製品ページへ遷移すること</t>
    <rPh sb="3" eb="5">
      <t>セイヒン</t>
    </rPh>
    <rPh sb="9" eb="11">
      <t>センイ</t>
    </rPh>
    <phoneticPr fontId="2"/>
  </si>
  <si>
    <t>26</t>
    <phoneticPr fontId="2"/>
  </si>
  <si>
    <t>CSVダウンロード</t>
    <phoneticPr fontId="2"/>
  </si>
  <si>
    <t>CLCheck</t>
    <phoneticPr fontId="2"/>
  </si>
  <si>
    <t>画面と同じ件数であること</t>
    <rPh sb="0" eb="2">
      <t>ガメン</t>
    </rPh>
    <rPh sb="3" eb="4">
      <t>オナ</t>
    </rPh>
    <rPh sb="5" eb="7">
      <t>ケンスウ</t>
    </rPh>
    <phoneticPr fontId="2"/>
  </si>
  <si>
    <t>画面と同じ内容であること</t>
    <rPh sb="0" eb="2">
      <t>ガメン</t>
    </rPh>
    <rPh sb="3" eb="4">
      <t>オナ</t>
    </rPh>
    <rPh sb="5" eb="7">
      <t>ナイヨウ</t>
    </rPh>
    <phoneticPr fontId="2"/>
  </si>
  <si>
    <t>28～32</t>
    <phoneticPr fontId="2"/>
  </si>
  <si>
    <t>申請ボタン押下</t>
    <rPh sb="0" eb="2">
      <t>シンセイ</t>
    </rPh>
    <rPh sb="5" eb="7">
      <t>オウカ</t>
    </rPh>
    <phoneticPr fontId="2"/>
  </si>
  <si>
    <t>申請確認ダイアログが表示されること</t>
    <rPh sb="0" eb="4">
      <t>シンセイカクニン</t>
    </rPh>
    <rPh sb="10" eb="12">
      <t>ヒョウジ</t>
    </rPh>
    <phoneticPr fontId="2"/>
  </si>
  <si>
    <t>33</t>
    <phoneticPr fontId="2"/>
  </si>
  <si>
    <t>はい</t>
    <phoneticPr fontId="2"/>
  </si>
  <si>
    <t>申請確認画面へ遷移すること</t>
    <rPh sb="0" eb="2">
      <t>シンセイ</t>
    </rPh>
    <rPh sb="2" eb="4">
      <t>カクニン</t>
    </rPh>
    <rPh sb="4" eb="6">
      <t>ガメン</t>
    </rPh>
    <rPh sb="7" eb="9">
      <t>センイ</t>
    </rPh>
    <phoneticPr fontId="2"/>
  </si>
  <si>
    <t>申請完了画面</t>
    <rPh sb="0" eb="2">
      <t>シンセイ</t>
    </rPh>
    <rPh sb="2" eb="4">
      <t>カンリョウ</t>
    </rPh>
    <rPh sb="4" eb="6">
      <t>ガメン</t>
    </rPh>
    <phoneticPr fontId="2"/>
  </si>
  <si>
    <t>申請完了メール</t>
    <rPh sb="0" eb="2">
      <t>シンセイ</t>
    </rPh>
    <rPh sb="2" eb="4">
      <t>カンリョウ</t>
    </rPh>
    <phoneticPr fontId="2"/>
  </si>
  <si>
    <t>FROM</t>
    <phoneticPr fontId="2"/>
  </si>
  <si>
    <t>TO</t>
    <phoneticPr fontId="2"/>
  </si>
  <si>
    <t>件名</t>
    <rPh sb="0" eb="2">
      <t>ケンメイ</t>
    </rPh>
    <phoneticPr fontId="2"/>
  </si>
  <si>
    <t>本文</t>
    <rPh sb="0" eb="2">
      <t>ホンブン</t>
    </rPh>
    <phoneticPr fontId="2"/>
  </si>
  <si>
    <t>受付番号</t>
  </si>
  <si>
    <t>受付番号</t>
    <rPh sb="0" eb="2">
      <t>ウケツケ</t>
    </rPh>
    <rPh sb="2" eb="4">
      <t>バンゴウ</t>
    </rPh>
    <phoneticPr fontId="2"/>
  </si>
  <si>
    <t>送信されること</t>
    <rPh sb="0" eb="2">
      <t>ソウシン</t>
    </rPh>
    <phoneticPr fontId="2"/>
  </si>
  <si>
    <t>greenmeister.support.3p@hirose-gl.comであること</t>
    <phoneticPr fontId="2"/>
  </si>
  <si>
    <t>申請者であること</t>
    <rPh sb="0" eb="3">
      <t>シンセイシャ</t>
    </rPh>
    <phoneticPr fontId="2"/>
  </si>
  <si>
    <t>申請完了であること</t>
    <rPh sb="0" eb="2">
      <t>シンセイ</t>
    </rPh>
    <rPh sb="2" eb="4">
      <t>カンリョウ</t>
    </rPh>
    <phoneticPr fontId="2"/>
  </si>
  <si>
    <t>日英併記であること</t>
    <rPh sb="0" eb="2">
      <t>ニチエイ</t>
    </rPh>
    <rPh sb="2" eb="4">
      <t>ヘイキ</t>
    </rPh>
    <phoneticPr fontId="2"/>
  </si>
  <si>
    <t>採番された番号が表示されていること</t>
    <rPh sb="0" eb="2">
      <t>サイバン</t>
    </rPh>
    <rPh sb="5" eb="7">
      <t>バンゴウ</t>
    </rPh>
    <rPh sb="8" eb="10">
      <t>ヒョウジ</t>
    </rPh>
    <phoneticPr fontId="2"/>
  </si>
  <si>
    <t>申請したCLコードであること</t>
    <rPh sb="0" eb="2">
      <t>シンセイ</t>
    </rPh>
    <phoneticPr fontId="2"/>
  </si>
  <si>
    <t>申請した証明書であること</t>
    <rPh sb="0" eb="2">
      <t>シンセイ</t>
    </rPh>
    <rPh sb="4" eb="7">
      <t>ショウメイショ</t>
    </rPh>
    <phoneticPr fontId="2"/>
  </si>
  <si>
    <t>35～42</t>
    <phoneticPr fontId="2"/>
  </si>
  <si>
    <t>画面</t>
    <rPh sb="0" eb="2">
      <t>ガメン</t>
    </rPh>
    <phoneticPr fontId="2"/>
  </si>
  <si>
    <t>受付番号</t>
    <rPh sb="0" eb="4">
      <t>ウケツケバンゴウ</t>
    </rPh>
    <phoneticPr fontId="2"/>
  </si>
  <si>
    <t>メール内容</t>
    <rPh sb="3" eb="5">
      <t>ナイヨウ</t>
    </rPh>
    <phoneticPr fontId="2"/>
  </si>
  <si>
    <t>申請完了メールと同じであること</t>
    <rPh sb="0" eb="2">
      <t>シンセイ</t>
    </rPh>
    <rPh sb="2" eb="4">
      <t>カンリョウ</t>
    </rPh>
    <rPh sb="8" eb="9">
      <t>オナ</t>
    </rPh>
    <phoneticPr fontId="2"/>
  </si>
  <si>
    <t>44,45</t>
    <phoneticPr fontId="2"/>
  </si>
  <si>
    <t>ID（主キー）</t>
  </si>
  <si>
    <t>申請者アカウントID</t>
  </si>
  <si>
    <t>申請対象会社名</t>
  </si>
  <si>
    <t>エンドユーザー名</t>
  </si>
  <si>
    <t>ステータス</t>
  </si>
  <si>
    <t>成分表</t>
  </si>
  <si>
    <t>RoHS証明書</t>
  </si>
  <si>
    <t>ハロゲンフリー証明書</t>
  </si>
  <si>
    <t>ICP分析証明書</t>
  </si>
  <si>
    <t>SDS</t>
  </si>
  <si>
    <t>AIS</t>
  </si>
  <si>
    <t>chemSHERPA書類</t>
  </si>
  <si>
    <t>SVHC証明書</t>
  </si>
  <si>
    <t>申請日時</t>
  </si>
  <si>
    <t>処理完了日時</t>
  </si>
  <si>
    <t>有効期限</t>
  </si>
  <si>
    <t>証明書ZIPのファイルサイズ</t>
  </si>
  <si>
    <t>証明書ZIPのフォルダ数</t>
  </si>
  <si>
    <t>証明書ZIPのファイル数</t>
  </si>
  <si>
    <t>申請内容CSV</t>
  </si>
  <si>
    <t>証明書ZIP</t>
  </si>
  <si>
    <t>id</t>
  </si>
  <si>
    <t>receipt_number</t>
  </si>
  <si>
    <t>account_id</t>
  </si>
  <si>
    <t>company_name</t>
  </si>
  <si>
    <t>end_user_name</t>
  </si>
  <si>
    <t>status</t>
  </si>
  <si>
    <t>flag_seibun_hyo</t>
  </si>
  <si>
    <t>flag_rohs</t>
  </si>
  <si>
    <t>flag_halogen_free</t>
  </si>
  <si>
    <t>flag_icp</t>
  </si>
  <si>
    <t>flag_sds</t>
  </si>
  <si>
    <t>flag_ais</t>
  </si>
  <si>
    <t>flag_chem_sherpa</t>
  </si>
  <si>
    <t>flag_svhc</t>
  </si>
  <si>
    <t>applied_at</t>
  </si>
  <si>
    <t>completed_at</t>
  </si>
  <si>
    <t>expires_at</t>
  </si>
  <si>
    <t>zip_file_size_bytes</t>
  </si>
  <si>
    <t>folder_count</t>
  </si>
  <si>
    <t>file_count</t>
  </si>
  <si>
    <t>csv_s3_key</t>
  </si>
  <si>
    <t>zip_s3_key</t>
  </si>
  <si>
    <t>2026-00114</t>
  </si>
  <si>
    <t>customer001</t>
  </si>
  <si>
    <t>単数申請_企業名です</t>
  </si>
  <si>
    <t>単数申請_エンドユーザ名です</t>
  </si>
  <si>
    <t>unprocessed</t>
  </si>
  <si>
    <t>« NULL »</t>
  </si>
  <si>
    <t>gm/send/cert/2026-00114.csv</t>
  </si>
  <si>
    <t>申請テーブル</t>
    <rPh sb="0" eb="2">
      <t>シンセイ</t>
    </rPh>
    <phoneticPr fontId="2"/>
  </si>
  <si>
    <t>YYYY-{5桁連番}であること</t>
    <rPh sb="7" eb="8">
      <t>ケタ</t>
    </rPh>
    <rPh sb="8" eb="10">
      <t>レンバン</t>
    </rPh>
    <phoneticPr fontId="2"/>
  </si>
  <si>
    <t>ログインユーザIDであること</t>
    <phoneticPr fontId="2"/>
  </si>
  <si>
    <t>申請した企業名であること</t>
    <rPh sb="0" eb="2">
      <t>シンセイ</t>
    </rPh>
    <rPh sb="4" eb="7">
      <t>キギョウメイ</t>
    </rPh>
    <phoneticPr fontId="2"/>
  </si>
  <si>
    <t>申請したエンドユーザ名であること</t>
    <rPh sb="0" eb="2">
      <t>シンセイ</t>
    </rPh>
    <rPh sb="10" eb="11">
      <t>メイ</t>
    </rPh>
    <phoneticPr fontId="2"/>
  </si>
  <si>
    <t>未処理であること</t>
    <rPh sb="0" eb="3">
      <t>ミショリ</t>
    </rPh>
    <phoneticPr fontId="2"/>
  </si>
  <si>
    <t>申請した証明書のみTRUEであること</t>
    <rPh sb="0" eb="2">
      <t>シンセイ</t>
    </rPh>
    <rPh sb="4" eb="7">
      <t>ショウメイショ</t>
    </rPh>
    <phoneticPr fontId="2"/>
  </si>
  <si>
    <t>申請日時であること</t>
    <rPh sb="0" eb="2">
      <t>シンセイ</t>
    </rPh>
    <rPh sb="2" eb="4">
      <t>ニチジ</t>
    </rPh>
    <phoneticPr fontId="2"/>
  </si>
  <si>
    <t>ブランクであること</t>
    <phoneticPr fontId="2"/>
  </si>
  <si>
    <t>S3パスであること</t>
    <phoneticPr fontId="2"/>
  </si>
  <si>
    <t>S3</t>
    <phoneticPr fontId="2"/>
  </si>
  <si>
    <t>申請内容CSVのパスのファイルが存在すること</t>
    <rPh sb="0" eb="2">
      <t>シンセイ</t>
    </rPh>
    <rPh sb="2" eb="4">
      <t>ナイヨウ</t>
    </rPh>
    <rPh sb="16" eb="18">
      <t>ソンザイ</t>
    </rPh>
    <phoneticPr fontId="2"/>
  </si>
  <si>
    <t>申請CSV</t>
    <rPh sb="0" eb="2">
      <t>シンセイ</t>
    </rPh>
    <phoneticPr fontId="2"/>
  </si>
  <si>
    <t>47～67</t>
    <phoneticPr fontId="2"/>
  </si>
  <si>
    <t>1行目</t>
    <rPh sb="1" eb="3">
      <t>ギョウメ</t>
    </rPh>
    <phoneticPr fontId="2"/>
  </si>
  <si>
    <t>2行目</t>
    <rPh sb="1" eb="3">
      <t>ギョウメ</t>
    </rPh>
    <phoneticPr fontId="2"/>
  </si>
  <si>
    <t>3行目以降</t>
    <rPh sb="1" eb="5">
      <t>ギョウメイコウ</t>
    </rPh>
    <phoneticPr fontId="2"/>
  </si>
  <si>
    <t>受付番号であること</t>
    <rPh sb="0" eb="2">
      <t>ウケツケ</t>
    </rPh>
    <rPh sb="2" eb="4">
      <t>バンゴウ</t>
    </rPh>
    <phoneticPr fontId="2"/>
  </si>
  <si>
    <t>成分表フラグ</t>
  </si>
  <si>
    <t>RoHSフラグ</t>
  </si>
  <si>
    <t>ハロゲンフリーフラグ</t>
  </si>
  <si>
    <t>ICPフラグ</t>
  </si>
  <si>
    <t>SDSフラグ</t>
  </si>
  <si>
    <t>AISフラグ</t>
  </si>
  <si>
    <t>chemSHERPAフラグ</t>
  </si>
  <si>
    <t>SVHCフラグ</t>
  </si>
  <si>
    <t>申請した証明書の場合1であること</t>
    <rPh sb="0" eb="2">
      <t>シンセイ</t>
    </rPh>
    <rPh sb="4" eb="7">
      <t>ショウメイショ</t>
    </rPh>
    <rPh sb="8" eb="10">
      <t>バアイ</t>
    </rPh>
    <phoneticPr fontId="2"/>
  </si>
  <si>
    <t>申請製品テーブル</t>
    <rPh sb="0" eb="2">
      <t>シンセイ</t>
    </rPh>
    <rPh sb="2" eb="4">
      <t>セイヒン</t>
    </rPh>
    <phoneticPr fontId="2"/>
  </si>
  <si>
    <t>申請ID</t>
  </si>
  <si>
    <t>CLコード</t>
  </si>
  <si>
    <t>製品名</t>
  </si>
  <si>
    <t>application_id</t>
  </si>
  <si>
    <t>cl_code</t>
  </si>
  <si>
    <t>product_name</t>
  </si>
  <si>
    <t>CL0222-2643-5-51</t>
  </si>
  <si>
    <t>TM2RD-F44-38CJ-160(51)</t>
  </si>
  <si>
    <t>申請のレコードと紐づいていること</t>
    <rPh sb="0" eb="2">
      <t>シンセイ</t>
    </rPh>
    <rPh sb="8" eb="9">
      <t>ヒモ</t>
    </rPh>
    <phoneticPr fontId="2"/>
  </si>
  <si>
    <t>申請したCLであること</t>
    <rPh sb="0" eb="2">
      <t>シンセイ</t>
    </rPh>
    <phoneticPr fontId="2"/>
  </si>
  <si>
    <t>申請した製品名であること</t>
    <rPh sb="0" eb="2">
      <t>シンセイ</t>
    </rPh>
    <rPh sb="4" eb="7">
      <t>セイヒンメイ</t>
    </rPh>
    <phoneticPr fontId="2"/>
  </si>
  <si>
    <t>68～70</t>
    <phoneticPr fontId="2"/>
  </si>
  <si>
    <t>72</t>
    <phoneticPr fontId="2"/>
  </si>
  <si>
    <t>申請CL件数であること</t>
    <rPh sb="0" eb="2">
      <t>シンセイ</t>
    </rPh>
    <rPh sb="4" eb="6">
      <t>ケンスウ</t>
    </rPh>
    <phoneticPr fontId="2"/>
  </si>
  <si>
    <t>74～85</t>
    <phoneticPr fontId="2"/>
  </si>
  <si>
    <t>証明書連携ジョブ</t>
    <rPh sb="0" eb="3">
      <t>ショウメイショ</t>
    </rPh>
    <rPh sb="3" eb="5">
      <t>レンケイ</t>
    </rPh>
    <phoneticPr fontId="2"/>
  </si>
  <si>
    <t>変わらないこと</t>
    <rPh sb="0" eb="1">
      <t>カ</t>
    </rPh>
    <phoneticPr fontId="2"/>
  </si>
  <si>
    <t>処理日であること</t>
    <rPh sb="0" eb="3">
      <t>ショリビ</t>
    </rPh>
    <phoneticPr fontId="2"/>
  </si>
  <si>
    <t>処理日+30であること</t>
    <rPh sb="0" eb="3">
      <t>ショリビ</t>
    </rPh>
    <phoneticPr fontId="2"/>
  </si>
  <si>
    <t>連携ファイルの1行目であること</t>
    <rPh sb="0" eb="2">
      <t>レンケイ</t>
    </rPh>
    <rPh sb="8" eb="10">
      <t>ギョウメ</t>
    </rPh>
    <phoneticPr fontId="2"/>
  </si>
  <si>
    <t>連携ファイルの2行目であること</t>
    <rPh sb="0" eb="2">
      <t>レンケイ</t>
    </rPh>
    <rPh sb="8" eb="10">
      <t>ギョウメ</t>
    </rPh>
    <phoneticPr fontId="2"/>
  </si>
  <si>
    <t>連携ファイルの3行目であること</t>
    <rPh sb="0" eb="2">
      <t>レンケイ</t>
    </rPh>
    <rPh sb="8" eb="10">
      <t>ギョウメ</t>
    </rPh>
    <phoneticPr fontId="2"/>
  </si>
  <si>
    <t>証明書のパスのファイルが存在すること</t>
    <rPh sb="0" eb="3">
      <t>ショウメイショ</t>
    </rPh>
    <rPh sb="12" eb="14">
      <t>ソンザイ</t>
    </rPh>
    <phoneticPr fontId="2"/>
  </si>
  <si>
    <t>有効期限</t>
    <phoneticPr fontId="2"/>
  </si>
  <si>
    <t>ファイルサイズ</t>
    <phoneticPr fontId="2"/>
  </si>
  <si>
    <t>更新されていること</t>
    <rPh sb="0" eb="2">
      <t>コウシン</t>
    </rPh>
    <phoneticPr fontId="2"/>
  </si>
  <si>
    <t>ステータス</t>
    <phoneticPr fontId="2"/>
  </si>
  <si>
    <t>証明書発行完了メール</t>
    <rPh sb="0" eb="3">
      <t>ショウメイショ</t>
    </rPh>
    <rPh sb="3" eb="5">
      <t>ハッコウ</t>
    </rPh>
    <rPh sb="5" eb="7">
      <t>カンリョウ</t>
    </rPh>
    <phoneticPr fontId="2"/>
  </si>
  <si>
    <t>87～107</t>
    <phoneticPr fontId="2"/>
  </si>
  <si>
    <t>processed</t>
  </si>
  <si>
    <t>gm/data/rcv/cert/2026-00114.zip</t>
  </si>
  <si>
    <t>108</t>
    <phoneticPr fontId="2"/>
  </si>
  <si>
    <t>証明書発行完了であること</t>
    <rPh sb="0" eb="3">
      <t>ショウメイショ</t>
    </rPh>
    <rPh sb="3" eb="5">
      <t>ハッコウ</t>
    </rPh>
    <rPh sb="5" eb="7">
      <t>カンリョウ</t>
    </rPh>
    <phoneticPr fontId="2"/>
  </si>
  <si>
    <t>表示されていること</t>
    <rPh sb="0" eb="2">
      <t>ヒョウジ</t>
    </rPh>
    <phoneticPr fontId="2"/>
  </si>
  <si>
    <t>ログインURL</t>
    <phoneticPr fontId="2"/>
  </si>
  <si>
    <t>日英表示されていること</t>
    <rPh sb="0" eb="2">
      <t>ニチエイ</t>
    </rPh>
    <rPh sb="2" eb="4">
      <t>ヒョウジ</t>
    </rPh>
    <phoneticPr fontId="2"/>
  </si>
  <si>
    <t>109～115</t>
    <phoneticPr fontId="2"/>
  </si>
  <si>
    <t>Downloadであること</t>
    <phoneticPr fontId="2"/>
  </si>
  <si>
    <t>Downloadリンククリック</t>
    <phoneticPr fontId="2"/>
  </si>
  <si>
    <t>発行された証明書がダウンロードされること</t>
    <rPh sb="0" eb="2">
      <t>ハッコウ</t>
    </rPh>
    <rPh sb="5" eb="8">
      <t>ショウメイショ</t>
    </rPh>
    <phoneticPr fontId="2"/>
  </si>
  <si>
    <t>117～119</t>
    <phoneticPr fontId="2"/>
  </si>
  <si>
    <t>更新前</t>
    <rPh sb="0" eb="3">
      <t>コウシンマエ</t>
    </rPh>
    <phoneticPr fontId="2"/>
  </si>
  <si>
    <t>証明書zipであること</t>
    <rPh sb="0" eb="3">
      <t>ショウメイショ</t>
    </rPh>
    <phoneticPr fontId="2"/>
  </si>
  <si>
    <t>120,121</t>
    <phoneticPr fontId="2"/>
  </si>
  <si>
    <t>124～131</t>
    <phoneticPr fontId="2"/>
  </si>
  <si>
    <t>133～137</t>
    <phoneticPr fontId="2"/>
  </si>
  <si>
    <t>138～145</t>
    <phoneticPr fontId="2"/>
  </si>
  <si>
    <t>147,148</t>
    <phoneticPr fontId="2"/>
  </si>
  <si>
    <t>2026-00116</t>
  </si>
  <si>
    <t>複数申請_A</t>
  </si>
  <si>
    <t>複数申請_B</t>
  </si>
  <si>
    <t>gm/send/cert/2026-00116.csv</t>
  </si>
  <si>
    <t>ID</t>
  </si>
  <si>
    <t>CL0222-4680-2-01</t>
  </si>
  <si>
    <t>TM2RD-F44-4S-170AM(01)</t>
  </si>
  <si>
    <t>CL0321-3464-3-29</t>
  </si>
  <si>
    <t>H.FL-LP(A)-111-A-160</t>
  </si>
  <si>
    <t>150～170</t>
    <phoneticPr fontId="2"/>
  </si>
  <si>
    <t>172～174</t>
    <phoneticPr fontId="2"/>
  </si>
  <si>
    <t>175</t>
    <phoneticPr fontId="2"/>
  </si>
  <si>
    <t>177～178</t>
    <phoneticPr fontId="2"/>
  </si>
  <si>
    <t>gm/data/rcv/cert/2026-00116.zip</t>
  </si>
  <si>
    <t>190～210</t>
    <phoneticPr fontId="2"/>
  </si>
  <si>
    <t>211</t>
    <phoneticPr fontId="2"/>
  </si>
  <si>
    <t>212～218</t>
    <phoneticPr fontId="2"/>
  </si>
  <si>
    <t>220～222</t>
    <phoneticPr fontId="2"/>
  </si>
  <si>
    <t>223,224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</si>
</sst>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:mm:ss.000"/>
  </numFmts>
  <fonts count="1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1"/>
      <color rgb="FF0070C0"/>
      <name val="ＭＳ Ｐゴシック"/>
      <family val="3"/>
      <charset val="128"/>
    </font>
    <font>
      <b/>
      <sz val="10"/>
      <color rgb="FF0070C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1"/>
      <name val="ＭＳ ゴシック"/>
      <family val="3"/>
      <charset val="128"/>
    </font>
    <font>
      <sz val="12"/>
      <name val="新細明體"/>
      <family val="1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ＭＳ Ｐゴシック"/>
      <family val="3"/>
      <charset val="128"/>
    </font>
    <font>
      <b/>
      <sz val="9"/>
      <color rgb="FF000000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9"/>
      <color rgb="FFC0C0C0"/>
      <name val="游ゴシック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87E7A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0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0" borderId="0"/>
    <xf numFmtId="0" fontId="12" fillId="0" borderId="0"/>
    <xf numFmtId="0" fontId="11" fillId="0" borderId="0"/>
    <xf numFmtId="9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0" fontId="13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5" fillId="2" borderId="0" xfId="0" applyFont="1" applyFill="1">
      <alignment vertical="center"/>
    </xf>
    <xf numFmtId="0" fontId="5" fillId="2" borderId="2" xfId="0" applyFont="1" applyFill="1" applyBorder="1" applyAlignment="1">
      <alignment horizontal="center" vertical="center"/>
    </xf>
    <xf numFmtId="14" fontId="5" fillId="2" borderId="2" xfId="0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center" vertical="center"/>
    </xf>
    <xf numFmtId="0" fontId="7" fillId="2" borderId="0" xfId="0" applyFont="1" applyFill="1">
      <alignment vertical="center"/>
    </xf>
    <xf numFmtId="0" fontId="5" fillId="2" borderId="1" xfId="0" applyFont="1" applyFill="1" applyBorder="1">
      <alignment vertical="center"/>
    </xf>
    <xf numFmtId="0" fontId="8" fillId="4" borderId="2" xfId="0" applyFont="1" applyFill="1" applyBorder="1">
      <alignment vertical="center"/>
    </xf>
    <xf numFmtId="0" fontId="4" fillId="2" borderId="2" xfId="0" applyFont="1" applyFill="1" applyBorder="1" applyAlignment="1">
      <alignment horizontal="left" vertical="center" wrapText="1"/>
    </xf>
    <xf numFmtId="0" fontId="6" fillId="2" borderId="0" xfId="0" applyFont="1" applyFill="1">
      <alignment vertical="center"/>
    </xf>
    <xf numFmtId="0" fontId="6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 wrapText="1"/>
    </xf>
    <xf numFmtId="14" fontId="6" fillId="2" borderId="2" xfId="0" applyNumberFormat="1" applyFont="1" applyFill="1" applyBorder="1" applyAlignment="1">
      <alignment horizontal="center" vertical="center"/>
    </xf>
    <xf numFmtId="0" fontId="10" fillId="2" borderId="0" xfId="0" applyFont="1" applyFill="1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right" vertical="center"/>
    </xf>
    <xf numFmtId="0" fontId="0" fillId="3" borderId="0" xfId="0" applyFill="1">
      <alignment vertical="center"/>
    </xf>
    <xf numFmtId="2" fontId="0" fillId="3" borderId="0" xfId="0" applyNumberFormat="1" applyFill="1">
      <alignment vertical="center"/>
    </xf>
    <xf numFmtId="0" fontId="8" fillId="5" borderId="2" xfId="0" applyFont="1" applyFill="1" applyBorder="1">
      <alignment vertical="center"/>
    </xf>
    <xf numFmtId="0" fontId="6" fillId="2" borderId="2" xfId="0" applyFont="1" applyFill="1" applyBorder="1">
      <alignment vertical="center"/>
    </xf>
    <xf numFmtId="0" fontId="0" fillId="0" borderId="1" xfId="0" applyBorder="1">
      <alignment vertical="center"/>
    </xf>
    <xf numFmtId="0" fontId="6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14" fontId="5" fillId="6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4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>
      <alignment vertical="center"/>
    </xf>
    <xf numFmtId="0" fontId="6" fillId="0" borderId="0" xfId="0" applyFont="1">
      <alignment vertical="center"/>
    </xf>
    <xf numFmtId="0" fontId="6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left" vertical="center" wrapText="1"/>
    </xf>
    <xf numFmtId="14" fontId="5" fillId="7" borderId="2" xfId="0" applyNumberFormat="1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14" fontId="6" fillId="7" borderId="2" xfId="0" applyNumberFormat="1" applyFont="1" applyFill="1" applyBorder="1" applyAlignment="1">
      <alignment horizontal="center" vertical="center"/>
    </xf>
    <xf numFmtId="0" fontId="6" fillId="7" borderId="2" xfId="0" applyFont="1" applyFill="1" applyBorder="1">
      <alignment vertical="center"/>
    </xf>
    <xf numFmtId="49" fontId="0" fillId="0" borderId="0" xfId="0" applyNumberFormat="1">
      <alignment vertical="center"/>
    </xf>
    <xf numFmtId="0" fontId="5" fillId="2" borderId="0" xfId="0" applyFont="1" applyFill="1" applyAlignment="1">
      <alignment horizontal="right" vertical="center"/>
    </xf>
    <xf numFmtId="0" fontId="5" fillId="3" borderId="4" xfId="0" applyFont="1" applyFill="1" applyBorder="1">
      <alignment vertical="center"/>
    </xf>
    <xf numFmtId="38" fontId="5" fillId="3" borderId="4" xfId="9" applyFont="1" applyFill="1" applyBorder="1">
      <alignment vertical="center"/>
    </xf>
    <xf numFmtId="38" fontId="5" fillId="8" borderId="4" xfId="9" applyFont="1" applyFill="1" applyBorder="1">
      <alignment vertical="center"/>
    </xf>
    <xf numFmtId="38" fontId="5" fillId="9" borderId="3" xfId="9" applyFont="1" applyFill="1" applyBorder="1">
      <alignment vertical="center"/>
    </xf>
    <xf numFmtId="38" fontId="5" fillId="3" borderId="3" xfId="9" applyFont="1" applyFill="1" applyBorder="1">
      <alignment vertical="center"/>
    </xf>
    <xf numFmtId="0" fontId="14" fillId="2" borderId="0" xfId="0" applyFont="1" applyFill="1" applyAlignment="1">
      <alignment horizontal="right" vertical="center"/>
    </xf>
    <xf numFmtId="38" fontId="5" fillId="2" borderId="0" xfId="0" applyNumberFormat="1" applyFont="1" applyFill="1">
      <alignment vertical="center"/>
    </xf>
    <xf numFmtId="0" fontId="4" fillId="2" borderId="2" xfId="0" applyFont="1" applyFill="1" applyBorder="1" applyAlignment="1">
      <alignment horizontal="left" vertical="center" wrapText="1" indent="1"/>
    </xf>
    <xf numFmtId="0" fontId="4" fillId="2" borderId="2" xfId="0" applyFont="1" applyFill="1" applyBorder="1" applyAlignment="1">
      <alignment horizontal="left" vertical="center" wrapText="1" indent="2"/>
    </xf>
    <xf numFmtId="0" fontId="4" fillId="2" borderId="2" xfId="0" applyFont="1" applyFill="1" applyBorder="1" applyAlignment="1">
      <alignment horizontal="left" vertical="center" wrapText="1" indent="3"/>
    </xf>
    <xf numFmtId="0" fontId="0" fillId="0" borderId="0" xfId="0" applyFill="1">
      <alignment vertical="center"/>
    </xf>
    <xf numFmtId="49" fontId="15" fillId="10" borderId="5" xfId="0" applyNumberFormat="1" applyFont="1" applyFill="1" applyBorder="1" applyAlignment="1">
      <alignment horizontal="left" vertical="center" wrapText="1"/>
    </xf>
    <xf numFmtId="1" fontId="16" fillId="0" borderId="5" xfId="0" applyNumberFormat="1" applyFont="1" applyBorder="1" applyAlignment="1">
      <alignment horizontal="right" vertical="center"/>
    </xf>
    <xf numFmtId="49" fontId="16" fillId="0" borderId="5" xfId="0" applyNumberFormat="1" applyFont="1" applyBorder="1">
      <alignment vertical="center"/>
    </xf>
    <xf numFmtId="0" fontId="16" fillId="0" borderId="5" xfId="0" applyFont="1" applyBorder="1" applyAlignment="1">
      <alignment horizontal="left" vertical="center"/>
    </xf>
    <xf numFmtId="176" fontId="16" fillId="0" borderId="5" xfId="0" applyNumberFormat="1" applyFont="1" applyBorder="1" applyAlignment="1">
      <alignment horizontal="right" vertical="center"/>
    </xf>
    <xf numFmtId="0" fontId="17" fillId="0" borderId="5" xfId="0" applyFont="1" applyBorder="1">
      <alignment vertical="center"/>
    </xf>
  </cellXfs>
  <cellStyles count="10">
    <cellStyle name="9" xfId="3" xr:uid="{A751641A-59AF-4986-BEA0-95BA29A1AC5D}"/>
    <cellStyle name="Normal_02_samp海外旅費システム業務フロー" xfId="4" xr:uid="{4604693E-B1AD-4828-8A55-13D09FB69F45}"/>
    <cellStyle name="パーセント 2" xfId="5" xr:uid="{DB1323D5-3469-4DFC-9B1B-02C0C1893AEC}"/>
    <cellStyle name="桁区切り" xfId="9" builtinId="6"/>
    <cellStyle name="桁区切り 2" xfId="6" xr:uid="{5D3A9318-DCC0-47BB-B32F-3C22CD19183D}"/>
    <cellStyle name="標準" xfId="0" builtinId="0"/>
    <cellStyle name="標準 2" xfId="1" xr:uid="{00000000-0005-0000-0000-000002000000}"/>
    <cellStyle name="標準 3" xfId="7" xr:uid="{115F23B0-64CF-43C0-A0C6-100066EA8F97}"/>
    <cellStyle name="標準 4" xfId="2" xr:uid="{289337C8-F065-4CC3-9A51-A47EA5A4766B}"/>
    <cellStyle name="標準 5" xfId="8" xr:uid="{F20D2B77-3473-4AFF-9AC7-872C2250FDF2}"/>
  </cellStyles>
  <dxfs count="0"/>
  <tableStyles count="0" defaultTableStyle="TableStyleMedium2" defaultPivotStyle="PivotStyleLight16"/>
  <colors>
    <mruColors>
      <color rgb="FFCCFFFF"/>
      <color rgb="FF99FF99"/>
      <color rgb="FFFFFF66"/>
      <color rgb="FF66FFFF"/>
      <color rgb="FFFFFF99"/>
      <color rgb="FFFFFF00"/>
      <color rgb="FFCC9900"/>
      <color rgb="FFFFFFCC"/>
      <color rgb="FFFF99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403062</xdr:colOff>
      <xdr:row>17</xdr:row>
      <xdr:rowOff>197777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5537F04E-1641-FB75-3584-F3CF39ABF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35324"/>
          <a:ext cx="9535856" cy="396295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4</xdr:col>
      <xdr:colOff>546315</xdr:colOff>
      <xdr:row>31</xdr:row>
      <xdr:rowOff>212183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D9334599-4BE8-2F76-F3BF-580D84CCD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3559" y="4706471"/>
          <a:ext cx="4210638" cy="2800741"/>
        </a:xfrm>
        <a:prstGeom prst="rect">
          <a:avLst/>
        </a:prstGeom>
      </xdr:spPr>
    </xdr:pic>
    <xdr:clientData/>
  </xdr:twoCellAnchor>
  <xdr:twoCellAnchor editAs="oneCell">
    <xdr:from>
      <xdr:col>8</xdr:col>
      <xdr:colOff>1</xdr:colOff>
      <xdr:row>20</xdr:row>
      <xdr:rowOff>0</xdr:rowOff>
    </xdr:from>
    <xdr:to>
      <xdr:col>11</xdr:col>
      <xdr:colOff>44825</xdr:colOff>
      <xdr:row>31</xdr:row>
      <xdr:rowOff>138117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7215F914-726E-F243-317A-F10F0602D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68472" y="4706471"/>
          <a:ext cx="2095500" cy="27266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3</xdr:col>
      <xdr:colOff>1188276</xdr:colOff>
      <xdr:row>44</xdr:row>
      <xdr:rowOff>218874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4239C276-1248-81CD-AD50-2CE1E31E7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3559" y="8001000"/>
          <a:ext cx="3238952" cy="257210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10</xdr:col>
      <xdr:colOff>590454</xdr:colOff>
      <xdr:row>40</xdr:row>
      <xdr:rowOff>55114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0DC405C8-BC48-94E4-8989-617B05994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01353" y="8001000"/>
          <a:ext cx="3324689" cy="146705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19</xdr:col>
      <xdr:colOff>382854</xdr:colOff>
      <xdr:row>46</xdr:row>
      <xdr:rowOff>147543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C45CA405-9C0B-5420-1A4F-D764F4607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01353" y="9648265"/>
          <a:ext cx="9269119" cy="13241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3</xdr:col>
      <xdr:colOff>502380</xdr:colOff>
      <xdr:row>62</xdr:row>
      <xdr:rowOff>30159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307AC16F-C0F9-A25D-4C6B-E559D418F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3559" y="11295529"/>
          <a:ext cx="2553056" cy="332468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8</xdr:col>
      <xdr:colOff>269872</xdr:colOff>
      <xdr:row>67</xdr:row>
      <xdr:rowOff>208558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25E6774E-0116-8F9B-086F-8F3BE6786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3559" y="15060706"/>
          <a:ext cx="6668431" cy="914528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64</xdr:row>
      <xdr:rowOff>0</xdr:rowOff>
    </xdr:from>
    <xdr:to>
      <xdr:col>20</xdr:col>
      <xdr:colOff>59137</xdr:colOff>
      <xdr:row>67</xdr:row>
      <xdr:rowOff>75189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4DD69983-C488-57C0-6B03-33EC56C9E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519147" y="15060706"/>
          <a:ext cx="6211167" cy="7811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8</xdr:col>
      <xdr:colOff>146029</xdr:colOff>
      <xdr:row>73</xdr:row>
      <xdr:rowOff>141872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099CBEBC-3E7E-73B1-0C35-6F0F22FB4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83559" y="16472647"/>
          <a:ext cx="6544588" cy="84784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70</xdr:row>
      <xdr:rowOff>0</xdr:rowOff>
    </xdr:from>
    <xdr:to>
      <xdr:col>16</xdr:col>
      <xdr:colOff>526106</xdr:colOff>
      <xdr:row>73</xdr:row>
      <xdr:rowOff>56135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55AB3C1A-80A0-A9A4-2C76-AD0138367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519147" y="16472647"/>
          <a:ext cx="3943900" cy="76210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12</xdr:col>
      <xdr:colOff>2956</xdr:colOff>
      <xdr:row>91</xdr:row>
      <xdr:rowOff>188251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FDE2628F-ADB9-BA37-DCA6-5D0F647DA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3559" y="17649265"/>
          <a:ext cx="9135750" cy="395342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8</xdr:col>
      <xdr:colOff>127508</xdr:colOff>
      <xdr:row>99</xdr:row>
      <xdr:rowOff>33618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735994B0-45A2-B312-063F-B792E2DE8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83559" y="21885088"/>
          <a:ext cx="6526067" cy="14455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8</xdr:col>
      <xdr:colOff>269872</xdr:colOff>
      <xdr:row>104</xdr:row>
      <xdr:rowOff>179978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8A134B09-1960-FC35-0C4D-B3C4EF2A2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83559" y="23767676"/>
          <a:ext cx="6668431" cy="88594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3</xdr:col>
      <xdr:colOff>1007276</xdr:colOff>
      <xdr:row>111</xdr:row>
      <xdr:rowOff>109436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CDCFE763-5F9F-3482-5ACD-581E265EA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83559" y="24944294"/>
          <a:ext cx="3057952" cy="12860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11</xdr:col>
      <xdr:colOff>562673</xdr:colOff>
      <xdr:row>132</xdr:row>
      <xdr:rowOff>234860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EB809283-8F2F-FFA0-58EF-BDA681E63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83559" y="26591559"/>
          <a:ext cx="9011908" cy="47060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135</xdr:row>
      <xdr:rowOff>0</xdr:rowOff>
    </xdr:from>
    <xdr:to>
      <xdr:col>7</xdr:col>
      <xdr:colOff>458061</xdr:colOff>
      <xdr:row>162</xdr:row>
      <xdr:rowOff>326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1D4A1CAC-9294-EB4B-F2BC-C86D69D48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83559" y="31768676"/>
          <a:ext cx="6173061" cy="63540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191</xdr:row>
      <xdr:rowOff>0</xdr:rowOff>
    </xdr:from>
    <xdr:to>
      <xdr:col>3</xdr:col>
      <xdr:colOff>502380</xdr:colOff>
      <xdr:row>195</xdr:row>
      <xdr:rowOff>1813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7FBE099-7D57-EAF9-A8BA-0C295D919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83559" y="44240824"/>
          <a:ext cx="2553056" cy="9431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197</xdr:row>
      <xdr:rowOff>0</xdr:rowOff>
    </xdr:from>
    <xdr:to>
      <xdr:col>7</xdr:col>
      <xdr:colOff>629535</xdr:colOff>
      <xdr:row>201</xdr:row>
      <xdr:rowOff>135181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F2B462F-3D5C-0215-0C3B-C8258B470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83559" y="45652765"/>
          <a:ext cx="6344535" cy="10764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227</xdr:row>
      <xdr:rowOff>0</xdr:rowOff>
    </xdr:from>
    <xdr:to>
      <xdr:col>3</xdr:col>
      <xdr:colOff>292801</xdr:colOff>
      <xdr:row>231</xdr:row>
      <xdr:rowOff>116129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A767EBA-32AB-5976-E019-07AF26E48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83559" y="57183618"/>
          <a:ext cx="2343477" cy="105742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233</xdr:row>
      <xdr:rowOff>0</xdr:rowOff>
    </xdr:from>
    <xdr:to>
      <xdr:col>10</xdr:col>
      <xdr:colOff>312651</xdr:colOff>
      <xdr:row>253</xdr:row>
      <xdr:rowOff>104325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E41BF7E-EFC5-C0D1-359E-82565BB4C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83559" y="58595559"/>
          <a:ext cx="8078327" cy="4810796"/>
        </a:xfrm>
        <a:prstGeom prst="rect">
          <a:avLst/>
        </a:prstGeom>
      </xdr:spPr>
    </xdr:pic>
    <xdr:clientData/>
  </xdr:twoCellAnchor>
  <xdr:twoCellAnchor editAs="oneCell">
    <xdr:from>
      <xdr:col>1</xdr:col>
      <xdr:colOff>11206</xdr:colOff>
      <xdr:row>257</xdr:row>
      <xdr:rowOff>89647</xdr:rowOff>
    </xdr:from>
    <xdr:to>
      <xdr:col>14</xdr:col>
      <xdr:colOff>304625</xdr:colOff>
      <xdr:row>264</xdr:row>
      <xdr:rowOff>128543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CE3AB3F6-4487-4C30-BD05-AEFCC0FBA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94765" y="61744412"/>
          <a:ext cx="10793331" cy="1686160"/>
        </a:xfrm>
        <a:prstGeom prst="rect">
          <a:avLst/>
        </a:prstGeom>
      </xdr:spPr>
    </xdr:pic>
    <xdr:clientData/>
  </xdr:twoCellAnchor>
  <xdr:twoCellAnchor editAs="oneCell">
    <xdr:from>
      <xdr:col>0</xdr:col>
      <xdr:colOff>649942</xdr:colOff>
      <xdr:row>271</xdr:row>
      <xdr:rowOff>100852</xdr:rowOff>
    </xdr:from>
    <xdr:to>
      <xdr:col>5</xdr:col>
      <xdr:colOff>648403</xdr:colOff>
      <xdr:row>272</xdr:row>
      <xdr:rowOff>94160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B1B15F1-8501-F21F-1C09-FC0AB0D9C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49942" y="65050146"/>
          <a:ext cx="5029902" cy="22863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266</xdr:row>
      <xdr:rowOff>0</xdr:rowOff>
    </xdr:from>
    <xdr:to>
      <xdr:col>14</xdr:col>
      <xdr:colOff>93366</xdr:colOff>
      <xdr:row>269</xdr:row>
      <xdr:rowOff>189504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77CC5F11-0CDC-1DEB-039F-C78868D50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83559" y="63772676"/>
          <a:ext cx="10593278" cy="8954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274</xdr:row>
      <xdr:rowOff>0</xdr:rowOff>
    </xdr:from>
    <xdr:to>
      <xdr:col>14</xdr:col>
      <xdr:colOff>150524</xdr:colOff>
      <xdr:row>283</xdr:row>
      <xdr:rowOff>120776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4164B16E-D38B-D114-DAF2-446604B6F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83559" y="65655265"/>
          <a:ext cx="10650436" cy="22386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285</xdr:row>
      <xdr:rowOff>0</xdr:rowOff>
    </xdr:from>
    <xdr:to>
      <xdr:col>12</xdr:col>
      <xdr:colOff>279219</xdr:colOff>
      <xdr:row>291</xdr:row>
      <xdr:rowOff>207535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59E90799-B9AD-DD22-0E91-57AD43B8E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83559" y="68243824"/>
          <a:ext cx="9412013" cy="16194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294</xdr:row>
      <xdr:rowOff>0</xdr:rowOff>
    </xdr:from>
    <xdr:to>
      <xdr:col>12</xdr:col>
      <xdr:colOff>507851</xdr:colOff>
      <xdr:row>317</xdr:row>
      <xdr:rowOff>189041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E2C45F9-F438-8C4C-7ABA-9570B7AF7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83559" y="70361735"/>
          <a:ext cx="9640645" cy="56014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320</xdr:row>
      <xdr:rowOff>0</xdr:rowOff>
    </xdr:from>
    <xdr:to>
      <xdr:col>8</xdr:col>
      <xdr:colOff>155556</xdr:colOff>
      <xdr:row>344</xdr:row>
      <xdr:rowOff>68033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C3415DAA-ACC1-E273-D6AD-0F039852D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83559" y="76480147"/>
          <a:ext cx="6554115" cy="571579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377</xdr:row>
      <xdr:rowOff>0</xdr:rowOff>
    </xdr:from>
    <xdr:to>
      <xdr:col>3</xdr:col>
      <xdr:colOff>445222</xdr:colOff>
      <xdr:row>381</xdr:row>
      <xdr:rowOff>154234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926CAD9D-E88F-2C9C-8FC4-6FABB3BF4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83559" y="91070206"/>
          <a:ext cx="2495898" cy="1095528"/>
        </a:xfrm>
        <a:prstGeom prst="rect">
          <a:avLst/>
        </a:prstGeom>
      </xdr:spPr>
    </xdr:pic>
    <xdr:clientData/>
  </xdr:twoCellAnchor>
  <xdr:twoCellAnchor editAs="oneCell">
    <xdr:from>
      <xdr:col>1</xdr:col>
      <xdr:colOff>22411</xdr:colOff>
      <xdr:row>383</xdr:row>
      <xdr:rowOff>67235</xdr:rowOff>
    </xdr:from>
    <xdr:to>
      <xdr:col>7</xdr:col>
      <xdr:colOff>127998</xdr:colOff>
      <xdr:row>388</xdr:row>
      <xdr:rowOff>52829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5BBE1141-142A-FA80-6A6D-3CDEAC3D6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705970" y="92549382"/>
          <a:ext cx="5820587" cy="11622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414</xdr:row>
      <xdr:rowOff>0</xdr:rowOff>
    </xdr:from>
    <xdr:to>
      <xdr:col>3</xdr:col>
      <xdr:colOff>330906</xdr:colOff>
      <xdr:row>420</xdr:row>
      <xdr:rowOff>159903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19225A2E-BD93-E8DD-9EDA-7CF5E8288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683559" y="100953794"/>
          <a:ext cx="2381582" cy="15718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422</xdr:row>
      <xdr:rowOff>0</xdr:rowOff>
    </xdr:from>
    <xdr:to>
      <xdr:col>10</xdr:col>
      <xdr:colOff>245967</xdr:colOff>
      <xdr:row>443</xdr:row>
      <xdr:rowOff>97634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4336F411-386C-2843-1F50-2CEE8A41E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83559" y="102836382"/>
          <a:ext cx="8011643" cy="50394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445</xdr:row>
      <xdr:rowOff>0</xdr:rowOff>
    </xdr:from>
    <xdr:to>
      <xdr:col>14</xdr:col>
      <xdr:colOff>55261</xdr:colOff>
      <xdr:row>450</xdr:row>
      <xdr:rowOff>128490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1C35DAAF-B4E8-F305-7D09-260C85CE3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683559" y="108248824"/>
          <a:ext cx="10555173" cy="13051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453</xdr:row>
      <xdr:rowOff>0</xdr:rowOff>
    </xdr:from>
    <xdr:to>
      <xdr:col>3</xdr:col>
      <xdr:colOff>654802</xdr:colOff>
      <xdr:row>460</xdr:row>
      <xdr:rowOff>115107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6F57C6E0-1188-B889-58C8-67A3DDB34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683559" y="110131412"/>
          <a:ext cx="2705478" cy="176237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ork\02.&#12503;&#12525;&#12472;&#12455;&#12463;&#12488;\Pasco\pasco_im\60_&#32080;&#21512;&#35430;&#39443;\&#32080;&#21512;&#35430;&#39443;&#26360;.xlsx" TargetMode="External"/><Relationship Id="rId1" Type="http://schemas.openxmlformats.org/officeDocument/2006/relationships/externalLinkPath" Target="file:///C:\Work\02.&#12503;&#12525;&#12472;&#12455;&#12463;&#12488;\Pasco\github\pasco_im\60_&#32080;&#21512;&#35430;&#39443;\&#32080;&#21512;&#35430;&#39443;&#263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指標"/>
      <sheetName val="前提事項"/>
      <sheetName val="結合試験仕様書兼結果報告書"/>
      <sheetName val="エビデンス"/>
      <sheetName val="マスタ"/>
    </sheetNames>
    <sheetDataSet>
      <sheetData sheetId="0"/>
      <sheetData sheetId="1"/>
      <sheetData sheetId="2"/>
      <sheetData sheetId="3"/>
      <sheetData sheetId="4">
        <row r="3">
          <cell r="B3" t="str">
            <v>○</v>
          </cell>
        </row>
        <row r="4">
          <cell r="B4" t="str">
            <v>×</v>
          </cell>
        </row>
        <row r="5">
          <cell r="B5" t="str">
            <v>※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25400">
          <a:solidFill>
            <a:srgbClr val="FF0000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25400">
          <a:solidFill>
            <a:srgbClr val="FF0000"/>
          </a:solidFill>
          <a:tailEnd type="triangl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6C131-816A-4222-92B5-70F2AD947981}">
  <sheetPr codeName="Sheet2"/>
  <dimension ref="B2:G10"/>
  <sheetViews>
    <sheetView zoomScale="70" zoomScaleNormal="70" workbookViewId="0">
      <selection activeCell="H8" sqref="H8"/>
    </sheetView>
  </sheetViews>
  <sheetFormatPr defaultColWidth="8.75" defaultRowHeight="18.75" x14ac:dyDescent="0.4"/>
  <cols>
    <col min="1" max="16384" width="8.75" style="17"/>
  </cols>
  <sheetData>
    <row r="2" spans="2:7" x14ac:dyDescent="0.4">
      <c r="B2" s="16" t="s">
        <v>16</v>
      </c>
    </row>
    <row r="3" spans="2:7" x14ac:dyDescent="0.4">
      <c r="C3" s="17" t="s">
        <v>17</v>
      </c>
      <c r="D3" s="17" t="s">
        <v>18</v>
      </c>
    </row>
    <row r="4" spans="2:7" x14ac:dyDescent="0.4">
      <c r="C4" s="19">
        <v>112.5</v>
      </c>
      <c r="D4" s="17" t="s">
        <v>3</v>
      </c>
    </row>
    <row r="5" spans="2:7" x14ac:dyDescent="0.4">
      <c r="C5" s="17" t="s">
        <v>19</v>
      </c>
      <c r="D5" s="17" t="s">
        <v>18</v>
      </c>
    </row>
    <row r="6" spans="2:7" x14ac:dyDescent="0.4">
      <c r="C6" s="19">
        <v>10.199999999999999</v>
      </c>
      <c r="D6" s="17" t="s">
        <v>3</v>
      </c>
    </row>
    <row r="7" spans="2:7" x14ac:dyDescent="0.4">
      <c r="C7" s="17" t="s">
        <v>20</v>
      </c>
    </row>
    <row r="8" spans="2:7" x14ac:dyDescent="0.4">
      <c r="C8" s="18" t="s">
        <v>0</v>
      </c>
      <c r="D8" s="20">
        <v>1</v>
      </c>
      <c r="E8" s="17" t="s">
        <v>21</v>
      </c>
      <c r="G8" s="17" t="s">
        <v>22</v>
      </c>
    </row>
    <row r="9" spans="2:7" x14ac:dyDescent="0.4">
      <c r="C9" s="18" t="s">
        <v>1</v>
      </c>
      <c r="D9" s="20">
        <v>2</v>
      </c>
      <c r="E9" s="17" t="s">
        <v>23</v>
      </c>
      <c r="G9" s="17" t="s">
        <v>22</v>
      </c>
    </row>
    <row r="10" spans="2:7" x14ac:dyDescent="0.4">
      <c r="C10" s="18" t="s">
        <v>2</v>
      </c>
      <c r="D10" s="20">
        <v>0.1</v>
      </c>
      <c r="E10" s="17" t="s">
        <v>24</v>
      </c>
      <c r="G10" s="17" t="s">
        <v>22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E969A-6C5A-4030-828F-A9BAFD262EEF}">
  <sheetPr>
    <pageSetUpPr fitToPage="1"/>
  </sheetPr>
  <dimension ref="A1:O229"/>
  <sheetViews>
    <sheetView tabSelected="1" zoomScale="85" zoomScaleNormal="85" zoomScaleSheetLayoutView="85" workbookViewId="0">
      <pane ySplit="5" topLeftCell="A75" activePane="bottomLeft" state="frozen"/>
      <selection pane="bottomLeft" activeCell="F223" sqref="F223"/>
    </sheetView>
  </sheetViews>
  <sheetFormatPr defaultColWidth="9" defaultRowHeight="19.899999999999999" customHeight="1" x14ac:dyDescent="0.4"/>
  <cols>
    <col min="1" max="1" width="5.25" style="1" customWidth="1"/>
    <col min="2" max="2" width="26.5" style="1" customWidth="1"/>
    <col min="3" max="3" width="29.875" style="1" customWidth="1"/>
    <col min="4" max="4" width="31.25" style="1" customWidth="1"/>
    <col min="5" max="5" width="43.125" style="1" customWidth="1"/>
    <col min="6" max="6" width="10" style="1" customWidth="1"/>
    <col min="7" max="7" width="11.75" style="1" bestFit="1" customWidth="1"/>
    <col min="8" max="8" width="8.5" style="1" customWidth="1"/>
    <col min="9" max="9" width="8.25" style="1" customWidth="1"/>
    <col min="10" max="10" width="12.625" style="1" customWidth="1"/>
    <col min="11" max="12" width="11.625" style="1" customWidth="1"/>
    <col min="13" max="16384" width="9" style="1"/>
  </cols>
  <sheetData>
    <row r="1" spans="1:15" ht="13.5" x14ac:dyDescent="0.4">
      <c r="B1" s="42" t="s">
        <v>36</v>
      </c>
      <c r="C1" s="43" t="s">
        <v>50</v>
      </c>
      <c r="D1" s="42" t="s">
        <v>37</v>
      </c>
      <c r="E1" s="44">
        <v>4500</v>
      </c>
      <c r="H1" s="42" t="s">
        <v>38</v>
      </c>
      <c r="I1" s="45">
        <f>SUM(I2:I3)</f>
        <v>201</v>
      </c>
      <c r="J1" s="1" t="s">
        <v>3</v>
      </c>
      <c r="K1" s="49">
        <f>173-I1</f>
        <v>-28</v>
      </c>
    </row>
    <row r="2" spans="1:15" ht="13.5" x14ac:dyDescent="0.4">
      <c r="B2" s="42" t="s">
        <v>39</v>
      </c>
      <c r="C2" s="43" t="s">
        <v>49</v>
      </c>
      <c r="D2" s="42" t="s">
        <v>40</v>
      </c>
      <c r="E2" s="44">
        <v>4913</v>
      </c>
      <c r="F2" s="1" t="s">
        <v>41</v>
      </c>
      <c r="H2" s="42" t="s">
        <v>42</v>
      </c>
      <c r="I2" s="46">
        <f>COUNTIF(I$5:I$1038,"○")</f>
        <v>201</v>
      </c>
      <c r="J2" s="1" t="s">
        <v>3</v>
      </c>
      <c r="O2" s="42"/>
    </row>
    <row r="3" spans="1:15" ht="13.5" x14ac:dyDescent="0.4">
      <c r="B3" s="42" t="s">
        <v>48</v>
      </c>
      <c r="C3" s="43" t="s">
        <v>35</v>
      </c>
      <c r="E3" s="47"/>
      <c r="F3" s="1" t="s">
        <v>43</v>
      </c>
      <c r="H3" s="42" t="s">
        <v>44</v>
      </c>
      <c r="I3" s="46">
        <f>COUNTIF(I$5:I$1038,"×")</f>
        <v>0</v>
      </c>
      <c r="J3" s="1" t="s">
        <v>3</v>
      </c>
      <c r="K3" s="48"/>
      <c r="L3" s="48"/>
      <c r="M3" s="48"/>
    </row>
    <row r="4" spans="1:15" ht="13.5" x14ac:dyDescent="0.4">
      <c r="E4" s="47"/>
      <c r="F4" s="1" t="s">
        <v>45</v>
      </c>
    </row>
    <row r="5" spans="1:15" s="11" customFormat="1" ht="19.899999999999999" customHeight="1" x14ac:dyDescent="0.4">
      <c r="A5" s="4" t="s">
        <v>5</v>
      </c>
      <c r="B5" s="5" t="s">
        <v>13</v>
      </c>
      <c r="C5" s="5" t="s">
        <v>14</v>
      </c>
      <c r="D5" s="5" t="s">
        <v>12</v>
      </c>
      <c r="E5" s="9" t="s">
        <v>6</v>
      </c>
      <c r="F5" s="9" t="s">
        <v>15</v>
      </c>
      <c r="G5" s="6" t="s">
        <v>7</v>
      </c>
      <c r="H5" s="6" t="s">
        <v>8</v>
      </c>
      <c r="I5" s="6" t="s">
        <v>9</v>
      </c>
      <c r="J5" s="6" t="s">
        <v>11</v>
      </c>
      <c r="K5" s="21" t="s">
        <v>10</v>
      </c>
      <c r="L5" s="21" t="s">
        <v>46</v>
      </c>
    </row>
    <row r="6" spans="1:15" s="11" customFormat="1" ht="19.5" customHeight="1" x14ac:dyDescent="0.4">
      <c r="A6" s="24">
        <f>ROW()-5</f>
        <v>1</v>
      </c>
      <c r="B6" s="25" t="s">
        <v>54</v>
      </c>
      <c r="C6" s="26"/>
      <c r="D6" s="26"/>
      <c r="E6" s="26"/>
      <c r="F6" s="27"/>
      <c r="G6" s="28"/>
      <c r="H6" s="29"/>
      <c r="I6" s="29"/>
      <c r="J6" s="30"/>
      <c r="K6" s="31"/>
      <c r="L6" s="31"/>
    </row>
    <row r="7" spans="1:15" s="32" customFormat="1" ht="19.5" customHeight="1" x14ac:dyDescent="0.4">
      <c r="A7" s="33">
        <f t="shared" ref="A7:A98" si="0">ROW()-5</f>
        <v>2</v>
      </c>
      <c r="B7" s="34" t="s">
        <v>52</v>
      </c>
      <c r="C7" s="34"/>
      <c r="D7" s="35"/>
      <c r="E7" s="35"/>
      <c r="F7" s="36"/>
      <c r="G7" s="37"/>
      <c r="H7" s="38"/>
      <c r="I7" s="38"/>
      <c r="J7" s="39"/>
      <c r="K7" s="40"/>
      <c r="L7" s="40"/>
    </row>
    <row r="8" spans="1:15" s="11" customFormat="1" ht="19.5" customHeight="1" x14ac:dyDescent="0.4">
      <c r="A8" s="12">
        <f t="shared" si="0"/>
        <v>3</v>
      </c>
      <c r="B8" s="13"/>
      <c r="C8" s="10" t="s">
        <v>51</v>
      </c>
      <c r="D8" s="10" t="s">
        <v>56</v>
      </c>
      <c r="E8" s="10" t="s">
        <v>55</v>
      </c>
      <c r="F8" s="14"/>
      <c r="G8" s="3">
        <v>46212</v>
      </c>
      <c r="H8" s="2" t="s">
        <v>35</v>
      </c>
      <c r="I8" s="2" t="s">
        <v>34</v>
      </c>
      <c r="J8" s="15"/>
      <c r="K8" s="22"/>
      <c r="L8" s="22"/>
    </row>
    <row r="9" spans="1:15" s="11" customFormat="1" ht="19.5" customHeight="1" x14ac:dyDescent="0.4">
      <c r="A9" s="12">
        <f t="shared" si="0"/>
        <v>4</v>
      </c>
      <c r="B9" s="13"/>
      <c r="C9" s="10"/>
      <c r="D9" s="10" t="s">
        <v>57</v>
      </c>
      <c r="E9" s="10" t="s">
        <v>58</v>
      </c>
      <c r="F9" s="14"/>
      <c r="G9" s="3">
        <v>46212</v>
      </c>
      <c r="H9" s="2" t="s">
        <v>35</v>
      </c>
      <c r="I9" s="2" t="s">
        <v>34</v>
      </c>
      <c r="J9" s="15"/>
      <c r="K9" s="22"/>
      <c r="L9" s="22"/>
    </row>
    <row r="10" spans="1:15" s="11" customFormat="1" ht="19.5" customHeight="1" x14ac:dyDescent="0.4">
      <c r="A10" s="12">
        <f t="shared" si="0"/>
        <v>5</v>
      </c>
      <c r="B10" s="13"/>
      <c r="C10" s="10"/>
      <c r="D10" s="50" t="s">
        <v>61</v>
      </c>
      <c r="E10" s="10" t="s">
        <v>62</v>
      </c>
      <c r="F10" s="14"/>
      <c r="G10" s="3">
        <v>46212</v>
      </c>
      <c r="H10" s="2" t="s">
        <v>35</v>
      </c>
      <c r="I10" s="2" t="s">
        <v>34</v>
      </c>
      <c r="J10" s="15"/>
      <c r="K10" s="22"/>
      <c r="L10" s="22"/>
    </row>
    <row r="11" spans="1:15" s="11" customFormat="1" ht="19.5" customHeight="1" x14ac:dyDescent="0.4">
      <c r="A11" s="12">
        <f t="shared" si="0"/>
        <v>6</v>
      </c>
      <c r="B11" s="13"/>
      <c r="C11" s="10" t="s">
        <v>63</v>
      </c>
      <c r="D11" s="10" t="s">
        <v>64</v>
      </c>
      <c r="E11" s="10" t="s">
        <v>65</v>
      </c>
      <c r="F11" s="14"/>
      <c r="G11" s="3">
        <v>46212</v>
      </c>
      <c r="H11" s="2" t="s">
        <v>35</v>
      </c>
      <c r="I11" s="2" t="s">
        <v>34</v>
      </c>
      <c r="J11" s="15"/>
      <c r="K11" s="22"/>
      <c r="L11" s="22"/>
    </row>
    <row r="12" spans="1:15" s="11" customFormat="1" ht="19.5" customHeight="1" x14ac:dyDescent="0.4">
      <c r="A12" s="12">
        <f t="shared" si="0"/>
        <v>7</v>
      </c>
      <c r="B12" s="13"/>
      <c r="C12" s="10"/>
      <c r="D12" s="10" t="s">
        <v>66</v>
      </c>
      <c r="E12" s="10" t="s">
        <v>67</v>
      </c>
      <c r="F12" s="14"/>
      <c r="G12" s="3">
        <v>46212</v>
      </c>
      <c r="H12" s="2" t="s">
        <v>35</v>
      </c>
      <c r="I12" s="2" t="s">
        <v>34</v>
      </c>
      <c r="J12" s="15"/>
      <c r="K12" s="22"/>
      <c r="L12" s="22"/>
    </row>
    <row r="13" spans="1:15" s="11" customFormat="1" ht="19.5" customHeight="1" x14ac:dyDescent="0.4">
      <c r="A13" s="12">
        <f t="shared" si="0"/>
        <v>8</v>
      </c>
      <c r="B13" s="13"/>
      <c r="C13" s="10"/>
      <c r="D13" s="10" t="s">
        <v>68</v>
      </c>
      <c r="E13" s="10" t="s">
        <v>62</v>
      </c>
      <c r="F13" s="14"/>
      <c r="G13" s="3">
        <v>46212</v>
      </c>
      <c r="H13" s="2" t="s">
        <v>35</v>
      </c>
      <c r="I13" s="2" t="s">
        <v>34</v>
      </c>
      <c r="J13" s="15"/>
      <c r="K13" s="22"/>
      <c r="L13" s="22"/>
    </row>
    <row r="14" spans="1:15" s="11" customFormat="1" ht="19.5" customHeight="1" x14ac:dyDescent="0.4">
      <c r="A14" s="12">
        <f t="shared" si="0"/>
        <v>9</v>
      </c>
      <c r="B14" s="13"/>
      <c r="C14" s="10"/>
      <c r="D14" s="50" t="s">
        <v>69</v>
      </c>
      <c r="E14" s="10"/>
      <c r="F14" s="14"/>
      <c r="G14" s="3"/>
      <c r="H14" s="2"/>
      <c r="I14" s="2"/>
      <c r="J14" s="15"/>
      <c r="K14" s="22"/>
      <c r="L14" s="22"/>
    </row>
    <row r="15" spans="1:15" s="11" customFormat="1" ht="19.5" customHeight="1" x14ac:dyDescent="0.4">
      <c r="A15" s="12">
        <f t="shared" si="0"/>
        <v>10</v>
      </c>
      <c r="B15" s="13"/>
      <c r="C15" s="10"/>
      <c r="D15" s="51" t="s">
        <v>70</v>
      </c>
      <c r="E15" s="10" t="s">
        <v>71</v>
      </c>
      <c r="F15" s="14"/>
      <c r="G15" s="3">
        <v>46212</v>
      </c>
      <c r="H15" s="2" t="s">
        <v>35</v>
      </c>
      <c r="I15" s="2" t="s">
        <v>34</v>
      </c>
      <c r="J15" s="15"/>
      <c r="K15" s="22"/>
      <c r="L15" s="22"/>
    </row>
    <row r="16" spans="1:15" s="11" customFormat="1" ht="19.5" customHeight="1" x14ac:dyDescent="0.4">
      <c r="A16" s="12">
        <f t="shared" si="0"/>
        <v>11</v>
      </c>
      <c r="B16" s="13"/>
      <c r="C16" s="10"/>
      <c r="D16" s="10" t="s">
        <v>73</v>
      </c>
      <c r="E16" s="10" t="s">
        <v>74</v>
      </c>
      <c r="F16" s="14" t="s">
        <v>75</v>
      </c>
      <c r="G16" s="3">
        <v>46212</v>
      </c>
      <c r="H16" s="2" t="s">
        <v>35</v>
      </c>
      <c r="I16" s="2" t="s">
        <v>34</v>
      </c>
      <c r="J16" s="15"/>
      <c r="K16" s="22"/>
      <c r="L16" s="22"/>
    </row>
    <row r="17" spans="1:12" s="11" customFormat="1" ht="19.5" customHeight="1" x14ac:dyDescent="0.4">
      <c r="A17" s="12">
        <f t="shared" si="0"/>
        <v>12</v>
      </c>
      <c r="B17" s="13"/>
      <c r="C17" s="10" t="s">
        <v>76</v>
      </c>
      <c r="D17" s="10" t="s">
        <v>77</v>
      </c>
      <c r="E17" s="10" t="s">
        <v>79</v>
      </c>
      <c r="F17" s="14"/>
      <c r="G17" s="3">
        <v>46212</v>
      </c>
      <c r="H17" s="2" t="s">
        <v>35</v>
      </c>
      <c r="I17" s="2" t="s">
        <v>34</v>
      </c>
      <c r="J17" s="15"/>
      <c r="K17" s="22"/>
      <c r="L17" s="22"/>
    </row>
    <row r="18" spans="1:12" s="11" customFormat="1" ht="19.5" customHeight="1" x14ac:dyDescent="0.4">
      <c r="A18" s="12">
        <f t="shared" si="0"/>
        <v>13</v>
      </c>
      <c r="B18" s="13"/>
      <c r="C18" s="10"/>
      <c r="D18" s="10"/>
      <c r="E18" s="10" t="s">
        <v>80</v>
      </c>
      <c r="F18" s="14"/>
      <c r="G18" s="3">
        <v>46212</v>
      </c>
      <c r="H18" s="2" t="s">
        <v>35</v>
      </c>
      <c r="I18" s="2" t="s">
        <v>34</v>
      </c>
      <c r="J18" s="15"/>
      <c r="K18" s="22"/>
      <c r="L18" s="22"/>
    </row>
    <row r="19" spans="1:12" s="11" customFormat="1" ht="19.5" customHeight="1" x14ac:dyDescent="0.4">
      <c r="A19" s="12">
        <f t="shared" si="0"/>
        <v>14</v>
      </c>
      <c r="B19" s="13"/>
      <c r="C19" s="10"/>
      <c r="D19" s="10" t="s">
        <v>78</v>
      </c>
      <c r="E19" s="10" t="s">
        <v>81</v>
      </c>
      <c r="F19" s="14"/>
      <c r="G19" s="3">
        <v>46212</v>
      </c>
      <c r="H19" s="2" t="s">
        <v>35</v>
      </c>
      <c r="I19" s="2" t="s">
        <v>34</v>
      </c>
      <c r="J19" s="15"/>
      <c r="K19" s="22"/>
      <c r="L19" s="22"/>
    </row>
    <row r="20" spans="1:12" s="11" customFormat="1" ht="19.5" customHeight="1" x14ac:dyDescent="0.4">
      <c r="A20" s="12">
        <f t="shared" si="0"/>
        <v>15</v>
      </c>
      <c r="B20" s="13"/>
      <c r="C20" s="10"/>
      <c r="D20" s="10"/>
      <c r="E20" s="10" t="s">
        <v>82</v>
      </c>
      <c r="F20" s="14"/>
      <c r="G20" s="3">
        <v>46212</v>
      </c>
      <c r="H20" s="2" t="s">
        <v>35</v>
      </c>
      <c r="I20" s="2" t="s">
        <v>34</v>
      </c>
      <c r="J20" s="15"/>
      <c r="K20" s="22"/>
      <c r="L20" s="22"/>
    </row>
    <row r="21" spans="1:12" s="11" customFormat="1" ht="19.5" customHeight="1" x14ac:dyDescent="0.4">
      <c r="A21" s="12">
        <f t="shared" si="0"/>
        <v>16</v>
      </c>
      <c r="B21" s="13"/>
      <c r="C21" s="10"/>
      <c r="D21" s="10" t="s">
        <v>85</v>
      </c>
      <c r="E21" s="10" t="s">
        <v>86</v>
      </c>
      <c r="F21" s="14" t="s">
        <v>75</v>
      </c>
      <c r="G21" s="3">
        <v>46212</v>
      </c>
      <c r="H21" s="2" t="s">
        <v>35</v>
      </c>
      <c r="I21" s="2" t="s">
        <v>34</v>
      </c>
      <c r="J21" s="15"/>
      <c r="K21" s="22"/>
      <c r="L21" s="22"/>
    </row>
    <row r="22" spans="1:12" s="11" customFormat="1" ht="19.5" customHeight="1" x14ac:dyDescent="0.4">
      <c r="A22" s="12">
        <f t="shared" si="0"/>
        <v>17</v>
      </c>
      <c r="B22" s="13"/>
      <c r="C22" s="10" t="s">
        <v>87</v>
      </c>
      <c r="D22" s="10" t="s">
        <v>88</v>
      </c>
      <c r="E22" s="10"/>
      <c r="F22" s="14"/>
      <c r="G22" s="3"/>
      <c r="H22" s="2"/>
      <c r="I22" s="2"/>
      <c r="J22" s="15"/>
      <c r="K22" s="22"/>
      <c r="L22" s="22"/>
    </row>
    <row r="23" spans="1:12" s="11" customFormat="1" ht="19.5" customHeight="1" x14ac:dyDescent="0.4">
      <c r="A23" s="12">
        <f t="shared" si="0"/>
        <v>18</v>
      </c>
      <c r="B23" s="13"/>
      <c r="C23" s="10"/>
      <c r="D23" s="50" t="s">
        <v>89</v>
      </c>
      <c r="E23" s="10" t="s">
        <v>98</v>
      </c>
      <c r="F23" s="14"/>
      <c r="G23" s="3">
        <v>46212</v>
      </c>
      <c r="H23" s="2" t="s">
        <v>35</v>
      </c>
      <c r="I23" s="2" t="s">
        <v>34</v>
      </c>
      <c r="J23" s="15"/>
      <c r="K23" s="22"/>
      <c r="L23" s="22"/>
    </row>
    <row r="24" spans="1:12" s="11" customFormat="1" ht="19.5" customHeight="1" x14ac:dyDescent="0.4">
      <c r="A24" s="12">
        <f t="shared" si="0"/>
        <v>19</v>
      </c>
      <c r="B24" s="13"/>
      <c r="C24" s="10"/>
      <c r="D24" s="50" t="s">
        <v>90</v>
      </c>
      <c r="E24" s="10" t="s">
        <v>98</v>
      </c>
      <c r="F24" s="14"/>
      <c r="G24" s="3">
        <v>46212</v>
      </c>
      <c r="H24" s="2" t="s">
        <v>35</v>
      </c>
      <c r="I24" s="2" t="s">
        <v>34</v>
      </c>
      <c r="J24" s="15"/>
      <c r="K24" s="22"/>
      <c r="L24" s="22"/>
    </row>
    <row r="25" spans="1:12" s="11" customFormat="1" ht="19.5" customHeight="1" x14ac:dyDescent="0.4">
      <c r="A25" s="12">
        <f t="shared" si="0"/>
        <v>20</v>
      </c>
      <c r="B25" s="13"/>
      <c r="C25" s="10"/>
      <c r="D25" s="50" t="s">
        <v>91</v>
      </c>
      <c r="E25" s="10" t="s">
        <v>98</v>
      </c>
      <c r="F25" s="14"/>
      <c r="G25" s="3">
        <v>46212</v>
      </c>
      <c r="H25" s="2" t="s">
        <v>35</v>
      </c>
      <c r="I25" s="2" t="s">
        <v>34</v>
      </c>
      <c r="J25" s="15"/>
      <c r="K25" s="22"/>
      <c r="L25" s="22"/>
    </row>
    <row r="26" spans="1:12" s="11" customFormat="1" ht="19.5" customHeight="1" x14ac:dyDescent="0.4">
      <c r="A26" s="12">
        <f t="shared" si="0"/>
        <v>21</v>
      </c>
      <c r="B26" s="13"/>
      <c r="C26" s="10"/>
      <c r="D26" s="50" t="s">
        <v>92</v>
      </c>
      <c r="E26" s="10" t="s">
        <v>99</v>
      </c>
      <c r="F26" s="14"/>
      <c r="G26" s="3">
        <v>46212</v>
      </c>
      <c r="H26" s="2" t="s">
        <v>35</v>
      </c>
      <c r="I26" s="2" t="s">
        <v>34</v>
      </c>
      <c r="J26" s="15"/>
      <c r="K26" s="22"/>
      <c r="L26" s="22"/>
    </row>
    <row r="27" spans="1:12" s="11" customFormat="1" ht="19.5" customHeight="1" x14ac:dyDescent="0.4">
      <c r="A27" s="12">
        <f t="shared" si="0"/>
        <v>22</v>
      </c>
      <c r="B27" s="13"/>
      <c r="C27" s="10"/>
      <c r="D27" s="51" t="s">
        <v>93</v>
      </c>
      <c r="E27" s="10" t="s">
        <v>98</v>
      </c>
      <c r="F27" s="14"/>
      <c r="G27" s="3">
        <v>46212</v>
      </c>
      <c r="H27" s="2" t="s">
        <v>35</v>
      </c>
      <c r="I27" s="2" t="s">
        <v>34</v>
      </c>
      <c r="J27" s="15"/>
      <c r="K27" s="22"/>
      <c r="L27" s="22"/>
    </row>
    <row r="28" spans="1:12" s="11" customFormat="1" ht="19.5" customHeight="1" x14ac:dyDescent="0.4">
      <c r="A28" s="12">
        <f t="shared" si="0"/>
        <v>23</v>
      </c>
      <c r="B28" s="13"/>
      <c r="C28" s="10"/>
      <c r="D28" s="51" t="s">
        <v>94</v>
      </c>
      <c r="E28" s="10" t="s">
        <v>98</v>
      </c>
      <c r="F28" s="14"/>
      <c r="G28" s="3">
        <v>46212</v>
      </c>
      <c r="H28" s="2" t="s">
        <v>35</v>
      </c>
      <c r="I28" s="2" t="s">
        <v>34</v>
      </c>
      <c r="J28" s="15"/>
      <c r="K28" s="22"/>
      <c r="L28" s="22"/>
    </row>
    <row r="29" spans="1:12" s="11" customFormat="1" ht="19.5" customHeight="1" x14ac:dyDescent="0.4">
      <c r="A29" s="12">
        <f t="shared" si="0"/>
        <v>24</v>
      </c>
      <c r="B29" s="13"/>
      <c r="C29" s="10"/>
      <c r="D29" s="51" t="s">
        <v>95</v>
      </c>
      <c r="E29" s="10" t="s">
        <v>98</v>
      </c>
      <c r="F29" s="14"/>
      <c r="G29" s="3">
        <v>46212</v>
      </c>
      <c r="H29" s="2" t="s">
        <v>35</v>
      </c>
      <c r="I29" s="2" t="s">
        <v>34</v>
      </c>
      <c r="J29" s="15"/>
      <c r="K29" s="22"/>
      <c r="L29" s="22"/>
    </row>
    <row r="30" spans="1:12" s="11" customFormat="1" ht="19.5" customHeight="1" x14ac:dyDescent="0.4">
      <c r="A30" s="12">
        <f t="shared" si="0"/>
        <v>25</v>
      </c>
      <c r="B30" s="13"/>
      <c r="C30" s="10"/>
      <c r="D30" s="51" t="s">
        <v>96</v>
      </c>
      <c r="E30" s="10" t="s">
        <v>98</v>
      </c>
      <c r="F30" s="14"/>
      <c r="G30" s="3">
        <v>46212</v>
      </c>
      <c r="H30" s="2" t="s">
        <v>35</v>
      </c>
      <c r="I30" s="2" t="s">
        <v>34</v>
      </c>
      <c r="J30" s="15"/>
      <c r="K30" s="22"/>
      <c r="L30" s="22"/>
    </row>
    <row r="31" spans="1:12" s="11" customFormat="1" ht="19.5" customHeight="1" x14ac:dyDescent="0.4">
      <c r="A31" s="12">
        <f t="shared" si="0"/>
        <v>26</v>
      </c>
      <c r="B31" s="13"/>
      <c r="C31" s="10"/>
      <c r="D31" s="50" t="s">
        <v>100</v>
      </c>
      <c r="E31" s="10" t="s">
        <v>101</v>
      </c>
      <c r="F31" s="14"/>
      <c r="G31" s="3">
        <v>46212</v>
      </c>
      <c r="H31" s="2" t="s">
        <v>35</v>
      </c>
      <c r="I31" s="2" t="s">
        <v>34</v>
      </c>
      <c r="J31" s="15"/>
      <c r="K31" s="22"/>
      <c r="L31" s="22"/>
    </row>
    <row r="32" spans="1:12" s="11" customFormat="1" ht="19.5" customHeight="1" x14ac:dyDescent="0.4">
      <c r="A32" s="12">
        <f t="shared" si="0"/>
        <v>27</v>
      </c>
      <c r="B32" s="13"/>
      <c r="C32" s="10"/>
      <c r="D32" s="50" t="s">
        <v>103</v>
      </c>
      <c r="E32" s="10"/>
      <c r="F32" s="14"/>
      <c r="G32" s="3"/>
      <c r="H32" s="2"/>
      <c r="I32" s="2"/>
      <c r="J32" s="15"/>
      <c r="K32" s="22"/>
      <c r="L32" s="22"/>
    </row>
    <row r="33" spans="1:12" s="11" customFormat="1" ht="19.5" customHeight="1" x14ac:dyDescent="0.4">
      <c r="A33" s="12">
        <f t="shared" si="0"/>
        <v>28</v>
      </c>
      <c r="B33" s="13"/>
      <c r="C33" s="10"/>
      <c r="D33" s="51" t="s">
        <v>92</v>
      </c>
      <c r="E33" s="10" t="s">
        <v>105</v>
      </c>
      <c r="F33" s="14"/>
      <c r="G33" s="3">
        <v>46212</v>
      </c>
      <c r="H33" s="2" t="s">
        <v>35</v>
      </c>
      <c r="I33" s="2" t="s">
        <v>34</v>
      </c>
      <c r="J33" s="15"/>
      <c r="K33" s="22"/>
      <c r="L33" s="22"/>
    </row>
    <row r="34" spans="1:12" s="11" customFormat="1" ht="19.5" customHeight="1" x14ac:dyDescent="0.4">
      <c r="A34" s="12">
        <f t="shared" si="0"/>
        <v>29</v>
      </c>
      <c r="B34" s="13"/>
      <c r="C34" s="10"/>
      <c r="D34" s="52" t="s">
        <v>94</v>
      </c>
      <c r="E34" s="10" t="s">
        <v>106</v>
      </c>
      <c r="F34" s="14"/>
      <c r="G34" s="3">
        <v>46212</v>
      </c>
      <c r="H34" s="2" t="s">
        <v>35</v>
      </c>
      <c r="I34" s="2" t="s">
        <v>34</v>
      </c>
      <c r="J34" s="15"/>
      <c r="K34" s="22"/>
      <c r="L34" s="22"/>
    </row>
    <row r="35" spans="1:12" s="11" customFormat="1" ht="19.5" customHeight="1" x14ac:dyDescent="0.4">
      <c r="A35" s="12">
        <f t="shared" si="0"/>
        <v>30</v>
      </c>
      <c r="B35" s="13"/>
      <c r="C35" s="10"/>
      <c r="D35" s="52" t="s">
        <v>95</v>
      </c>
      <c r="E35" s="10" t="s">
        <v>106</v>
      </c>
      <c r="F35" s="14"/>
      <c r="G35" s="3">
        <v>46212</v>
      </c>
      <c r="H35" s="2" t="s">
        <v>35</v>
      </c>
      <c r="I35" s="2" t="s">
        <v>34</v>
      </c>
      <c r="J35" s="15"/>
      <c r="K35" s="22"/>
      <c r="L35" s="22"/>
    </row>
    <row r="36" spans="1:12" s="11" customFormat="1" ht="19.5" customHeight="1" x14ac:dyDescent="0.4">
      <c r="A36" s="12">
        <f t="shared" si="0"/>
        <v>31</v>
      </c>
      <c r="B36" s="13"/>
      <c r="C36" s="10"/>
      <c r="D36" s="52" t="s">
        <v>104</v>
      </c>
      <c r="E36" s="10" t="s">
        <v>106</v>
      </c>
      <c r="F36" s="14"/>
      <c r="G36" s="3">
        <v>46212</v>
      </c>
      <c r="H36" s="2" t="s">
        <v>35</v>
      </c>
      <c r="I36" s="2" t="s">
        <v>34</v>
      </c>
      <c r="J36" s="15"/>
      <c r="K36" s="22"/>
      <c r="L36" s="22"/>
    </row>
    <row r="37" spans="1:12" s="11" customFormat="1" ht="19.5" customHeight="1" x14ac:dyDescent="0.4">
      <c r="A37" s="12">
        <f t="shared" si="0"/>
        <v>32</v>
      </c>
      <c r="B37" s="13"/>
      <c r="C37" s="10"/>
      <c r="D37" s="52" t="s">
        <v>96</v>
      </c>
      <c r="E37" s="10" t="s">
        <v>106</v>
      </c>
      <c r="F37" s="14"/>
      <c r="G37" s="3">
        <v>46212</v>
      </c>
      <c r="H37" s="2" t="s">
        <v>35</v>
      </c>
      <c r="I37" s="2" t="s">
        <v>34</v>
      </c>
      <c r="J37" s="15"/>
      <c r="K37" s="22"/>
      <c r="L37" s="22"/>
    </row>
    <row r="38" spans="1:12" s="11" customFormat="1" ht="19.5" customHeight="1" x14ac:dyDescent="0.4">
      <c r="A38" s="12">
        <f t="shared" si="0"/>
        <v>33</v>
      </c>
      <c r="B38" s="13"/>
      <c r="C38" s="10"/>
      <c r="D38" s="10" t="s">
        <v>108</v>
      </c>
      <c r="E38" s="10" t="s">
        <v>109</v>
      </c>
      <c r="F38" s="14"/>
      <c r="G38" s="3">
        <v>46212</v>
      </c>
      <c r="H38" s="2" t="s">
        <v>35</v>
      </c>
      <c r="I38" s="2" t="s">
        <v>34</v>
      </c>
      <c r="J38" s="15"/>
      <c r="K38" s="22"/>
      <c r="L38" s="22"/>
    </row>
    <row r="39" spans="1:12" s="11" customFormat="1" ht="19.5" customHeight="1" x14ac:dyDescent="0.4">
      <c r="A39" s="12">
        <f t="shared" si="0"/>
        <v>34</v>
      </c>
      <c r="B39" s="13"/>
      <c r="C39" s="10"/>
      <c r="D39" s="50" t="s">
        <v>111</v>
      </c>
      <c r="E39" s="10" t="s">
        <v>112</v>
      </c>
      <c r="F39" s="14" t="s">
        <v>75</v>
      </c>
      <c r="G39" s="3">
        <v>46212</v>
      </c>
      <c r="H39" s="2" t="s">
        <v>35</v>
      </c>
      <c r="I39" s="2" t="s">
        <v>34</v>
      </c>
      <c r="J39" s="15"/>
      <c r="K39" s="22"/>
      <c r="L39" s="22"/>
    </row>
    <row r="40" spans="1:12" s="11" customFormat="1" ht="19.5" customHeight="1" x14ac:dyDescent="0.4">
      <c r="A40" s="12">
        <f t="shared" si="0"/>
        <v>35</v>
      </c>
      <c r="B40" s="13"/>
      <c r="C40" s="10" t="s">
        <v>113</v>
      </c>
      <c r="D40" s="10" t="s">
        <v>114</v>
      </c>
      <c r="E40" s="10" t="s">
        <v>121</v>
      </c>
      <c r="F40" s="14"/>
      <c r="G40" s="3">
        <v>46212</v>
      </c>
      <c r="H40" s="2" t="s">
        <v>35</v>
      </c>
      <c r="I40" s="2" t="s">
        <v>34</v>
      </c>
      <c r="J40" s="15"/>
      <c r="K40" s="22"/>
      <c r="L40" s="22"/>
    </row>
    <row r="41" spans="1:12" s="11" customFormat="1" ht="19.5" customHeight="1" x14ac:dyDescent="0.4">
      <c r="A41" s="12">
        <f t="shared" si="0"/>
        <v>36</v>
      </c>
      <c r="B41" s="13"/>
      <c r="C41" s="10"/>
      <c r="D41" s="50" t="s">
        <v>115</v>
      </c>
      <c r="E41" s="53" t="s">
        <v>122</v>
      </c>
      <c r="F41" s="14"/>
      <c r="G41" s="3">
        <v>46212</v>
      </c>
      <c r="H41" s="2" t="s">
        <v>35</v>
      </c>
      <c r="I41" s="2" t="s">
        <v>34</v>
      </c>
      <c r="J41" s="15"/>
      <c r="K41" s="22"/>
      <c r="L41" s="22"/>
    </row>
    <row r="42" spans="1:12" s="11" customFormat="1" ht="19.5" customHeight="1" x14ac:dyDescent="0.4">
      <c r="A42" s="12">
        <f t="shared" si="0"/>
        <v>37</v>
      </c>
      <c r="B42" s="13"/>
      <c r="C42" s="10"/>
      <c r="D42" s="50" t="s">
        <v>116</v>
      </c>
      <c r="E42" s="10" t="s">
        <v>123</v>
      </c>
      <c r="F42" s="14"/>
      <c r="G42" s="3">
        <v>46212</v>
      </c>
      <c r="H42" s="2" t="s">
        <v>35</v>
      </c>
      <c r="I42" s="2" t="s">
        <v>34</v>
      </c>
      <c r="J42" s="15"/>
      <c r="K42" s="22"/>
      <c r="L42" s="22"/>
    </row>
    <row r="43" spans="1:12" s="11" customFormat="1" ht="19.5" customHeight="1" x14ac:dyDescent="0.4">
      <c r="A43" s="12">
        <f t="shared" si="0"/>
        <v>38</v>
      </c>
      <c r="B43" s="13"/>
      <c r="C43" s="10"/>
      <c r="D43" s="50" t="s">
        <v>117</v>
      </c>
      <c r="E43" s="10" t="s">
        <v>124</v>
      </c>
      <c r="F43" s="14"/>
      <c r="G43" s="3">
        <v>46212</v>
      </c>
      <c r="H43" s="2" t="s">
        <v>35</v>
      </c>
      <c r="I43" s="2" t="s">
        <v>34</v>
      </c>
      <c r="J43" s="15"/>
      <c r="K43" s="22"/>
      <c r="L43" s="22"/>
    </row>
    <row r="44" spans="1:12" s="11" customFormat="1" ht="19.5" customHeight="1" x14ac:dyDescent="0.4">
      <c r="A44" s="12">
        <f t="shared" si="0"/>
        <v>39</v>
      </c>
      <c r="B44" s="13"/>
      <c r="C44" s="10"/>
      <c r="D44" s="50" t="s">
        <v>118</v>
      </c>
      <c r="E44" s="10" t="s">
        <v>125</v>
      </c>
      <c r="F44" s="14"/>
      <c r="G44" s="3">
        <v>46212</v>
      </c>
      <c r="H44" s="2" t="s">
        <v>35</v>
      </c>
      <c r="I44" s="2" t="s">
        <v>34</v>
      </c>
      <c r="J44" s="15"/>
      <c r="K44" s="22"/>
      <c r="L44" s="22"/>
    </row>
    <row r="45" spans="1:12" s="11" customFormat="1" ht="19.5" customHeight="1" x14ac:dyDescent="0.4">
      <c r="A45" s="12">
        <f t="shared" si="0"/>
        <v>40</v>
      </c>
      <c r="B45" s="13"/>
      <c r="C45" s="10"/>
      <c r="D45" s="51" t="s">
        <v>120</v>
      </c>
      <c r="E45" s="10" t="s">
        <v>126</v>
      </c>
      <c r="F45" s="14"/>
      <c r="G45" s="3">
        <v>46212</v>
      </c>
      <c r="H45" s="2" t="s">
        <v>35</v>
      </c>
      <c r="I45" s="2" t="s">
        <v>34</v>
      </c>
      <c r="J45" s="15"/>
      <c r="K45" s="22"/>
      <c r="L45" s="22"/>
    </row>
    <row r="46" spans="1:12" s="11" customFormat="1" ht="19.5" customHeight="1" x14ac:dyDescent="0.4">
      <c r="A46" s="12">
        <f t="shared" si="0"/>
        <v>41</v>
      </c>
      <c r="B46" s="13"/>
      <c r="C46" s="10"/>
      <c r="D46" s="51" t="s">
        <v>95</v>
      </c>
      <c r="E46" s="10" t="s">
        <v>127</v>
      </c>
      <c r="F46" s="14"/>
      <c r="G46" s="3">
        <v>46212</v>
      </c>
      <c r="H46" s="2" t="s">
        <v>35</v>
      </c>
      <c r="I46" s="2" t="s">
        <v>34</v>
      </c>
      <c r="J46" s="15"/>
      <c r="K46" s="22"/>
      <c r="L46" s="22"/>
    </row>
    <row r="47" spans="1:12" s="11" customFormat="1" ht="19.5" customHeight="1" x14ac:dyDescent="0.4">
      <c r="A47" s="12">
        <f t="shared" si="0"/>
        <v>42</v>
      </c>
      <c r="B47" s="13"/>
      <c r="C47" s="10"/>
      <c r="D47" s="51" t="s">
        <v>96</v>
      </c>
      <c r="E47" s="10" t="s">
        <v>128</v>
      </c>
      <c r="F47" s="14"/>
      <c r="G47" s="3">
        <v>46212</v>
      </c>
      <c r="H47" s="2" t="s">
        <v>35</v>
      </c>
      <c r="I47" s="2" t="s">
        <v>34</v>
      </c>
      <c r="J47" s="15"/>
      <c r="K47" s="22"/>
      <c r="L47" s="22"/>
    </row>
    <row r="48" spans="1:12" s="11" customFormat="1" ht="19.5" customHeight="1" x14ac:dyDescent="0.4">
      <c r="A48" s="12">
        <f t="shared" si="0"/>
        <v>43</v>
      </c>
      <c r="B48" s="13"/>
      <c r="C48" s="10"/>
      <c r="D48" s="10" t="s">
        <v>130</v>
      </c>
      <c r="E48" s="10"/>
      <c r="F48" s="14"/>
      <c r="G48" s="3"/>
      <c r="H48" s="2"/>
      <c r="I48" s="2"/>
      <c r="J48" s="15"/>
      <c r="K48" s="22"/>
      <c r="L48" s="22"/>
    </row>
    <row r="49" spans="1:12" s="11" customFormat="1" ht="19.5" customHeight="1" x14ac:dyDescent="0.4">
      <c r="A49" s="12">
        <f t="shared" si="0"/>
        <v>44</v>
      </c>
      <c r="B49" s="13"/>
      <c r="C49" s="10"/>
      <c r="D49" s="50" t="s">
        <v>131</v>
      </c>
      <c r="E49" s="10" t="s">
        <v>126</v>
      </c>
      <c r="F49" s="14"/>
      <c r="G49" s="3">
        <v>46212</v>
      </c>
      <c r="H49" s="2" t="s">
        <v>35</v>
      </c>
      <c r="I49" s="2" t="s">
        <v>34</v>
      </c>
      <c r="J49" s="15"/>
      <c r="K49" s="22"/>
      <c r="L49" s="22"/>
    </row>
    <row r="50" spans="1:12" s="11" customFormat="1" ht="19.5" customHeight="1" x14ac:dyDescent="0.4">
      <c r="A50" s="12">
        <f t="shared" si="0"/>
        <v>45</v>
      </c>
      <c r="B50" s="13"/>
      <c r="C50" s="10"/>
      <c r="D50" s="50" t="s">
        <v>132</v>
      </c>
      <c r="E50" s="10" t="s">
        <v>133</v>
      </c>
      <c r="F50" s="14"/>
      <c r="G50" s="3">
        <v>46212</v>
      </c>
      <c r="H50" s="2" t="s">
        <v>35</v>
      </c>
      <c r="I50" s="2" t="s">
        <v>34</v>
      </c>
      <c r="J50" s="15"/>
      <c r="K50" s="22"/>
      <c r="L50" s="22"/>
    </row>
    <row r="51" spans="1:12" s="11" customFormat="1" ht="19.5" customHeight="1" x14ac:dyDescent="0.4">
      <c r="A51" s="12">
        <f t="shared" si="0"/>
        <v>46</v>
      </c>
      <c r="B51" s="13"/>
      <c r="C51" s="10"/>
      <c r="D51" s="10" t="s">
        <v>185</v>
      </c>
      <c r="E51" s="10"/>
      <c r="F51" s="14"/>
      <c r="G51" s="3"/>
      <c r="H51" s="2"/>
      <c r="I51" s="2"/>
      <c r="J51" s="15"/>
      <c r="K51" s="22"/>
      <c r="L51" s="22"/>
    </row>
    <row r="52" spans="1:12" s="11" customFormat="1" ht="19.5" customHeight="1" x14ac:dyDescent="0.4">
      <c r="A52" s="12">
        <f t="shared" si="0"/>
        <v>47</v>
      </c>
      <c r="B52" s="13"/>
      <c r="C52" s="10"/>
      <c r="D52" s="50" t="s">
        <v>119</v>
      </c>
      <c r="E52" s="10" t="s">
        <v>186</v>
      </c>
      <c r="F52" s="14"/>
      <c r="G52" s="3">
        <v>46212</v>
      </c>
      <c r="H52" s="2" t="s">
        <v>35</v>
      </c>
      <c r="I52" s="2" t="s">
        <v>34</v>
      </c>
      <c r="J52" s="15"/>
      <c r="K52" s="22"/>
      <c r="L52" s="22"/>
    </row>
    <row r="53" spans="1:12" s="11" customFormat="1" ht="19.5" customHeight="1" x14ac:dyDescent="0.4">
      <c r="A53" s="12">
        <f t="shared" si="0"/>
        <v>48</v>
      </c>
      <c r="B53" s="13"/>
      <c r="C53" s="10"/>
      <c r="D53" s="50" t="s">
        <v>136</v>
      </c>
      <c r="E53" s="10" t="s">
        <v>187</v>
      </c>
      <c r="F53" s="14"/>
      <c r="G53" s="3">
        <v>46212</v>
      </c>
      <c r="H53" s="2" t="s">
        <v>35</v>
      </c>
      <c r="I53" s="2" t="s">
        <v>34</v>
      </c>
      <c r="J53" s="15"/>
      <c r="K53" s="22"/>
      <c r="L53" s="22"/>
    </row>
    <row r="54" spans="1:12" s="11" customFormat="1" ht="19.5" customHeight="1" x14ac:dyDescent="0.4">
      <c r="A54" s="12">
        <f t="shared" si="0"/>
        <v>49</v>
      </c>
      <c r="B54" s="13"/>
      <c r="C54" s="10"/>
      <c r="D54" s="50" t="s">
        <v>137</v>
      </c>
      <c r="E54" s="10" t="s">
        <v>188</v>
      </c>
      <c r="F54" s="14"/>
      <c r="G54" s="3">
        <v>46212</v>
      </c>
      <c r="H54" s="2" t="s">
        <v>35</v>
      </c>
      <c r="I54" s="2" t="s">
        <v>34</v>
      </c>
      <c r="J54" s="15"/>
      <c r="K54" s="22"/>
      <c r="L54" s="22"/>
    </row>
    <row r="55" spans="1:12" s="11" customFormat="1" ht="19.5" customHeight="1" x14ac:dyDescent="0.4">
      <c r="A55" s="12">
        <f t="shared" si="0"/>
        <v>50</v>
      </c>
      <c r="B55" s="13"/>
      <c r="C55" s="10"/>
      <c r="D55" s="50" t="s">
        <v>138</v>
      </c>
      <c r="E55" s="10" t="s">
        <v>189</v>
      </c>
      <c r="F55" s="14"/>
      <c r="G55" s="3">
        <v>46212</v>
      </c>
      <c r="H55" s="2" t="s">
        <v>35</v>
      </c>
      <c r="I55" s="2" t="s">
        <v>34</v>
      </c>
      <c r="J55" s="15"/>
      <c r="K55" s="22"/>
      <c r="L55" s="22"/>
    </row>
    <row r="56" spans="1:12" s="11" customFormat="1" ht="19.5" customHeight="1" x14ac:dyDescent="0.4">
      <c r="A56" s="12">
        <f t="shared" si="0"/>
        <v>51</v>
      </c>
      <c r="B56" s="13"/>
      <c r="C56" s="10"/>
      <c r="D56" s="50" t="s">
        <v>139</v>
      </c>
      <c r="E56" s="10" t="s">
        <v>190</v>
      </c>
      <c r="F56" s="14"/>
      <c r="G56" s="3">
        <v>46212</v>
      </c>
      <c r="H56" s="2" t="s">
        <v>35</v>
      </c>
      <c r="I56" s="2" t="s">
        <v>34</v>
      </c>
      <c r="J56" s="15"/>
      <c r="K56" s="22"/>
      <c r="L56" s="22"/>
    </row>
    <row r="57" spans="1:12" s="11" customFormat="1" ht="19.5" customHeight="1" x14ac:dyDescent="0.4">
      <c r="A57" s="12">
        <f t="shared" si="0"/>
        <v>52</v>
      </c>
      <c r="B57" s="13"/>
      <c r="C57" s="10"/>
      <c r="D57" s="50" t="s">
        <v>140</v>
      </c>
      <c r="E57" s="10" t="s">
        <v>191</v>
      </c>
      <c r="F57" s="14"/>
      <c r="G57" s="3">
        <v>46212</v>
      </c>
      <c r="H57" s="2" t="s">
        <v>35</v>
      </c>
      <c r="I57" s="2" t="s">
        <v>34</v>
      </c>
      <c r="J57" s="15"/>
      <c r="K57" s="22"/>
      <c r="L57" s="22"/>
    </row>
    <row r="58" spans="1:12" s="11" customFormat="1" ht="19.5" customHeight="1" x14ac:dyDescent="0.4">
      <c r="A58" s="12">
        <f t="shared" si="0"/>
        <v>53</v>
      </c>
      <c r="B58" s="13"/>
      <c r="C58" s="10"/>
      <c r="D58" s="50" t="s">
        <v>141</v>
      </c>
      <c r="E58" s="10" t="s">
        <v>191</v>
      </c>
      <c r="F58" s="14"/>
      <c r="G58" s="3">
        <v>46212</v>
      </c>
      <c r="H58" s="2" t="s">
        <v>35</v>
      </c>
      <c r="I58" s="2" t="s">
        <v>34</v>
      </c>
      <c r="J58" s="15"/>
      <c r="K58" s="22"/>
      <c r="L58" s="22"/>
    </row>
    <row r="59" spans="1:12" s="11" customFormat="1" ht="19.5" customHeight="1" x14ac:dyDescent="0.4">
      <c r="A59" s="12">
        <f t="shared" si="0"/>
        <v>54</v>
      </c>
      <c r="B59" s="13"/>
      <c r="C59" s="10"/>
      <c r="D59" s="50" t="s">
        <v>142</v>
      </c>
      <c r="E59" s="10" t="s">
        <v>191</v>
      </c>
      <c r="F59" s="14"/>
      <c r="G59" s="3">
        <v>46212</v>
      </c>
      <c r="H59" s="2" t="s">
        <v>35</v>
      </c>
      <c r="I59" s="2" t="s">
        <v>34</v>
      </c>
      <c r="J59" s="15"/>
      <c r="K59" s="22"/>
      <c r="L59" s="22"/>
    </row>
    <row r="60" spans="1:12" s="11" customFormat="1" ht="19.5" customHeight="1" x14ac:dyDescent="0.4">
      <c r="A60" s="12">
        <f t="shared" si="0"/>
        <v>55</v>
      </c>
      <c r="B60" s="13"/>
      <c r="C60" s="10"/>
      <c r="D60" s="50" t="s">
        <v>143</v>
      </c>
      <c r="E60" s="10" t="s">
        <v>191</v>
      </c>
      <c r="F60" s="14"/>
      <c r="G60" s="3">
        <v>46212</v>
      </c>
      <c r="H60" s="2" t="s">
        <v>35</v>
      </c>
      <c r="I60" s="2" t="s">
        <v>34</v>
      </c>
      <c r="J60" s="15"/>
      <c r="K60" s="22"/>
      <c r="L60" s="22"/>
    </row>
    <row r="61" spans="1:12" s="11" customFormat="1" ht="19.5" customHeight="1" x14ac:dyDescent="0.4">
      <c r="A61" s="12">
        <f t="shared" si="0"/>
        <v>56</v>
      </c>
      <c r="B61" s="13"/>
      <c r="C61" s="10"/>
      <c r="D61" s="50" t="s">
        <v>144</v>
      </c>
      <c r="E61" s="10" t="s">
        <v>191</v>
      </c>
      <c r="F61" s="14"/>
      <c r="G61" s="3">
        <v>46212</v>
      </c>
      <c r="H61" s="2" t="s">
        <v>35</v>
      </c>
      <c r="I61" s="2" t="s">
        <v>34</v>
      </c>
      <c r="J61" s="15"/>
      <c r="K61" s="22"/>
      <c r="L61" s="22"/>
    </row>
    <row r="62" spans="1:12" s="11" customFormat="1" ht="19.5" customHeight="1" x14ac:dyDescent="0.4">
      <c r="A62" s="12">
        <f t="shared" si="0"/>
        <v>57</v>
      </c>
      <c r="B62" s="13"/>
      <c r="C62" s="10"/>
      <c r="D62" s="50" t="s">
        <v>145</v>
      </c>
      <c r="E62" s="10" t="s">
        <v>191</v>
      </c>
      <c r="F62" s="14"/>
      <c r="G62" s="3">
        <v>46212</v>
      </c>
      <c r="H62" s="2" t="s">
        <v>35</v>
      </c>
      <c r="I62" s="2" t="s">
        <v>34</v>
      </c>
      <c r="J62" s="15"/>
      <c r="K62" s="22"/>
      <c r="L62" s="22"/>
    </row>
    <row r="63" spans="1:12" s="11" customFormat="1" ht="19.5" customHeight="1" x14ac:dyDescent="0.4">
      <c r="A63" s="12">
        <f t="shared" si="0"/>
        <v>58</v>
      </c>
      <c r="B63" s="13"/>
      <c r="C63" s="10"/>
      <c r="D63" s="50" t="s">
        <v>146</v>
      </c>
      <c r="E63" s="10" t="s">
        <v>191</v>
      </c>
      <c r="F63" s="14"/>
      <c r="G63" s="3">
        <v>46212</v>
      </c>
      <c r="H63" s="2" t="s">
        <v>35</v>
      </c>
      <c r="I63" s="2" t="s">
        <v>34</v>
      </c>
      <c r="J63" s="15"/>
      <c r="K63" s="22"/>
      <c r="L63" s="22"/>
    </row>
    <row r="64" spans="1:12" s="11" customFormat="1" ht="19.5" customHeight="1" x14ac:dyDescent="0.4">
      <c r="A64" s="12">
        <f t="shared" si="0"/>
        <v>59</v>
      </c>
      <c r="B64" s="13"/>
      <c r="C64" s="10"/>
      <c r="D64" s="50" t="s">
        <v>147</v>
      </c>
      <c r="E64" s="10" t="s">
        <v>191</v>
      </c>
      <c r="F64" s="14"/>
      <c r="G64" s="3">
        <v>46212</v>
      </c>
      <c r="H64" s="2" t="s">
        <v>35</v>
      </c>
      <c r="I64" s="2" t="s">
        <v>34</v>
      </c>
      <c r="J64" s="15"/>
      <c r="K64" s="22"/>
      <c r="L64" s="22"/>
    </row>
    <row r="65" spans="1:12" s="11" customFormat="1" ht="19.5" customHeight="1" x14ac:dyDescent="0.4">
      <c r="A65" s="12">
        <f t="shared" si="0"/>
        <v>60</v>
      </c>
      <c r="B65" s="13"/>
      <c r="C65" s="10"/>
      <c r="D65" s="50" t="s">
        <v>148</v>
      </c>
      <c r="E65" s="10" t="s">
        <v>192</v>
      </c>
      <c r="F65" s="14"/>
      <c r="G65" s="3">
        <v>46212</v>
      </c>
      <c r="H65" s="2" t="s">
        <v>35</v>
      </c>
      <c r="I65" s="2" t="s">
        <v>34</v>
      </c>
      <c r="J65" s="15"/>
      <c r="K65" s="22"/>
      <c r="L65" s="22"/>
    </row>
    <row r="66" spans="1:12" s="11" customFormat="1" ht="19.5" customHeight="1" x14ac:dyDescent="0.4">
      <c r="A66" s="12">
        <f t="shared" si="0"/>
        <v>61</v>
      </c>
      <c r="B66" s="13"/>
      <c r="C66" s="10"/>
      <c r="D66" s="50" t="s">
        <v>149</v>
      </c>
      <c r="E66" s="10" t="s">
        <v>193</v>
      </c>
      <c r="F66" s="14"/>
      <c r="G66" s="3">
        <v>46212</v>
      </c>
      <c r="H66" s="2" t="s">
        <v>35</v>
      </c>
      <c r="I66" s="2" t="s">
        <v>34</v>
      </c>
      <c r="J66" s="15"/>
      <c r="K66" s="22"/>
      <c r="L66" s="22"/>
    </row>
    <row r="67" spans="1:12" s="11" customFormat="1" ht="19.5" customHeight="1" x14ac:dyDescent="0.4">
      <c r="A67" s="12">
        <f t="shared" si="0"/>
        <v>62</v>
      </c>
      <c r="B67" s="13"/>
      <c r="C67" s="10"/>
      <c r="D67" s="50" t="s">
        <v>150</v>
      </c>
      <c r="E67" s="10" t="s">
        <v>193</v>
      </c>
      <c r="F67" s="14"/>
      <c r="G67" s="3">
        <v>46212</v>
      </c>
      <c r="H67" s="2" t="s">
        <v>35</v>
      </c>
      <c r="I67" s="2" t="s">
        <v>34</v>
      </c>
      <c r="J67" s="15"/>
      <c r="K67" s="22"/>
      <c r="L67" s="22"/>
    </row>
    <row r="68" spans="1:12" s="11" customFormat="1" ht="19.5" customHeight="1" x14ac:dyDescent="0.4">
      <c r="A68" s="12">
        <f t="shared" si="0"/>
        <v>63</v>
      </c>
      <c r="B68" s="13"/>
      <c r="C68" s="10"/>
      <c r="D68" s="50" t="s">
        <v>151</v>
      </c>
      <c r="E68" s="10" t="s">
        <v>193</v>
      </c>
      <c r="F68" s="14"/>
      <c r="G68" s="3">
        <v>46212</v>
      </c>
      <c r="H68" s="2" t="s">
        <v>35</v>
      </c>
      <c r="I68" s="2" t="s">
        <v>34</v>
      </c>
      <c r="J68" s="15"/>
      <c r="K68" s="22"/>
      <c r="L68" s="22"/>
    </row>
    <row r="69" spans="1:12" s="11" customFormat="1" ht="19.5" customHeight="1" x14ac:dyDescent="0.4">
      <c r="A69" s="12">
        <f t="shared" si="0"/>
        <v>64</v>
      </c>
      <c r="B69" s="13"/>
      <c r="C69" s="10"/>
      <c r="D69" s="50" t="s">
        <v>152</v>
      </c>
      <c r="E69" s="10" t="s">
        <v>193</v>
      </c>
      <c r="F69" s="14"/>
      <c r="G69" s="3">
        <v>46212</v>
      </c>
      <c r="H69" s="2" t="s">
        <v>35</v>
      </c>
      <c r="I69" s="2" t="s">
        <v>34</v>
      </c>
      <c r="J69" s="15"/>
      <c r="K69" s="22"/>
      <c r="L69" s="22"/>
    </row>
    <row r="70" spans="1:12" s="11" customFormat="1" ht="19.5" customHeight="1" x14ac:dyDescent="0.4">
      <c r="A70" s="12">
        <f t="shared" si="0"/>
        <v>65</v>
      </c>
      <c r="B70" s="13"/>
      <c r="C70" s="10"/>
      <c r="D70" s="50" t="s">
        <v>153</v>
      </c>
      <c r="E70" s="10" t="s">
        <v>193</v>
      </c>
      <c r="F70" s="14"/>
      <c r="G70" s="3">
        <v>46212</v>
      </c>
      <c r="H70" s="2" t="s">
        <v>35</v>
      </c>
      <c r="I70" s="2" t="s">
        <v>34</v>
      </c>
      <c r="J70" s="15"/>
      <c r="K70" s="22"/>
      <c r="L70" s="22"/>
    </row>
    <row r="71" spans="1:12" s="11" customFormat="1" ht="19.5" customHeight="1" x14ac:dyDescent="0.4">
      <c r="A71" s="12">
        <f t="shared" si="0"/>
        <v>66</v>
      </c>
      <c r="B71" s="13"/>
      <c r="C71" s="10"/>
      <c r="D71" s="50" t="s">
        <v>154</v>
      </c>
      <c r="E71" s="10" t="s">
        <v>194</v>
      </c>
      <c r="F71" s="14"/>
      <c r="G71" s="3">
        <v>46212</v>
      </c>
      <c r="H71" s="2" t="s">
        <v>35</v>
      </c>
      <c r="I71" s="2" t="s">
        <v>34</v>
      </c>
      <c r="J71" s="15"/>
      <c r="K71" s="22"/>
      <c r="L71" s="22"/>
    </row>
    <row r="72" spans="1:12" s="11" customFormat="1" ht="19.5" customHeight="1" x14ac:dyDescent="0.4">
      <c r="A72" s="12">
        <f t="shared" si="0"/>
        <v>67</v>
      </c>
      <c r="B72" s="13"/>
      <c r="C72" s="10"/>
      <c r="D72" s="50" t="s">
        <v>155</v>
      </c>
      <c r="E72" s="10" t="s">
        <v>193</v>
      </c>
      <c r="F72" s="14"/>
      <c r="G72" s="3">
        <v>46212</v>
      </c>
      <c r="H72" s="2" t="s">
        <v>35</v>
      </c>
      <c r="I72" s="2" t="s">
        <v>34</v>
      </c>
      <c r="J72" s="15"/>
      <c r="K72" s="22"/>
      <c r="L72" s="22"/>
    </row>
    <row r="73" spans="1:12" s="11" customFormat="1" ht="19.5" customHeight="1" x14ac:dyDescent="0.4">
      <c r="A73" s="12">
        <f t="shared" si="0"/>
        <v>68</v>
      </c>
      <c r="B73" s="13"/>
      <c r="C73" s="10"/>
      <c r="D73" s="10" t="s">
        <v>212</v>
      </c>
      <c r="E73" s="10"/>
      <c r="F73" s="14"/>
      <c r="G73" s="3"/>
      <c r="H73" s="2"/>
      <c r="I73" s="2"/>
      <c r="J73" s="15"/>
      <c r="K73" s="22"/>
      <c r="L73" s="22"/>
    </row>
    <row r="74" spans="1:12" s="11" customFormat="1" ht="19.5" customHeight="1" x14ac:dyDescent="0.4">
      <c r="A74" s="12">
        <f t="shared" si="0"/>
        <v>69</v>
      </c>
      <c r="B74" s="13"/>
      <c r="C74" s="10"/>
      <c r="D74" s="50" t="s">
        <v>213</v>
      </c>
      <c r="E74" s="10" t="s">
        <v>221</v>
      </c>
      <c r="F74" s="14"/>
      <c r="G74" s="3">
        <v>46212</v>
      </c>
      <c r="H74" s="2" t="s">
        <v>35</v>
      </c>
      <c r="I74" s="2" t="s">
        <v>34</v>
      </c>
      <c r="J74" s="15"/>
      <c r="K74" s="22"/>
      <c r="L74" s="22"/>
    </row>
    <row r="75" spans="1:12" s="11" customFormat="1" ht="19.5" customHeight="1" x14ac:dyDescent="0.4">
      <c r="A75" s="12">
        <f t="shared" si="0"/>
        <v>70</v>
      </c>
      <c r="B75" s="13"/>
      <c r="C75" s="10"/>
      <c r="D75" s="50" t="s">
        <v>214</v>
      </c>
      <c r="E75" s="10" t="s">
        <v>222</v>
      </c>
      <c r="F75" s="14"/>
      <c r="G75" s="3">
        <v>46212</v>
      </c>
      <c r="H75" s="2" t="s">
        <v>35</v>
      </c>
      <c r="I75" s="2" t="s">
        <v>34</v>
      </c>
      <c r="J75" s="15"/>
      <c r="K75" s="22"/>
      <c r="L75" s="22"/>
    </row>
    <row r="76" spans="1:12" s="11" customFormat="1" ht="19.5" customHeight="1" x14ac:dyDescent="0.4">
      <c r="A76" s="12">
        <f t="shared" si="0"/>
        <v>71</v>
      </c>
      <c r="B76" s="13"/>
      <c r="C76" s="10"/>
      <c r="D76" s="50" t="s">
        <v>215</v>
      </c>
      <c r="E76" s="10" t="s">
        <v>223</v>
      </c>
      <c r="F76" s="14"/>
      <c r="G76" s="3">
        <v>46212</v>
      </c>
      <c r="H76" s="2" t="s">
        <v>35</v>
      </c>
      <c r="I76" s="2" t="s">
        <v>34</v>
      </c>
      <c r="J76" s="15"/>
      <c r="K76" s="22"/>
      <c r="L76" s="22"/>
    </row>
    <row r="77" spans="1:12" s="11" customFormat="1" ht="19.5" customHeight="1" x14ac:dyDescent="0.4">
      <c r="A77" s="12">
        <f t="shared" si="0"/>
        <v>72</v>
      </c>
      <c r="B77" s="13"/>
      <c r="C77" s="10"/>
      <c r="D77" s="10" t="s">
        <v>195</v>
      </c>
      <c r="E77" s="10" t="s">
        <v>196</v>
      </c>
      <c r="F77" s="14"/>
      <c r="G77" s="3">
        <v>46212</v>
      </c>
      <c r="H77" s="2" t="s">
        <v>35</v>
      </c>
      <c r="I77" s="2" t="s">
        <v>34</v>
      </c>
      <c r="J77" s="15"/>
      <c r="K77" s="22"/>
      <c r="L77" s="22"/>
    </row>
    <row r="78" spans="1:12" s="11" customFormat="1" ht="19.5" customHeight="1" x14ac:dyDescent="0.4">
      <c r="A78" s="12">
        <f t="shared" si="0"/>
        <v>73</v>
      </c>
      <c r="B78" s="13"/>
      <c r="C78" s="10"/>
      <c r="D78" s="10" t="s">
        <v>197</v>
      </c>
      <c r="E78" s="10"/>
      <c r="F78" s="14"/>
      <c r="G78" s="3"/>
      <c r="H78" s="2"/>
      <c r="I78" s="2"/>
      <c r="J78" s="15"/>
      <c r="K78" s="22"/>
      <c r="L78" s="22"/>
    </row>
    <row r="79" spans="1:12" s="11" customFormat="1" ht="19.5" customHeight="1" x14ac:dyDescent="0.4">
      <c r="A79" s="12">
        <f t="shared" si="0"/>
        <v>74</v>
      </c>
      <c r="B79" s="13"/>
      <c r="C79" s="10"/>
      <c r="D79" s="50" t="s">
        <v>199</v>
      </c>
      <c r="E79" s="10" t="s">
        <v>202</v>
      </c>
      <c r="F79" s="14"/>
      <c r="G79" s="3">
        <v>46212</v>
      </c>
      <c r="H79" s="2" t="s">
        <v>35</v>
      </c>
      <c r="I79" s="2" t="s">
        <v>34</v>
      </c>
      <c r="J79" s="15"/>
      <c r="K79" s="22"/>
      <c r="L79" s="22"/>
    </row>
    <row r="80" spans="1:12" s="11" customFormat="1" ht="19.5" customHeight="1" x14ac:dyDescent="0.4">
      <c r="A80" s="12">
        <f t="shared" si="0"/>
        <v>75</v>
      </c>
      <c r="B80" s="13"/>
      <c r="C80" s="10"/>
      <c r="D80" s="50" t="s">
        <v>200</v>
      </c>
      <c r="E80" s="10"/>
      <c r="F80" s="14"/>
      <c r="G80" s="3"/>
      <c r="H80" s="2"/>
      <c r="I80" s="2"/>
      <c r="J80" s="15"/>
      <c r="K80" s="22"/>
      <c r="L80" s="22"/>
    </row>
    <row r="81" spans="1:12" s="11" customFormat="1" ht="19.5" customHeight="1" x14ac:dyDescent="0.4">
      <c r="A81" s="12">
        <f t="shared" si="0"/>
        <v>76</v>
      </c>
      <c r="B81" s="13"/>
      <c r="C81" s="10"/>
      <c r="D81" s="51" t="s">
        <v>203</v>
      </c>
      <c r="E81" s="10" t="s">
        <v>211</v>
      </c>
      <c r="F81" s="14"/>
      <c r="G81" s="3">
        <v>46212</v>
      </c>
      <c r="H81" s="2" t="s">
        <v>35</v>
      </c>
      <c r="I81" s="2" t="s">
        <v>34</v>
      </c>
      <c r="J81" s="15"/>
      <c r="K81" s="22"/>
      <c r="L81" s="22"/>
    </row>
    <row r="82" spans="1:12" s="11" customFormat="1" ht="19.5" customHeight="1" x14ac:dyDescent="0.4">
      <c r="A82" s="12">
        <f t="shared" si="0"/>
        <v>77</v>
      </c>
      <c r="B82" s="13"/>
      <c r="C82" s="10"/>
      <c r="D82" s="51" t="s">
        <v>204</v>
      </c>
      <c r="E82" s="10" t="s">
        <v>211</v>
      </c>
      <c r="F82" s="14"/>
      <c r="G82" s="3">
        <v>46212</v>
      </c>
      <c r="H82" s="2" t="s">
        <v>35</v>
      </c>
      <c r="I82" s="2" t="s">
        <v>34</v>
      </c>
      <c r="J82" s="15"/>
      <c r="K82" s="22"/>
      <c r="L82" s="22"/>
    </row>
    <row r="83" spans="1:12" s="11" customFormat="1" ht="19.5" customHeight="1" x14ac:dyDescent="0.4">
      <c r="A83" s="12">
        <f t="shared" si="0"/>
        <v>78</v>
      </c>
      <c r="B83" s="13"/>
      <c r="C83" s="10"/>
      <c r="D83" s="51" t="s">
        <v>205</v>
      </c>
      <c r="E83" s="10" t="s">
        <v>211</v>
      </c>
      <c r="F83" s="14"/>
      <c r="G83" s="3">
        <v>46212</v>
      </c>
      <c r="H83" s="2" t="s">
        <v>35</v>
      </c>
      <c r="I83" s="2" t="s">
        <v>34</v>
      </c>
      <c r="J83" s="15"/>
      <c r="K83" s="22"/>
      <c r="L83" s="22"/>
    </row>
    <row r="84" spans="1:12" s="11" customFormat="1" ht="19.5" customHeight="1" x14ac:dyDescent="0.4">
      <c r="A84" s="12">
        <f t="shared" si="0"/>
        <v>79</v>
      </c>
      <c r="B84" s="13"/>
      <c r="C84" s="10"/>
      <c r="D84" s="51" t="s">
        <v>206</v>
      </c>
      <c r="E84" s="10" t="s">
        <v>211</v>
      </c>
      <c r="F84" s="14"/>
      <c r="G84" s="3">
        <v>46212</v>
      </c>
      <c r="H84" s="2" t="s">
        <v>35</v>
      </c>
      <c r="I84" s="2" t="s">
        <v>34</v>
      </c>
      <c r="J84" s="15"/>
      <c r="K84" s="22"/>
      <c r="L84" s="22"/>
    </row>
    <row r="85" spans="1:12" s="11" customFormat="1" ht="19.5" customHeight="1" x14ac:dyDescent="0.4">
      <c r="A85" s="12">
        <f t="shared" si="0"/>
        <v>80</v>
      </c>
      <c r="B85" s="13"/>
      <c r="C85" s="10"/>
      <c r="D85" s="51" t="s">
        <v>207</v>
      </c>
      <c r="E85" s="10" t="s">
        <v>211</v>
      </c>
      <c r="F85" s="14"/>
      <c r="G85" s="3">
        <v>46212</v>
      </c>
      <c r="H85" s="2" t="s">
        <v>35</v>
      </c>
      <c r="I85" s="2" t="s">
        <v>34</v>
      </c>
      <c r="J85" s="15"/>
      <c r="K85" s="22"/>
      <c r="L85" s="22"/>
    </row>
    <row r="86" spans="1:12" s="11" customFormat="1" ht="19.5" customHeight="1" x14ac:dyDescent="0.4">
      <c r="A86" s="12">
        <f t="shared" si="0"/>
        <v>81</v>
      </c>
      <c r="B86" s="13"/>
      <c r="C86" s="10"/>
      <c r="D86" s="51" t="s">
        <v>208</v>
      </c>
      <c r="E86" s="10" t="s">
        <v>211</v>
      </c>
      <c r="F86" s="14"/>
      <c r="G86" s="3">
        <v>46212</v>
      </c>
      <c r="H86" s="2" t="s">
        <v>35</v>
      </c>
      <c r="I86" s="2" t="s">
        <v>34</v>
      </c>
      <c r="J86" s="15"/>
      <c r="K86" s="22"/>
      <c r="L86" s="22"/>
    </row>
    <row r="87" spans="1:12" s="11" customFormat="1" ht="19.5" customHeight="1" x14ac:dyDescent="0.4">
      <c r="A87" s="12">
        <f t="shared" si="0"/>
        <v>82</v>
      </c>
      <c r="B87" s="13"/>
      <c r="C87" s="10"/>
      <c r="D87" s="51" t="s">
        <v>209</v>
      </c>
      <c r="E87" s="10" t="s">
        <v>211</v>
      </c>
      <c r="F87" s="14"/>
      <c r="G87" s="3">
        <v>46212</v>
      </c>
      <c r="H87" s="2" t="s">
        <v>35</v>
      </c>
      <c r="I87" s="2" t="s">
        <v>34</v>
      </c>
      <c r="J87" s="15"/>
      <c r="K87" s="22"/>
      <c r="L87" s="22"/>
    </row>
    <row r="88" spans="1:12" s="11" customFormat="1" ht="19.5" customHeight="1" x14ac:dyDescent="0.4">
      <c r="A88" s="12">
        <f t="shared" si="0"/>
        <v>83</v>
      </c>
      <c r="B88" s="13"/>
      <c r="C88" s="10"/>
      <c r="D88" s="51" t="s">
        <v>210</v>
      </c>
      <c r="E88" s="10" t="s">
        <v>211</v>
      </c>
      <c r="F88" s="14"/>
      <c r="G88" s="3">
        <v>46212</v>
      </c>
      <c r="H88" s="2" t="s">
        <v>35</v>
      </c>
      <c r="I88" s="2" t="s">
        <v>34</v>
      </c>
      <c r="J88" s="15"/>
      <c r="K88" s="22"/>
      <c r="L88" s="22"/>
    </row>
    <row r="89" spans="1:12" s="11" customFormat="1" ht="19.5" customHeight="1" x14ac:dyDescent="0.4">
      <c r="A89" s="12">
        <f t="shared" si="0"/>
        <v>84</v>
      </c>
      <c r="B89" s="13"/>
      <c r="C89" s="10"/>
      <c r="D89" s="50" t="s">
        <v>201</v>
      </c>
      <c r="E89" s="10" t="s">
        <v>127</v>
      </c>
      <c r="F89" s="14"/>
      <c r="G89" s="3">
        <v>46212</v>
      </c>
      <c r="H89" s="2" t="s">
        <v>35</v>
      </c>
      <c r="I89" s="2" t="s">
        <v>34</v>
      </c>
      <c r="J89" s="15"/>
      <c r="K89" s="22"/>
      <c r="L89" s="22"/>
    </row>
    <row r="90" spans="1:12" s="11" customFormat="1" ht="19.5" customHeight="1" x14ac:dyDescent="0.4">
      <c r="A90" s="12">
        <f t="shared" si="0"/>
        <v>85</v>
      </c>
      <c r="B90" s="13"/>
      <c r="C90" s="10"/>
      <c r="D90" s="10"/>
      <c r="E90" s="10" t="s">
        <v>226</v>
      </c>
      <c r="F90" s="14"/>
      <c r="G90" s="3">
        <v>46212</v>
      </c>
      <c r="H90" s="2" t="s">
        <v>35</v>
      </c>
      <c r="I90" s="2" t="s">
        <v>34</v>
      </c>
      <c r="J90" s="15"/>
      <c r="K90" s="22"/>
      <c r="L90" s="22"/>
    </row>
    <row r="91" spans="1:12" s="11" customFormat="1" ht="19.5" customHeight="1" x14ac:dyDescent="0.4">
      <c r="A91" s="12">
        <f t="shared" si="0"/>
        <v>86</v>
      </c>
      <c r="B91" s="13"/>
      <c r="C91" s="10" t="s">
        <v>228</v>
      </c>
      <c r="D91" s="10" t="s">
        <v>185</v>
      </c>
      <c r="E91" s="10"/>
      <c r="F91" s="14"/>
      <c r="G91" s="3"/>
      <c r="H91" s="2"/>
      <c r="I91" s="2"/>
      <c r="J91" s="15"/>
      <c r="K91" s="22"/>
      <c r="L91" s="22"/>
    </row>
    <row r="92" spans="1:12" s="11" customFormat="1" ht="19.5" customHeight="1" x14ac:dyDescent="0.4">
      <c r="A92" s="12">
        <f t="shared" si="0"/>
        <v>87</v>
      </c>
      <c r="B92" s="13"/>
      <c r="C92" s="10"/>
      <c r="D92" s="50" t="s">
        <v>119</v>
      </c>
      <c r="E92" s="10" t="s">
        <v>229</v>
      </c>
      <c r="F92" s="14"/>
      <c r="G92" s="3">
        <v>46212</v>
      </c>
      <c r="H92" s="2" t="s">
        <v>35</v>
      </c>
      <c r="I92" s="2" t="s">
        <v>34</v>
      </c>
      <c r="J92" s="15"/>
      <c r="K92" s="22"/>
      <c r="L92" s="22"/>
    </row>
    <row r="93" spans="1:12" s="11" customFormat="1" ht="19.5" customHeight="1" x14ac:dyDescent="0.4">
      <c r="A93" s="12">
        <f t="shared" si="0"/>
        <v>88</v>
      </c>
      <c r="B93" s="13"/>
      <c r="C93" s="10"/>
      <c r="D93" s="50" t="s">
        <v>136</v>
      </c>
      <c r="E93" s="10" t="s">
        <v>229</v>
      </c>
      <c r="F93" s="14"/>
      <c r="G93" s="3">
        <v>46212</v>
      </c>
      <c r="H93" s="2" t="s">
        <v>35</v>
      </c>
      <c r="I93" s="2" t="s">
        <v>34</v>
      </c>
      <c r="J93" s="15"/>
      <c r="K93" s="22"/>
      <c r="L93" s="22"/>
    </row>
    <row r="94" spans="1:12" s="11" customFormat="1" ht="19.5" customHeight="1" x14ac:dyDescent="0.4">
      <c r="A94" s="12">
        <f t="shared" si="0"/>
        <v>89</v>
      </c>
      <c r="B94" s="13"/>
      <c r="C94" s="10"/>
      <c r="D94" s="50" t="s">
        <v>137</v>
      </c>
      <c r="E94" s="10" t="s">
        <v>229</v>
      </c>
      <c r="F94" s="14"/>
      <c r="G94" s="3">
        <v>46212</v>
      </c>
      <c r="H94" s="2" t="s">
        <v>35</v>
      </c>
      <c r="I94" s="2" t="s">
        <v>34</v>
      </c>
      <c r="J94" s="15"/>
      <c r="K94" s="22"/>
      <c r="L94" s="22"/>
    </row>
    <row r="95" spans="1:12" s="11" customFormat="1" ht="19.5" customHeight="1" x14ac:dyDescent="0.4">
      <c r="A95" s="12">
        <f t="shared" si="0"/>
        <v>90</v>
      </c>
      <c r="B95" s="13"/>
      <c r="C95" s="10"/>
      <c r="D95" s="50" t="s">
        <v>138</v>
      </c>
      <c r="E95" s="10" t="s">
        <v>229</v>
      </c>
      <c r="F95" s="14"/>
      <c r="G95" s="3">
        <v>46212</v>
      </c>
      <c r="H95" s="2" t="s">
        <v>35</v>
      </c>
      <c r="I95" s="2" t="s">
        <v>34</v>
      </c>
      <c r="J95" s="15"/>
      <c r="K95" s="22"/>
      <c r="L95" s="22"/>
    </row>
    <row r="96" spans="1:12" s="11" customFormat="1" ht="19.5" customHeight="1" x14ac:dyDescent="0.4">
      <c r="A96" s="12">
        <f t="shared" si="0"/>
        <v>91</v>
      </c>
      <c r="B96" s="13"/>
      <c r="C96" s="10"/>
      <c r="D96" s="50" t="s">
        <v>139</v>
      </c>
      <c r="E96" s="10" t="s">
        <v>229</v>
      </c>
      <c r="F96" s="14"/>
      <c r="G96" s="3">
        <v>46212</v>
      </c>
      <c r="H96" s="2" t="s">
        <v>35</v>
      </c>
      <c r="I96" s="2" t="s">
        <v>34</v>
      </c>
      <c r="J96" s="15"/>
      <c r="K96" s="22"/>
      <c r="L96" s="22"/>
    </row>
    <row r="97" spans="1:12" s="11" customFormat="1" ht="19.5" customHeight="1" x14ac:dyDescent="0.4">
      <c r="A97" s="12">
        <f t="shared" si="0"/>
        <v>92</v>
      </c>
      <c r="B97" s="13"/>
      <c r="C97" s="10"/>
      <c r="D97" s="50" t="s">
        <v>140</v>
      </c>
      <c r="E97" s="10" t="s">
        <v>229</v>
      </c>
      <c r="F97" s="14"/>
      <c r="G97" s="3">
        <v>46212</v>
      </c>
      <c r="H97" s="2" t="s">
        <v>35</v>
      </c>
      <c r="I97" s="2" t="s">
        <v>34</v>
      </c>
      <c r="J97" s="15"/>
      <c r="K97" s="22"/>
      <c r="L97" s="22"/>
    </row>
    <row r="98" spans="1:12" s="11" customFormat="1" ht="19.5" customHeight="1" x14ac:dyDescent="0.4">
      <c r="A98" s="12">
        <f t="shared" si="0"/>
        <v>93</v>
      </c>
      <c r="B98" s="13"/>
      <c r="C98" s="10"/>
      <c r="D98" s="50" t="s">
        <v>141</v>
      </c>
      <c r="E98" s="10" t="s">
        <v>229</v>
      </c>
      <c r="F98" s="14"/>
      <c r="G98" s="3">
        <v>46212</v>
      </c>
      <c r="H98" s="2" t="s">
        <v>35</v>
      </c>
      <c r="I98" s="2" t="s">
        <v>34</v>
      </c>
      <c r="J98" s="15"/>
      <c r="K98" s="22"/>
      <c r="L98" s="22"/>
    </row>
    <row r="99" spans="1:12" s="11" customFormat="1" ht="19.5" customHeight="1" x14ac:dyDescent="0.4">
      <c r="A99" s="12">
        <f t="shared" ref="A99:A145" si="1">ROW()-5</f>
        <v>94</v>
      </c>
      <c r="B99" s="13"/>
      <c r="C99" s="10"/>
      <c r="D99" s="50" t="s">
        <v>142</v>
      </c>
      <c r="E99" s="10" t="s">
        <v>229</v>
      </c>
      <c r="F99" s="14"/>
      <c r="G99" s="3">
        <v>46212</v>
      </c>
      <c r="H99" s="2" t="s">
        <v>35</v>
      </c>
      <c r="I99" s="2" t="s">
        <v>34</v>
      </c>
      <c r="J99" s="15"/>
      <c r="K99" s="22"/>
      <c r="L99" s="22"/>
    </row>
    <row r="100" spans="1:12" s="11" customFormat="1" ht="19.5" customHeight="1" x14ac:dyDescent="0.4">
      <c r="A100" s="12">
        <f t="shared" si="1"/>
        <v>95</v>
      </c>
      <c r="B100" s="13"/>
      <c r="C100" s="10"/>
      <c r="D100" s="50" t="s">
        <v>143</v>
      </c>
      <c r="E100" s="10" t="s">
        <v>229</v>
      </c>
      <c r="F100" s="14"/>
      <c r="G100" s="3">
        <v>46212</v>
      </c>
      <c r="H100" s="2" t="s">
        <v>35</v>
      </c>
      <c r="I100" s="2" t="s">
        <v>34</v>
      </c>
      <c r="J100" s="15"/>
      <c r="K100" s="22"/>
      <c r="L100" s="22"/>
    </row>
    <row r="101" spans="1:12" s="11" customFormat="1" ht="19.5" customHeight="1" x14ac:dyDescent="0.4">
      <c r="A101" s="12">
        <f t="shared" si="1"/>
        <v>96</v>
      </c>
      <c r="B101" s="13"/>
      <c r="C101" s="10"/>
      <c r="D101" s="50" t="s">
        <v>144</v>
      </c>
      <c r="E101" s="10" t="s">
        <v>229</v>
      </c>
      <c r="F101" s="14"/>
      <c r="G101" s="3">
        <v>46212</v>
      </c>
      <c r="H101" s="2" t="s">
        <v>35</v>
      </c>
      <c r="I101" s="2" t="s">
        <v>34</v>
      </c>
      <c r="J101" s="15"/>
      <c r="K101" s="22"/>
      <c r="L101" s="22"/>
    </row>
    <row r="102" spans="1:12" s="11" customFormat="1" ht="19.5" customHeight="1" x14ac:dyDescent="0.4">
      <c r="A102" s="12">
        <f t="shared" si="1"/>
        <v>97</v>
      </c>
      <c r="B102" s="13"/>
      <c r="C102" s="10"/>
      <c r="D102" s="50" t="s">
        <v>145</v>
      </c>
      <c r="E102" s="10" t="s">
        <v>229</v>
      </c>
      <c r="F102" s="14"/>
      <c r="G102" s="3">
        <v>46212</v>
      </c>
      <c r="H102" s="2" t="s">
        <v>35</v>
      </c>
      <c r="I102" s="2" t="s">
        <v>34</v>
      </c>
      <c r="J102" s="15"/>
      <c r="K102" s="22"/>
      <c r="L102" s="22"/>
    </row>
    <row r="103" spans="1:12" s="11" customFormat="1" ht="19.5" customHeight="1" x14ac:dyDescent="0.4">
      <c r="A103" s="12">
        <f t="shared" si="1"/>
        <v>98</v>
      </c>
      <c r="B103" s="13"/>
      <c r="C103" s="10"/>
      <c r="D103" s="50" t="s">
        <v>146</v>
      </c>
      <c r="E103" s="10" t="s">
        <v>229</v>
      </c>
      <c r="F103" s="14"/>
      <c r="G103" s="3">
        <v>46212</v>
      </c>
      <c r="H103" s="2" t="s">
        <v>35</v>
      </c>
      <c r="I103" s="2" t="s">
        <v>34</v>
      </c>
      <c r="J103" s="15"/>
      <c r="K103" s="22"/>
      <c r="L103" s="22"/>
    </row>
    <row r="104" spans="1:12" s="11" customFormat="1" ht="19.5" customHeight="1" x14ac:dyDescent="0.4">
      <c r="A104" s="12">
        <f t="shared" si="1"/>
        <v>99</v>
      </c>
      <c r="B104" s="13"/>
      <c r="C104" s="10"/>
      <c r="D104" s="50" t="s">
        <v>147</v>
      </c>
      <c r="E104" s="10" t="s">
        <v>229</v>
      </c>
      <c r="F104" s="14"/>
      <c r="G104" s="3">
        <v>46212</v>
      </c>
      <c r="H104" s="2" t="s">
        <v>35</v>
      </c>
      <c r="I104" s="2" t="s">
        <v>34</v>
      </c>
      <c r="J104" s="15"/>
      <c r="K104" s="22"/>
      <c r="L104" s="22"/>
    </row>
    <row r="105" spans="1:12" s="11" customFormat="1" ht="19.5" customHeight="1" x14ac:dyDescent="0.4">
      <c r="A105" s="12">
        <f t="shared" si="1"/>
        <v>100</v>
      </c>
      <c r="B105" s="13"/>
      <c r="C105" s="10"/>
      <c r="D105" s="50" t="s">
        <v>148</v>
      </c>
      <c r="E105" s="10" t="s">
        <v>229</v>
      </c>
      <c r="F105" s="14"/>
      <c r="G105" s="3">
        <v>46212</v>
      </c>
      <c r="H105" s="2" t="s">
        <v>35</v>
      </c>
      <c r="I105" s="2" t="s">
        <v>34</v>
      </c>
      <c r="J105" s="15"/>
      <c r="K105" s="22"/>
      <c r="L105" s="22"/>
    </row>
    <row r="106" spans="1:12" s="11" customFormat="1" ht="19.5" customHeight="1" x14ac:dyDescent="0.4">
      <c r="A106" s="12">
        <f t="shared" si="1"/>
        <v>101</v>
      </c>
      <c r="B106" s="13"/>
      <c r="C106" s="10"/>
      <c r="D106" s="50" t="s">
        <v>149</v>
      </c>
      <c r="E106" s="10" t="s">
        <v>230</v>
      </c>
      <c r="F106" s="14"/>
      <c r="G106" s="3">
        <v>46212</v>
      </c>
      <c r="H106" s="2" t="s">
        <v>35</v>
      </c>
      <c r="I106" s="2" t="s">
        <v>34</v>
      </c>
      <c r="J106" s="15"/>
      <c r="K106" s="22"/>
      <c r="L106" s="22"/>
    </row>
    <row r="107" spans="1:12" s="11" customFormat="1" ht="19.5" customHeight="1" x14ac:dyDescent="0.4">
      <c r="A107" s="12">
        <f t="shared" si="1"/>
        <v>102</v>
      </c>
      <c r="B107" s="13"/>
      <c r="C107" s="10"/>
      <c r="D107" s="50" t="s">
        <v>150</v>
      </c>
      <c r="E107" s="10" t="s">
        <v>231</v>
      </c>
      <c r="F107" s="14"/>
      <c r="G107" s="3">
        <v>46212</v>
      </c>
      <c r="H107" s="2" t="s">
        <v>35</v>
      </c>
      <c r="I107" s="2" t="s">
        <v>34</v>
      </c>
      <c r="J107" s="15"/>
      <c r="K107" s="22"/>
      <c r="L107" s="22"/>
    </row>
    <row r="108" spans="1:12" s="11" customFormat="1" ht="19.5" customHeight="1" x14ac:dyDescent="0.4">
      <c r="A108" s="12">
        <f t="shared" si="1"/>
        <v>103</v>
      </c>
      <c r="B108" s="13"/>
      <c r="C108" s="10"/>
      <c r="D108" s="50" t="s">
        <v>151</v>
      </c>
      <c r="E108" s="10" t="s">
        <v>232</v>
      </c>
      <c r="F108" s="14"/>
      <c r="G108" s="3">
        <v>46212</v>
      </c>
      <c r="H108" s="2" t="s">
        <v>35</v>
      </c>
      <c r="I108" s="2" t="s">
        <v>34</v>
      </c>
      <c r="J108" s="15"/>
      <c r="K108" s="22"/>
      <c r="L108" s="22"/>
    </row>
    <row r="109" spans="1:12" s="11" customFormat="1" ht="19.5" customHeight="1" x14ac:dyDescent="0.4">
      <c r="A109" s="12">
        <f t="shared" si="1"/>
        <v>104</v>
      </c>
      <c r="B109" s="13"/>
      <c r="C109" s="10"/>
      <c r="D109" s="50" t="s">
        <v>152</v>
      </c>
      <c r="E109" s="10" t="s">
        <v>233</v>
      </c>
      <c r="F109" s="14"/>
      <c r="G109" s="3">
        <v>46212</v>
      </c>
      <c r="H109" s="2" t="s">
        <v>35</v>
      </c>
      <c r="I109" s="2" t="s">
        <v>34</v>
      </c>
      <c r="J109" s="15"/>
      <c r="K109" s="22"/>
      <c r="L109" s="22"/>
    </row>
    <row r="110" spans="1:12" s="11" customFormat="1" ht="19.5" customHeight="1" x14ac:dyDescent="0.4">
      <c r="A110" s="12">
        <f t="shared" si="1"/>
        <v>105</v>
      </c>
      <c r="B110" s="13"/>
      <c r="C110" s="10"/>
      <c r="D110" s="50" t="s">
        <v>153</v>
      </c>
      <c r="E110" s="10" t="s">
        <v>234</v>
      </c>
      <c r="F110" s="14"/>
      <c r="G110" s="3">
        <v>46212</v>
      </c>
      <c r="H110" s="2" t="s">
        <v>35</v>
      </c>
      <c r="I110" s="2" t="s">
        <v>34</v>
      </c>
      <c r="J110" s="15"/>
      <c r="K110" s="22"/>
      <c r="L110" s="22"/>
    </row>
    <row r="111" spans="1:12" s="11" customFormat="1" ht="19.5" customHeight="1" x14ac:dyDescent="0.4">
      <c r="A111" s="12">
        <f t="shared" si="1"/>
        <v>106</v>
      </c>
      <c r="B111" s="13"/>
      <c r="C111" s="10"/>
      <c r="D111" s="50" t="s">
        <v>154</v>
      </c>
      <c r="E111" s="10" t="s">
        <v>229</v>
      </c>
      <c r="F111" s="14"/>
      <c r="G111" s="3">
        <v>46212</v>
      </c>
      <c r="H111" s="2" t="s">
        <v>35</v>
      </c>
      <c r="I111" s="2" t="s">
        <v>34</v>
      </c>
      <c r="J111" s="15"/>
      <c r="K111" s="22"/>
      <c r="L111" s="22"/>
    </row>
    <row r="112" spans="1:12" s="11" customFormat="1" ht="19.5" customHeight="1" x14ac:dyDescent="0.4">
      <c r="A112" s="12">
        <f t="shared" si="1"/>
        <v>107</v>
      </c>
      <c r="B112" s="13"/>
      <c r="C112" s="10"/>
      <c r="D112" s="50" t="s">
        <v>155</v>
      </c>
      <c r="E112" s="10" t="s">
        <v>194</v>
      </c>
      <c r="F112" s="14"/>
      <c r="G112" s="3">
        <v>46212</v>
      </c>
      <c r="H112" s="2" t="s">
        <v>35</v>
      </c>
      <c r="I112" s="2" t="s">
        <v>34</v>
      </c>
      <c r="J112" s="15"/>
      <c r="K112" s="22"/>
      <c r="L112" s="22"/>
    </row>
    <row r="113" spans="1:12" s="11" customFormat="1" ht="19.5" customHeight="1" x14ac:dyDescent="0.4">
      <c r="A113" s="12">
        <f t="shared" si="1"/>
        <v>108</v>
      </c>
      <c r="B113" s="13"/>
      <c r="C113" s="10"/>
      <c r="D113" s="10" t="s">
        <v>195</v>
      </c>
      <c r="E113" s="10" t="s">
        <v>235</v>
      </c>
      <c r="F113" s="14"/>
      <c r="G113" s="3">
        <v>46212</v>
      </c>
      <c r="H113" s="2" t="s">
        <v>35</v>
      </c>
      <c r="I113" s="2" t="s">
        <v>34</v>
      </c>
      <c r="J113" s="15"/>
      <c r="K113" s="22"/>
      <c r="L113" s="22"/>
    </row>
    <row r="114" spans="1:12" s="11" customFormat="1" ht="19.5" customHeight="1" x14ac:dyDescent="0.4">
      <c r="A114" s="12">
        <f t="shared" si="1"/>
        <v>109</v>
      </c>
      <c r="B114" s="13"/>
      <c r="C114" s="10"/>
      <c r="D114" s="10" t="s">
        <v>240</v>
      </c>
      <c r="E114" s="10" t="s">
        <v>121</v>
      </c>
      <c r="F114" s="14"/>
      <c r="G114" s="3">
        <v>46212</v>
      </c>
      <c r="H114" s="2" t="s">
        <v>35</v>
      </c>
      <c r="I114" s="2" t="s">
        <v>34</v>
      </c>
      <c r="J114" s="15"/>
      <c r="K114" s="22"/>
      <c r="L114" s="22"/>
    </row>
    <row r="115" spans="1:12" s="11" customFormat="1" ht="19.5" customHeight="1" x14ac:dyDescent="0.4">
      <c r="A115" s="12">
        <f t="shared" si="1"/>
        <v>110</v>
      </c>
      <c r="B115" s="13"/>
      <c r="C115" s="10"/>
      <c r="D115" s="50" t="s">
        <v>115</v>
      </c>
      <c r="E115" s="53" t="s">
        <v>122</v>
      </c>
      <c r="F115" s="14"/>
      <c r="G115" s="3">
        <v>46212</v>
      </c>
      <c r="H115" s="2" t="s">
        <v>35</v>
      </c>
      <c r="I115" s="2" t="s">
        <v>34</v>
      </c>
      <c r="J115" s="15"/>
      <c r="K115" s="22"/>
      <c r="L115" s="22"/>
    </row>
    <row r="116" spans="1:12" s="11" customFormat="1" ht="19.5" customHeight="1" x14ac:dyDescent="0.4">
      <c r="A116" s="12">
        <f t="shared" si="1"/>
        <v>111</v>
      </c>
      <c r="B116" s="13"/>
      <c r="C116" s="10"/>
      <c r="D116" s="50" t="s">
        <v>116</v>
      </c>
      <c r="E116" s="10" t="s">
        <v>123</v>
      </c>
      <c r="F116" s="14"/>
      <c r="G116" s="3">
        <v>46212</v>
      </c>
      <c r="H116" s="2" t="s">
        <v>35</v>
      </c>
      <c r="I116" s="2" t="s">
        <v>34</v>
      </c>
      <c r="J116" s="15"/>
      <c r="K116" s="22"/>
      <c r="L116" s="22"/>
    </row>
    <row r="117" spans="1:12" s="11" customFormat="1" ht="19.5" customHeight="1" x14ac:dyDescent="0.4">
      <c r="A117" s="12">
        <f t="shared" si="1"/>
        <v>112</v>
      </c>
      <c r="B117" s="13"/>
      <c r="C117" s="10"/>
      <c r="D117" s="50" t="s">
        <v>117</v>
      </c>
      <c r="E117" s="10" t="s">
        <v>245</v>
      </c>
      <c r="F117" s="14"/>
      <c r="G117" s="3">
        <v>46212</v>
      </c>
      <c r="H117" s="2" t="s">
        <v>35</v>
      </c>
      <c r="I117" s="2" t="s">
        <v>34</v>
      </c>
      <c r="J117" s="15"/>
      <c r="K117" s="22"/>
      <c r="L117" s="22"/>
    </row>
    <row r="118" spans="1:12" s="11" customFormat="1" ht="19.5" customHeight="1" x14ac:dyDescent="0.4">
      <c r="A118" s="12">
        <f t="shared" si="1"/>
        <v>113</v>
      </c>
      <c r="B118" s="13"/>
      <c r="C118" s="10"/>
      <c r="D118" s="50" t="s">
        <v>118</v>
      </c>
      <c r="E118" s="10" t="s">
        <v>125</v>
      </c>
      <c r="F118" s="14"/>
      <c r="G118" s="3">
        <v>46212</v>
      </c>
      <c r="H118" s="2" t="s">
        <v>35</v>
      </c>
      <c r="I118" s="2" t="s">
        <v>34</v>
      </c>
      <c r="J118" s="15"/>
      <c r="K118" s="22"/>
      <c r="L118" s="22"/>
    </row>
    <row r="119" spans="1:12" s="11" customFormat="1" ht="19.5" customHeight="1" x14ac:dyDescent="0.4">
      <c r="A119" s="12">
        <f t="shared" si="1"/>
        <v>114</v>
      </c>
      <c r="B119" s="13"/>
      <c r="C119" s="10"/>
      <c r="D119" s="51" t="s">
        <v>120</v>
      </c>
      <c r="E119" s="10" t="s">
        <v>246</v>
      </c>
      <c r="F119" s="14"/>
      <c r="G119" s="3">
        <v>46212</v>
      </c>
      <c r="H119" s="2" t="s">
        <v>35</v>
      </c>
      <c r="I119" s="2" t="s">
        <v>34</v>
      </c>
      <c r="J119" s="15"/>
      <c r="K119" s="22"/>
      <c r="L119" s="22"/>
    </row>
    <row r="120" spans="1:12" s="11" customFormat="1" ht="19.5" customHeight="1" x14ac:dyDescent="0.4">
      <c r="A120" s="12">
        <f t="shared" si="1"/>
        <v>115</v>
      </c>
      <c r="B120" s="13"/>
      <c r="C120" s="10"/>
      <c r="D120" s="51" t="s">
        <v>247</v>
      </c>
      <c r="E120" s="10" t="s">
        <v>248</v>
      </c>
      <c r="F120" s="14"/>
      <c r="G120" s="3">
        <v>46212</v>
      </c>
      <c r="H120" s="2" t="s">
        <v>35</v>
      </c>
      <c r="I120" s="2" t="s">
        <v>34</v>
      </c>
      <c r="J120" s="15"/>
      <c r="K120" s="22"/>
      <c r="L120" s="22"/>
    </row>
    <row r="121" spans="1:12" s="11" customFormat="1" ht="19.5" customHeight="1" x14ac:dyDescent="0.4">
      <c r="A121" s="12">
        <f t="shared" si="1"/>
        <v>116</v>
      </c>
      <c r="B121" s="13"/>
      <c r="C121" s="10" t="s">
        <v>63</v>
      </c>
      <c r="D121" s="10" t="s">
        <v>92</v>
      </c>
      <c r="E121" s="10"/>
      <c r="F121" s="14"/>
      <c r="G121" s="3"/>
      <c r="H121" s="2"/>
      <c r="I121" s="2"/>
      <c r="J121" s="15"/>
      <c r="K121" s="22"/>
      <c r="L121" s="22"/>
    </row>
    <row r="122" spans="1:12" s="11" customFormat="1" ht="19.5" customHeight="1" x14ac:dyDescent="0.4">
      <c r="A122" s="12">
        <f t="shared" si="1"/>
        <v>117</v>
      </c>
      <c r="B122" s="13"/>
      <c r="C122" s="10"/>
      <c r="D122" s="50" t="s">
        <v>236</v>
      </c>
      <c r="E122" s="10" t="s">
        <v>238</v>
      </c>
      <c r="F122" s="14"/>
      <c r="G122" s="3">
        <v>46212</v>
      </c>
      <c r="H122" s="2" t="s">
        <v>35</v>
      </c>
      <c r="I122" s="2" t="s">
        <v>34</v>
      </c>
      <c r="J122" s="15"/>
      <c r="K122" s="22"/>
      <c r="L122" s="22"/>
    </row>
    <row r="123" spans="1:12" s="11" customFormat="1" ht="19.5" customHeight="1" x14ac:dyDescent="0.4">
      <c r="A123" s="12">
        <f t="shared" si="1"/>
        <v>118</v>
      </c>
      <c r="B123" s="13"/>
      <c r="C123" s="10"/>
      <c r="D123" s="50" t="s">
        <v>237</v>
      </c>
      <c r="E123" s="10" t="s">
        <v>238</v>
      </c>
      <c r="F123" s="14"/>
      <c r="G123" s="3">
        <v>46212</v>
      </c>
      <c r="H123" s="2" t="s">
        <v>35</v>
      </c>
      <c r="I123" s="2" t="s">
        <v>34</v>
      </c>
      <c r="J123" s="15"/>
      <c r="K123" s="22"/>
      <c r="L123" s="22"/>
    </row>
    <row r="124" spans="1:12" s="11" customFormat="1" ht="19.5" customHeight="1" x14ac:dyDescent="0.4">
      <c r="A124" s="12">
        <f t="shared" si="1"/>
        <v>119</v>
      </c>
      <c r="B124" s="13"/>
      <c r="C124" s="10"/>
      <c r="D124" s="50" t="s">
        <v>239</v>
      </c>
      <c r="E124" s="10" t="s">
        <v>250</v>
      </c>
      <c r="F124" s="14"/>
      <c r="G124" s="3">
        <v>46212</v>
      </c>
      <c r="H124" s="2" t="s">
        <v>35</v>
      </c>
      <c r="I124" s="2" t="s">
        <v>34</v>
      </c>
      <c r="J124" s="15"/>
      <c r="K124" s="22"/>
      <c r="L124" s="22"/>
    </row>
    <row r="125" spans="1:12" s="11" customFormat="1" ht="19.5" customHeight="1" x14ac:dyDescent="0.4">
      <c r="A125" s="12">
        <f t="shared" si="1"/>
        <v>120</v>
      </c>
      <c r="B125" s="13"/>
      <c r="C125" s="10"/>
      <c r="D125" s="51" t="s">
        <v>251</v>
      </c>
      <c r="E125" s="10" t="s">
        <v>252</v>
      </c>
      <c r="F125" s="14"/>
      <c r="G125" s="3">
        <v>46212</v>
      </c>
      <c r="H125" s="2" t="s">
        <v>35</v>
      </c>
      <c r="I125" s="2" t="s">
        <v>34</v>
      </c>
      <c r="J125" s="15"/>
      <c r="K125" s="22"/>
      <c r="L125" s="22"/>
    </row>
    <row r="126" spans="1:12" s="11" customFormat="1" ht="19.5" customHeight="1" x14ac:dyDescent="0.4">
      <c r="A126" s="12">
        <f t="shared" si="1"/>
        <v>121</v>
      </c>
      <c r="B126" s="13"/>
      <c r="C126" s="10"/>
      <c r="D126" s="10"/>
      <c r="E126" s="10" t="s">
        <v>255</v>
      </c>
      <c r="F126" s="14"/>
      <c r="G126" s="3">
        <v>46212</v>
      </c>
      <c r="H126" s="2" t="s">
        <v>35</v>
      </c>
      <c r="I126" s="2" t="s">
        <v>34</v>
      </c>
      <c r="J126" s="15"/>
      <c r="K126" s="22"/>
      <c r="L126" s="22"/>
    </row>
    <row r="127" spans="1:12" s="32" customFormat="1" ht="19.5" customHeight="1" x14ac:dyDescent="0.4">
      <c r="A127" s="33">
        <f t="shared" si="1"/>
        <v>122</v>
      </c>
      <c r="B127" s="34" t="s">
        <v>53</v>
      </c>
      <c r="C127" s="34"/>
      <c r="D127" s="35"/>
      <c r="E127" s="35"/>
      <c r="F127" s="36"/>
      <c r="G127" s="37"/>
      <c r="H127" s="38"/>
      <c r="I127" s="38"/>
      <c r="J127" s="39"/>
      <c r="K127" s="40"/>
      <c r="L127" s="40"/>
    </row>
    <row r="128" spans="1:12" s="11" customFormat="1" ht="19.5" customHeight="1" x14ac:dyDescent="0.4">
      <c r="A128" s="12">
        <f t="shared" si="1"/>
        <v>123</v>
      </c>
      <c r="B128" s="13"/>
      <c r="C128" s="10" t="s">
        <v>87</v>
      </c>
      <c r="D128" s="10" t="s">
        <v>88</v>
      </c>
      <c r="E128" s="10"/>
      <c r="F128" s="14"/>
      <c r="G128" s="3"/>
      <c r="H128" s="2"/>
      <c r="I128" s="2"/>
      <c r="J128" s="15"/>
      <c r="K128" s="22"/>
      <c r="L128" s="22"/>
    </row>
    <row r="129" spans="1:12" s="11" customFormat="1" ht="19.5" customHeight="1" x14ac:dyDescent="0.4">
      <c r="A129" s="12">
        <f t="shared" si="1"/>
        <v>124</v>
      </c>
      <c r="B129" s="13"/>
      <c r="C129" s="10"/>
      <c r="D129" s="50" t="s">
        <v>89</v>
      </c>
      <c r="E129" s="10" t="s">
        <v>98</v>
      </c>
      <c r="F129" s="14"/>
      <c r="G129" s="3">
        <v>46212</v>
      </c>
      <c r="H129" s="2" t="s">
        <v>35</v>
      </c>
      <c r="I129" s="2" t="s">
        <v>34</v>
      </c>
      <c r="J129" s="15"/>
      <c r="K129" s="22"/>
      <c r="L129" s="22"/>
    </row>
    <row r="130" spans="1:12" s="11" customFormat="1" ht="19.5" customHeight="1" x14ac:dyDescent="0.4">
      <c r="A130" s="12">
        <f t="shared" si="1"/>
        <v>125</v>
      </c>
      <c r="B130" s="13"/>
      <c r="C130" s="10"/>
      <c r="D130" s="50" t="s">
        <v>90</v>
      </c>
      <c r="E130" s="10" t="s">
        <v>98</v>
      </c>
      <c r="F130" s="14"/>
      <c r="G130" s="3">
        <v>46212</v>
      </c>
      <c r="H130" s="2" t="s">
        <v>35</v>
      </c>
      <c r="I130" s="2" t="s">
        <v>34</v>
      </c>
      <c r="J130" s="15"/>
      <c r="K130" s="22"/>
      <c r="L130" s="22"/>
    </row>
    <row r="131" spans="1:12" s="11" customFormat="1" ht="19.5" customHeight="1" x14ac:dyDescent="0.4">
      <c r="A131" s="12">
        <f t="shared" si="1"/>
        <v>126</v>
      </c>
      <c r="B131" s="13"/>
      <c r="C131" s="10"/>
      <c r="D131" s="50" t="s">
        <v>91</v>
      </c>
      <c r="E131" s="10" t="s">
        <v>98</v>
      </c>
      <c r="F131" s="14"/>
      <c r="G131" s="3">
        <v>46212</v>
      </c>
      <c r="H131" s="2" t="s">
        <v>35</v>
      </c>
      <c r="I131" s="2" t="s">
        <v>34</v>
      </c>
      <c r="J131" s="15"/>
      <c r="K131" s="22"/>
      <c r="L131" s="22"/>
    </row>
    <row r="132" spans="1:12" s="11" customFormat="1" ht="19.5" customHeight="1" x14ac:dyDescent="0.4">
      <c r="A132" s="12">
        <f t="shared" si="1"/>
        <v>127</v>
      </c>
      <c r="B132" s="13"/>
      <c r="C132" s="10"/>
      <c r="D132" s="50" t="s">
        <v>92</v>
      </c>
      <c r="E132" s="10" t="s">
        <v>99</v>
      </c>
      <c r="F132" s="14"/>
      <c r="G132" s="3">
        <v>46212</v>
      </c>
      <c r="H132" s="2" t="s">
        <v>35</v>
      </c>
      <c r="I132" s="2" t="s">
        <v>34</v>
      </c>
      <c r="J132" s="15"/>
      <c r="K132" s="22"/>
      <c r="L132" s="22"/>
    </row>
    <row r="133" spans="1:12" s="11" customFormat="1" ht="19.5" customHeight="1" x14ac:dyDescent="0.4">
      <c r="A133" s="12">
        <f t="shared" si="1"/>
        <v>128</v>
      </c>
      <c r="B133" s="13"/>
      <c r="C133" s="10"/>
      <c r="D133" s="51" t="s">
        <v>93</v>
      </c>
      <c r="E133" s="10" t="s">
        <v>98</v>
      </c>
      <c r="F133" s="14"/>
      <c r="G133" s="3">
        <v>46212</v>
      </c>
      <c r="H133" s="2" t="s">
        <v>35</v>
      </c>
      <c r="I133" s="2" t="s">
        <v>34</v>
      </c>
      <c r="J133" s="15"/>
      <c r="K133" s="22"/>
      <c r="L133" s="22"/>
    </row>
    <row r="134" spans="1:12" s="11" customFormat="1" ht="19.5" customHeight="1" x14ac:dyDescent="0.4">
      <c r="A134" s="12">
        <f t="shared" si="1"/>
        <v>129</v>
      </c>
      <c r="B134" s="13"/>
      <c r="C134" s="10"/>
      <c r="D134" s="51" t="s">
        <v>94</v>
      </c>
      <c r="E134" s="10" t="s">
        <v>98</v>
      </c>
      <c r="F134" s="14"/>
      <c r="G134" s="3">
        <v>46212</v>
      </c>
      <c r="H134" s="2" t="s">
        <v>35</v>
      </c>
      <c r="I134" s="2" t="s">
        <v>34</v>
      </c>
      <c r="J134" s="15"/>
      <c r="K134" s="22"/>
      <c r="L134" s="22"/>
    </row>
    <row r="135" spans="1:12" s="11" customFormat="1" ht="19.5" customHeight="1" x14ac:dyDescent="0.4">
      <c r="A135" s="12">
        <f t="shared" si="1"/>
        <v>130</v>
      </c>
      <c r="B135" s="13"/>
      <c r="C135" s="10"/>
      <c r="D135" s="51" t="s">
        <v>95</v>
      </c>
      <c r="E135" s="10" t="s">
        <v>98</v>
      </c>
      <c r="F135" s="14"/>
      <c r="G135" s="3">
        <v>46212</v>
      </c>
      <c r="H135" s="2" t="s">
        <v>35</v>
      </c>
      <c r="I135" s="2" t="s">
        <v>34</v>
      </c>
      <c r="J135" s="15"/>
      <c r="K135" s="22"/>
      <c r="L135" s="22"/>
    </row>
    <row r="136" spans="1:12" s="11" customFormat="1" ht="19.5" customHeight="1" x14ac:dyDescent="0.4">
      <c r="A136" s="12">
        <f t="shared" si="1"/>
        <v>131</v>
      </c>
      <c r="B136" s="13"/>
      <c r="C136" s="10"/>
      <c r="D136" s="51" t="s">
        <v>96</v>
      </c>
      <c r="E136" s="10" t="s">
        <v>98</v>
      </c>
      <c r="F136" s="14"/>
      <c r="G136" s="3">
        <v>46212</v>
      </c>
      <c r="H136" s="2" t="s">
        <v>35</v>
      </c>
      <c r="I136" s="2" t="s">
        <v>34</v>
      </c>
      <c r="J136" s="15"/>
      <c r="K136" s="22"/>
      <c r="L136" s="22"/>
    </row>
    <row r="137" spans="1:12" s="11" customFormat="1" ht="19.5" customHeight="1" x14ac:dyDescent="0.4">
      <c r="A137" s="12">
        <f t="shared" si="1"/>
        <v>132</v>
      </c>
      <c r="B137" s="13"/>
      <c r="C137" s="10"/>
      <c r="D137" s="50" t="s">
        <v>103</v>
      </c>
      <c r="E137" s="10"/>
      <c r="F137" s="14"/>
      <c r="G137" s="3"/>
      <c r="H137" s="2"/>
      <c r="I137" s="2"/>
      <c r="J137" s="15"/>
      <c r="K137" s="22"/>
      <c r="L137" s="22"/>
    </row>
    <row r="138" spans="1:12" s="11" customFormat="1" ht="19.5" customHeight="1" x14ac:dyDescent="0.4">
      <c r="A138" s="12">
        <f t="shared" si="1"/>
        <v>133</v>
      </c>
      <c r="B138" s="13"/>
      <c r="C138" s="10"/>
      <c r="D138" s="51" t="s">
        <v>92</v>
      </c>
      <c r="E138" s="10" t="s">
        <v>105</v>
      </c>
      <c r="F138" s="14"/>
      <c r="G138" s="3">
        <v>46212</v>
      </c>
      <c r="H138" s="2" t="s">
        <v>35</v>
      </c>
      <c r="I138" s="2" t="s">
        <v>34</v>
      </c>
      <c r="J138" s="15"/>
      <c r="K138" s="22"/>
      <c r="L138" s="22"/>
    </row>
    <row r="139" spans="1:12" s="11" customFormat="1" ht="19.5" customHeight="1" x14ac:dyDescent="0.4">
      <c r="A139" s="12">
        <f t="shared" si="1"/>
        <v>134</v>
      </c>
      <c r="B139" s="13"/>
      <c r="C139" s="10"/>
      <c r="D139" s="52" t="s">
        <v>94</v>
      </c>
      <c r="E139" s="10" t="s">
        <v>106</v>
      </c>
      <c r="F139" s="14"/>
      <c r="G139" s="3">
        <v>46212</v>
      </c>
      <c r="H139" s="2" t="s">
        <v>35</v>
      </c>
      <c r="I139" s="2" t="s">
        <v>34</v>
      </c>
      <c r="J139" s="15"/>
      <c r="K139" s="22"/>
      <c r="L139" s="22"/>
    </row>
    <row r="140" spans="1:12" s="11" customFormat="1" ht="19.5" customHeight="1" x14ac:dyDescent="0.4">
      <c r="A140" s="12">
        <f t="shared" si="1"/>
        <v>135</v>
      </c>
      <c r="B140" s="13"/>
      <c r="C140" s="10"/>
      <c r="D140" s="52" t="s">
        <v>95</v>
      </c>
      <c r="E140" s="10" t="s">
        <v>106</v>
      </c>
      <c r="F140" s="14"/>
      <c r="G140" s="3">
        <v>46212</v>
      </c>
      <c r="H140" s="2" t="s">
        <v>35</v>
      </c>
      <c r="I140" s="2" t="s">
        <v>34</v>
      </c>
      <c r="J140" s="15"/>
      <c r="K140" s="22"/>
      <c r="L140" s="22"/>
    </row>
    <row r="141" spans="1:12" s="11" customFormat="1" ht="19.5" customHeight="1" x14ac:dyDescent="0.4">
      <c r="A141" s="12">
        <f t="shared" si="1"/>
        <v>136</v>
      </c>
      <c r="B141" s="13"/>
      <c r="C141" s="10"/>
      <c r="D141" s="52" t="s">
        <v>104</v>
      </c>
      <c r="E141" s="10" t="s">
        <v>106</v>
      </c>
      <c r="F141" s="14"/>
      <c r="G141" s="3">
        <v>46212</v>
      </c>
      <c r="H141" s="2" t="s">
        <v>35</v>
      </c>
      <c r="I141" s="2" t="s">
        <v>34</v>
      </c>
      <c r="J141" s="15"/>
      <c r="K141" s="22"/>
      <c r="L141" s="22"/>
    </row>
    <row r="142" spans="1:12" s="11" customFormat="1" ht="19.5" customHeight="1" x14ac:dyDescent="0.4">
      <c r="A142" s="12">
        <f t="shared" si="1"/>
        <v>137</v>
      </c>
      <c r="B142" s="13"/>
      <c r="C142" s="10"/>
      <c r="D142" s="52" t="s">
        <v>96</v>
      </c>
      <c r="E142" s="10" t="s">
        <v>106</v>
      </c>
      <c r="F142" s="14"/>
      <c r="G142" s="3">
        <v>46212</v>
      </c>
      <c r="H142" s="2" t="s">
        <v>35</v>
      </c>
      <c r="I142" s="2" t="s">
        <v>34</v>
      </c>
      <c r="J142" s="15"/>
      <c r="K142" s="22"/>
      <c r="L142" s="22"/>
    </row>
    <row r="143" spans="1:12" s="11" customFormat="1" ht="19.5" customHeight="1" x14ac:dyDescent="0.4">
      <c r="A143" s="12">
        <f t="shared" si="1"/>
        <v>138</v>
      </c>
      <c r="B143" s="13"/>
      <c r="C143" s="10" t="s">
        <v>113</v>
      </c>
      <c r="D143" s="10" t="s">
        <v>114</v>
      </c>
      <c r="E143" s="10" t="s">
        <v>121</v>
      </c>
      <c r="F143" s="14"/>
      <c r="G143" s="3"/>
      <c r="H143" s="2"/>
      <c r="I143" s="2"/>
      <c r="J143" s="15"/>
      <c r="K143" s="22"/>
      <c r="L143" s="22"/>
    </row>
    <row r="144" spans="1:12" s="11" customFormat="1" ht="19.5" customHeight="1" x14ac:dyDescent="0.4">
      <c r="A144" s="12">
        <f t="shared" si="1"/>
        <v>139</v>
      </c>
      <c r="B144" s="13"/>
      <c r="C144" s="10"/>
      <c r="D144" s="50" t="s">
        <v>115</v>
      </c>
      <c r="E144" s="53" t="s">
        <v>122</v>
      </c>
      <c r="F144" s="14"/>
      <c r="G144" s="3">
        <v>46212</v>
      </c>
      <c r="H144" s="2" t="s">
        <v>35</v>
      </c>
      <c r="I144" s="2" t="s">
        <v>34</v>
      </c>
      <c r="J144" s="15"/>
      <c r="K144" s="22"/>
      <c r="L144" s="22"/>
    </row>
    <row r="145" spans="1:12" s="11" customFormat="1" ht="19.5" customHeight="1" x14ac:dyDescent="0.4">
      <c r="A145" s="12">
        <f t="shared" si="1"/>
        <v>140</v>
      </c>
      <c r="B145" s="13"/>
      <c r="C145" s="10"/>
      <c r="D145" s="50" t="s">
        <v>116</v>
      </c>
      <c r="E145" s="10" t="s">
        <v>123</v>
      </c>
      <c r="F145" s="14"/>
      <c r="G145" s="3">
        <v>46212</v>
      </c>
      <c r="H145" s="2" t="s">
        <v>35</v>
      </c>
      <c r="I145" s="2" t="s">
        <v>34</v>
      </c>
      <c r="J145" s="15"/>
      <c r="K145" s="22"/>
      <c r="L145" s="22"/>
    </row>
    <row r="146" spans="1:12" s="11" customFormat="1" ht="19.5" customHeight="1" x14ac:dyDescent="0.4">
      <c r="A146" s="12">
        <f t="shared" ref="A146:A229" si="2">ROW()-5</f>
        <v>141</v>
      </c>
      <c r="B146" s="13"/>
      <c r="C146" s="10"/>
      <c r="D146" s="50" t="s">
        <v>117</v>
      </c>
      <c r="E146" s="10" t="s">
        <v>124</v>
      </c>
      <c r="F146" s="14"/>
      <c r="G146" s="3">
        <v>46212</v>
      </c>
      <c r="H146" s="2" t="s">
        <v>35</v>
      </c>
      <c r="I146" s="2" t="s">
        <v>34</v>
      </c>
      <c r="J146" s="15"/>
      <c r="K146" s="22"/>
      <c r="L146" s="22"/>
    </row>
    <row r="147" spans="1:12" s="11" customFormat="1" ht="19.5" customHeight="1" x14ac:dyDescent="0.4">
      <c r="A147" s="12">
        <f t="shared" si="2"/>
        <v>142</v>
      </c>
      <c r="B147" s="13"/>
      <c r="C147" s="10"/>
      <c r="D147" s="50" t="s">
        <v>118</v>
      </c>
      <c r="E147" s="10" t="s">
        <v>125</v>
      </c>
      <c r="F147" s="14"/>
      <c r="G147" s="3">
        <v>46212</v>
      </c>
      <c r="H147" s="2" t="s">
        <v>35</v>
      </c>
      <c r="I147" s="2" t="s">
        <v>34</v>
      </c>
      <c r="J147" s="15"/>
      <c r="K147" s="22"/>
      <c r="L147" s="22"/>
    </row>
    <row r="148" spans="1:12" s="11" customFormat="1" ht="19.5" customHeight="1" x14ac:dyDescent="0.4">
      <c r="A148" s="12">
        <f t="shared" si="2"/>
        <v>143</v>
      </c>
      <c r="B148" s="13"/>
      <c r="C148" s="10"/>
      <c r="D148" s="51" t="s">
        <v>120</v>
      </c>
      <c r="E148" s="10" t="s">
        <v>126</v>
      </c>
      <c r="F148" s="14"/>
      <c r="G148" s="3">
        <v>46212</v>
      </c>
      <c r="H148" s="2" t="s">
        <v>35</v>
      </c>
      <c r="I148" s="2" t="s">
        <v>34</v>
      </c>
      <c r="J148" s="15"/>
      <c r="K148" s="22"/>
      <c r="L148" s="22"/>
    </row>
    <row r="149" spans="1:12" s="11" customFormat="1" ht="19.5" customHeight="1" x14ac:dyDescent="0.4">
      <c r="A149" s="12">
        <f t="shared" si="2"/>
        <v>144</v>
      </c>
      <c r="B149" s="13"/>
      <c r="C149" s="10"/>
      <c r="D149" s="51" t="s">
        <v>95</v>
      </c>
      <c r="E149" s="10" t="s">
        <v>127</v>
      </c>
      <c r="F149" s="14"/>
      <c r="G149" s="3">
        <v>46212</v>
      </c>
      <c r="H149" s="2" t="s">
        <v>35</v>
      </c>
      <c r="I149" s="2" t="s">
        <v>34</v>
      </c>
      <c r="J149" s="15"/>
      <c r="K149" s="22"/>
      <c r="L149" s="22"/>
    </row>
    <row r="150" spans="1:12" s="11" customFormat="1" ht="19.5" customHeight="1" x14ac:dyDescent="0.4">
      <c r="A150" s="12">
        <f t="shared" si="2"/>
        <v>145</v>
      </c>
      <c r="B150" s="13"/>
      <c r="C150" s="10"/>
      <c r="D150" s="51" t="s">
        <v>96</v>
      </c>
      <c r="E150" s="10" t="s">
        <v>128</v>
      </c>
      <c r="F150" s="14"/>
      <c r="G150" s="3">
        <v>46212</v>
      </c>
      <c r="H150" s="2" t="s">
        <v>35</v>
      </c>
      <c r="I150" s="2" t="s">
        <v>34</v>
      </c>
      <c r="J150" s="15"/>
      <c r="K150" s="22"/>
      <c r="L150" s="22"/>
    </row>
    <row r="151" spans="1:12" s="11" customFormat="1" ht="19.5" customHeight="1" x14ac:dyDescent="0.4">
      <c r="A151" s="12">
        <f t="shared" si="2"/>
        <v>146</v>
      </c>
      <c r="B151" s="13"/>
      <c r="C151" s="10"/>
      <c r="D151" s="10" t="s">
        <v>130</v>
      </c>
      <c r="E151" s="10"/>
      <c r="F151" s="14"/>
      <c r="G151" s="3"/>
      <c r="H151" s="2"/>
      <c r="I151" s="2"/>
      <c r="J151" s="15"/>
      <c r="K151" s="22"/>
      <c r="L151" s="22"/>
    </row>
    <row r="152" spans="1:12" s="11" customFormat="1" ht="19.5" customHeight="1" x14ac:dyDescent="0.4">
      <c r="A152" s="12">
        <f t="shared" si="2"/>
        <v>147</v>
      </c>
      <c r="B152" s="13"/>
      <c r="C152" s="10"/>
      <c r="D152" s="50" t="s">
        <v>131</v>
      </c>
      <c r="E152" s="10" t="s">
        <v>126</v>
      </c>
      <c r="F152" s="14"/>
      <c r="G152" s="3">
        <v>46212</v>
      </c>
      <c r="H152" s="2" t="s">
        <v>35</v>
      </c>
      <c r="I152" s="2" t="s">
        <v>34</v>
      </c>
      <c r="J152" s="15"/>
      <c r="K152" s="22"/>
      <c r="L152" s="22"/>
    </row>
    <row r="153" spans="1:12" s="11" customFormat="1" ht="19.5" customHeight="1" x14ac:dyDescent="0.4">
      <c r="A153" s="12">
        <f t="shared" si="2"/>
        <v>148</v>
      </c>
      <c r="B153" s="13"/>
      <c r="C153" s="10"/>
      <c r="D153" s="50" t="s">
        <v>132</v>
      </c>
      <c r="E153" s="10" t="s">
        <v>133</v>
      </c>
      <c r="F153" s="14"/>
      <c r="G153" s="3">
        <v>46212</v>
      </c>
      <c r="H153" s="2" t="s">
        <v>35</v>
      </c>
      <c r="I153" s="2" t="s">
        <v>34</v>
      </c>
      <c r="J153" s="15"/>
      <c r="K153" s="22"/>
      <c r="L153" s="22"/>
    </row>
    <row r="154" spans="1:12" s="11" customFormat="1" ht="19.5" customHeight="1" x14ac:dyDescent="0.4">
      <c r="A154" s="12">
        <f t="shared" si="2"/>
        <v>149</v>
      </c>
      <c r="B154" s="13"/>
      <c r="C154" s="10"/>
      <c r="D154" s="10" t="s">
        <v>185</v>
      </c>
      <c r="E154" s="10"/>
      <c r="F154" s="14"/>
      <c r="G154" s="3"/>
      <c r="H154" s="2"/>
      <c r="I154" s="2"/>
      <c r="J154" s="15"/>
      <c r="K154" s="22"/>
      <c r="L154" s="22"/>
    </row>
    <row r="155" spans="1:12" s="11" customFormat="1" ht="19.5" customHeight="1" x14ac:dyDescent="0.4">
      <c r="A155" s="12">
        <f t="shared" si="2"/>
        <v>150</v>
      </c>
      <c r="B155" s="13"/>
      <c r="C155" s="10"/>
      <c r="D155" s="50" t="s">
        <v>119</v>
      </c>
      <c r="E155" s="10" t="s">
        <v>186</v>
      </c>
      <c r="F155" s="14"/>
      <c r="G155" s="3">
        <v>46212</v>
      </c>
      <c r="H155" s="2" t="s">
        <v>35</v>
      </c>
      <c r="I155" s="2" t="s">
        <v>34</v>
      </c>
      <c r="J155" s="15"/>
      <c r="K155" s="22"/>
      <c r="L155" s="22"/>
    </row>
    <row r="156" spans="1:12" s="11" customFormat="1" ht="19.5" customHeight="1" x14ac:dyDescent="0.4">
      <c r="A156" s="12">
        <f t="shared" si="2"/>
        <v>151</v>
      </c>
      <c r="B156" s="13"/>
      <c r="C156" s="10"/>
      <c r="D156" s="50" t="s">
        <v>136</v>
      </c>
      <c r="E156" s="10" t="s">
        <v>187</v>
      </c>
      <c r="F156" s="14"/>
      <c r="G156" s="3">
        <v>46212</v>
      </c>
      <c r="H156" s="2" t="s">
        <v>35</v>
      </c>
      <c r="I156" s="2" t="s">
        <v>34</v>
      </c>
      <c r="J156" s="15"/>
      <c r="K156" s="22"/>
      <c r="L156" s="22"/>
    </row>
    <row r="157" spans="1:12" s="11" customFormat="1" ht="19.5" customHeight="1" x14ac:dyDescent="0.4">
      <c r="A157" s="12">
        <f t="shared" si="2"/>
        <v>152</v>
      </c>
      <c r="B157" s="13"/>
      <c r="C157" s="10"/>
      <c r="D157" s="50" t="s">
        <v>137</v>
      </c>
      <c r="E157" s="10" t="s">
        <v>188</v>
      </c>
      <c r="F157" s="14"/>
      <c r="G157" s="3">
        <v>46212</v>
      </c>
      <c r="H157" s="2" t="s">
        <v>35</v>
      </c>
      <c r="I157" s="2" t="s">
        <v>34</v>
      </c>
      <c r="J157" s="15"/>
      <c r="K157" s="22"/>
      <c r="L157" s="22"/>
    </row>
    <row r="158" spans="1:12" s="11" customFormat="1" ht="19.5" customHeight="1" x14ac:dyDescent="0.4">
      <c r="A158" s="12">
        <f t="shared" si="2"/>
        <v>153</v>
      </c>
      <c r="B158" s="13"/>
      <c r="C158" s="10"/>
      <c r="D158" s="50" t="s">
        <v>138</v>
      </c>
      <c r="E158" s="10" t="s">
        <v>189</v>
      </c>
      <c r="F158" s="14"/>
      <c r="G158" s="3">
        <v>46212</v>
      </c>
      <c r="H158" s="2" t="s">
        <v>35</v>
      </c>
      <c r="I158" s="2" t="s">
        <v>34</v>
      </c>
      <c r="J158" s="15"/>
      <c r="K158" s="22"/>
      <c r="L158" s="22"/>
    </row>
    <row r="159" spans="1:12" s="11" customFormat="1" ht="19.5" customHeight="1" x14ac:dyDescent="0.4">
      <c r="A159" s="12">
        <f t="shared" si="2"/>
        <v>154</v>
      </c>
      <c r="B159" s="13"/>
      <c r="C159" s="10"/>
      <c r="D159" s="50" t="s">
        <v>139</v>
      </c>
      <c r="E159" s="10" t="s">
        <v>190</v>
      </c>
      <c r="F159" s="14"/>
      <c r="G159" s="3">
        <v>46212</v>
      </c>
      <c r="H159" s="2" t="s">
        <v>35</v>
      </c>
      <c r="I159" s="2" t="s">
        <v>34</v>
      </c>
      <c r="J159" s="15"/>
      <c r="K159" s="22"/>
      <c r="L159" s="22"/>
    </row>
    <row r="160" spans="1:12" s="11" customFormat="1" ht="19.5" customHeight="1" x14ac:dyDescent="0.4">
      <c r="A160" s="12">
        <f t="shared" si="2"/>
        <v>155</v>
      </c>
      <c r="B160" s="13"/>
      <c r="C160" s="10"/>
      <c r="D160" s="50" t="s">
        <v>140</v>
      </c>
      <c r="E160" s="10" t="s">
        <v>191</v>
      </c>
      <c r="F160" s="14"/>
      <c r="G160" s="3">
        <v>46212</v>
      </c>
      <c r="H160" s="2" t="s">
        <v>35</v>
      </c>
      <c r="I160" s="2" t="s">
        <v>34</v>
      </c>
      <c r="J160" s="15"/>
      <c r="K160" s="22"/>
      <c r="L160" s="22"/>
    </row>
    <row r="161" spans="1:12" s="11" customFormat="1" ht="19.5" customHeight="1" x14ac:dyDescent="0.4">
      <c r="A161" s="12">
        <f t="shared" si="2"/>
        <v>156</v>
      </c>
      <c r="B161" s="13"/>
      <c r="C161" s="10"/>
      <c r="D161" s="50" t="s">
        <v>141</v>
      </c>
      <c r="E161" s="10" t="s">
        <v>191</v>
      </c>
      <c r="F161" s="14"/>
      <c r="G161" s="3">
        <v>46212</v>
      </c>
      <c r="H161" s="2" t="s">
        <v>35</v>
      </c>
      <c r="I161" s="2" t="s">
        <v>34</v>
      </c>
      <c r="J161" s="15"/>
      <c r="K161" s="22"/>
      <c r="L161" s="22"/>
    </row>
    <row r="162" spans="1:12" s="11" customFormat="1" ht="19.5" customHeight="1" x14ac:dyDescent="0.4">
      <c r="A162" s="12">
        <f t="shared" si="2"/>
        <v>157</v>
      </c>
      <c r="B162" s="13"/>
      <c r="C162" s="10"/>
      <c r="D162" s="50" t="s">
        <v>142</v>
      </c>
      <c r="E162" s="10" t="s">
        <v>191</v>
      </c>
      <c r="F162" s="14"/>
      <c r="G162" s="3">
        <v>46212</v>
      </c>
      <c r="H162" s="2" t="s">
        <v>35</v>
      </c>
      <c r="I162" s="2" t="s">
        <v>34</v>
      </c>
      <c r="J162" s="15"/>
      <c r="K162" s="22"/>
      <c r="L162" s="22"/>
    </row>
    <row r="163" spans="1:12" s="11" customFormat="1" ht="19.5" customHeight="1" x14ac:dyDescent="0.4">
      <c r="A163" s="12">
        <f t="shared" si="2"/>
        <v>158</v>
      </c>
      <c r="B163" s="13"/>
      <c r="C163" s="10"/>
      <c r="D163" s="50" t="s">
        <v>143</v>
      </c>
      <c r="E163" s="10" t="s">
        <v>191</v>
      </c>
      <c r="F163" s="14"/>
      <c r="G163" s="3">
        <v>46212</v>
      </c>
      <c r="H163" s="2" t="s">
        <v>35</v>
      </c>
      <c r="I163" s="2" t="s">
        <v>34</v>
      </c>
      <c r="J163" s="15"/>
      <c r="K163" s="22"/>
      <c r="L163" s="22"/>
    </row>
    <row r="164" spans="1:12" s="11" customFormat="1" ht="19.5" customHeight="1" x14ac:dyDescent="0.4">
      <c r="A164" s="12">
        <f t="shared" si="2"/>
        <v>159</v>
      </c>
      <c r="B164" s="13"/>
      <c r="C164" s="10"/>
      <c r="D164" s="50" t="s">
        <v>144</v>
      </c>
      <c r="E164" s="10" t="s">
        <v>191</v>
      </c>
      <c r="F164" s="14"/>
      <c r="G164" s="3">
        <v>46212</v>
      </c>
      <c r="H164" s="2" t="s">
        <v>35</v>
      </c>
      <c r="I164" s="2" t="s">
        <v>34</v>
      </c>
      <c r="J164" s="15"/>
      <c r="K164" s="22"/>
      <c r="L164" s="22"/>
    </row>
    <row r="165" spans="1:12" s="11" customFormat="1" ht="19.5" customHeight="1" x14ac:dyDescent="0.4">
      <c r="A165" s="12">
        <f t="shared" si="2"/>
        <v>160</v>
      </c>
      <c r="B165" s="13"/>
      <c r="C165" s="10"/>
      <c r="D165" s="50" t="s">
        <v>145</v>
      </c>
      <c r="E165" s="10" t="s">
        <v>191</v>
      </c>
      <c r="F165" s="14"/>
      <c r="G165" s="3">
        <v>46212</v>
      </c>
      <c r="H165" s="2" t="s">
        <v>35</v>
      </c>
      <c r="I165" s="2" t="s">
        <v>34</v>
      </c>
      <c r="J165" s="15"/>
      <c r="K165" s="22"/>
      <c r="L165" s="22"/>
    </row>
    <row r="166" spans="1:12" s="11" customFormat="1" ht="19.5" customHeight="1" x14ac:dyDescent="0.4">
      <c r="A166" s="12">
        <f t="shared" si="2"/>
        <v>161</v>
      </c>
      <c r="B166" s="13"/>
      <c r="C166" s="10"/>
      <c r="D166" s="50" t="s">
        <v>146</v>
      </c>
      <c r="E166" s="10" t="s">
        <v>191</v>
      </c>
      <c r="F166" s="14"/>
      <c r="G166" s="3">
        <v>46212</v>
      </c>
      <c r="H166" s="2" t="s">
        <v>35</v>
      </c>
      <c r="I166" s="2" t="s">
        <v>34</v>
      </c>
      <c r="J166" s="15"/>
      <c r="K166" s="22"/>
      <c r="L166" s="22"/>
    </row>
    <row r="167" spans="1:12" s="11" customFormat="1" ht="19.5" customHeight="1" x14ac:dyDescent="0.4">
      <c r="A167" s="12">
        <f t="shared" si="2"/>
        <v>162</v>
      </c>
      <c r="B167" s="13"/>
      <c r="C167" s="10"/>
      <c r="D167" s="50" t="s">
        <v>147</v>
      </c>
      <c r="E167" s="10" t="s">
        <v>191</v>
      </c>
      <c r="F167" s="14"/>
      <c r="G167" s="3">
        <v>46212</v>
      </c>
      <c r="H167" s="2" t="s">
        <v>35</v>
      </c>
      <c r="I167" s="2" t="s">
        <v>34</v>
      </c>
      <c r="J167" s="15"/>
      <c r="K167" s="22"/>
      <c r="L167" s="22"/>
    </row>
    <row r="168" spans="1:12" s="11" customFormat="1" ht="19.5" customHeight="1" x14ac:dyDescent="0.4">
      <c r="A168" s="12">
        <f t="shared" si="2"/>
        <v>163</v>
      </c>
      <c r="B168" s="13"/>
      <c r="C168" s="10"/>
      <c r="D168" s="50" t="s">
        <v>148</v>
      </c>
      <c r="E168" s="10" t="s">
        <v>192</v>
      </c>
      <c r="F168" s="14"/>
      <c r="G168" s="3">
        <v>46212</v>
      </c>
      <c r="H168" s="2" t="s">
        <v>35</v>
      </c>
      <c r="I168" s="2" t="s">
        <v>34</v>
      </c>
      <c r="J168" s="15"/>
      <c r="K168" s="22"/>
      <c r="L168" s="22"/>
    </row>
    <row r="169" spans="1:12" s="11" customFormat="1" ht="19.5" customHeight="1" x14ac:dyDescent="0.4">
      <c r="A169" s="12">
        <f t="shared" si="2"/>
        <v>164</v>
      </c>
      <c r="B169" s="13"/>
      <c r="C169" s="10"/>
      <c r="D169" s="50" t="s">
        <v>149</v>
      </c>
      <c r="E169" s="10" t="s">
        <v>193</v>
      </c>
      <c r="F169" s="14"/>
      <c r="G169" s="3">
        <v>46212</v>
      </c>
      <c r="H169" s="2" t="s">
        <v>35</v>
      </c>
      <c r="I169" s="2" t="s">
        <v>34</v>
      </c>
      <c r="J169" s="15"/>
      <c r="K169" s="22"/>
      <c r="L169" s="22"/>
    </row>
    <row r="170" spans="1:12" s="11" customFormat="1" ht="19.5" customHeight="1" x14ac:dyDescent="0.4">
      <c r="A170" s="12">
        <f t="shared" si="2"/>
        <v>165</v>
      </c>
      <c r="B170" s="13"/>
      <c r="C170" s="10"/>
      <c r="D170" s="50" t="s">
        <v>150</v>
      </c>
      <c r="E170" s="10" t="s">
        <v>193</v>
      </c>
      <c r="F170" s="14"/>
      <c r="G170" s="3">
        <v>46212</v>
      </c>
      <c r="H170" s="2" t="s">
        <v>35</v>
      </c>
      <c r="I170" s="2" t="s">
        <v>34</v>
      </c>
      <c r="J170" s="15"/>
      <c r="K170" s="22"/>
      <c r="L170" s="22"/>
    </row>
    <row r="171" spans="1:12" s="11" customFormat="1" ht="19.5" customHeight="1" x14ac:dyDescent="0.4">
      <c r="A171" s="12">
        <f t="shared" si="2"/>
        <v>166</v>
      </c>
      <c r="B171" s="13"/>
      <c r="C171" s="10"/>
      <c r="D171" s="50" t="s">
        <v>151</v>
      </c>
      <c r="E171" s="10" t="s">
        <v>193</v>
      </c>
      <c r="F171" s="14"/>
      <c r="G171" s="3">
        <v>46212</v>
      </c>
      <c r="H171" s="2" t="s">
        <v>35</v>
      </c>
      <c r="I171" s="2" t="s">
        <v>34</v>
      </c>
      <c r="J171" s="15"/>
      <c r="K171" s="22"/>
      <c r="L171" s="22"/>
    </row>
    <row r="172" spans="1:12" s="11" customFormat="1" ht="19.5" customHeight="1" x14ac:dyDescent="0.4">
      <c r="A172" s="12">
        <f t="shared" si="2"/>
        <v>167</v>
      </c>
      <c r="B172" s="13"/>
      <c r="C172" s="10"/>
      <c r="D172" s="50" t="s">
        <v>152</v>
      </c>
      <c r="E172" s="10" t="s">
        <v>193</v>
      </c>
      <c r="F172" s="14"/>
      <c r="G172" s="3">
        <v>46212</v>
      </c>
      <c r="H172" s="2" t="s">
        <v>35</v>
      </c>
      <c r="I172" s="2" t="s">
        <v>34</v>
      </c>
      <c r="J172" s="15"/>
      <c r="K172" s="22"/>
      <c r="L172" s="22"/>
    </row>
    <row r="173" spans="1:12" s="11" customFormat="1" ht="19.5" customHeight="1" x14ac:dyDescent="0.4">
      <c r="A173" s="12">
        <f t="shared" si="2"/>
        <v>168</v>
      </c>
      <c r="B173" s="13"/>
      <c r="C173" s="10"/>
      <c r="D173" s="50" t="s">
        <v>153</v>
      </c>
      <c r="E173" s="10" t="s">
        <v>193</v>
      </c>
      <c r="F173" s="14"/>
      <c r="G173" s="3">
        <v>46212</v>
      </c>
      <c r="H173" s="2" t="s">
        <v>35</v>
      </c>
      <c r="I173" s="2" t="s">
        <v>34</v>
      </c>
      <c r="J173" s="15"/>
      <c r="K173" s="22"/>
      <c r="L173" s="22"/>
    </row>
    <row r="174" spans="1:12" s="11" customFormat="1" ht="19.5" customHeight="1" x14ac:dyDescent="0.4">
      <c r="A174" s="12">
        <f t="shared" si="2"/>
        <v>169</v>
      </c>
      <c r="B174" s="13"/>
      <c r="C174" s="10"/>
      <c r="D174" s="50" t="s">
        <v>154</v>
      </c>
      <c r="E174" s="10" t="s">
        <v>194</v>
      </c>
      <c r="F174" s="14"/>
      <c r="G174" s="3">
        <v>46212</v>
      </c>
      <c r="H174" s="2" t="s">
        <v>35</v>
      </c>
      <c r="I174" s="2" t="s">
        <v>34</v>
      </c>
      <c r="J174" s="15"/>
      <c r="K174" s="22"/>
      <c r="L174" s="22"/>
    </row>
    <row r="175" spans="1:12" s="11" customFormat="1" ht="19.5" customHeight="1" x14ac:dyDescent="0.4">
      <c r="A175" s="12">
        <f t="shared" si="2"/>
        <v>170</v>
      </c>
      <c r="B175" s="13"/>
      <c r="C175" s="10"/>
      <c r="D175" s="50" t="s">
        <v>155</v>
      </c>
      <c r="E175" s="10" t="s">
        <v>193</v>
      </c>
      <c r="F175" s="14"/>
      <c r="G175" s="3">
        <v>46212</v>
      </c>
      <c r="H175" s="2" t="s">
        <v>35</v>
      </c>
      <c r="I175" s="2" t="s">
        <v>34</v>
      </c>
      <c r="J175" s="15"/>
      <c r="K175" s="22"/>
      <c r="L175" s="22"/>
    </row>
    <row r="176" spans="1:12" s="11" customFormat="1" ht="19.5" customHeight="1" x14ac:dyDescent="0.4">
      <c r="A176" s="12">
        <f t="shared" si="2"/>
        <v>171</v>
      </c>
      <c r="B176" s="13"/>
      <c r="C176" s="10"/>
      <c r="D176" s="10" t="s">
        <v>212</v>
      </c>
      <c r="E176" s="10"/>
      <c r="F176" s="14"/>
      <c r="G176" s="3"/>
      <c r="H176" s="2"/>
      <c r="I176" s="2"/>
      <c r="J176" s="15"/>
      <c r="K176" s="22"/>
      <c r="L176" s="22"/>
    </row>
    <row r="177" spans="1:12" s="11" customFormat="1" ht="19.5" customHeight="1" x14ac:dyDescent="0.4">
      <c r="A177" s="12">
        <f t="shared" si="2"/>
        <v>172</v>
      </c>
      <c r="B177" s="13"/>
      <c r="C177" s="10"/>
      <c r="D177" s="50" t="s">
        <v>213</v>
      </c>
      <c r="E177" s="10" t="s">
        <v>221</v>
      </c>
      <c r="F177" s="14"/>
      <c r="G177" s="3">
        <v>46212</v>
      </c>
      <c r="H177" s="2" t="s">
        <v>35</v>
      </c>
      <c r="I177" s="2" t="s">
        <v>34</v>
      </c>
      <c r="J177" s="15"/>
      <c r="K177" s="22"/>
      <c r="L177" s="22"/>
    </row>
    <row r="178" spans="1:12" s="11" customFormat="1" ht="19.5" customHeight="1" x14ac:dyDescent="0.4">
      <c r="A178" s="12">
        <f t="shared" si="2"/>
        <v>173</v>
      </c>
      <c r="B178" s="13"/>
      <c r="C178" s="10"/>
      <c r="D178" s="50" t="s">
        <v>214</v>
      </c>
      <c r="E178" s="10" t="s">
        <v>222</v>
      </c>
      <c r="F178" s="14"/>
      <c r="G178" s="3">
        <v>46212</v>
      </c>
      <c r="H178" s="2" t="s">
        <v>35</v>
      </c>
      <c r="I178" s="2" t="s">
        <v>34</v>
      </c>
      <c r="J178" s="15"/>
      <c r="K178" s="22"/>
      <c r="L178" s="22"/>
    </row>
    <row r="179" spans="1:12" s="11" customFormat="1" ht="19.5" customHeight="1" x14ac:dyDescent="0.4">
      <c r="A179" s="12">
        <f t="shared" si="2"/>
        <v>174</v>
      </c>
      <c r="B179" s="13"/>
      <c r="C179" s="10"/>
      <c r="D179" s="50" t="s">
        <v>215</v>
      </c>
      <c r="E179" s="10" t="s">
        <v>223</v>
      </c>
      <c r="F179" s="14"/>
      <c r="G179" s="3">
        <v>46212</v>
      </c>
      <c r="H179" s="2" t="s">
        <v>35</v>
      </c>
      <c r="I179" s="2" t="s">
        <v>34</v>
      </c>
      <c r="J179" s="15"/>
      <c r="K179" s="22"/>
      <c r="L179" s="22"/>
    </row>
    <row r="180" spans="1:12" s="11" customFormat="1" ht="19.5" customHeight="1" x14ac:dyDescent="0.4">
      <c r="A180" s="12">
        <f t="shared" si="2"/>
        <v>175</v>
      </c>
      <c r="B180" s="13"/>
      <c r="C180" s="10"/>
      <c r="D180" s="10" t="s">
        <v>195</v>
      </c>
      <c r="E180" s="10" t="s">
        <v>196</v>
      </c>
      <c r="F180" s="14"/>
      <c r="G180" s="3">
        <v>46212</v>
      </c>
      <c r="H180" s="2" t="s">
        <v>35</v>
      </c>
      <c r="I180" s="2" t="s">
        <v>34</v>
      </c>
      <c r="J180" s="15"/>
      <c r="K180" s="22"/>
      <c r="L180" s="22"/>
    </row>
    <row r="181" spans="1:12" s="11" customFormat="1" ht="19.5" customHeight="1" x14ac:dyDescent="0.4">
      <c r="A181" s="12">
        <f t="shared" si="2"/>
        <v>176</v>
      </c>
      <c r="B181" s="13"/>
      <c r="C181" s="10"/>
      <c r="D181" s="10" t="s">
        <v>197</v>
      </c>
      <c r="E181" s="10"/>
      <c r="F181" s="14"/>
      <c r="G181" s="3"/>
      <c r="H181" s="2"/>
      <c r="I181" s="2"/>
      <c r="J181" s="15"/>
      <c r="K181" s="22"/>
      <c r="L181" s="22"/>
    </row>
    <row r="182" spans="1:12" s="11" customFormat="1" ht="19.5" customHeight="1" x14ac:dyDescent="0.4">
      <c r="A182" s="12">
        <f t="shared" si="2"/>
        <v>177</v>
      </c>
      <c r="B182" s="13"/>
      <c r="C182" s="10"/>
      <c r="D182" s="50" t="s">
        <v>199</v>
      </c>
      <c r="E182" s="10" t="s">
        <v>202</v>
      </c>
      <c r="F182" s="14"/>
      <c r="G182" s="3">
        <v>46212</v>
      </c>
      <c r="H182" s="2" t="s">
        <v>35</v>
      </c>
      <c r="I182" s="2" t="s">
        <v>34</v>
      </c>
      <c r="J182" s="15"/>
      <c r="K182" s="22"/>
      <c r="L182" s="22"/>
    </row>
    <row r="183" spans="1:12" s="11" customFormat="1" ht="19.5" customHeight="1" x14ac:dyDescent="0.4">
      <c r="A183" s="12">
        <f t="shared" si="2"/>
        <v>178</v>
      </c>
      <c r="B183" s="13"/>
      <c r="C183" s="10"/>
      <c r="D183" s="50" t="s">
        <v>200</v>
      </c>
      <c r="E183" s="10"/>
      <c r="F183" s="14"/>
      <c r="G183" s="3"/>
      <c r="H183" s="2"/>
      <c r="I183" s="2"/>
      <c r="J183" s="15"/>
      <c r="K183" s="22"/>
      <c r="L183" s="22"/>
    </row>
    <row r="184" spans="1:12" s="11" customFormat="1" ht="19.5" customHeight="1" x14ac:dyDescent="0.4">
      <c r="A184" s="12">
        <f t="shared" si="2"/>
        <v>179</v>
      </c>
      <c r="B184" s="13"/>
      <c r="C184" s="10"/>
      <c r="D184" s="51" t="s">
        <v>203</v>
      </c>
      <c r="E184" s="10" t="s">
        <v>211</v>
      </c>
      <c r="F184" s="14"/>
      <c r="G184" s="3">
        <v>46212</v>
      </c>
      <c r="H184" s="2" t="s">
        <v>35</v>
      </c>
      <c r="I184" s="2" t="s">
        <v>34</v>
      </c>
      <c r="J184" s="15"/>
      <c r="K184" s="22"/>
      <c r="L184" s="22"/>
    </row>
    <row r="185" spans="1:12" s="11" customFormat="1" ht="19.5" customHeight="1" x14ac:dyDescent="0.4">
      <c r="A185" s="12">
        <f t="shared" si="2"/>
        <v>180</v>
      </c>
      <c r="B185" s="13"/>
      <c r="C185" s="10"/>
      <c r="D185" s="51" t="s">
        <v>204</v>
      </c>
      <c r="E185" s="10" t="s">
        <v>211</v>
      </c>
      <c r="F185" s="14"/>
      <c r="G185" s="3">
        <v>46212</v>
      </c>
      <c r="H185" s="2" t="s">
        <v>35</v>
      </c>
      <c r="I185" s="2" t="s">
        <v>34</v>
      </c>
      <c r="J185" s="15"/>
      <c r="K185" s="22"/>
      <c r="L185" s="22"/>
    </row>
    <row r="186" spans="1:12" s="11" customFormat="1" ht="19.5" customHeight="1" x14ac:dyDescent="0.4">
      <c r="A186" s="12">
        <f t="shared" si="2"/>
        <v>181</v>
      </c>
      <c r="B186" s="13"/>
      <c r="C186" s="10"/>
      <c r="D186" s="51" t="s">
        <v>205</v>
      </c>
      <c r="E186" s="10" t="s">
        <v>211</v>
      </c>
      <c r="F186" s="14"/>
      <c r="G186" s="3">
        <v>46212</v>
      </c>
      <c r="H186" s="2" t="s">
        <v>35</v>
      </c>
      <c r="I186" s="2" t="s">
        <v>34</v>
      </c>
      <c r="J186" s="15"/>
      <c r="K186" s="22"/>
      <c r="L186" s="22"/>
    </row>
    <row r="187" spans="1:12" s="11" customFormat="1" ht="19.5" customHeight="1" x14ac:dyDescent="0.4">
      <c r="A187" s="12">
        <f t="shared" si="2"/>
        <v>182</v>
      </c>
      <c r="B187" s="13"/>
      <c r="C187" s="10"/>
      <c r="D187" s="51" t="s">
        <v>206</v>
      </c>
      <c r="E187" s="10" t="s">
        <v>211</v>
      </c>
      <c r="F187" s="14"/>
      <c r="G187" s="3">
        <v>46212</v>
      </c>
      <c r="H187" s="2" t="s">
        <v>35</v>
      </c>
      <c r="I187" s="2" t="s">
        <v>34</v>
      </c>
      <c r="J187" s="15"/>
      <c r="K187" s="22"/>
      <c r="L187" s="22"/>
    </row>
    <row r="188" spans="1:12" s="11" customFormat="1" ht="19.5" customHeight="1" x14ac:dyDescent="0.4">
      <c r="A188" s="12">
        <f t="shared" si="2"/>
        <v>183</v>
      </c>
      <c r="B188" s="13"/>
      <c r="C188" s="10"/>
      <c r="D188" s="51" t="s">
        <v>207</v>
      </c>
      <c r="E188" s="10" t="s">
        <v>211</v>
      </c>
      <c r="F188" s="14"/>
      <c r="G188" s="3">
        <v>46212</v>
      </c>
      <c r="H188" s="2" t="s">
        <v>35</v>
      </c>
      <c r="I188" s="2" t="s">
        <v>34</v>
      </c>
      <c r="J188" s="15"/>
      <c r="K188" s="22"/>
      <c r="L188" s="22"/>
    </row>
    <row r="189" spans="1:12" s="11" customFormat="1" ht="19.5" customHeight="1" x14ac:dyDescent="0.4">
      <c r="A189" s="12">
        <f t="shared" si="2"/>
        <v>184</v>
      </c>
      <c r="B189" s="13"/>
      <c r="C189" s="10"/>
      <c r="D189" s="51" t="s">
        <v>208</v>
      </c>
      <c r="E189" s="10" t="s">
        <v>211</v>
      </c>
      <c r="F189" s="14"/>
      <c r="G189" s="3">
        <v>46212</v>
      </c>
      <c r="H189" s="2" t="s">
        <v>35</v>
      </c>
      <c r="I189" s="2" t="s">
        <v>34</v>
      </c>
      <c r="J189" s="15"/>
      <c r="K189" s="22"/>
      <c r="L189" s="22"/>
    </row>
    <row r="190" spans="1:12" s="11" customFormat="1" ht="19.5" customHeight="1" x14ac:dyDescent="0.4">
      <c r="A190" s="12">
        <f t="shared" si="2"/>
        <v>185</v>
      </c>
      <c r="B190" s="13"/>
      <c r="C190" s="10"/>
      <c r="D190" s="51" t="s">
        <v>209</v>
      </c>
      <c r="E190" s="10" t="s">
        <v>211</v>
      </c>
      <c r="F190" s="14"/>
      <c r="G190" s="3">
        <v>46212</v>
      </c>
      <c r="H190" s="2" t="s">
        <v>35</v>
      </c>
      <c r="I190" s="2" t="s">
        <v>34</v>
      </c>
      <c r="J190" s="15"/>
      <c r="K190" s="22"/>
      <c r="L190" s="22"/>
    </row>
    <row r="191" spans="1:12" s="11" customFormat="1" ht="19.5" customHeight="1" x14ac:dyDescent="0.4">
      <c r="A191" s="12">
        <f t="shared" si="2"/>
        <v>186</v>
      </c>
      <c r="B191" s="13"/>
      <c r="C191" s="10"/>
      <c r="D191" s="51" t="s">
        <v>210</v>
      </c>
      <c r="E191" s="10" t="s">
        <v>211</v>
      </c>
      <c r="F191" s="14"/>
      <c r="G191" s="3">
        <v>46212</v>
      </c>
      <c r="H191" s="2" t="s">
        <v>35</v>
      </c>
      <c r="I191" s="2" t="s">
        <v>34</v>
      </c>
      <c r="J191" s="15"/>
      <c r="K191" s="22"/>
      <c r="L191" s="22"/>
    </row>
    <row r="192" spans="1:12" s="11" customFormat="1" ht="19.5" customHeight="1" x14ac:dyDescent="0.4">
      <c r="A192" s="12">
        <f t="shared" si="2"/>
        <v>187</v>
      </c>
      <c r="B192" s="13"/>
      <c r="C192" s="10"/>
      <c r="D192" s="50" t="s">
        <v>201</v>
      </c>
      <c r="E192" s="10" t="s">
        <v>127</v>
      </c>
      <c r="F192" s="14"/>
      <c r="G192" s="3">
        <v>46212</v>
      </c>
      <c r="H192" s="2" t="s">
        <v>35</v>
      </c>
      <c r="I192" s="2" t="s">
        <v>34</v>
      </c>
      <c r="J192" s="15"/>
      <c r="K192" s="22"/>
      <c r="L192" s="22"/>
    </row>
    <row r="193" spans="1:12" s="11" customFormat="1" ht="19.5" customHeight="1" x14ac:dyDescent="0.4">
      <c r="A193" s="12">
        <f t="shared" si="2"/>
        <v>188</v>
      </c>
      <c r="B193" s="13"/>
      <c r="C193" s="10"/>
      <c r="D193" s="10"/>
      <c r="E193" s="10" t="s">
        <v>226</v>
      </c>
      <c r="F193" s="14"/>
      <c r="G193" s="3">
        <v>46212</v>
      </c>
      <c r="H193" s="2" t="s">
        <v>35</v>
      </c>
      <c r="I193" s="2" t="s">
        <v>34</v>
      </c>
      <c r="J193" s="15"/>
      <c r="K193" s="22"/>
      <c r="L193" s="22"/>
    </row>
    <row r="194" spans="1:12" s="11" customFormat="1" ht="19.5" customHeight="1" x14ac:dyDescent="0.4">
      <c r="A194" s="12">
        <f t="shared" si="2"/>
        <v>189</v>
      </c>
      <c r="B194" s="13"/>
      <c r="C194" s="10" t="s">
        <v>228</v>
      </c>
      <c r="D194" s="10" t="s">
        <v>185</v>
      </c>
      <c r="E194" s="10"/>
      <c r="F194" s="14"/>
      <c r="G194" s="3"/>
      <c r="H194" s="2"/>
      <c r="I194" s="2"/>
      <c r="J194" s="15"/>
      <c r="K194" s="22"/>
      <c r="L194" s="22"/>
    </row>
    <row r="195" spans="1:12" s="11" customFormat="1" ht="19.5" customHeight="1" x14ac:dyDescent="0.4">
      <c r="A195" s="12">
        <f t="shared" si="2"/>
        <v>190</v>
      </c>
      <c r="B195" s="13"/>
      <c r="C195" s="10"/>
      <c r="D195" s="50" t="s">
        <v>119</v>
      </c>
      <c r="E195" s="10" t="s">
        <v>229</v>
      </c>
      <c r="F195" s="14"/>
      <c r="G195" s="3">
        <v>46212</v>
      </c>
      <c r="H195" s="2" t="s">
        <v>35</v>
      </c>
      <c r="I195" s="2" t="s">
        <v>34</v>
      </c>
      <c r="J195" s="15"/>
      <c r="K195" s="22"/>
      <c r="L195" s="22"/>
    </row>
    <row r="196" spans="1:12" s="11" customFormat="1" ht="19.5" customHeight="1" x14ac:dyDescent="0.4">
      <c r="A196" s="12">
        <f t="shared" si="2"/>
        <v>191</v>
      </c>
      <c r="B196" s="13"/>
      <c r="C196" s="10"/>
      <c r="D196" s="50" t="s">
        <v>136</v>
      </c>
      <c r="E196" s="10" t="s">
        <v>229</v>
      </c>
      <c r="F196" s="14"/>
      <c r="G196" s="3">
        <v>46212</v>
      </c>
      <c r="H196" s="2" t="s">
        <v>35</v>
      </c>
      <c r="I196" s="2" t="s">
        <v>34</v>
      </c>
      <c r="J196" s="15"/>
      <c r="K196" s="22"/>
      <c r="L196" s="22"/>
    </row>
    <row r="197" spans="1:12" s="11" customFormat="1" ht="19.5" customHeight="1" x14ac:dyDescent="0.4">
      <c r="A197" s="12">
        <f t="shared" si="2"/>
        <v>192</v>
      </c>
      <c r="B197" s="13"/>
      <c r="C197" s="10"/>
      <c r="D197" s="50" t="s">
        <v>137</v>
      </c>
      <c r="E197" s="10" t="s">
        <v>229</v>
      </c>
      <c r="F197" s="14"/>
      <c r="G197" s="3">
        <v>46212</v>
      </c>
      <c r="H197" s="2" t="s">
        <v>35</v>
      </c>
      <c r="I197" s="2" t="s">
        <v>34</v>
      </c>
      <c r="J197" s="15"/>
      <c r="K197" s="22"/>
      <c r="L197" s="22"/>
    </row>
    <row r="198" spans="1:12" s="11" customFormat="1" ht="19.5" customHeight="1" x14ac:dyDescent="0.4">
      <c r="A198" s="12">
        <f t="shared" si="2"/>
        <v>193</v>
      </c>
      <c r="B198" s="13"/>
      <c r="C198" s="10"/>
      <c r="D198" s="50" t="s">
        <v>138</v>
      </c>
      <c r="E198" s="10" t="s">
        <v>229</v>
      </c>
      <c r="F198" s="14"/>
      <c r="G198" s="3">
        <v>46212</v>
      </c>
      <c r="H198" s="2" t="s">
        <v>35</v>
      </c>
      <c r="I198" s="2" t="s">
        <v>34</v>
      </c>
      <c r="J198" s="15"/>
      <c r="K198" s="22"/>
      <c r="L198" s="22"/>
    </row>
    <row r="199" spans="1:12" s="11" customFormat="1" ht="19.5" customHeight="1" x14ac:dyDescent="0.4">
      <c r="A199" s="12">
        <f t="shared" si="2"/>
        <v>194</v>
      </c>
      <c r="B199" s="13"/>
      <c r="C199" s="10"/>
      <c r="D199" s="50" t="s">
        <v>139</v>
      </c>
      <c r="E199" s="10" t="s">
        <v>229</v>
      </c>
      <c r="F199" s="14"/>
      <c r="G199" s="3">
        <v>46212</v>
      </c>
      <c r="H199" s="2" t="s">
        <v>35</v>
      </c>
      <c r="I199" s="2" t="s">
        <v>34</v>
      </c>
      <c r="J199" s="15"/>
      <c r="K199" s="22"/>
      <c r="L199" s="22"/>
    </row>
    <row r="200" spans="1:12" s="11" customFormat="1" ht="19.5" customHeight="1" x14ac:dyDescent="0.4">
      <c r="A200" s="12">
        <f t="shared" si="2"/>
        <v>195</v>
      </c>
      <c r="B200" s="13"/>
      <c r="C200" s="10"/>
      <c r="D200" s="50" t="s">
        <v>140</v>
      </c>
      <c r="E200" s="10" t="s">
        <v>229</v>
      </c>
      <c r="F200" s="14"/>
      <c r="G200" s="3">
        <v>46212</v>
      </c>
      <c r="H200" s="2" t="s">
        <v>35</v>
      </c>
      <c r="I200" s="2" t="s">
        <v>34</v>
      </c>
      <c r="J200" s="15"/>
      <c r="K200" s="22"/>
      <c r="L200" s="22"/>
    </row>
    <row r="201" spans="1:12" s="11" customFormat="1" ht="19.5" customHeight="1" x14ac:dyDescent="0.4">
      <c r="A201" s="12">
        <f t="shared" si="2"/>
        <v>196</v>
      </c>
      <c r="B201" s="13"/>
      <c r="C201" s="10"/>
      <c r="D201" s="50" t="s">
        <v>141</v>
      </c>
      <c r="E201" s="10" t="s">
        <v>229</v>
      </c>
      <c r="F201" s="14"/>
      <c r="G201" s="3">
        <v>46212</v>
      </c>
      <c r="H201" s="2" t="s">
        <v>35</v>
      </c>
      <c r="I201" s="2" t="s">
        <v>34</v>
      </c>
      <c r="J201" s="15"/>
      <c r="K201" s="22"/>
      <c r="L201" s="22"/>
    </row>
    <row r="202" spans="1:12" s="11" customFormat="1" ht="19.5" customHeight="1" x14ac:dyDescent="0.4">
      <c r="A202" s="12">
        <f t="shared" si="2"/>
        <v>197</v>
      </c>
      <c r="B202" s="13"/>
      <c r="C202" s="10"/>
      <c r="D202" s="50" t="s">
        <v>142</v>
      </c>
      <c r="E202" s="10" t="s">
        <v>229</v>
      </c>
      <c r="F202" s="14"/>
      <c r="G202" s="3">
        <v>46212</v>
      </c>
      <c r="H202" s="2" t="s">
        <v>35</v>
      </c>
      <c r="I202" s="2" t="s">
        <v>34</v>
      </c>
      <c r="J202" s="15"/>
      <c r="K202" s="22"/>
      <c r="L202" s="22"/>
    </row>
    <row r="203" spans="1:12" s="11" customFormat="1" ht="19.5" customHeight="1" x14ac:dyDescent="0.4">
      <c r="A203" s="12">
        <f t="shared" si="2"/>
        <v>198</v>
      </c>
      <c r="B203" s="13"/>
      <c r="C203" s="10"/>
      <c r="D203" s="50" t="s">
        <v>143</v>
      </c>
      <c r="E203" s="10" t="s">
        <v>229</v>
      </c>
      <c r="F203" s="14"/>
      <c r="G203" s="3">
        <v>46212</v>
      </c>
      <c r="H203" s="2" t="s">
        <v>35</v>
      </c>
      <c r="I203" s="2" t="s">
        <v>34</v>
      </c>
      <c r="J203" s="15"/>
      <c r="K203" s="22"/>
      <c r="L203" s="22"/>
    </row>
    <row r="204" spans="1:12" s="11" customFormat="1" ht="19.5" customHeight="1" x14ac:dyDescent="0.4">
      <c r="A204" s="12">
        <f t="shared" si="2"/>
        <v>199</v>
      </c>
      <c r="B204" s="13"/>
      <c r="C204" s="10"/>
      <c r="D204" s="50" t="s">
        <v>144</v>
      </c>
      <c r="E204" s="10" t="s">
        <v>229</v>
      </c>
      <c r="F204" s="14"/>
      <c r="G204" s="3">
        <v>46212</v>
      </c>
      <c r="H204" s="2" t="s">
        <v>35</v>
      </c>
      <c r="I204" s="2" t="s">
        <v>34</v>
      </c>
      <c r="J204" s="15"/>
      <c r="K204" s="22"/>
      <c r="L204" s="22"/>
    </row>
    <row r="205" spans="1:12" s="11" customFormat="1" ht="19.5" customHeight="1" x14ac:dyDescent="0.4">
      <c r="A205" s="12">
        <f t="shared" si="2"/>
        <v>200</v>
      </c>
      <c r="B205" s="13"/>
      <c r="C205" s="10"/>
      <c r="D205" s="50" t="s">
        <v>145</v>
      </c>
      <c r="E205" s="10" t="s">
        <v>229</v>
      </c>
      <c r="F205" s="14"/>
      <c r="G205" s="3">
        <v>46212</v>
      </c>
      <c r="H205" s="2" t="s">
        <v>35</v>
      </c>
      <c r="I205" s="2" t="s">
        <v>34</v>
      </c>
      <c r="J205" s="15"/>
      <c r="K205" s="22"/>
      <c r="L205" s="22"/>
    </row>
    <row r="206" spans="1:12" s="11" customFormat="1" ht="19.5" customHeight="1" x14ac:dyDescent="0.4">
      <c r="A206" s="12">
        <f t="shared" si="2"/>
        <v>201</v>
      </c>
      <c r="B206" s="13"/>
      <c r="C206" s="10"/>
      <c r="D206" s="50" t="s">
        <v>146</v>
      </c>
      <c r="E206" s="10" t="s">
        <v>229</v>
      </c>
      <c r="F206" s="14"/>
      <c r="G206" s="3">
        <v>46212</v>
      </c>
      <c r="H206" s="2" t="s">
        <v>35</v>
      </c>
      <c r="I206" s="2" t="s">
        <v>34</v>
      </c>
      <c r="J206" s="15"/>
      <c r="K206" s="22"/>
      <c r="L206" s="22"/>
    </row>
    <row r="207" spans="1:12" s="11" customFormat="1" ht="19.5" customHeight="1" x14ac:dyDescent="0.4">
      <c r="A207" s="12">
        <f t="shared" si="2"/>
        <v>202</v>
      </c>
      <c r="B207" s="13"/>
      <c r="C207" s="10"/>
      <c r="D207" s="50" t="s">
        <v>147</v>
      </c>
      <c r="E207" s="10" t="s">
        <v>229</v>
      </c>
      <c r="F207" s="14"/>
      <c r="G207" s="3">
        <v>46212</v>
      </c>
      <c r="H207" s="2" t="s">
        <v>35</v>
      </c>
      <c r="I207" s="2" t="s">
        <v>34</v>
      </c>
      <c r="J207" s="15"/>
      <c r="K207" s="22"/>
      <c r="L207" s="22"/>
    </row>
    <row r="208" spans="1:12" s="11" customFormat="1" ht="19.5" customHeight="1" x14ac:dyDescent="0.4">
      <c r="A208" s="12">
        <f t="shared" si="2"/>
        <v>203</v>
      </c>
      <c r="B208" s="13"/>
      <c r="C208" s="10"/>
      <c r="D208" s="50" t="s">
        <v>148</v>
      </c>
      <c r="E208" s="10" t="s">
        <v>229</v>
      </c>
      <c r="F208" s="14"/>
      <c r="G208" s="3">
        <v>46212</v>
      </c>
      <c r="H208" s="2" t="s">
        <v>35</v>
      </c>
      <c r="I208" s="2" t="s">
        <v>34</v>
      </c>
      <c r="J208" s="15"/>
      <c r="K208" s="22"/>
      <c r="L208" s="22"/>
    </row>
    <row r="209" spans="1:12" s="11" customFormat="1" ht="19.5" customHeight="1" x14ac:dyDescent="0.4">
      <c r="A209" s="12">
        <f t="shared" si="2"/>
        <v>204</v>
      </c>
      <c r="B209" s="13"/>
      <c r="C209" s="10"/>
      <c r="D209" s="50" t="s">
        <v>149</v>
      </c>
      <c r="E209" s="10" t="s">
        <v>230</v>
      </c>
      <c r="F209" s="14"/>
      <c r="G209" s="3">
        <v>46212</v>
      </c>
      <c r="H209" s="2" t="s">
        <v>35</v>
      </c>
      <c r="I209" s="2" t="s">
        <v>34</v>
      </c>
      <c r="J209" s="15"/>
      <c r="K209" s="22"/>
      <c r="L209" s="22"/>
    </row>
    <row r="210" spans="1:12" s="11" customFormat="1" ht="19.5" customHeight="1" x14ac:dyDescent="0.4">
      <c r="A210" s="12">
        <f t="shared" si="2"/>
        <v>205</v>
      </c>
      <c r="B210" s="13"/>
      <c r="C210" s="10"/>
      <c r="D210" s="50" t="s">
        <v>150</v>
      </c>
      <c r="E210" s="10" t="s">
        <v>231</v>
      </c>
      <c r="F210" s="14"/>
      <c r="G210" s="3">
        <v>46212</v>
      </c>
      <c r="H210" s="2" t="s">
        <v>35</v>
      </c>
      <c r="I210" s="2" t="s">
        <v>34</v>
      </c>
      <c r="J210" s="15"/>
      <c r="K210" s="22"/>
      <c r="L210" s="22"/>
    </row>
    <row r="211" spans="1:12" s="11" customFormat="1" ht="19.5" customHeight="1" x14ac:dyDescent="0.4">
      <c r="A211" s="12">
        <f t="shared" si="2"/>
        <v>206</v>
      </c>
      <c r="B211" s="13"/>
      <c r="C211" s="10"/>
      <c r="D211" s="50" t="s">
        <v>151</v>
      </c>
      <c r="E211" s="10" t="s">
        <v>232</v>
      </c>
      <c r="F211" s="14"/>
      <c r="G211" s="3">
        <v>46212</v>
      </c>
      <c r="H211" s="2" t="s">
        <v>35</v>
      </c>
      <c r="I211" s="2" t="s">
        <v>34</v>
      </c>
      <c r="J211" s="15"/>
      <c r="K211" s="22"/>
      <c r="L211" s="22"/>
    </row>
    <row r="212" spans="1:12" s="11" customFormat="1" ht="19.5" customHeight="1" x14ac:dyDescent="0.4">
      <c r="A212" s="12">
        <f t="shared" si="2"/>
        <v>207</v>
      </c>
      <c r="B212" s="13"/>
      <c r="C212" s="10"/>
      <c r="D212" s="50" t="s">
        <v>152</v>
      </c>
      <c r="E212" s="10" t="s">
        <v>233</v>
      </c>
      <c r="F212" s="14"/>
      <c r="G212" s="3">
        <v>46212</v>
      </c>
      <c r="H212" s="2" t="s">
        <v>35</v>
      </c>
      <c r="I212" s="2" t="s">
        <v>34</v>
      </c>
      <c r="J212" s="15"/>
      <c r="K212" s="22"/>
      <c r="L212" s="22"/>
    </row>
    <row r="213" spans="1:12" s="11" customFormat="1" ht="19.5" customHeight="1" x14ac:dyDescent="0.4">
      <c r="A213" s="12">
        <f t="shared" si="2"/>
        <v>208</v>
      </c>
      <c r="B213" s="13"/>
      <c r="C213" s="10"/>
      <c r="D213" s="50" t="s">
        <v>153</v>
      </c>
      <c r="E213" s="10" t="s">
        <v>234</v>
      </c>
      <c r="F213" s="14"/>
      <c r="G213" s="3">
        <v>46212</v>
      </c>
      <c r="H213" s="2" t="s">
        <v>35</v>
      </c>
      <c r="I213" s="2" t="s">
        <v>34</v>
      </c>
      <c r="J213" s="15"/>
      <c r="K213" s="22"/>
      <c r="L213" s="22"/>
    </row>
    <row r="214" spans="1:12" s="11" customFormat="1" ht="19.5" customHeight="1" x14ac:dyDescent="0.4">
      <c r="A214" s="12">
        <f t="shared" si="2"/>
        <v>209</v>
      </c>
      <c r="B214" s="13"/>
      <c r="C214" s="10"/>
      <c r="D214" s="50" t="s">
        <v>154</v>
      </c>
      <c r="E214" s="10" t="s">
        <v>229</v>
      </c>
      <c r="F214" s="14"/>
      <c r="G214" s="3">
        <v>46212</v>
      </c>
      <c r="H214" s="2" t="s">
        <v>35</v>
      </c>
      <c r="I214" s="2" t="s">
        <v>34</v>
      </c>
      <c r="J214" s="15"/>
      <c r="K214" s="22"/>
      <c r="L214" s="22"/>
    </row>
    <row r="215" spans="1:12" s="11" customFormat="1" ht="19.5" customHeight="1" x14ac:dyDescent="0.4">
      <c r="A215" s="12">
        <f t="shared" si="2"/>
        <v>210</v>
      </c>
      <c r="B215" s="13"/>
      <c r="C215" s="10"/>
      <c r="D215" s="50" t="s">
        <v>155</v>
      </c>
      <c r="E215" s="10" t="s">
        <v>194</v>
      </c>
      <c r="F215" s="14"/>
      <c r="G215" s="3">
        <v>46212</v>
      </c>
      <c r="H215" s="2" t="s">
        <v>35</v>
      </c>
      <c r="I215" s="2" t="s">
        <v>34</v>
      </c>
      <c r="J215" s="15"/>
      <c r="K215" s="22"/>
      <c r="L215" s="22"/>
    </row>
    <row r="216" spans="1:12" s="11" customFormat="1" ht="19.5" customHeight="1" x14ac:dyDescent="0.4">
      <c r="A216" s="12">
        <f t="shared" si="2"/>
        <v>211</v>
      </c>
      <c r="B216" s="13"/>
      <c r="C216" s="10"/>
      <c r="D216" s="10" t="s">
        <v>195</v>
      </c>
      <c r="E216" s="10" t="s">
        <v>235</v>
      </c>
      <c r="F216" s="14"/>
      <c r="G216" s="3">
        <v>46212</v>
      </c>
      <c r="H216" s="2" t="s">
        <v>35</v>
      </c>
      <c r="I216" s="2" t="s">
        <v>34</v>
      </c>
      <c r="J216" s="15"/>
      <c r="K216" s="22"/>
      <c r="L216" s="22"/>
    </row>
    <row r="217" spans="1:12" s="11" customFormat="1" ht="19.5" customHeight="1" x14ac:dyDescent="0.4">
      <c r="A217" s="12">
        <f t="shared" si="2"/>
        <v>212</v>
      </c>
      <c r="B217" s="13"/>
      <c r="C217" s="10"/>
      <c r="D217" s="10" t="s">
        <v>240</v>
      </c>
      <c r="E217" s="10" t="s">
        <v>121</v>
      </c>
      <c r="F217" s="14"/>
      <c r="G217" s="3">
        <v>46212</v>
      </c>
      <c r="H217" s="2" t="s">
        <v>35</v>
      </c>
      <c r="I217" s="2" t="s">
        <v>34</v>
      </c>
      <c r="J217" s="15"/>
      <c r="K217" s="22"/>
      <c r="L217" s="22"/>
    </row>
    <row r="218" spans="1:12" s="11" customFormat="1" ht="19.5" customHeight="1" x14ac:dyDescent="0.4">
      <c r="A218" s="12">
        <f t="shared" si="2"/>
        <v>213</v>
      </c>
      <c r="B218" s="13"/>
      <c r="C218" s="10"/>
      <c r="D218" s="50" t="s">
        <v>115</v>
      </c>
      <c r="E218" s="53" t="s">
        <v>122</v>
      </c>
      <c r="F218" s="14"/>
      <c r="G218" s="3">
        <v>46212</v>
      </c>
      <c r="H218" s="2" t="s">
        <v>35</v>
      </c>
      <c r="I218" s="2" t="s">
        <v>34</v>
      </c>
      <c r="J218" s="15"/>
      <c r="K218" s="22"/>
      <c r="L218" s="22"/>
    </row>
    <row r="219" spans="1:12" s="11" customFormat="1" ht="19.5" customHeight="1" x14ac:dyDescent="0.4">
      <c r="A219" s="12">
        <f t="shared" si="2"/>
        <v>214</v>
      </c>
      <c r="B219" s="13"/>
      <c r="C219" s="10"/>
      <c r="D219" s="50" t="s">
        <v>116</v>
      </c>
      <c r="E219" s="10" t="s">
        <v>123</v>
      </c>
      <c r="F219" s="14"/>
      <c r="G219" s="3">
        <v>46212</v>
      </c>
      <c r="H219" s="2" t="s">
        <v>35</v>
      </c>
      <c r="I219" s="2" t="s">
        <v>34</v>
      </c>
      <c r="J219" s="15"/>
      <c r="K219" s="22"/>
      <c r="L219" s="22"/>
    </row>
    <row r="220" spans="1:12" s="11" customFormat="1" ht="19.5" customHeight="1" x14ac:dyDescent="0.4">
      <c r="A220" s="12">
        <f t="shared" si="2"/>
        <v>215</v>
      </c>
      <c r="B220" s="13"/>
      <c r="C220" s="10"/>
      <c r="D220" s="50" t="s">
        <v>117</v>
      </c>
      <c r="E220" s="10" t="s">
        <v>245</v>
      </c>
      <c r="F220" s="14"/>
      <c r="G220" s="3">
        <v>46212</v>
      </c>
      <c r="H220" s="2" t="s">
        <v>35</v>
      </c>
      <c r="I220" s="2" t="s">
        <v>34</v>
      </c>
      <c r="J220" s="15"/>
      <c r="K220" s="22"/>
      <c r="L220" s="22"/>
    </row>
    <row r="221" spans="1:12" s="11" customFormat="1" ht="19.5" customHeight="1" x14ac:dyDescent="0.4">
      <c r="A221" s="12">
        <f t="shared" si="2"/>
        <v>216</v>
      </c>
      <c r="B221" s="13"/>
      <c r="C221" s="10"/>
      <c r="D221" s="50" t="s">
        <v>118</v>
      </c>
      <c r="E221" s="10" t="s">
        <v>125</v>
      </c>
      <c r="F221" s="14"/>
      <c r="G221" s="3">
        <v>46212</v>
      </c>
      <c r="H221" s="2" t="s">
        <v>35</v>
      </c>
      <c r="I221" s="2" t="s">
        <v>34</v>
      </c>
      <c r="J221" s="15"/>
      <c r="K221" s="22"/>
      <c r="L221" s="22"/>
    </row>
    <row r="222" spans="1:12" s="11" customFormat="1" ht="19.5" customHeight="1" x14ac:dyDescent="0.4">
      <c r="A222" s="12">
        <f t="shared" si="2"/>
        <v>217</v>
      </c>
      <c r="B222" s="13"/>
      <c r="C222" s="10"/>
      <c r="D222" s="51" t="s">
        <v>120</v>
      </c>
      <c r="E222" s="10" t="s">
        <v>246</v>
      </c>
      <c r="F222" s="14"/>
      <c r="G222" s="3">
        <v>46212</v>
      </c>
      <c r="H222" s="2" t="s">
        <v>35</v>
      </c>
      <c r="I222" s="2" t="s">
        <v>34</v>
      </c>
      <c r="J222" s="15"/>
      <c r="K222" s="22"/>
      <c r="L222" s="22"/>
    </row>
    <row r="223" spans="1:12" s="11" customFormat="1" ht="19.5" customHeight="1" x14ac:dyDescent="0.4">
      <c r="A223" s="12">
        <f t="shared" si="2"/>
        <v>218</v>
      </c>
      <c r="B223" s="13"/>
      <c r="C223" s="10"/>
      <c r="D223" s="51" t="s">
        <v>247</v>
      </c>
      <c r="E223" s="10" t="s">
        <v>248</v>
      </c>
      <c r="F223" s="14"/>
      <c r="G223" s="3">
        <v>46212</v>
      </c>
      <c r="H223" s="2" t="s">
        <v>35</v>
      </c>
      <c r="I223" s="2" t="s">
        <v>34</v>
      </c>
      <c r="J223" s="15"/>
      <c r="K223" s="22"/>
      <c r="L223" s="22"/>
    </row>
    <row r="224" spans="1:12" s="11" customFormat="1" ht="19.5" customHeight="1" x14ac:dyDescent="0.4">
      <c r="A224" s="12">
        <f t="shared" si="2"/>
        <v>219</v>
      </c>
      <c r="B224" s="13"/>
      <c r="C224" s="10" t="s">
        <v>63</v>
      </c>
      <c r="D224" s="10" t="s">
        <v>92</v>
      </c>
      <c r="E224" s="10"/>
      <c r="F224" s="14"/>
      <c r="G224" s="3"/>
      <c r="H224" s="2"/>
      <c r="I224" s="2"/>
      <c r="J224" s="15"/>
      <c r="K224" s="22"/>
      <c r="L224" s="22"/>
    </row>
    <row r="225" spans="1:12" s="11" customFormat="1" ht="19.5" customHeight="1" x14ac:dyDescent="0.4">
      <c r="A225" s="12">
        <f t="shared" si="2"/>
        <v>220</v>
      </c>
      <c r="B225" s="13"/>
      <c r="C225" s="10"/>
      <c r="D225" s="50" t="s">
        <v>236</v>
      </c>
      <c r="E225" s="10" t="s">
        <v>238</v>
      </c>
      <c r="F225" s="14"/>
      <c r="G225" s="3">
        <v>46212</v>
      </c>
      <c r="H225" s="2" t="s">
        <v>35</v>
      </c>
      <c r="I225" s="2" t="s">
        <v>34</v>
      </c>
      <c r="J225" s="15"/>
      <c r="K225" s="22"/>
      <c r="L225" s="22"/>
    </row>
    <row r="226" spans="1:12" s="11" customFormat="1" ht="19.5" customHeight="1" x14ac:dyDescent="0.4">
      <c r="A226" s="12">
        <f t="shared" si="2"/>
        <v>221</v>
      </c>
      <c r="B226" s="13"/>
      <c r="C226" s="10"/>
      <c r="D226" s="50" t="s">
        <v>237</v>
      </c>
      <c r="E226" s="10" t="s">
        <v>238</v>
      </c>
      <c r="F226" s="14"/>
      <c r="G226" s="3">
        <v>46212</v>
      </c>
      <c r="H226" s="2" t="s">
        <v>35</v>
      </c>
      <c r="I226" s="2" t="s">
        <v>34</v>
      </c>
      <c r="J226" s="15"/>
      <c r="K226" s="22"/>
      <c r="L226" s="22"/>
    </row>
    <row r="227" spans="1:12" s="11" customFormat="1" ht="19.5" customHeight="1" x14ac:dyDescent="0.4">
      <c r="A227" s="12">
        <f t="shared" si="2"/>
        <v>222</v>
      </c>
      <c r="B227" s="13"/>
      <c r="C227" s="10"/>
      <c r="D227" s="50" t="s">
        <v>239</v>
      </c>
      <c r="E227" s="10" t="s">
        <v>250</v>
      </c>
      <c r="F227" s="14"/>
      <c r="G227" s="3">
        <v>46212</v>
      </c>
      <c r="H227" s="2" t="s">
        <v>35</v>
      </c>
      <c r="I227" s="2" t="s">
        <v>34</v>
      </c>
      <c r="J227" s="15"/>
      <c r="K227" s="22"/>
      <c r="L227" s="22"/>
    </row>
    <row r="228" spans="1:12" s="11" customFormat="1" ht="19.5" customHeight="1" x14ac:dyDescent="0.4">
      <c r="A228" s="12">
        <f t="shared" si="2"/>
        <v>223</v>
      </c>
      <c r="B228" s="13"/>
      <c r="C228" s="10"/>
      <c r="D228" s="51" t="s">
        <v>251</v>
      </c>
      <c r="E228" s="10" t="s">
        <v>252</v>
      </c>
      <c r="F228" s="14"/>
      <c r="G228" s="3">
        <v>46212</v>
      </c>
      <c r="H228" s="2" t="s">
        <v>35</v>
      </c>
      <c r="I228" s="2" t="s">
        <v>34</v>
      </c>
      <c r="J228" s="15"/>
      <c r="K228" s="22"/>
      <c r="L228" s="22"/>
    </row>
    <row r="229" spans="1:12" s="11" customFormat="1" ht="19.5" customHeight="1" x14ac:dyDescent="0.4">
      <c r="A229" s="12">
        <f t="shared" si="2"/>
        <v>224</v>
      </c>
      <c r="B229" s="13"/>
      <c r="C229" s="10"/>
      <c r="D229" s="10"/>
      <c r="E229" s="10" t="s">
        <v>255</v>
      </c>
      <c r="F229" s="14"/>
      <c r="G229" s="3">
        <v>46212</v>
      </c>
      <c r="H229" s="2" t="s">
        <v>35</v>
      </c>
      <c r="I229" s="2" t="s">
        <v>34</v>
      </c>
      <c r="J229" s="15"/>
      <c r="K229" s="22"/>
      <c r="L229" s="22"/>
    </row>
  </sheetData>
  <autoFilter ref="A5:M98" xr:uid="{66A6ACAC-9EF7-43C1-ABA8-49C1FA7DCED0}"/>
  <phoneticPr fontId="2"/>
  <dataValidations count="2">
    <dataValidation type="list" allowBlank="1" showInputMessage="1" showErrorMessage="1" sqref="K6:L229" xr:uid="{EDFCE7EC-6655-4026-B74B-FFDE38E27969}">
      <formula1>原因</formula1>
    </dataValidation>
    <dataValidation type="list" allowBlank="1" showInputMessage="1" showErrorMessage="1" sqref="I6:I229" xr:uid="{C8D3F98C-4874-48B0-8FE8-412679E044AD}">
      <formula1>合否</formula1>
    </dataValidation>
  </dataValidations>
  <pageMargins left="0.23622047244094491" right="0.23622047244094491" top="0.74803149606299213" bottom="0.74803149606299213" header="0.31496062992125984" footer="0.31496062992125984"/>
  <pageSetup paperSize="9" scale="34" fitToHeight="0" orientation="portrait" horizontalDpi="4294967293" r:id="rId1"/>
  <headerFooter>
    <oddHeader>&amp;L&amp;F&amp;R&amp;A</oddHead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F9434-F1FA-4824-8F70-F0F6F9EA5712}">
  <dimension ref="A1:E453"/>
  <sheetViews>
    <sheetView topLeftCell="A436" zoomScale="85" zoomScaleNormal="85" workbookViewId="0">
      <selection activeCell="A454" sqref="A454"/>
    </sheetView>
  </sheetViews>
  <sheetFormatPr defaultRowHeight="18.75" x14ac:dyDescent="0.4"/>
  <cols>
    <col min="1" max="1" width="9" style="41"/>
    <col min="2" max="2" width="12" style="41" customWidth="1"/>
    <col min="3" max="3" width="14.875" style="41" customWidth="1"/>
    <col min="4" max="4" width="21.125" style="41" bestFit="1" customWidth="1"/>
    <col min="5" max="16384" width="9" style="41"/>
  </cols>
  <sheetData>
    <row r="1" spans="1:1" x14ac:dyDescent="0.4">
      <c r="A1" s="41" t="s">
        <v>59</v>
      </c>
    </row>
    <row r="20" spans="1:1" x14ac:dyDescent="0.4">
      <c r="A20" s="41" t="s">
        <v>60</v>
      </c>
    </row>
    <row r="34" spans="1:1" x14ac:dyDescent="0.4">
      <c r="A34" s="41" t="s">
        <v>47</v>
      </c>
    </row>
    <row r="48" spans="1:1" x14ac:dyDescent="0.4">
      <c r="A48" s="41" t="s">
        <v>72</v>
      </c>
    </row>
    <row r="64" spans="1:1" x14ac:dyDescent="0.4">
      <c r="A64" s="41" t="s">
        <v>83</v>
      </c>
    </row>
    <row r="70" spans="1:2" x14ac:dyDescent="0.4">
      <c r="B70" s="41" t="s">
        <v>84</v>
      </c>
    </row>
    <row r="75" spans="1:2" x14ac:dyDescent="0.4">
      <c r="A75" s="41" t="s">
        <v>97</v>
      </c>
    </row>
    <row r="93" spans="1:1" x14ac:dyDescent="0.4">
      <c r="A93" s="41" t="s">
        <v>102</v>
      </c>
    </row>
    <row r="101" spans="1:1" x14ac:dyDescent="0.4">
      <c r="A101" s="41" t="s">
        <v>107</v>
      </c>
    </row>
    <row r="106" spans="1:1" x14ac:dyDescent="0.4">
      <c r="A106" s="41" t="s">
        <v>110</v>
      </c>
    </row>
    <row r="113" spans="1:1" x14ac:dyDescent="0.4">
      <c r="A113" s="41" t="s">
        <v>129</v>
      </c>
    </row>
    <row r="135" spans="1:1" x14ac:dyDescent="0.4">
      <c r="A135" s="41" t="s">
        <v>134</v>
      </c>
    </row>
    <row r="164" spans="1:4" x14ac:dyDescent="0.4">
      <c r="A164" s="41" t="s">
        <v>198</v>
      </c>
    </row>
    <row r="165" spans="1:4" ht="18.75" customHeight="1" x14ac:dyDescent="0.4">
      <c r="B165" s="54" t="s">
        <v>135</v>
      </c>
      <c r="C165" s="54" t="s">
        <v>156</v>
      </c>
      <c r="D165" s="55">
        <v>164</v>
      </c>
    </row>
    <row r="166" spans="1:4" ht="18.75" customHeight="1" x14ac:dyDescent="0.4">
      <c r="B166" s="54" t="s">
        <v>119</v>
      </c>
      <c r="C166" s="54" t="s">
        <v>157</v>
      </c>
      <c r="D166" s="56" t="s">
        <v>178</v>
      </c>
    </row>
    <row r="167" spans="1:4" ht="18.75" customHeight="1" x14ac:dyDescent="0.4">
      <c r="B167" s="54" t="s">
        <v>136</v>
      </c>
      <c r="C167" s="54" t="s">
        <v>158</v>
      </c>
      <c r="D167" s="56" t="s">
        <v>179</v>
      </c>
    </row>
    <row r="168" spans="1:4" ht="18.75" customHeight="1" x14ac:dyDescent="0.4">
      <c r="B168" s="54" t="s">
        <v>137</v>
      </c>
      <c r="C168" s="54" t="s">
        <v>159</v>
      </c>
      <c r="D168" s="56" t="s">
        <v>180</v>
      </c>
    </row>
    <row r="169" spans="1:4" ht="18.75" customHeight="1" x14ac:dyDescent="0.4">
      <c r="B169" s="54" t="s">
        <v>138</v>
      </c>
      <c r="C169" s="54" t="s">
        <v>160</v>
      </c>
      <c r="D169" s="56" t="s">
        <v>181</v>
      </c>
    </row>
    <row r="170" spans="1:4" ht="18.75" customHeight="1" x14ac:dyDescent="0.4">
      <c r="B170" s="54" t="s">
        <v>139</v>
      </c>
      <c r="C170" s="54" t="s">
        <v>161</v>
      </c>
      <c r="D170" s="56" t="s">
        <v>182</v>
      </c>
    </row>
    <row r="171" spans="1:4" ht="18.75" customHeight="1" x14ac:dyDescent="0.4">
      <c r="B171" s="54" t="s">
        <v>140</v>
      </c>
      <c r="C171" s="54" t="s">
        <v>162</v>
      </c>
      <c r="D171" s="57" t="b">
        <v>0</v>
      </c>
    </row>
    <row r="172" spans="1:4" ht="18.75" customHeight="1" x14ac:dyDescent="0.4">
      <c r="B172" s="54" t="s">
        <v>141</v>
      </c>
      <c r="C172" s="54" t="s">
        <v>163</v>
      </c>
      <c r="D172" s="57" t="b">
        <v>1</v>
      </c>
    </row>
    <row r="173" spans="1:4" ht="18.75" customHeight="1" x14ac:dyDescent="0.4">
      <c r="B173" s="54" t="s">
        <v>142</v>
      </c>
      <c r="C173" s="54" t="s">
        <v>164</v>
      </c>
      <c r="D173" s="57" t="b">
        <v>0</v>
      </c>
    </row>
    <row r="174" spans="1:4" ht="18.75" customHeight="1" x14ac:dyDescent="0.4">
      <c r="B174" s="54" t="s">
        <v>143</v>
      </c>
      <c r="C174" s="54" t="s">
        <v>165</v>
      </c>
      <c r="D174" s="57" t="b">
        <v>0</v>
      </c>
    </row>
    <row r="175" spans="1:4" ht="18.75" customHeight="1" x14ac:dyDescent="0.4">
      <c r="B175" s="54" t="s">
        <v>144</v>
      </c>
      <c r="C175" s="54" t="s">
        <v>166</v>
      </c>
      <c r="D175" s="57" t="b">
        <v>0</v>
      </c>
    </row>
    <row r="176" spans="1:4" ht="18.75" customHeight="1" x14ac:dyDescent="0.4">
      <c r="B176" s="54" t="s">
        <v>145</v>
      </c>
      <c r="C176" s="54" t="s">
        <v>167</v>
      </c>
      <c r="D176" s="57" t="b">
        <v>0</v>
      </c>
    </row>
    <row r="177" spans="1:4" ht="18.75" customHeight="1" x14ac:dyDescent="0.4">
      <c r="B177" s="54" t="s">
        <v>146</v>
      </c>
      <c r="C177" s="54" t="s">
        <v>168</v>
      </c>
      <c r="D177" s="57" t="b">
        <v>0</v>
      </c>
    </row>
    <row r="178" spans="1:4" ht="18.75" customHeight="1" x14ac:dyDescent="0.4">
      <c r="B178" s="54" t="s">
        <v>147</v>
      </c>
      <c r="C178" s="54" t="s">
        <v>169</v>
      </c>
      <c r="D178" s="57" t="b">
        <v>0</v>
      </c>
    </row>
    <row r="179" spans="1:4" ht="18.75" customHeight="1" x14ac:dyDescent="0.4">
      <c r="B179" s="54" t="s">
        <v>148</v>
      </c>
      <c r="C179" s="54" t="s">
        <v>170</v>
      </c>
      <c r="D179" s="58">
        <v>46212.493026261574</v>
      </c>
    </row>
    <row r="180" spans="1:4" ht="18.75" customHeight="1" x14ac:dyDescent="0.4">
      <c r="B180" s="54" t="s">
        <v>149</v>
      </c>
      <c r="C180" s="54" t="s">
        <v>171</v>
      </c>
      <c r="D180" s="59" t="s">
        <v>183</v>
      </c>
    </row>
    <row r="181" spans="1:4" ht="18.75" customHeight="1" x14ac:dyDescent="0.4">
      <c r="B181" s="54" t="s">
        <v>150</v>
      </c>
      <c r="C181" s="54" t="s">
        <v>172</v>
      </c>
      <c r="D181" s="59" t="s">
        <v>183</v>
      </c>
    </row>
    <row r="182" spans="1:4" ht="18.75" customHeight="1" x14ac:dyDescent="0.4">
      <c r="B182" s="54" t="s">
        <v>151</v>
      </c>
      <c r="C182" s="54" t="s">
        <v>173</v>
      </c>
      <c r="D182" s="59" t="s">
        <v>183</v>
      </c>
    </row>
    <row r="183" spans="1:4" ht="18.75" customHeight="1" x14ac:dyDescent="0.4">
      <c r="B183" s="54" t="s">
        <v>152</v>
      </c>
      <c r="C183" s="54" t="s">
        <v>174</v>
      </c>
      <c r="D183" s="59" t="s">
        <v>183</v>
      </c>
    </row>
    <row r="184" spans="1:4" ht="18.75" customHeight="1" x14ac:dyDescent="0.4">
      <c r="B184" s="54" t="s">
        <v>153</v>
      </c>
      <c r="C184" s="54" t="s">
        <v>175</v>
      </c>
      <c r="D184" s="59" t="s">
        <v>183</v>
      </c>
    </row>
    <row r="185" spans="1:4" ht="18.75" customHeight="1" x14ac:dyDescent="0.4">
      <c r="B185" s="54" t="s">
        <v>154</v>
      </c>
      <c r="C185" s="54" t="s">
        <v>176</v>
      </c>
      <c r="D185" s="56" t="s">
        <v>184</v>
      </c>
    </row>
    <row r="186" spans="1:4" ht="18.75" customHeight="1" x14ac:dyDescent="0.4">
      <c r="B186" s="54" t="s">
        <v>155</v>
      </c>
      <c r="C186" s="54" t="s">
        <v>177</v>
      </c>
      <c r="D186" s="59" t="s">
        <v>183</v>
      </c>
    </row>
    <row r="187" spans="1:4" x14ac:dyDescent="0.4">
      <c r="A187" s="41" t="s">
        <v>224</v>
      </c>
    </row>
    <row r="188" spans="1:4" customFormat="1" x14ac:dyDescent="0.4">
      <c r="A188" s="41"/>
      <c r="B188" s="54" t="s">
        <v>213</v>
      </c>
      <c r="C188" s="54" t="s">
        <v>216</v>
      </c>
      <c r="D188" s="55">
        <v>164</v>
      </c>
    </row>
    <row r="189" spans="1:4" customFormat="1" x14ac:dyDescent="0.4">
      <c r="A189" s="41"/>
      <c r="B189" s="54" t="s">
        <v>214</v>
      </c>
      <c r="C189" s="54" t="s">
        <v>217</v>
      </c>
      <c r="D189" s="56" t="s">
        <v>219</v>
      </c>
    </row>
    <row r="190" spans="1:4" customFormat="1" x14ac:dyDescent="0.4">
      <c r="A190" s="41"/>
      <c r="B190" s="54" t="s">
        <v>215</v>
      </c>
      <c r="C190" s="54" t="s">
        <v>218</v>
      </c>
      <c r="D190" s="56" t="s">
        <v>220</v>
      </c>
    </row>
    <row r="191" spans="1:4" x14ac:dyDescent="0.4">
      <c r="A191" s="41" t="s">
        <v>225</v>
      </c>
    </row>
    <row r="197" spans="1:4" x14ac:dyDescent="0.4">
      <c r="A197" s="41" t="s">
        <v>227</v>
      </c>
    </row>
    <row r="203" spans="1:4" x14ac:dyDescent="0.4">
      <c r="A203" s="41" t="s">
        <v>241</v>
      </c>
    </row>
    <row r="204" spans="1:4" x14ac:dyDescent="0.4">
      <c r="B204" s="54" t="s">
        <v>135</v>
      </c>
      <c r="C204" s="54" t="s">
        <v>156</v>
      </c>
      <c r="D204" s="55">
        <v>164</v>
      </c>
    </row>
    <row r="205" spans="1:4" x14ac:dyDescent="0.4">
      <c r="B205" s="54" t="s">
        <v>119</v>
      </c>
      <c r="C205" s="54" t="s">
        <v>157</v>
      </c>
      <c r="D205" s="56" t="s">
        <v>178</v>
      </c>
    </row>
    <row r="206" spans="1:4" ht="31.5" x14ac:dyDescent="0.4">
      <c r="B206" s="54" t="s">
        <v>136</v>
      </c>
      <c r="C206" s="54" t="s">
        <v>158</v>
      </c>
      <c r="D206" s="56" t="s">
        <v>179</v>
      </c>
    </row>
    <row r="207" spans="1:4" x14ac:dyDescent="0.4">
      <c r="B207" s="54" t="s">
        <v>137</v>
      </c>
      <c r="C207" s="54" t="s">
        <v>159</v>
      </c>
      <c r="D207" s="56" t="s">
        <v>180</v>
      </c>
    </row>
    <row r="208" spans="1:4" ht="31.5" x14ac:dyDescent="0.4">
      <c r="B208" s="54" t="s">
        <v>138</v>
      </c>
      <c r="C208" s="54" t="s">
        <v>160</v>
      </c>
      <c r="D208" s="56" t="s">
        <v>181</v>
      </c>
    </row>
    <row r="209" spans="2:4" x14ac:dyDescent="0.4">
      <c r="B209" s="54" t="s">
        <v>139</v>
      </c>
      <c r="C209" s="54" t="s">
        <v>161</v>
      </c>
      <c r="D209" s="56" t="s">
        <v>242</v>
      </c>
    </row>
    <row r="210" spans="2:4" x14ac:dyDescent="0.4">
      <c r="B210" s="54" t="s">
        <v>140</v>
      </c>
      <c r="C210" s="54" t="s">
        <v>162</v>
      </c>
      <c r="D210" s="57" t="b">
        <v>0</v>
      </c>
    </row>
    <row r="211" spans="2:4" x14ac:dyDescent="0.4">
      <c r="B211" s="54" t="s">
        <v>141</v>
      </c>
      <c r="C211" s="54" t="s">
        <v>163</v>
      </c>
      <c r="D211" s="57" t="b">
        <v>1</v>
      </c>
    </row>
    <row r="212" spans="2:4" ht="31.5" x14ac:dyDescent="0.4">
      <c r="B212" s="54" t="s">
        <v>142</v>
      </c>
      <c r="C212" s="54" t="s">
        <v>164</v>
      </c>
      <c r="D212" s="57" t="b">
        <v>0</v>
      </c>
    </row>
    <row r="213" spans="2:4" x14ac:dyDescent="0.4">
      <c r="B213" s="54" t="s">
        <v>143</v>
      </c>
      <c r="C213" s="54" t="s">
        <v>165</v>
      </c>
      <c r="D213" s="57" t="b">
        <v>0</v>
      </c>
    </row>
    <row r="214" spans="2:4" x14ac:dyDescent="0.4">
      <c r="B214" s="54" t="s">
        <v>144</v>
      </c>
      <c r="C214" s="54" t="s">
        <v>166</v>
      </c>
      <c r="D214" s="57" t="b">
        <v>0</v>
      </c>
    </row>
    <row r="215" spans="2:4" x14ac:dyDescent="0.4">
      <c r="B215" s="54" t="s">
        <v>145</v>
      </c>
      <c r="C215" s="54" t="s">
        <v>167</v>
      </c>
      <c r="D215" s="57" t="b">
        <v>0</v>
      </c>
    </row>
    <row r="216" spans="2:4" ht="31.5" x14ac:dyDescent="0.4">
      <c r="B216" s="54" t="s">
        <v>146</v>
      </c>
      <c r="C216" s="54" t="s">
        <v>168</v>
      </c>
      <c r="D216" s="57" t="b">
        <v>0</v>
      </c>
    </row>
    <row r="217" spans="2:4" x14ac:dyDescent="0.4">
      <c r="B217" s="54" t="s">
        <v>147</v>
      </c>
      <c r="C217" s="54" t="s">
        <v>169</v>
      </c>
      <c r="D217" s="57" t="b">
        <v>0</v>
      </c>
    </row>
    <row r="218" spans="2:4" x14ac:dyDescent="0.4">
      <c r="B218" s="54" t="s">
        <v>148</v>
      </c>
      <c r="C218" s="54" t="s">
        <v>170</v>
      </c>
      <c r="D218" s="58">
        <v>46212.493026261574</v>
      </c>
    </row>
    <row r="219" spans="2:4" x14ac:dyDescent="0.4">
      <c r="B219" s="54" t="s">
        <v>149</v>
      </c>
      <c r="C219" s="54" t="s">
        <v>171</v>
      </c>
      <c r="D219" s="58">
        <v>46212.596536342593</v>
      </c>
    </row>
    <row r="220" spans="2:4" x14ac:dyDescent="0.4">
      <c r="B220" s="54" t="s">
        <v>150</v>
      </c>
      <c r="C220" s="54" t="s">
        <v>172</v>
      </c>
      <c r="D220" s="58">
        <v>46242.596536342593</v>
      </c>
    </row>
    <row r="221" spans="2:4" ht="31.5" x14ac:dyDescent="0.4">
      <c r="B221" s="54" t="s">
        <v>151</v>
      </c>
      <c r="C221" s="54" t="s">
        <v>173</v>
      </c>
      <c r="D221" s="55">
        <v>100</v>
      </c>
    </row>
    <row r="222" spans="2:4" ht="31.5" x14ac:dyDescent="0.4">
      <c r="B222" s="54" t="s">
        <v>152</v>
      </c>
      <c r="C222" s="54" t="s">
        <v>174</v>
      </c>
      <c r="D222" s="55">
        <v>10</v>
      </c>
    </row>
    <row r="223" spans="2:4" ht="31.5" x14ac:dyDescent="0.4">
      <c r="B223" s="54" t="s">
        <v>153</v>
      </c>
      <c r="C223" s="54" t="s">
        <v>175</v>
      </c>
      <c r="D223" s="55">
        <v>5</v>
      </c>
    </row>
    <row r="224" spans="2:4" x14ac:dyDescent="0.4">
      <c r="B224" s="54" t="s">
        <v>154</v>
      </c>
      <c r="C224" s="54" t="s">
        <v>176</v>
      </c>
      <c r="D224" s="56" t="s">
        <v>184</v>
      </c>
    </row>
    <row r="225" spans="1:4" x14ac:dyDescent="0.4">
      <c r="B225" s="54" t="s">
        <v>155</v>
      </c>
      <c r="C225" s="54" t="s">
        <v>177</v>
      </c>
      <c r="D225" s="56" t="s">
        <v>243</v>
      </c>
    </row>
    <row r="227" spans="1:4" x14ac:dyDescent="0.4">
      <c r="A227" s="41" t="s">
        <v>244</v>
      </c>
    </row>
    <row r="233" spans="1:4" x14ac:dyDescent="0.4">
      <c r="A233" s="41" t="s">
        <v>249</v>
      </c>
    </row>
    <row r="256" spans="1:1" x14ac:dyDescent="0.4">
      <c r="A256" s="41" t="s">
        <v>253</v>
      </c>
    </row>
    <row r="257" spans="1:2" x14ac:dyDescent="0.4">
      <c r="B257" s="41" t="s">
        <v>254</v>
      </c>
    </row>
    <row r="266" spans="1:2" x14ac:dyDescent="0.4">
      <c r="B266" s="41" t="s">
        <v>84</v>
      </c>
    </row>
    <row r="271" spans="1:2" x14ac:dyDescent="0.4">
      <c r="A271" s="41" t="s">
        <v>256</v>
      </c>
    </row>
    <row r="274" spans="1:1" x14ac:dyDescent="0.4">
      <c r="A274" s="41" t="s">
        <v>257</v>
      </c>
    </row>
    <row r="285" spans="1:1" x14ac:dyDescent="0.4">
      <c r="A285" s="41" t="s">
        <v>258</v>
      </c>
    </row>
    <row r="294" spans="1:1" x14ac:dyDescent="0.4">
      <c r="A294" s="41" t="s">
        <v>259</v>
      </c>
    </row>
    <row r="320" spans="1:1" x14ac:dyDescent="0.4">
      <c r="A320" s="41" t="s">
        <v>260</v>
      </c>
    </row>
    <row r="346" spans="1:4" x14ac:dyDescent="0.4">
      <c r="A346" s="41" t="s">
        <v>270</v>
      </c>
    </row>
    <row r="347" spans="1:4" x14ac:dyDescent="0.4">
      <c r="B347" s="54" t="s">
        <v>135</v>
      </c>
      <c r="C347" s="54" t="s">
        <v>156</v>
      </c>
      <c r="D347" s="55">
        <v>166</v>
      </c>
    </row>
    <row r="348" spans="1:4" x14ac:dyDescent="0.4">
      <c r="B348" s="54" t="s">
        <v>119</v>
      </c>
      <c r="C348" s="54" t="s">
        <v>157</v>
      </c>
      <c r="D348" s="56" t="s">
        <v>261</v>
      </c>
    </row>
    <row r="349" spans="1:4" ht="31.5" x14ac:dyDescent="0.4">
      <c r="B349" s="54" t="s">
        <v>136</v>
      </c>
      <c r="C349" s="54" t="s">
        <v>158</v>
      </c>
      <c r="D349" s="56" t="s">
        <v>179</v>
      </c>
    </row>
    <row r="350" spans="1:4" x14ac:dyDescent="0.4">
      <c r="B350" s="54" t="s">
        <v>137</v>
      </c>
      <c r="C350" s="54" t="s">
        <v>159</v>
      </c>
      <c r="D350" s="56" t="s">
        <v>262</v>
      </c>
    </row>
    <row r="351" spans="1:4" ht="31.5" x14ac:dyDescent="0.4">
      <c r="B351" s="54" t="s">
        <v>138</v>
      </c>
      <c r="C351" s="54" t="s">
        <v>160</v>
      </c>
      <c r="D351" s="56" t="s">
        <v>263</v>
      </c>
    </row>
    <row r="352" spans="1:4" x14ac:dyDescent="0.4">
      <c r="B352" s="54" t="s">
        <v>139</v>
      </c>
      <c r="C352" s="54" t="s">
        <v>161</v>
      </c>
      <c r="D352" s="56" t="s">
        <v>182</v>
      </c>
    </row>
    <row r="353" spans="2:4" x14ac:dyDescent="0.4">
      <c r="B353" s="54" t="s">
        <v>140</v>
      </c>
      <c r="C353" s="54" t="s">
        <v>162</v>
      </c>
      <c r="D353" s="57" t="b">
        <v>0</v>
      </c>
    </row>
    <row r="354" spans="2:4" x14ac:dyDescent="0.4">
      <c r="B354" s="54" t="s">
        <v>141</v>
      </c>
      <c r="C354" s="54" t="s">
        <v>163</v>
      </c>
      <c r="D354" s="57" t="b">
        <v>0</v>
      </c>
    </row>
    <row r="355" spans="2:4" ht="31.5" x14ac:dyDescent="0.4">
      <c r="B355" s="54" t="s">
        <v>142</v>
      </c>
      <c r="C355" s="54" t="s">
        <v>164</v>
      </c>
      <c r="D355" s="57" t="b">
        <v>1</v>
      </c>
    </row>
    <row r="356" spans="2:4" x14ac:dyDescent="0.4">
      <c r="B356" s="54" t="s">
        <v>143</v>
      </c>
      <c r="C356" s="54" t="s">
        <v>165</v>
      </c>
      <c r="D356" s="57" t="b">
        <v>1</v>
      </c>
    </row>
    <row r="357" spans="2:4" x14ac:dyDescent="0.4">
      <c r="B357" s="54" t="s">
        <v>144</v>
      </c>
      <c r="C357" s="54" t="s">
        <v>166</v>
      </c>
      <c r="D357" s="57" t="b">
        <v>1</v>
      </c>
    </row>
    <row r="358" spans="2:4" x14ac:dyDescent="0.4">
      <c r="B358" s="54" t="s">
        <v>145</v>
      </c>
      <c r="C358" s="54" t="s">
        <v>167</v>
      </c>
      <c r="D358" s="57" t="b">
        <v>0</v>
      </c>
    </row>
    <row r="359" spans="2:4" ht="31.5" x14ac:dyDescent="0.4">
      <c r="B359" s="54" t="s">
        <v>146</v>
      </c>
      <c r="C359" s="54" t="s">
        <v>168</v>
      </c>
      <c r="D359" s="57" t="b">
        <v>1</v>
      </c>
    </row>
    <row r="360" spans="2:4" x14ac:dyDescent="0.4">
      <c r="B360" s="54" t="s">
        <v>147</v>
      </c>
      <c r="C360" s="54" t="s">
        <v>169</v>
      </c>
      <c r="D360" s="57" t="b">
        <v>1</v>
      </c>
    </row>
    <row r="361" spans="2:4" x14ac:dyDescent="0.4">
      <c r="B361" s="54" t="s">
        <v>148</v>
      </c>
      <c r="C361" s="54" t="s">
        <v>170</v>
      </c>
      <c r="D361" s="58">
        <v>46212.634360729164</v>
      </c>
    </row>
    <row r="362" spans="2:4" x14ac:dyDescent="0.4">
      <c r="B362" s="54" t="s">
        <v>149</v>
      </c>
      <c r="C362" s="54" t="s">
        <v>171</v>
      </c>
      <c r="D362" s="59" t="s">
        <v>183</v>
      </c>
    </row>
    <row r="363" spans="2:4" x14ac:dyDescent="0.4">
      <c r="B363" s="54" t="s">
        <v>150</v>
      </c>
      <c r="C363" s="54" t="s">
        <v>172</v>
      </c>
      <c r="D363" s="59" t="s">
        <v>183</v>
      </c>
    </row>
    <row r="364" spans="2:4" ht="31.5" x14ac:dyDescent="0.4">
      <c r="B364" s="54" t="s">
        <v>151</v>
      </c>
      <c r="C364" s="54" t="s">
        <v>173</v>
      </c>
      <c r="D364" s="59" t="s">
        <v>183</v>
      </c>
    </row>
    <row r="365" spans="2:4" ht="31.5" x14ac:dyDescent="0.4">
      <c r="B365" s="54" t="s">
        <v>152</v>
      </c>
      <c r="C365" s="54" t="s">
        <v>174</v>
      </c>
      <c r="D365" s="59" t="s">
        <v>183</v>
      </c>
    </row>
    <row r="366" spans="2:4" ht="31.5" x14ac:dyDescent="0.4">
      <c r="B366" s="54" t="s">
        <v>153</v>
      </c>
      <c r="C366" s="54" t="s">
        <v>175</v>
      </c>
      <c r="D366" s="59" t="s">
        <v>183</v>
      </c>
    </row>
    <row r="367" spans="2:4" x14ac:dyDescent="0.4">
      <c r="B367" s="54" t="s">
        <v>154</v>
      </c>
      <c r="C367" s="54" t="s">
        <v>176</v>
      </c>
      <c r="D367" s="56" t="s">
        <v>264</v>
      </c>
    </row>
    <row r="368" spans="2:4" x14ac:dyDescent="0.4">
      <c r="B368" s="54" t="s">
        <v>155</v>
      </c>
      <c r="C368" s="54" t="s">
        <v>177</v>
      </c>
      <c r="D368" s="59" t="s">
        <v>183</v>
      </c>
    </row>
    <row r="370" spans="1:5" x14ac:dyDescent="0.4">
      <c r="A370" s="41" t="s">
        <v>271</v>
      </c>
    </row>
    <row r="371" spans="1:5" x14ac:dyDescent="0.4">
      <c r="B371" s="54" t="s">
        <v>265</v>
      </c>
      <c r="C371" s="54" t="s">
        <v>156</v>
      </c>
      <c r="D371" s="55">
        <v>325</v>
      </c>
      <c r="E371" s="55">
        <v>326</v>
      </c>
    </row>
    <row r="372" spans="1:5" x14ac:dyDescent="0.4">
      <c r="B372" s="54" t="s">
        <v>213</v>
      </c>
      <c r="C372" s="54" t="s">
        <v>216</v>
      </c>
      <c r="D372" s="55">
        <v>166</v>
      </c>
      <c r="E372" s="55">
        <v>166</v>
      </c>
    </row>
    <row r="373" spans="1:5" x14ac:dyDescent="0.4">
      <c r="B373" s="54" t="s">
        <v>214</v>
      </c>
      <c r="C373" s="54" t="s">
        <v>217</v>
      </c>
      <c r="D373" s="56" t="s">
        <v>266</v>
      </c>
      <c r="E373" s="56" t="s">
        <v>268</v>
      </c>
    </row>
    <row r="374" spans="1:5" x14ac:dyDescent="0.4">
      <c r="B374" s="54" t="s">
        <v>215</v>
      </c>
      <c r="C374" s="54" t="s">
        <v>218</v>
      </c>
      <c r="D374" s="56" t="s">
        <v>267</v>
      </c>
      <c r="E374" s="56" t="s">
        <v>269</v>
      </c>
    </row>
    <row r="377" spans="1:5" x14ac:dyDescent="0.4">
      <c r="A377" s="41" t="s">
        <v>272</v>
      </c>
    </row>
    <row r="383" spans="1:5" x14ac:dyDescent="0.4">
      <c r="A383" s="41" t="s">
        <v>273</v>
      </c>
    </row>
    <row r="390" spans="1:4" x14ac:dyDescent="0.4">
      <c r="A390" s="41" t="s">
        <v>275</v>
      </c>
    </row>
    <row r="391" spans="1:4" x14ac:dyDescent="0.4">
      <c r="B391" s="54" t="s">
        <v>135</v>
      </c>
      <c r="C391" s="54" t="s">
        <v>156</v>
      </c>
      <c r="D391" s="55">
        <v>166</v>
      </c>
    </row>
    <row r="392" spans="1:4" x14ac:dyDescent="0.4">
      <c r="B392" s="54" t="s">
        <v>119</v>
      </c>
      <c r="C392" s="54" t="s">
        <v>157</v>
      </c>
      <c r="D392" s="56" t="s">
        <v>261</v>
      </c>
    </row>
    <row r="393" spans="1:4" ht="31.5" x14ac:dyDescent="0.4">
      <c r="B393" s="54" t="s">
        <v>136</v>
      </c>
      <c r="C393" s="54" t="s">
        <v>158</v>
      </c>
      <c r="D393" s="56" t="s">
        <v>179</v>
      </c>
    </row>
    <row r="394" spans="1:4" x14ac:dyDescent="0.4">
      <c r="B394" s="54" t="s">
        <v>137</v>
      </c>
      <c r="C394" s="54" t="s">
        <v>159</v>
      </c>
      <c r="D394" s="56" t="s">
        <v>262</v>
      </c>
    </row>
    <row r="395" spans="1:4" ht="31.5" x14ac:dyDescent="0.4">
      <c r="B395" s="54" t="s">
        <v>138</v>
      </c>
      <c r="C395" s="54" t="s">
        <v>160</v>
      </c>
      <c r="D395" s="56" t="s">
        <v>263</v>
      </c>
    </row>
    <row r="396" spans="1:4" x14ac:dyDescent="0.4">
      <c r="B396" s="54" t="s">
        <v>139</v>
      </c>
      <c r="C396" s="54" t="s">
        <v>161</v>
      </c>
      <c r="D396" s="56" t="s">
        <v>242</v>
      </c>
    </row>
    <row r="397" spans="1:4" x14ac:dyDescent="0.4">
      <c r="B397" s="54" t="s">
        <v>140</v>
      </c>
      <c r="C397" s="54" t="s">
        <v>162</v>
      </c>
      <c r="D397" s="57" t="b">
        <v>0</v>
      </c>
    </row>
    <row r="398" spans="1:4" x14ac:dyDescent="0.4">
      <c r="B398" s="54" t="s">
        <v>141</v>
      </c>
      <c r="C398" s="54" t="s">
        <v>163</v>
      </c>
      <c r="D398" s="57" t="b">
        <v>0</v>
      </c>
    </row>
    <row r="399" spans="1:4" ht="31.5" x14ac:dyDescent="0.4">
      <c r="B399" s="54" t="s">
        <v>142</v>
      </c>
      <c r="C399" s="54" t="s">
        <v>164</v>
      </c>
      <c r="D399" s="57" t="b">
        <v>1</v>
      </c>
    </row>
    <row r="400" spans="1:4" x14ac:dyDescent="0.4">
      <c r="B400" s="54" t="s">
        <v>143</v>
      </c>
      <c r="C400" s="54" t="s">
        <v>165</v>
      </c>
      <c r="D400" s="57" t="b">
        <v>1</v>
      </c>
    </row>
    <row r="401" spans="1:4" x14ac:dyDescent="0.4">
      <c r="B401" s="54" t="s">
        <v>144</v>
      </c>
      <c r="C401" s="54" t="s">
        <v>166</v>
      </c>
      <c r="D401" s="57" t="b">
        <v>1</v>
      </c>
    </row>
    <row r="402" spans="1:4" x14ac:dyDescent="0.4">
      <c r="B402" s="54" t="s">
        <v>145</v>
      </c>
      <c r="C402" s="54" t="s">
        <v>167</v>
      </c>
      <c r="D402" s="57" t="b">
        <v>0</v>
      </c>
    </row>
    <row r="403" spans="1:4" ht="31.5" x14ac:dyDescent="0.4">
      <c r="B403" s="54" t="s">
        <v>146</v>
      </c>
      <c r="C403" s="54" t="s">
        <v>168</v>
      </c>
      <c r="D403" s="57" t="b">
        <v>1</v>
      </c>
    </row>
    <row r="404" spans="1:4" x14ac:dyDescent="0.4">
      <c r="B404" s="54" t="s">
        <v>147</v>
      </c>
      <c r="C404" s="54" t="s">
        <v>169</v>
      </c>
      <c r="D404" s="57" t="b">
        <v>1</v>
      </c>
    </row>
    <row r="405" spans="1:4" x14ac:dyDescent="0.4">
      <c r="B405" s="54" t="s">
        <v>148</v>
      </c>
      <c r="C405" s="54" t="s">
        <v>170</v>
      </c>
      <c r="D405" s="58">
        <v>46212.634360729164</v>
      </c>
    </row>
    <row r="406" spans="1:4" x14ac:dyDescent="0.4">
      <c r="B406" s="54" t="s">
        <v>149</v>
      </c>
      <c r="C406" s="54" t="s">
        <v>171</v>
      </c>
      <c r="D406" s="58">
        <v>46212.661812326391</v>
      </c>
    </row>
    <row r="407" spans="1:4" x14ac:dyDescent="0.4">
      <c r="B407" s="54" t="s">
        <v>150</v>
      </c>
      <c r="C407" s="54" t="s">
        <v>172</v>
      </c>
      <c r="D407" s="58">
        <v>46242.661812326391</v>
      </c>
    </row>
    <row r="408" spans="1:4" ht="31.5" x14ac:dyDescent="0.4">
      <c r="B408" s="54" t="s">
        <v>151</v>
      </c>
      <c r="C408" s="54" t="s">
        <v>173</v>
      </c>
      <c r="D408" s="55">
        <v>999</v>
      </c>
    </row>
    <row r="409" spans="1:4" ht="31.5" x14ac:dyDescent="0.4">
      <c r="B409" s="54" t="s">
        <v>152</v>
      </c>
      <c r="C409" s="54" t="s">
        <v>174</v>
      </c>
      <c r="D409" s="55">
        <v>9999</v>
      </c>
    </row>
    <row r="410" spans="1:4" ht="31.5" x14ac:dyDescent="0.4">
      <c r="B410" s="54" t="s">
        <v>153</v>
      </c>
      <c r="C410" s="54" t="s">
        <v>175</v>
      </c>
      <c r="D410" s="55">
        <v>99999</v>
      </c>
    </row>
    <row r="411" spans="1:4" x14ac:dyDescent="0.4">
      <c r="B411" s="54" t="s">
        <v>154</v>
      </c>
      <c r="C411" s="54" t="s">
        <v>176</v>
      </c>
      <c r="D411" s="56" t="s">
        <v>264</v>
      </c>
    </row>
    <row r="412" spans="1:4" x14ac:dyDescent="0.4">
      <c r="B412" s="54" t="s">
        <v>155</v>
      </c>
      <c r="C412" s="54" t="s">
        <v>177</v>
      </c>
      <c r="D412" s="56" t="s">
        <v>274</v>
      </c>
    </row>
    <row r="414" spans="1:4" x14ac:dyDescent="0.4">
      <c r="A414" s="41" t="s">
        <v>276</v>
      </c>
    </row>
    <row r="422" spans="1:1" x14ac:dyDescent="0.4">
      <c r="A422" s="41" t="s">
        <v>277</v>
      </c>
    </row>
    <row r="445" spans="1:1" x14ac:dyDescent="0.4">
      <c r="A445" s="41" t="s">
        <v>278</v>
      </c>
    </row>
    <row r="453" spans="1:1" x14ac:dyDescent="0.4">
      <c r="A453" s="41" t="s">
        <v>279</v>
      </c>
    </row>
  </sheetData>
  <phoneticPr fontId="2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7443D-B0D4-4829-893F-AA3BB05BFB6C}">
  <dimension ref="A1:B8"/>
  <sheetViews>
    <sheetView workbookViewId="0">
      <selection activeCell="J15" sqref="J15"/>
    </sheetView>
  </sheetViews>
  <sheetFormatPr defaultRowHeight="18.75" x14ac:dyDescent="0.4"/>
  <cols>
    <col min="1" max="1" width="11.75" customWidth="1"/>
  </cols>
  <sheetData>
    <row r="1" spans="1:2" x14ac:dyDescent="0.4">
      <c r="A1" s="7" t="s">
        <v>25</v>
      </c>
      <c r="B1" s="7" t="s">
        <v>9</v>
      </c>
    </row>
    <row r="2" spans="1:2" x14ac:dyDescent="0.4">
      <c r="A2" s="8"/>
      <c r="B2" s="23"/>
    </row>
    <row r="3" spans="1:2" x14ac:dyDescent="0.4">
      <c r="A3" s="8" t="s">
        <v>27</v>
      </c>
      <c r="B3" s="23" t="s">
        <v>31</v>
      </c>
    </row>
    <row r="4" spans="1:2" x14ac:dyDescent="0.4">
      <c r="A4" s="8" t="s">
        <v>26</v>
      </c>
      <c r="B4" s="23" t="s">
        <v>32</v>
      </c>
    </row>
    <row r="5" spans="1:2" x14ac:dyDescent="0.4">
      <c r="A5" s="8" t="s">
        <v>29</v>
      </c>
      <c r="B5" s="23" t="s">
        <v>33</v>
      </c>
    </row>
    <row r="6" spans="1:2" x14ac:dyDescent="0.4">
      <c r="A6" s="8" t="s">
        <v>28</v>
      </c>
    </row>
    <row r="7" spans="1:2" x14ac:dyDescent="0.4">
      <c r="A7" s="8" t="s">
        <v>4</v>
      </c>
    </row>
    <row r="8" spans="1:2" x14ac:dyDescent="0.4">
      <c r="A8" s="8" t="s">
        <v>30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指標</vt:lpstr>
      <vt:lpstr>結合試験仕様書兼結果報告書</vt:lpstr>
      <vt:lpstr>エビデンス</vt:lpstr>
      <vt:lpstr>マスタ</vt:lpstr>
      <vt:lpstr>結合試験仕様書兼結果報告書!Print_Area</vt:lpstr>
      <vt:lpstr>係数修正</vt:lpstr>
      <vt:lpstr>係数新規</vt:lpstr>
      <vt:lpstr>係数流用</vt:lpstr>
      <vt:lpstr>原因</vt:lpstr>
      <vt:lpstr>誤り件数</vt:lpstr>
      <vt:lpstr>合否</vt:lpstr>
      <vt:lpstr>試験密度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kitabayashi</dc:creator>
  <cp:lastModifiedBy>榎本亮二</cp:lastModifiedBy>
  <cp:lastPrinted>2020-08-13T05:00:03Z</cp:lastPrinted>
  <dcterms:created xsi:type="dcterms:W3CDTF">2017-03-24T09:47:56Z</dcterms:created>
  <dcterms:modified xsi:type="dcterms:W3CDTF">2026-07-09T06:57:54Z</dcterms:modified>
</cp:coreProperties>
</file>