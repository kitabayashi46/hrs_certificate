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\hrs_環境証明書\40_試験\試験結果\"/>
    </mc:Choice>
  </mc:AlternateContent>
  <xr:revisionPtr revIDLastSave="0" documentId="13_ncr:1_{AAB9BD18-F2D0-488F-A658-92F45F3FB588}" xr6:coauthVersionLast="47" xr6:coauthVersionMax="47" xr10:uidLastSave="{00000000-0000-0000-0000-000000000000}"/>
  <bookViews>
    <workbookView xWindow="855" yWindow="0" windowWidth="27765" windowHeight="15585" tabRatio="769" activeTab="1" xr2:uid="{00000000-000D-0000-FFFF-FFFF00000000}"/>
  </bookViews>
  <sheets>
    <sheet name="指標" sheetId="26" r:id="rId1"/>
    <sheet name="単体試験仕様書兼結果報告書" sheetId="22" r:id="rId2"/>
    <sheet name="エビデンス" sheetId="78" r:id="rId3"/>
  </sheets>
  <definedNames>
    <definedName name="_xlnm._FilterDatabase" localSheetId="1" hidden="1">単体試験仕様書兼結果報告書!$A$14:$V$18</definedName>
    <definedName name="_xlnm.Print_Area" localSheetId="1">単体試験仕様書兼結果報告書!$A$1:$S$28</definedName>
    <definedName name="チェック対象">指標!$L$3:$L$5</definedName>
    <definedName name="係数修正">指標!$D$9</definedName>
    <definedName name="係数新規">指標!$D$8</definedName>
    <definedName name="係数流用">指標!$D$10</definedName>
    <definedName name="誤り件数">指標!$C$6</definedName>
    <definedName name="試験密度">指標!$C$4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7" i="22" l="1"/>
  <c r="B126" i="22"/>
  <c r="B125" i="22"/>
  <c r="B124" i="22"/>
  <c r="B123" i="22"/>
  <c r="B122" i="22"/>
  <c r="B121" i="22"/>
  <c r="B120" i="22"/>
  <c r="B119" i="22"/>
  <c r="B118" i="22"/>
  <c r="B117" i="22"/>
  <c r="B116" i="22"/>
  <c r="B115" i="22"/>
  <c r="B114" i="22"/>
  <c r="B113" i="22"/>
  <c r="B112" i="22"/>
  <c r="B111" i="22"/>
  <c r="B110" i="22"/>
  <c r="B109" i="22"/>
  <c r="B108" i="22"/>
  <c r="B107" i="22"/>
  <c r="B106" i="22"/>
  <c r="B105" i="22"/>
  <c r="B104" i="22"/>
  <c r="B103" i="22"/>
  <c r="B102" i="22"/>
  <c r="B101" i="22"/>
  <c r="B100" i="22"/>
  <c r="B99" i="22"/>
  <c r="B98" i="22"/>
  <c r="B97" i="22"/>
  <c r="B96" i="22"/>
  <c r="B95" i="22"/>
  <c r="B94" i="22"/>
  <c r="B85" i="22"/>
  <c r="J8" i="22"/>
  <c r="I2" i="22"/>
  <c r="B93" i="22"/>
  <c r="B92" i="22"/>
  <c r="B91" i="22"/>
  <c r="B90" i="22"/>
  <c r="B89" i="22"/>
  <c r="B88" i="22"/>
  <c r="B87" i="22"/>
  <c r="B86" i="22"/>
  <c r="B84" i="22"/>
  <c r="B83" i="22"/>
  <c r="B82" i="22"/>
  <c r="B81" i="22"/>
  <c r="B80" i="22"/>
  <c r="B79" i="22"/>
  <c r="B78" i="22"/>
  <c r="B77" i="22"/>
  <c r="B76" i="22"/>
  <c r="B75" i="22"/>
  <c r="B74" i="22"/>
  <c r="B73" i="22"/>
  <c r="B72" i="22"/>
  <c r="B71" i="22"/>
  <c r="B70" i="22"/>
  <c r="B69" i="22"/>
  <c r="B68" i="22"/>
  <c r="B67" i="22"/>
  <c r="B66" i="22"/>
  <c r="B65" i="22"/>
  <c r="B64" i="22"/>
  <c r="B63" i="22"/>
  <c r="B62" i="22"/>
  <c r="B61" i="22"/>
  <c r="B60" i="22"/>
  <c r="B59" i="22"/>
  <c r="B58" i="22"/>
  <c r="B57" i="22"/>
  <c r="B56" i="22"/>
  <c r="B55" i="22"/>
  <c r="B54" i="22"/>
  <c r="B53" i="22" l="1"/>
  <c r="F52" i="22"/>
  <c r="B52" i="22"/>
  <c r="F51" i="22"/>
  <c r="B51" i="22"/>
  <c r="F50" i="22"/>
  <c r="B50" i="22"/>
  <c r="F49" i="22"/>
  <c r="B49" i="22"/>
  <c r="F48" i="22"/>
  <c r="B48" i="22"/>
  <c r="F47" i="22"/>
  <c r="B47" i="22"/>
  <c r="F46" i="22"/>
  <c r="B46" i="22"/>
  <c r="F45" i="22"/>
  <c r="B45" i="22"/>
  <c r="F44" i="22"/>
  <c r="B44" i="22"/>
  <c r="F43" i="22"/>
  <c r="B43" i="22"/>
  <c r="B42" i="22"/>
  <c r="F41" i="22"/>
  <c r="B41" i="22"/>
  <c r="B40" i="22"/>
  <c r="B39" i="22"/>
  <c r="B38" i="22"/>
  <c r="F36" i="22"/>
  <c r="F35" i="22"/>
  <c r="F34" i="22"/>
  <c r="F33" i="22"/>
  <c r="F32" i="22"/>
  <c r="F31" i="22"/>
  <c r="F30" i="22"/>
  <c r="F29" i="22"/>
  <c r="F28" i="22"/>
  <c r="F27" i="22"/>
  <c r="F25" i="22"/>
  <c r="J11" i="22" l="1"/>
  <c r="B37" i="22"/>
  <c r="B36" i="22"/>
  <c r="B35" i="22"/>
  <c r="B33" i="22"/>
  <c r="B32" i="22"/>
  <c r="B31" i="22"/>
  <c r="B30" i="22"/>
  <c r="B23" i="22"/>
  <c r="B34" i="22" l="1"/>
  <c r="B29" i="22"/>
  <c r="B28" i="22"/>
  <c r="B27" i="22"/>
  <c r="B26" i="22"/>
  <c r="B25" i="22"/>
  <c r="B24" i="22"/>
  <c r="B22" i="22"/>
  <c r="B21" i="22"/>
  <c r="B20" i="22"/>
  <c r="B19" i="22"/>
  <c r="B18" i="22"/>
  <c r="B17" i="22"/>
  <c r="B16" i="22"/>
  <c r="Q11" i="22"/>
  <c r="Q10" i="22"/>
  <c r="B15" i="22"/>
  <c r="C4" i="22" l="1"/>
  <c r="C5" i="22" s="1"/>
  <c r="C10" i="22" l="1"/>
  <c r="D10" i="22" s="1"/>
  <c r="C6" i="22"/>
  <c r="C9" i="22"/>
  <c r="D9" i="22" l="1"/>
</calcChain>
</file>

<file path=xl/sharedStrings.xml><?xml version="1.0" encoding="utf-8"?>
<sst xmlns="http://schemas.openxmlformats.org/spreadsheetml/2006/main" count="527" uniqueCount="203">
  <si>
    <t>原因分析</t>
    <rPh sb="0" eb="2">
      <t>ゲンイン</t>
    </rPh>
    <rPh sb="2" eb="4">
      <t>ブンセキ</t>
    </rPh>
    <phoneticPr fontId="2"/>
  </si>
  <si>
    <t>詳細設計作成者</t>
    <rPh sb="0" eb="2">
      <t>ショウサイ</t>
    </rPh>
    <rPh sb="2" eb="4">
      <t>セッケイ</t>
    </rPh>
    <rPh sb="4" eb="6">
      <t>サクセイ</t>
    </rPh>
    <rPh sb="6" eb="7">
      <t>シャ</t>
    </rPh>
    <phoneticPr fontId="2"/>
  </si>
  <si>
    <t>基本設計誤り・漏れ</t>
    <rPh sb="0" eb="2">
      <t>キホン</t>
    </rPh>
    <rPh sb="2" eb="4">
      <t>セッケイ</t>
    </rPh>
    <rPh sb="4" eb="5">
      <t>アヤマ</t>
    </rPh>
    <rPh sb="7" eb="8">
      <t>モ</t>
    </rPh>
    <phoneticPr fontId="2"/>
  </si>
  <si>
    <t>詳細設計誤り・漏れ</t>
    <rPh sb="0" eb="2">
      <t>ショウサイ</t>
    </rPh>
    <rPh sb="2" eb="4">
      <t>セッケイ</t>
    </rPh>
    <rPh sb="4" eb="5">
      <t>アヤマ</t>
    </rPh>
    <rPh sb="7" eb="8">
      <t>モ</t>
    </rPh>
    <phoneticPr fontId="2"/>
  </si>
  <si>
    <t>単体試験作成者</t>
    <rPh sb="0" eb="2">
      <t>タンタイ</t>
    </rPh>
    <rPh sb="2" eb="4">
      <t>シケン</t>
    </rPh>
    <rPh sb="4" eb="6">
      <t>サクセイ</t>
    </rPh>
    <rPh sb="6" eb="7">
      <t>シャ</t>
    </rPh>
    <phoneticPr fontId="2"/>
  </si>
  <si>
    <t>DB設計誤り・漏れ</t>
    <rPh sb="2" eb="4">
      <t>セッケイ</t>
    </rPh>
    <rPh sb="4" eb="5">
      <t>アヤマ</t>
    </rPh>
    <rPh sb="7" eb="8">
      <t>モ</t>
    </rPh>
    <phoneticPr fontId="2"/>
  </si>
  <si>
    <t>計画コーディングStep数</t>
    <rPh sb="0" eb="2">
      <t>ケイカク</t>
    </rPh>
    <rPh sb="12" eb="13">
      <t>スウ</t>
    </rPh>
    <phoneticPr fontId="2"/>
  </si>
  <si>
    <t>(STEP)</t>
    <phoneticPr fontId="2"/>
  </si>
  <si>
    <t>単純ミス</t>
    <rPh sb="0" eb="2">
      <t>タンジュン</t>
    </rPh>
    <phoneticPr fontId="2"/>
  </si>
  <si>
    <t>単体試験実施予定日</t>
    <rPh sb="0" eb="2">
      <t>タンタイ</t>
    </rPh>
    <rPh sb="2" eb="4">
      <t>シケン</t>
    </rPh>
    <rPh sb="4" eb="6">
      <t>ジッシ</t>
    </rPh>
    <rPh sb="6" eb="9">
      <t>ヨテイビ</t>
    </rPh>
    <phoneticPr fontId="2"/>
  </si>
  <si>
    <t>~</t>
    <phoneticPr fontId="2"/>
  </si>
  <si>
    <t>限界値・処理ミス</t>
    <rPh sb="0" eb="2">
      <t>ゲンカイ</t>
    </rPh>
    <rPh sb="2" eb="3">
      <t>チ</t>
    </rPh>
    <rPh sb="4" eb="6">
      <t>ショリ</t>
    </rPh>
    <phoneticPr fontId="2"/>
  </si>
  <si>
    <t>実施コーディングStep数</t>
    <rPh sb="0" eb="2">
      <t>ジッシ</t>
    </rPh>
    <rPh sb="12" eb="13">
      <t>スウ</t>
    </rPh>
    <phoneticPr fontId="2"/>
  </si>
  <si>
    <t>新規</t>
    <rPh sb="0" eb="2">
      <t>シンキ</t>
    </rPh>
    <phoneticPr fontId="2"/>
  </si>
  <si>
    <t>初期化ミス</t>
    <rPh sb="0" eb="3">
      <t>ショキカ</t>
    </rPh>
    <phoneticPr fontId="2"/>
  </si>
  <si>
    <t>テスト環境</t>
    <rPh sb="3" eb="5">
      <t>カンキョウ</t>
    </rPh>
    <phoneticPr fontId="2"/>
  </si>
  <si>
    <t>修正</t>
    <rPh sb="0" eb="2">
      <t>シュウセイ</t>
    </rPh>
    <phoneticPr fontId="2"/>
  </si>
  <si>
    <t>テスト結果</t>
    <rPh sb="3" eb="5">
      <t>ケッカ</t>
    </rPh>
    <phoneticPr fontId="2"/>
  </si>
  <si>
    <t>分岐ミス</t>
    <rPh sb="0" eb="2">
      <t>ブンキ</t>
    </rPh>
    <phoneticPr fontId="2"/>
  </si>
  <si>
    <t>実施OS　</t>
    <rPh sb="0" eb="2">
      <t>ジッシ</t>
    </rPh>
    <phoneticPr fontId="2"/>
  </si>
  <si>
    <t>windows10</t>
    <phoneticPr fontId="2"/>
  </si>
  <si>
    <t>流用</t>
    <rPh sb="0" eb="2">
      <t>リュウヨウ</t>
    </rPh>
    <phoneticPr fontId="2"/>
  </si>
  <si>
    <t>合格件数</t>
    <rPh sb="0" eb="2">
      <t>ゴウカク</t>
    </rPh>
    <rPh sb="2" eb="4">
      <t>ケンスウ</t>
    </rPh>
    <phoneticPr fontId="2"/>
  </si>
  <si>
    <t>件</t>
    <rPh sb="0" eb="1">
      <t>ケン</t>
    </rPh>
    <phoneticPr fontId="2"/>
  </si>
  <si>
    <t>環境ミス</t>
    <rPh sb="0" eb="2">
      <t>カンキョウ</t>
    </rPh>
    <phoneticPr fontId="2"/>
  </si>
  <si>
    <t>実施ブラウザ　</t>
    <rPh sb="0" eb="2">
      <t>ジッシ</t>
    </rPh>
    <phoneticPr fontId="2"/>
  </si>
  <si>
    <t>単体試験項目件数</t>
    <rPh sb="0" eb="2">
      <t>タンタイ</t>
    </rPh>
    <rPh sb="2" eb="4">
      <t>シケン</t>
    </rPh>
    <rPh sb="4" eb="6">
      <t>コウモク</t>
    </rPh>
    <rPh sb="6" eb="7">
      <t>ケン</t>
    </rPh>
    <rPh sb="7" eb="8">
      <t>スウ</t>
    </rPh>
    <phoneticPr fontId="2"/>
  </si>
  <si>
    <t>不合格件数</t>
    <rPh sb="0" eb="3">
      <t>フゴウカク</t>
    </rPh>
    <rPh sb="3" eb="5">
      <t>ケンスウ</t>
    </rPh>
    <phoneticPr fontId="2"/>
  </si>
  <si>
    <t>テストデータミス</t>
    <phoneticPr fontId="2"/>
  </si>
  <si>
    <t>実施サーバ（DB）</t>
    <rPh sb="0" eb="2">
      <t>ジッシ</t>
    </rPh>
    <phoneticPr fontId="2"/>
  </si>
  <si>
    <t>設定ミス</t>
    <rPh sb="0" eb="2">
      <t>セッテイ</t>
    </rPh>
    <phoneticPr fontId="2"/>
  </si>
  <si>
    <t>No</t>
    <phoneticPr fontId="2"/>
  </si>
  <si>
    <t>期待結果</t>
    <rPh sb="0" eb="2">
      <t>キタイ</t>
    </rPh>
    <rPh sb="2" eb="4">
      <t>ケッカ</t>
    </rPh>
    <phoneticPr fontId="2"/>
  </si>
  <si>
    <t>系統</t>
    <rPh sb="0" eb="2">
      <t>ケイトウ</t>
    </rPh>
    <phoneticPr fontId="2"/>
  </si>
  <si>
    <t>確認項目数</t>
    <rPh sb="0" eb="2">
      <t>カクニン</t>
    </rPh>
    <rPh sb="2" eb="5">
      <t>コウモクスウ</t>
    </rPh>
    <phoneticPr fontId="2"/>
  </si>
  <si>
    <t>実施日</t>
    <rPh sb="0" eb="2">
      <t>ジッシ</t>
    </rPh>
    <rPh sb="2" eb="3">
      <t>ビ</t>
    </rPh>
    <phoneticPr fontId="2"/>
  </si>
  <si>
    <t>実施者</t>
    <rPh sb="0" eb="2">
      <t>ジッシ</t>
    </rPh>
    <rPh sb="2" eb="3">
      <t>シャ</t>
    </rPh>
    <phoneticPr fontId="2"/>
  </si>
  <si>
    <t>合否</t>
    <rPh sb="0" eb="2">
      <t>ゴウヒ</t>
    </rPh>
    <phoneticPr fontId="2"/>
  </si>
  <si>
    <t>エラー原因</t>
    <rPh sb="3" eb="5">
      <t>ゲンイン</t>
    </rPh>
    <phoneticPr fontId="2"/>
  </si>
  <si>
    <t>横展開実施可否</t>
    <rPh sb="0" eb="1">
      <t>ヨコ</t>
    </rPh>
    <rPh sb="1" eb="3">
      <t>テンカイ</t>
    </rPh>
    <rPh sb="3" eb="5">
      <t>ジッシ</t>
    </rPh>
    <rPh sb="5" eb="7">
      <t>カヒ</t>
    </rPh>
    <phoneticPr fontId="2"/>
  </si>
  <si>
    <t>エラー件数</t>
    <rPh sb="3" eb="5">
      <t>ケンスウ</t>
    </rPh>
    <phoneticPr fontId="2"/>
  </si>
  <si>
    <t>再試験日</t>
    <rPh sb="0" eb="3">
      <t>サイシケン</t>
    </rPh>
    <rPh sb="3" eb="4">
      <t>ビ</t>
    </rPh>
    <phoneticPr fontId="2"/>
  </si>
  <si>
    <t>※複数の単体試験シートを作成する場合、Step数は</t>
    <rPh sb="1" eb="3">
      <t>フクスウ</t>
    </rPh>
    <rPh sb="4" eb="6">
      <t>タンタイ</t>
    </rPh>
    <rPh sb="6" eb="8">
      <t>シケン</t>
    </rPh>
    <rPh sb="12" eb="14">
      <t>サクセイ</t>
    </rPh>
    <rPh sb="16" eb="18">
      <t>バアイ</t>
    </rPh>
    <rPh sb="23" eb="24">
      <t>スウ</t>
    </rPh>
    <phoneticPr fontId="2"/>
  </si>
  <si>
    <t>最初のシートだけ入力してください。</t>
    <rPh sb="0" eb="2">
      <t>サイショ</t>
    </rPh>
    <rPh sb="8" eb="10">
      <t>ニュウリョク</t>
    </rPh>
    <phoneticPr fontId="2"/>
  </si>
  <si>
    <t>テスト項目</t>
    <rPh sb="3" eb="5">
      <t>コウモク</t>
    </rPh>
    <phoneticPr fontId="2"/>
  </si>
  <si>
    <t>単体試験仕様書兼テスト結果報告書</t>
    <rPh sb="0" eb="2">
      <t>タンタイ</t>
    </rPh>
    <rPh sb="2" eb="4">
      <t>シケン</t>
    </rPh>
    <rPh sb="4" eb="7">
      <t>シヨウショ</t>
    </rPh>
    <rPh sb="7" eb="8">
      <t>ケン</t>
    </rPh>
    <rPh sb="11" eb="13">
      <t>ケッカ</t>
    </rPh>
    <rPh sb="13" eb="16">
      <t>ホウコクショ</t>
    </rPh>
    <phoneticPr fontId="2"/>
  </si>
  <si>
    <t>プロジェクト名　</t>
    <rPh sb="6" eb="7">
      <t>メイ</t>
    </rPh>
    <phoneticPr fontId="2"/>
  </si>
  <si>
    <t>プログラム名　</t>
    <rPh sb="5" eb="6">
      <t>メイ</t>
    </rPh>
    <phoneticPr fontId="2"/>
  </si>
  <si>
    <t>論理名　</t>
    <rPh sb="0" eb="2">
      <t>ロンリ</t>
    </rPh>
    <rPh sb="2" eb="3">
      <t>メイ</t>
    </rPh>
    <phoneticPr fontId="2"/>
  </si>
  <si>
    <t>結果</t>
    <rPh sb="0" eb="2">
      <t>ケッカ</t>
    </rPh>
    <phoneticPr fontId="2"/>
  </si>
  <si>
    <t>大分類</t>
    <rPh sb="0" eb="3">
      <t>ダイブンルイ</t>
    </rPh>
    <phoneticPr fontId="2"/>
  </si>
  <si>
    <t>中分類</t>
    <rPh sb="0" eb="3">
      <t>チュウブンルイ</t>
    </rPh>
    <phoneticPr fontId="2"/>
  </si>
  <si>
    <t>↓合否が×の場合、修正し再試験した日を入れる</t>
    <rPh sb="1" eb="3">
      <t>ゴウヒ</t>
    </rPh>
    <rPh sb="6" eb="8">
      <t>バアイ</t>
    </rPh>
    <rPh sb="9" eb="11">
      <t>シュウセイ</t>
    </rPh>
    <rPh sb="12" eb="15">
      <t>サイシケン</t>
    </rPh>
    <rPh sb="17" eb="18">
      <t>ヒ</t>
    </rPh>
    <rPh sb="19" eb="20">
      <t>イ</t>
    </rPh>
    <phoneticPr fontId="2"/>
  </si>
  <si>
    <t>補足</t>
    <rPh sb="0" eb="2">
      <t>ホソク</t>
    </rPh>
    <phoneticPr fontId="2"/>
  </si>
  <si>
    <t>単体試験結果指標</t>
    <rPh sb="0" eb="2">
      <t>タンタイ</t>
    </rPh>
    <rPh sb="2" eb="4">
      <t>シケン</t>
    </rPh>
    <rPh sb="4" eb="6">
      <t>ケッカ</t>
    </rPh>
    <rPh sb="6" eb="8">
      <t>シヒョウ</t>
    </rPh>
    <phoneticPr fontId="2"/>
  </si>
  <si>
    <t>試験密度</t>
    <rPh sb="0" eb="2">
      <t>シケン</t>
    </rPh>
    <rPh sb="2" eb="4">
      <t>ミツド</t>
    </rPh>
    <phoneticPr fontId="2"/>
  </si>
  <si>
    <t>（1,000Stepあたりの目標値）</t>
  </si>
  <si>
    <t>誤り件数</t>
    <rPh sb="0" eb="1">
      <t>アヤマ</t>
    </rPh>
    <rPh sb="2" eb="4">
      <t>ケンスウ</t>
    </rPh>
    <phoneticPr fontId="2"/>
  </si>
  <si>
    <t>単体試験対象換算係数（難易度により付加係数）</t>
    <rPh sb="11" eb="14">
      <t>ナンイド</t>
    </rPh>
    <rPh sb="17" eb="19">
      <t>フカ</t>
    </rPh>
    <rPh sb="19" eb="21">
      <t>ケイスウ</t>
    </rPh>
    <phoneticPr fontId="2"/>
  </si>
  <si>
    <t>（基本は1.00）</t>
  </si>
  <si>
    <t>プロジェクトにより適正値を設定</t>
    <rPh sb="9" eb="11">
      <t>テキセイ</t>
    </rPh>
    <rPh sb="11" eb="12">
      <t>チ</t>
    </rPh>
    <rPh sb="13" eb="15">
      <t>セッテイ</t>
    </rPh>
    <phoneticPr fontId="2"/>
  </si>
  <si>
    <t>（基本は2.00）</t>
  </si>
  <si>
    <t>（基本は0.10）</t>
  </si>
  <si>
    <t>評価</t>
    <rPh sb="0" eb="2">
      <t>ヒョウカ</t>
    </rPh>
    <phoneticPr fontId="2"/>
  </si>
  <si>
    <t>密度</t>
    <rPh sb="0" eb="2">
      <t>ミツド</t>
    </rPh>
    <phoneticPr fontId="2"/>
  </si>
  <si>
    <t>** 実施結果 **</t>
    <rPh sb="3" eb="5">
      <t>ジッシ</t>
    </rPh>
    <rPh sb="5" eb="7">
      <t>ケッカ</t>
    </rPh>
    <phoneticPr fontId="2"/>
  </si>
  <si>
    <t>** テスト計画 **</t>
    <rPh sb="6" eb="8">
      <t>ケイカク</t>
    </rPh>
    <phoneticPr fontId="2"/>
  </si>
  <si>
    <t>件以上</t>
    <rPh sb="0" eb="1">
      <t>ケン</t>
    </rPh>
    <rPh sb="1" eb="3">
      <t>イジョウ</t>
    </rPh>
    <phoneticPr fontId="2"/>
  </si>
  <si>
    <t>誤り</t>
    <rPh sb="0" eb="1">
      <t>アヤマ</t>
    </rPh>
    <phoneticPr fontId="2"/>
  </si>
  <si>
    <t>件未満</t>
    <rPh sb="0" eb="1">
      <t>ケン</t>
    </rPh>
    <rPh sb="1" eb="3">
      <t>ミマン</t>
    </rPh>
    <phoneticPr fontId="2"/>
  </si>
  <si>
    <t>PostgreSQL</t>
    <phoneticPr fontId="2"/>
  </si>
  <si>
    <t>chrome</t>
    <phoneticPr fontId="2"/>
  </si>
  <si>
    <t>チェック対象</t>
    <rPh sb="4" eb="6">
      <t>タイショウ</t>
    </rPh>
    <phoneticPr fontId="2"/>
  </si>
  <si>
    <t>〇</t>
    <phoneticPr fontId="2"/>
  </si>
  <si>
    <t>－</t>
    <phoneticPr fontId="2"/>
  </si>
  <si>
    <t>環境証明書</t>
    <rPh sb="0" eb="2">
      <t>カンキョウ</t>
    </rPh>
    <rPh sb="2" eb="5">
      <t>ショウメイショ</t>
    </rPh>
    <phoneticPr fontId="2"/>
  </si>
  <si>
    <t>製品名</t>
  </si>
  <si>
    <t>CLコード</t>
  </si>
  <si>
    <t>〇</t>
  </si>
  <si>
    <t>4,5</t>
    <phoneticPr fontId="2"/>
  </si>
  <si>
    <t>受付番号</t>
  </si>
  <si>
    <t>申請者アカウントID</t>
  </si>
  <si>
    <t>ステータス</t>
  </si>
  <si>
    <t>成分表</t>
  </si>
  <si>
    <t>ハロゲンフリー証明書</t>
  </si>
  <si>
    <t>SDS</t>
  </si>
  <si>
    <t>AIS</t>
  </si>
  <si>
    <t>申請日時</t>
  </si>
  <si>
    <t>処理完了日時</t>
  </si>
  <si>
    <t>有効期限</t>
  </si>
  <si>
    <t>現在日であること</t>
    <rPh sb="0" eb="3">
      <t>ゲンザイビ</t>
    </rPh>
    <phoneticPr fontId="2"/>
  </si>
  <si>
    <t>宛先</t>
    <rPh sb="0" eb="2">
      <t>アテサキ</t>
    </rPh>
    <phoneticPr fontId="2"/>
  </si>
  <si>
    <t>申請者であること</t>
    <rPh sb="0" eb="3">
      <t>シンセイシャ</t>
    </rPh>
    <phoneticPr fontId="2"/>
  </si>
  <si>
    <t>件名</t>
    <rPh sb="0" eb="2">
      <t>ケンメイ</t>
    </rPh>
    <phoneticPr fontId="2"/>
  </si>
  <si>
    <t>本文</t>
    <rPh sb="0" eb="2">
      <t>ホンブン</t>
    </rPh>
    <phoneticPr fontId="2"/>
  </si>
  <si>
    <t>ID（主キー）</t>
  </si>
  <si>
    <t>申請対象会社名</t>
  </si>
  <si>
    <t>エンドユーザー名</t>
  </si>
  <si>
    <t>RoHS証明書</t>
  </si>
  <si>
    <t>ICP分析証明書</t>
  </si>
  <si>
    <t>chemSHERPA書類</t>
  </si>
  <si>
    <t>SVHC証明書</t>
  </si>
  <si>
    <t>証明書ZIPのファイルサイズ</t>
  </si>
  <si>
    <t>証明書ZIPのフォルダ数</t>
  </si>
  <si>
    <t>証明書ZIPのファイル数</t>
  </si>
  <si>
    <t>申請内容CSV</t>
  </si>
  <si>
    <t>証明書ZIP</t>
  </si>
  <si>
    <t>unprocessed</t>
  </si>
  <si>
    <t>« NULL »</t>
  </si>
  <si>
    <t>申請テーブル</t>
    <rPh sb="0" eb="2">
      <t>シンセイ</t>
    </rPh>
    <phoneticPr fontId="2"/>
  </si>
  <si>
    <t>製品マスタ同期ジョブ</t>
    <rPh sb="0" eb="2">
      <t>セイヒン</t>
    </rPh>
    <rPh sb="5" eb="7">
      <t>ドウキ</t>
    </rPh>
    <phoneticPr fontId="2"/>
  </si>
  <si>
    <t>申請可能製品マスタ</t>
    <rPh sb="0" eb="2">
      <t>シンセイ</t>
    </rPh>
    <rPh sb="2" eb="4">
      <t>カノウ</t>
    </rPh>
    <rPh sb="4" eb="6">
      <t>セイヒン</t>
    </rPh>
    <phoneticPr fontId="2"/>
  </si>
  <si>
    <t>レコード0件</t>
    <rPh sb="5" eb="6">
      <t>ケン</t>
    </rPh>
    <phoneticPr fontId="2"/>
  </si>
  <si>
    <t>S3フォルダ</t>
    <phoneticPr fontId="2"/>
  </si>
  <si>
    <t>存在ファイルのみの場合</t>
    <rPh sb="0" eb="2">
      <t>ソンザイ</t>
    </rPh>
    <rPh sb="9" eb="11">
      <t>バアイ</t>
    </rPh>
    <phoneticPr fontId="2"/>
  </si>
  <si>
    <t>データが取り込まれないこと</t>
    <rPh sb="4" eb="5">
      <t>ト</t>
    </rPh>
    <rPh sb="6" eb="7">
      <t>コ</t>
    </rPh>
    <phoneticPr fontId="2"/>
  </si>
  <si>
    <t>ログにcsvファイルが無い旨出力されること</t>
    <rPh sb="11" eb="12">
      <t>ナ</t>
    </rPh>
    <rPh sb="13" eb="14">
      <t>ムネ</t>
    </rPh>
    <rPh sb="14" eb="16">
      <t>シュツリョク</t>
    </rPh>
    <phoneticPr fontId="2"/>
  </si>
  <si>
    <t>榎本</t>
    <rPh sb="0" eb="2">
      <t>エノモト</t>
    </rPh>
    <phoneticPr fontId="2"/>
  </si>
  <si>
    <t>複数の存在ファイルのみる場合</t>
    <rPh sb="0" eb="2">
      <t>フクスウ</t>
    </rPh>
    <rPh sb="3" eb="5">
      <t>ソンザイ</t>
    </rPh>
    <rPh sb="12" eb="14">
      <t>バアイ</t>
    </rPh>
    <phoneticPr fontId="2"/>
  </si>
  <si>
    <t>6,7</t>
    <phoneticPr fontId="2"/>
  </si>
  <si>
    <t>ログに最新csvファイルが無い旨出力されること</t>
    <rPh sb="3" eb="5">
      <t>サイシン</t>
    </rPh>
    <rPh sb="13" eb="14">
      <t>ナ</t>
    </rPh>
    <rPh sb="15" eb="16">
      <t>ムネ</t>
    </rPh>
    <rPh sb="16" eb="18">
      <t>シュツリョク</t>
    </rPh>
    <phoneticPr fontId="2"/>
  </si>
  <si>
    <t>データがcsvレコード分取り込まれること</t>
    <rPh sb="11" eb="12">
      <t>ブン</t>
    </rPh>
    <rPh sb="12" eb="13">
      <t>ト</t>
    </rPh>
    <rPh sb="14" eb="15">
      <t>コ</t>
    </rPh>
    <phoneticPr fontId="2"/>
  </si>
  <si>
    <t>最新のcsvが処理対象となること</t>
    <rPh sb="0" eb="2">
      <t>サイシン</t>
    </rPh>
    <rPh sb="7" eb="9">
      <t>ショリ</t>
    </rPh>
    <rPh sb="9" eb="11">
      <t>タイショウ</t>
    </rPh>
    <phoneticPr fontId="2"/>
  </si>
  <si>
    <t>申請可能製品マスタ</t>
    <rPh sb="0" eb="4">
      <t>シンセイカノウ</t>
    </rPh>
    <rPh sb="4" eb="6">
      <t>セイヒン</t>
    </rPh>
    <phoneticPr fontId="2"/>
  </si>
  <si>
    <t>HRS品番</t>
  </si>
  <si>
    <t>ICP分析証明書の発行状況</t>
  </si>
  <si>
    <t>SDSの発行状況</t>
  </si>
  <si>
    <t>成分表の発行状況</t>
  </si>
  <si>
    <t>RoHS証明書の発行状況</t>
  </si>
  <si>
    <t>ハロゲンフリー証明書の発行状況</t>
  </si>
  <si>
    <t>AISの発行状況</t>
  </si>
  <si>
    <t>chemSHERPA書類の発行状況</t>
  </si>
  <si>
    <t>SVHC証明書の発行状況</t>
  </si>
  <si>
    <t>マスタデータバージョン</t>
  </si>
  <si>
    <t>CLコードから"CL"と"-"が除外されたもの</t>
    <rPh sb="16" eb="18">
      <t>ジョガイ</t>
    </rPh>
    <phoneticPr fontId="2"/>
  </si>
  <si>
    <t>処理後</t>
    <rPh sb="0" eb="3">
      <t>ショリゴ</t>
    </rPh>
    <phoneticPr fontId="2"/>
  </si>
  <si>
    <t>S3ファイルがgm/bkup/rcv/product/へ移動すること</t>
    <rPh sb="28" eb="30">
      <t>イドウ</t>
    </rPh>
    <phoneticPr fontId="2"/>
  </si>
  <si>
    <t>複数のファイルの場合</t>
    <rPh sb="0" eb="2">
      <t>フクスウ</t>
    </rPh>
    <rPh sb="8" eb="10">
      <t>バアイ</t>
    </rPh>
    <phoneticPr fontId="2"/>
  </si>
  <si>
    <t>8～22</t>
    <phoneticPr fontId="2"/>
  </si>
  <si>
    <t>既存レコードあり</t>
    <rPh sb="0" eb="2">
      <t>キゾン</t>
    </rPh>
    <phoneticPr fontId="2"/>
  </si>
  <si>
    <t>最新取込データに更新されていること</t>
    <rPh sb="0" eb="2">
      <t>サイシン</t>
    </rPh>
    <rPh sb="2" eb="4">
      <t>トリコミ</t>
    </rPh>
    <rPh sb="8" eb="10">
      <t>コウシン</t>
    </rPh>
    <phoneticPr fontId="2"/>
  </si>
  <si>
    <t>処理前テーブル</t>
    <rPh sb="0" eb="3">
      <t>ショリマエ</t>
    </rPh>
    <phoneticPr fontId="2"/>
  </si>
  <si>
    <t>25～38</t>
    <phoneticPr fontId="2"/>
  </si>
  <si>
    <t>処理後テーブル</t>
    <rPh sb="0" eb="3">
      <t>ショリゴ</t>
    </rPh>
    <phoneticPr fontId="2"/>
  </si>
  <si>
    <t>証明書同期ジョブ</t>
    <rPh sb="0" eb="3">
      <t>ショウメイショ</t>
    </rPh>
    <rPh sb="3" eb="5">
      <t>ドウキ</t>
    </rPh>
    <phoneticPr fontId="2"/>
  </si>
  <si>
    <t>処理済み受付番号のファイルの場合</t>
    <rPh sb="0" eb="3">
      <t>ショリズ</t>
    </rPh>
    <rPh sb="4" eb="6">
      <t>ウケツケ</t>
    </rPh>
    <rPh sb="6" eb="8">
      <t>バンゴウ</t>
    </rPh>
    <rPh sb="14" eb="16">
      <t>バアイ</t>
    </rPh>
    <phoneticPr fontId="2"/>
  </si>
  <si>
    <t>ctrlファイルのみ</t>
    <phoneticPr fontId="2"/>
  </si>
  <si>
    <t>ログにctrlファイルが無い旨出力されること</t>
    <rPh sb="12" eb="13">
      <t>ナ</t>
    </rPh>
    <rPh sb="14" eb="15">
      <t>ムネ</t>
    </rPh>
    <rPh sb="15" eb="17">
      <t>シュツリョク</t>
    </rPh>
    <phoneticPr fontId="2"/>
  </si>
  <si>
    <t>zipファイルのみ</t>
    <phoneticPr fontId="2"/>
  </si>
  <si>
    <t>ログにzipファイルが無い旨出力されること</t>
    <rPh sb="11" eb="12">
      <t>ナ</t>
    </rPh>
    <rPh sb="13" eb="14">
      <t>ムネ</t>
    </rPh>
    <rPh sb="14" eb="16">
      <t>シュツリョク</t>
    </rPh>
    <phoneticPr fontId="2"/>
  </si>
  <si>
    <t>ファイル有り</t>
    <rPh sb="4" eb="5">
      <t>ア</t>
    </rPh>
    <phoneticPr fontId="2"/>
  </si>
  <si>
    <t>処理対象にならないこと</t>
    <rPh sb="0" eb="2">
      <t>ショリ</t>
    </rPh>
    <rPh sb="2" eb="4">
      <t>タイショウ</t>
    </rPh>
    <phoneticPr fontId="2"/>
  </si>
  <si>
    <t>未処理受付番号のファイルの場合</t>
    <rPh sb="0" eb="3">
      <t>ミショリ</t>
    </rPh>
    <rPh sb="3" eb="5">
      <t>ウケツケ</t>
    </rPh>
    <rPh sb="5" eb="7">
      <t>バンゴウ</t>
    </rPh>
    <rPh sb="13" eb="15">
      <t>バアイ</t>
    </rPh>
    <phoneticPr fontId="2"/>
  </si>
  <si>
    <t>申請対象会社</t>
  </si>
  <si>
    <t>エンドユーザー</t>
  </si>
  <si>
    <t>成分</t>
  </si>
  <si>
    <t>RoHS証明</t>
  </si>
  <si>
    <t>ハロゲンフリー証明</t>
  </si>
  <si>
    <t>ICP分析証明</t>
  </si>
  <si>
    <t>SD</t>
  </si>
  <si>
    <t>AI</t>
  </si>
  <si>
    <t>chemSHERPA書</t>
  </si>
  <si>
    <t>SVHC証明</t>
  </si>
  <si>
    <t>申請日</t>
  </si>
  <si>
    <t>処理完了日</t>
  </si>
  <si>
    <t>証明書ZIPのフォルダ</t>
  </si>
  <si>
    <t>証明書ZIPのファイル</t>
  </si>
  <si>
    <t>受付番号</t>
    <phoneticPr fontId="2"/>
  </si>
  <si>
    <t>更新されないこと</t>
    <rPh sb="0" eb="2">
      <t>コウシン</t>
    </rPh>
    <phoneticPr fontId="2"/>
  </si>
  <si>
    <t>申請者アカウント</t>
    <phoneticPr fontId="2"/>
  </si>
  <si>
    <t>処理済みであること</t>
    <rPh sb="0" eb="3">
      <t>ショリズ</t>
    </rPh>
    <phoneticPr fontId="2"/>
  </si>
  <si>
    <t>処理完了日+30であること</t>
    <rPh sb="0" eb="2">
      <t>ショリ</t>
    </rPh>
    <rPh sb="2" eb="5">
      <t>カンリョウビ</t>
    </rPh>
    <phoneticPr fontId="2"/>
  </si>
  <si>
    <t>ctrlファイルのファイルサイズ</t>
    <phoneticPr fontId="2"/>
  </si>
  <si>
    <t>ctrlファイルのフォルダ数</t>
    <rPh sb="13" eb="14">
      <t>スウ</t>
    </rPh>
    <phoneticPr fontId="2"/>
  </si>
  <si>
    <t>ctrlファイルのファイル数</t>
    <rPh sb="13" eb="14">
      <t>スウ</t>
    </rPh>
    <phoneticPr fontId="2"/>
  </si>
  <si>
    <t>証明賞のS3パスであること</t>
    <rPh sb="0" eb="3">
      <t>ショウメイショウ</t>
    </rPh>
    <phoneticPr fontId="2"/>
  </si>
  <si>
    <t>処理対象ファイルがgm/data/rcv/certへ移動すること</t>
    <rPh sb="0" eb="2">
      <t>ショリ</t>
    </rPh>
    <rPh sb="2" eb="4">
      <t>タイショウ</t>
    </rPh>
    <rPh sb="26" eb="28">
      <t>イドウ</t>
    </rPh>
    <phoneticPr fontId="2"/>
  </si>
  <si>
    <t>証明書発行メール</t>
    <rPh sb="0" eb="3">
      <t>ショウメイショ</t>
    </rPh>
    <rPh sb="3" eb="5">
      <t>ハッコウ</t>
    </rPh>
    <phoneticPr fontId="2"/>
  </si>
  <si>
    <t>受付番号が記載されていること</t>
    <rPh sb="0" eb="2">
      <t>ウケツケ</t>
    </rPh>
    <rPh sb="2" eb="4">
      <t>バンゴウ</t>
    </rPh>
    <rPh sb="5" eb="7">
      <t>キサイ</t>
    </rPh>
    <phoneticPr fontId="2"/>
  </si>
  <si>
    <t>2026-00058</t>
  </si>
  <si>
    <t>customer003</t>
  </si>
  <si>
    <t>精密機器製造株式会社</t>
  </si>
  <si>
    <t>applications/2026-00058/products.csv</t>
  </si>
  <si>
    <t>変更前</t>
    <rPh sb="0" eb="3">
      <t>ヘンコウマエ</t>
    </rPh>
    <phoneticPr fontId="2"/>
  </si>
  <si>
    <t>processed</t>
  </si>
  <si>
    <t>gm/data/rcv/cert/2026-00058.zip</t>
  </si>
  <si>
    <t>48～68</t>
    <phoneticPr fontId="2"/>
  </si>
  <si>
    <t>hrs_envcert_jobs</t>
    <phoneticPr fontId="2"/>
  </si>
  <si>
    <t>1. src: 4854 行</t>
  </si>
  <si>
    <t>2. src/jobs: 59 行</t>
  </si>
  <si>
    <t>証明書発行完了であること</t>
    <rPh sb="0" eb="3">
      <t>ショウメイショ</t>
    </rPh>
    <rPh sb="3" eb="5">
      <t>ハッコウ</t>
    </rPh>
    <rPh sb="5" eb="7">
      <t>カンリョウ</t>
    </rPh>
    <phoneticPr fontId="2"/>
  </si>
  <si>
    <t>FROM</t>
    <phoneticPr fontId="2"/>
  </si>
  <si>
    <t>greenmeister.support.3p@hirose-gl.comであること</t>
    <phoneticPr fontId="2"/>
  </si>
  <si>
    <t>受付番号が記載されていること</t>
    <rPh sb="5" eb="7">
      <t>キサイ</t>
    </rPh>
    <phoneticPr fontId="2"/>
  </si>
  <si>
    <t>証明書の発行が完了しました。が記載されていること</t>
    <rPh sb="15" eb="17">
      <t>キサイ</t>
    </rPh>
    <phoneticPr fontId="2"/>
  </si>
  <si>
    <t>有効期限が表示されていること</t>
    <rPh sb="0" eb="4">
      <t>ユウコウキゲン</t>
    </rPh>
    <rPh sb="5" eb="7">
      <t>ヒョウジ</t>
    </rPh>
    <phoneticPr fontId="2"/>
  </si>
  <si>
    <t>ログインURLが記載されていること</t>
    <rPh sb="8" eb="10">
      <t>キサイ</t>
    </rPh>
    <phoneticPr fontId="2"/>
  </si>
  <si>
    <t>ログインURL(EN)が記載されていること</t>
    <rPh sb="12" eb="14">
      <t>キサイ</t>
    </rPh>
    <phoneticPr fontId="2"/>
  </si>
  <si>
    <t>71～79</t>
    <phoneticPr fontId="2"/>
  </si>
  <si>
    <t>複数ファイルの場合</t>
    <rPh sb="0" eb="2">
      <t>フクスウ</t>
    </rPh>
    <rPh sb="7" eb="9">
      <t>バアイ</t>
    </rPh>
    <phoneticPr fontId="2"/>
  </si>
  <si>
    <t>処理件数送信されていること</t>
    <rPh sb="0" eb="2">
      <t>ショリ</t>
    </rPh>
    <rPh sb="2" eb="4">
      <t>ケンスウ</t>
    </rPh>
    <rPh sb="4" eb="6">
      <t>ソウシン</t>
    </rPh>
    <phoneticPr fontId="2"/>
  </si>
  <si>
    <t>82～102</t>
    <phoneticPr fontId="2"/>
  </si>
  <si>
    <t>104～113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</si>
</sst>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:mm:ss.000"/>
    <numFmt numFmtId="177" formatCode="yyyy/mm/dd\ h:mm:ss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8"/>
      <color theme="1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0"/>
      <color rgb="FF0070C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新細明體"/>
      <family val="1"/>
    </font>
    <font>
      <sz val="11"/>
      <color theme="1"/>
      <name val="游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9"/>
      <color rgb="FF000000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rgb="FFC0C0C0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0"/>
      <color rgb="FFBFBFBF"/>
      <name val="Segoe UI"/>
      <family val="2"/>
    </font>
    <font>
      <u/>
      <sz val="11"/>
      <color theme="10"/>
      <name val="游ゴシック"/>
      <family val="2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87E7A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0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/>
    <xf numFmtId="0" fontId="15" fillId="0" borderId="0"/>
    <xf numFmtId="0" fontId="14" fillId="0" borderId="0"/>
    <xf numFmtId="9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16" fillId="0" borderId="0">
      <alignment vertical="center"/>
    </xf>
    <xf numFmtId="0" fontId="24" fillId="0" borderId="0" applyNumberForma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5" fillId="2" borderId="6" xfId="0" applyFont="1" applyFill="1" applyBorder="1" applyAlignment="1">
      <alignment horizontal="center" vertical="center"/>
    </xf>
    <xf numFmtId="38" fontId="5" fillId="2" borderId="6" xfId="1" applyFont="1" applyFill="1" applyBorder="1" applyAlignment="1">
      <alignment horizontal="center" vertical="center"/>
    </xf>
    <xf numFmtId="14" fontId="5" fillId="2" borderId="6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top" wrapText="1"/>
    </xf>
    <xf numFmtId="0" fontId="11" fillId="5" borderId="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horizontal="center"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5" fillId="2" borderId="1" xfId="0" applyFont="1" applyFill="1" applyBorder="1">
      <alignment vertical="center"/>
    </xf>
    <xf numFmtId="0" fontId="9" fillId="3" borderId="2" xfId="0" applyFont="1" applyFill="1" applyBorder="1">
      <alignment vertical="center"/>
    </xf>
    <xf numFmtId="0" fontId="9" fillId="2" borderId="0" xfId="0" applyFont="1" applyFill="1">
      <alignment vertical="center"/>
    </xf>
    <xf numFmtId="0" fontId="5" fillId="3" borderId="2" xfId="0" applyFont="1" applyFill="1" applyBorder="1">
      <alignment vertical="center"/>
    </xf>
    <xf numFmtId="38" fontId="10" fillId="2" borderId="0" xfId="1" applyFont="1" applyFill="1">
      <alignment vertical="center"/>
    </xf>
    <xf numFmtId="38" fontId="5" fillId="3" borderId="2" xfId="1" applyFont="1" applyFill="1" applyBorder="1">
      <alignment vertical="center"/>
    </xf>
    <xf numFmtId="14" fontId="5" fillId="3" borderId="2" xfId="0" applyNumberFormat="1" applyFont="1" applyFill="1" applyBorder="1">
      <alignment vertical="center"/>
    </xf>
    <xf numFmtId="38" fontId="5" fillId="3" borderId="3" xfId="1" applyFont="1" applyFill="1" applyBorder="1">
      <alignment vertical="center"/>
    </xf>
    <xf numFmtId="38" fontId="5" fillId="2" borderId="0" xfId="1" applyFont="1" applyFill="1">
      <alignment vertical="center"/>
    </xf>
    <xf numFmtId="38" fontId="5" fillId="4" borderId="4" xfId="1" applyFont="1" applyFill="1" applyBorder="1">
      <alignment vertical="center"/>
    </xf>
    <xf numFmtId="0" fontId="5" fillId="3" borderId="3" xfId="0" applyFont="1" applyFill="1" applyBorder="1">
      <alignment vertical="center"/>
    </xf>
    <xf numFmtId="38" fontId="5" fillId="4" borderId="5" xfId="1" applyFont="1" applyFill="1" applyBorder="1">
      <alignment vertical="center"/>
    </xf>
    <xf numFmtId="0" fontId="11" fillId="5" borderId="6" xfId="0" applyFont="1" applyFill="1" applyBorder="1">
      <alignment vertical="center"/>
    </xf>
    <xf numFmtId="0" fontId="11" fillId="5" borderId="6" xfId="0" applyFont="1" applyFill="1" applyBorder="1" applyAlignment="1">
      <alignment horizontal="left" vertical="center" wrapText="1"/>
    </xf>
    <xf numFmtId="0" fontId="11" fillId="6" borderId="7" xfId="0" applyFont="1" applyFill="1" applyBorder="1">
      <alignment vertical="center"/>
    </xf>
    <xf numFmtId="0" fontId="11" fillId="6" borderId="8" xfId="0" applyFont="1" applyFill="1" applyBorder="1">
      <alignment vertical="center"/>
    </xf>
    <xf numFmtId="0" fontId="4" fillId="2" borderId="6" xfId="0" applyFont="1" applyFill="1" applyBorder="1" applyAlignment="1">
      <alignment horizontal="left" vertical="center" wrapText="1"/>
    </xf>
    <xf numFmtId="0" fontId="6" fillId="2" borderId="0" xfId="0" applyFont="1" applyFill="1">
      <alignment vertical="center"/>
    </xf>
    <xf numFmtId="0" fontId="6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 wrapText="1"/>
    </xf>
    <xf numFmtId="14" fontId="6" fillId="2" borderId="6" xfId="0" applyNumberFormat="1" applyFont="1" applyFill="1" applyBorder="1" applyAlignment="1">
      <alignment horizontal="center" vertical="center"/>
    </xf>
    <xf numFmtId="0" fontId="6" fillId="2" borderId="7" xfId="0" applyFont="1" applyFill="1" applyBorder="1">
      <alignment vertical="center"/>
    </xf>
    <xf numFmtId="0" fontId="6" fillId="2" borderId="8" xfId="0" applyFont="1" applyFill="1" applyBorder="1">
      <alignment vertical="center"/>
    </xf>
    <xf numFmtId="0" fontId="6" fillId="2" borderId="7" xfId="0" applyFont="1" applyFill="1" applyBorder="1" applyAlignment="1">
      <alignment horizontal="center" vertical="center"/>
    </xf>
    <xf numFmtId="0" fontId="13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right" vertical="center"/>
    </xf>
    <xf numFmtId="0" fontId="0" fillId="3" borderId="0" xfId="0" applyFill="1">
      <alignment vertical="center"/>
    </xf>
    <xf numFmtId="2" fontId="0" fillId="3" borderId="0" xfId="0" applyNumberFormat="1" applyFill="1">
      <alignment vertical="center"/>
    </xf>
    <xf numFmtId="0" fontId="5" fillId="8" borderId="2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17" fillId="7" borderId="0" xfId="0" applyFont="1" applyFill="1" applyAlignment="1">
      <alignment horizontal="center" vertical="center"/>
    </xf>
    <xf numFmtId="0" fontId="17" fillId="8" borderId="3" xfId="0" applyFont="1" applyFill="1" applyBorder="1">
      <alignment vertical="center"/>
    </xf>
    <xf numFmtId="0" fontId="5" fillId="0" borderId="0" xfId="0" applyFont="1">
      <alignment vertical="center"/>
    </xf>
    <xf numFmtId="0" fontId="6" fillId="9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left" vertical="center" wrapText="1"/>
    </xf>
    <xf numFmtId="0" fontId="6" fillId="9" borderId="6" xfId="0" applyFont="1" applyFill="1" applyBorder="1" applyAlignment="1">
      <alignment horizontal="left" vertical="center" wrapText="1"/>
    </xf>
    <xf numFmtId="0" fontId="5" fillId="9" borderId="6" xfId="0" applyFont="1" applyFill="1" applyBorder="1" applyAlignment="1">
      <alignment horizontal="left" vertical="top" wrapText="1"/>
    </xf>
    <xf numFmtId="0" fontId="5" fillId="9" borderId="6" xfId="0" applyFont="1" applyFill="1" applyBorder="1" applyAlignment="1">
      <alignment horizontal="center" vertical="center"/>
    </xf>
    <xf numFmtId="38" fontId="5" fillId="9" borderId="6" xfId="1" applyFont="1" applyFill="1" applyBorder="1" applyAlignment="1">
      <alignment horizontal="center" vertical="center"/>
    </xf>
    <xf numFmtId="14" fontId="5" fillId="9" borderId="6" xfId="0" applyNumberFormat="1" applyFont="1" applyFill="1" applyBorder="1" applyAlignment="1">
      <alignment horizontal="center" vertical="center"/>
    </xf>
    <xf numFmtId="14" fontId="6" fillId="9" borderId="6" xfId="0" applyNumberFormat="1" applyFont="1" applyFill="1" applyBorder="1" applyAlignment="1">
      <alignment horizontal="center" vertical="center"/>
    </xf>
    <xf numFmtId="0" fontId="6" fillId="9" borderId="7" xfId="0" applyFont="1" applyFill="1" applyBorder="1">
      <alignment vertical="center"/>
    </xf>
    <xf numFmtId="0" fontId="6" fillId="9" borderId="8" xfId="0" applyFont="1" applyFill="1" applyBorder="1">
      <alignment vertical="center"/>
    </xf>
    <xf numFmtId="0" fontId="6" fillId="9" borderId="7" xfId="0" applyFont="1" applyFill="1" applyBorder="1" applyAlignment="1">
      <alignment horizontal="center" vertical="center"/>
    </xf>
    <xf numFmtId="0" fontId="6" fillId="9" borderId="0" xfId="0" applyFont="1" applyFill="1">
      <alignment vertical="center"/>
    </xf>
    <xf numFmtId="0" fontId="5" fillId="9" borderId="0" xfId="0" applyFont="1" applyFill="1">
      <alignment vertical="center"/>
    </xf>
    <xf numFmtId="0" fontId="0" fillId="2" borderId="1" xfId="0" applyFill="1" applyBorder="1">
      <alignment vertical="center"/>
    </xf>
    <xf numFmtId="0" fontId="4" fillId="2" borderId="6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3"/>
    </xf>
    <xf numFmtId="3" fontId="5" fillId="0" borderId="0" xfId="0" applyNumberFormat="1" applyFont="1">
      <alignment vertical="center"/>
    </xf>
    <xf numFmtId="0" fontId="18" fillId="0" borderId="0" xfId="0" applyFont="1">
      <alignment vertical="center"/>
    </xf>
    <xf numFmtId="49" fontId="19" fillId="10" borderId="9" xfId="0" applyNumberFormat="1" applyFont="1" applyFill="1" applyBorder="1" applyAlignment="1">
      <alignment horizontal="left" vertical="center" wrapText="1"/>
    </xf>
    <xf numFmtId="1" fontId="20" fillId="0" borderId="9" xfId="0" applyNumberFormat="1" applyFont="1" applyBorder="1" applyAlignment="1">
      <alignment horizontal="right" vertical="center"/>
    </xf>
    <xf numFmtId="49" fontId="20" fillId="0" borderId="9" xfId="0" applyNumberFormat="1" applyFont="1" applyBorder="1">
      <alignment vertical="center"/>
    </xf>
    <xf numFmtId="0" fontId="20" fillId="0" borderId="9" xfId="0" applyFont="1" applyBorder="1" applyAlignment="1">
      <alignment horizontal="left" vertical="center"/>
    </xf>
    <xf numFmtId="176" fontId="20" fillId="0" borderId="9" xfId="0" applyNumberFormat="1" applyFont="1" applyBorder="1" applyAlignment="1">
      <alignment horizontal="right" vertical="center"/>
    </xf>
    <xf numFmtId="0" fontId="21" fillId="0" borderId="9" xfId="0" applyFont="1" applyBorder="1">
      <alignment vertical="center"/>
    </xf>
    <xf numFmtId="1" fontId="22" fillId="0" borderId="9" xfId="0" applyNumberFormat="1" applyFont="1" applyBorder="1" applyAlignment="1">
      <alignment horizontal="right" vertical="center"/>
    </xf>
    <xf numFmtId="49" fontId="22" fillId="0" borderId="9" xfId="0" applyNumberFormat="1" applyFont="1" applyBorder="1">
      <alignment vertical="center"/>
    </xf>
    <xf numFmtId="176" fontId="22" fillId="0" borderId="9" xfId="0" applyNumberFormat="1" applyFont="1" applyBorder="1" applyAlignment="1">
      <alignment horizontal="right" vertical="center"/>
    </xf>
    <xf numFmtId="0" fontId="22" fillId="0" borderId="9" xfId="0" applyFont="1" applyBorder="1" applyAlignment="1">
      <alignment horizontal="left" vertical="center"/>
    </xf>
    <xf numFmtId="177" fontId="22" fillId="0" borderId="9" xfId="0" applyNumberFormat="1" applyFont="1" applyBorder="1" applyAlignment="1">
      <alignment horizontal="right" vertical="center"/>
    </xf>
    <xf numFmtId="0" fontId="23" fillId="0" borderId="0" xfId="0" applyFont="1" applyAlignment="1">
      <alignment horizontal="left" vertical="center" wrapText="1" indent="1"/>
    </xf>
    <xf numFmtId="0" fontId="24" fillId="2" borderId="6" xfId="9" applyFill="1" applyBorder="1" applyAlignment="1">
      <alignment horizontal="left" vertical="center" wrapText="1"/>
    </xf>
  </cellXfs>
  <cellStyles count="10">
    <cellStyle name="9" xfId="4" xr:uid="{A751641A-59AF-4986-BEA0-95BA29A1AC5D}"/>
    <cellStyle name="Normal_02_samp海外旅費システム業務フロー" xfId="5" xr:uid="{4604693E-B1AD-4828-8A55-13D09FB69F45}"/>
    <cellStyle name="パーセント 2" xfId="6" xr:uid="{DB1323D5-3469-4DFC-9B1B-02C0C1893AEC}"/>
    <cellStyle name="ハイパーリンク" xfId="9" builtinId="8"/>
    <cellStyle name="桁区切り" xfId="1" builtinId="6"/>
    <cellStyle name="桁区切り 2" xfId="7" xr:uid="{5D3A9318-DCC0-47BB-B32F-3C22CD19183D}"/>
    <cellStyle name="標準" xfId="0" builtinId="0"/>
    <cellStyle name="標準 2" xfId="2" xr:uid="{00000000-0005-0000-0000-000002000000}"/>
    <cellStyle name="標準 3" xfId="8" xr:uid="{115F23B0-64CF-43C0-A0C6-100066EA8F97}"/>
    <cellStyle name="標準 4" xfId="3" xr:uid="{289337C8-F065-4CC3-9A51-A47EA5A4766B}"/>
  </cellStyles>
  <dxfs count="0"/>
  <tableStyles count="0" defaultTableStyle="TableStyleMedium2" defaultPivotStyle="PivotStyleLight16"/>
  <colors>
    <mruColors>
      <color rgb="FFCCFFFF"/>
      <color rgb="FF99FF99"/>
      <color rgb="FFFFFF66"/>
      <color rgb="FF66FFFF"/>
      <color rgb="FFFFFF99"/>
      <color rgb="FFFFFF00"/>
      <color rgb="FFCC9900"/>
      <color rgb="FFFFFFCC"/>
      <color rgb="FFFF99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76200</xdr:rowOff>
    </xdr:from>
    <xdr:to>
      <xdr:col>21</xdr:col>
      <xdr:colOff>115373</xdr:colOff>
      <xdr:row>5</xdr:row>
      <xdr:rowOff>95324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BCEDA9EB-AF67-184A-9C7A-D84DB5D03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419100"/>
          <a:ext cx="7687748" cy="5334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47625</xdr:rowOff>
    </xdr:from>
    <xdr:to>
      <xdr:col>26</xdr:col>
      <xdr:colOff>96460</xdr:colOff>
      <xdr:row>10</xdr:row>
      <xdr:rowOff>104879</xdr:rowOff>
    </xdr:to>
    <xdr:pic>
      <xdr:nvPicPr>
        <xdr:cNvPr id="72" name="図 71">
          <a:extLst>
            <a:ext uri="{FF2B5EF4-FFF2-40B4-BE49-F238E27FC236}">
              <a16:creationId xmlns:a16="http://schemas.microsoft.com/office/drawing/2014/main" id="{9ECB060D-1FFA-45F8-B473-2AFA396BF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5" y="1076325"/>
          <a:ext cx="8668960" cy="74305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13</xdr:row>
      <xdr:rowOff>66675</xdr:rowOff>
    </xdr:from>
    <xdr:to>
      <xdr:col>3</xdr:col>
      <xdr:colOff>571904</xdr:colOff>
      <xdr:row>20</xdr:row>
      <xdr:rowOff>152579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312EF0C8-0184-0160-3EB2-35D89824E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" y="2295525"/>
          <a:ext cx="2896004" cy="128605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19050</xdr:rowOff>
    </xdr:from>
    <xdr:to>
      <xdr:col>21</xdr:col>
      <xdr:colOff>48689</xdr:colOff>
      <xdr:row>23</xdr:row>
      <xdr:rowOff>28624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C1A9B2F2-DB0D-8ABA-2376-1ED8C6127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5275" y="3619500"/>
          <a:ext cx="7621064" cy="3524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66675</xdr:rowOff>
    </xdr:from>
    <xdr:to>
      <xdr:col>39</xdr:col>
      <xdr:colOff>87296</xdr:colOff>
      <xdr:row>27</xdr:row>
      <xdr:rowOff>142981</xdr:rowOff>
    </xdr:to>
    <xdr:pic>
      <xdr:nvPicPr>
        <xdr:cNvPr id="75" name="図 74">
          <a:extLst>
            <a:ext uri="{FF2B5EF4-FFF2-40B4-BE49-F238E27FC236}">
              <a16:creationId xmlns:a16="http://schemas.microsoft.com/office/drawing/2014/main" id="{7F0E07CF-C114-A394-C0AB-C317C0194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5275" y="4010025"/>
          <a:ext cx="11260121" cy="7621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33</xdr:col>
      <xdr:colOff>58550</xdr:colOff>
      <xdr:row>58</xdr:row>
      <xdr:rowOff>124464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C5E271D2-87D2-6F70-B11C-1ABEF33F6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5275" y="5486400"/>
          <a:ext cx="10031225" cy="458216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17</xdr:col>
      <xdr:colOff>67630</xdr:colOff>
      <xdr:row>31</xdr:row>
      <xdr:rowOff>133416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C0C2A00F-68BF-07E1-0818-9646106D9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5275" y="4972050"/>
          <a:ext cx="6839905" cy="4763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3</xdr:col>
      <xdr:colOff>590958</xdr:colOff>
      <xdr:row>66</xdr:row>
      <xdr:rowOff>57278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FBE1C6A1-2BFA-835A-2C24-F7A9703DD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5275" y="10458450"/>
          <a:ext cx="2924583" cy="914528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75</xdr:row>
      <xdr:rowOff>85725</xdr:rowOff>
    </xdr:from>
    <xdr:to>
      <xdr:col>34</xdr:col>
      <xdr:colOff>49042</xdr:colOff>
      <xdr:row>87</xdr:row>
      <xdr:rowOff>143170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id="{4931926C-D8F0-E63A-4F03-05F737B1E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1950" y="13630275"/>
          <a:ext cx="10155067" cy="211484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69</xdr:row>
      <xdr:rowOff>66675</xdr:rowOff>
    </xdr:from>
    <xdr:to>
      <xdr:col>17</xdr:col>
      <xdr:colOff>86681</xdr:colOff>
      <xdr:row>72</xdr:row>
      <xdr:rowOff>28641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A2C6E1E4-3F3F-4C81-9E11-53AF2BA70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4800" y="11896725"/>
          <a:ext cx="6849431" cy="4763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37</xdr:col>
      <xdr:colOff>144399</xdr:colOff>
      <xdr:row>125</xdr:row>
      <xdr:rowOff>153283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id="{A0610021-1BC1-5A59-E548-77F8657BF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5275" y="15259050"/>
          <a:ext cx="10917174" cy="63254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3</xdr:col>
      <xdr:colOff>657642</xdr:colOff>
      <xdr:row>134</xdr:row>
      <xdr:rowOff>114460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7F95B5E7-A50D-0A84-3985-C6201949F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95275" y="21945600"/>
          <a:ext cx="2991267" cy="1143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18</xdr:col>
      <xdr:colOff>115289</xdr:colOff>
      <xdr:row>137</xdr:row>
      <xdr:rowOff>161948</xdr:rowOff>
    </xdr:to>
    <xdr:pic>
      <xdr:nvPicPr>
        <xdr:cNvPr id="83" name="図 82">
          <a:extLst>
            <a:ext uri="{FF2B5EF4-FFF2-40B4-BE49-F238E27FC236}">
              <a16:creationId xmlns:a16="http://schemas.microsoft.com/office/drawing/2014/main" id="{831B0B1D-FBFB-E697-61EA-22EA3F3A6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5275" y="23488650"/>
          <a:ext cx="7087589" cy="1619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3</xdr:col>
      <xdr:colOff>1191117</xdr:colOff>
      <xdr:row>140</xdr:row>
      <xdr:rowOff>161948</xdr:rowOff>
    </xdr:to>
    <xdr:pic>
      <xdr:nvPicPr>
        <xdr:cNvPr id="84" name="図 83">
          <a:extLst>
            <a:ext uri="{FF2B5EF4-FFF2-40B4-BE49-F238E27FC236}">
              <a16:creationId xmlns:a16="http://schemas.microsoft.com/office/drawing/2014/main" id="{DAC6F1D3-51AD-FD8F-F56E-CD1D8F5BD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5275" y="24003000"/>
          <a:ext cx="3524742" cy="1619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3</xdr:col>
      <xdr:colOff>1486433</xdr:colOff>
      <xdr:row>144</xdr:row>
      <xdr:rowOff>47656</xdr:rowOff>
    </xdr:to>
    <xdr:pic>
      <xdr:nvPicPr>
        <xdr:cNvPr id="85" name="図 84">
          <a:extLst>
            <a:ext uri="{FF2B5EF4-FFF2-40B4-BE49-F238E27FC236}">
              <a16:creationId xmlns:a16="http://schemas.microsoft.com/office/drawing/2014/main" id="{0B80C6EC-2001-B993-DAF5-95D0F865F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5275" y="24517350"/>
          <a:ext cx="3820058" cy="2191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3</xdr:col>
      <xdr:colOff>133694</xdr:colOff>
      <xdr:row>179</xdr:row>
      <xdr:rowOff>124034</xdr:rowOff>
    </xdr:to>
    <xdr:pic>
      <xdr:nvPicPr>
        <xdr:cNvPr id="86" name="図 85">
          <a:extLst>
            <a:ext uri="{FF2B5EF4-FFF2-40B4-BE49-F238E27FC236}">
              <a16:creationId xmlns:a16="http://schemas.microsoft.com/office/drawing/2014/main" id="{9D2D3728-11EA-77ED-01C3-A3DAA78E2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95275" y="30699075"/>
          <a:ext cx="2467319" cy="14956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23</xdr:col>
      <xdr:colOff>191639</xdr:colOff>
      <xdr:row>211</xdr:row>
      <xdr:rowOff>86431</xdr:rowOff>
    </xdr:to>
    <xdr:pic>
      <xdr:nvPicPr>
        <xdr:cNvPr id="87" name="図 86">
          <a:extLst>
            <a:ext uri="{FF2B5EF4-FFF2-40B4-BE49-F238E27FC236}">
              <a16:creationId xmlns:a16="http://schemas.microsoft.com/office/drawing/2014/main" id="{48FA2706-C6A6-3F3D-EC4F-A3CA891A9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95275" y="32585025"/>
          <a:ext cx="8164064" cy="50584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60</xdr:col>
      <xdr:colOff>125988</xdr:colOff>
      <xdr:row>220</xdr:row>
      <xdr:rowOff>152565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A81FCD-E745-3512-338A-D5E23A0D1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95275" y="38071425"/>
          <a:ext cx="15499338" cy="11812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3</xdr:col>
      <xdr:colOff>9852</xdr:colOff>
      <xdr:row>241</xdr:row>
      <xdr:rowOff>114747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F66760E-A355-B55C-F5F0-E69838BEA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95275" y="39614475"/>
          <a:ext cx="2343477" cy="32008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21</xdr:col>
      <xdr:colOff>115373</xdr:colOff>
      <xdr:row>272</xdr:row>
      <xdr:rowOff>124512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3F0310D-55AD-5BB4-B2FD-AF1252513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42900" y="43214925"/>
          <a:ext cx="7687748" cy="492511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244</xdr:row>
      <xdr:rowOff>0</xdr:rowOff>
    </xdr:from>
    <xdr:to>
      <xdr:col>63</xdr:col>
      <xdr:colOff>58275</xdr:colOff>
      <xdr:row>273</xdr:row>
      <xdr:rowOff>57852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E5FA845-DD9A-C464-B067-CA2EE7339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315325" y="43214925"/>
          <a:ext cx="8059275" cy="5029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greenmeister.support.3p@hirose-gl.com&#12391;&#12354;&#12427;&#12371;&#12392;" TargetMode="External"/><Relationship Id="rId1" Type="http://schemas.openxmlformats.org/officeDocument/2006/relationships/hyperlink" Target="mailto:greenmeister.support.3p@hirose-gl.com&#12391;&#12354;&#12427;&#12371;&#12392;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C131-816A-4222-92B5-70F2AD947981}">
  <sheetPr codeName="Sheet2"/>
  <dimension ref="B2:L10"/>
  <sheetViews>
    <sheetView zoomScale="70" zoomScaleNormal="70" workbookViewId="0">
      <selection activeCell="Z25" sqref="Z25"/>
    </sheetView>
  </sheetViews>
  <sheetFormatPr defaultColWidth="8.75" defaultRowHeight="18.75" x14ac:dyDescent="0.4"/>
  <cols>
    <col min="1" max="16384" width="8.75" style="40"/>
  </cols>
  <sheetData>
    <row r="2" spans="2:12" x14ac:dyDescent="0.4">
      <c r="B2" s="39" t="s">
        <v>54</v>
      </c>
      <c r="L2" s="40" t="s">
        <v>72</v>
      </c>
    </row>
    <row r="3" spans="2:12" x14ac:dyDescent="0.4">
      <c r="C3" s="40" t="s">
        <v>55</v>
      </c>
      <c r="D3" s="40" t="s">
        <v>56</v>
      </c>
      <c r="L3" s="62"/>
    </row>
    <row r="4" spans="2:12" x14ac:dyDescent="0.4">
      <c r="C4" s="42">
        <v>112.5</v>
      </c>
      <c r="D4" s="40" t="s">
        <v>23</v>
      </c>
      <c r="L4" s="62" t="s">
        <v>73</v>
      </c>
    </row>
    <row r="5" spans="2:12" x14ac:dyDescent="0.4">
      <c r="C5" s="40" t="s">
        <v>57</v>
      </c>
      <c r="D5" s="40" t="s">
        <v>56</v>
      </c>
      <c r="L5" s="62" t="s">
        <v>74</v>
      </c>
    </row>
    <row r="6" spans="2:12" x14ac:dyDescent="0.4">
      <c r="C6" s="42">
        <v>10.199999999999999</v>
      </c>
      <c r="D6" s="40" t="s">
        <v>23</v>
      </c>
    </row>
    <row r="7" spans="2:12" x14ac:dyDescent="0.4">
      <c r="C7" s="40" t="s">
        <v>58</v>
      </c>
    </row>
    <row r="8" spans="2:12" x14ac:dyDescent="0.4">
      <c r="C8" s="41" t="s">
        <v>13</v>
      </c>
      <c r="D8" s="43">
        <v>1</v>
      </c>
      <c r="E8" s="40" t="s">
        <v>59</v>
      </c>
      <c r="G8" s="40" t="s">
        <v>60</v>
      </c>
    </row>
    <row r="9" spans="2:12" x14ac:dyDescent="0.4">
      <c r="C9" s="41" t="s">
        <v>16</v>
      </c>
      <c r="D9" s="43">
        <v>2</v>
      </c>
      <c r="E9" s="40" t="s">
        <v>61</v>
      </c>
      <c r="G9" s="40" t="s">
        <v>60</v>
      </c>
    </row>
    <row r="10" spans="2:12" x14ac:dyDescent="0.4">
      <c r="C10" s="41" t="s">
        <v>21</v>
      </c>
      <c r="D10" s="43">
        <v>0.1</v>
      </c>
      <c r="E10" s="40" t="s">
        <v>62</v>
      </c>
      <c r="G10" s="40" t="s">
        <v>60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ACAC-9EF7-43C1-ABA8-49C1FA7DCED0}">
  <sheetPr codeName="Sheet3">
    <pageSetUpPr fitToPage="1"/>
  </sheetPr>
  <dimension ref="B1:V127"/>
  <sheetViews>
    <sheetView tabSelected="1" zoomScale="85" zoomScaleNormal="85" zoomScaleSheetLayoutView="85" workbookViewId="0">
      <selection activeCell="L11" sqref="L11"/>
    </sheetView>
  </sheetViews>
  <sheetFormatPr defaultColWidth="9" defaultRowHeight="19.899999999999999" customHeight="1" x14ac:dyDescent="0.4"/>
  <cols>
    <col min="1" max="1" width="1.875" style="1" customWidth="1"/>
    <col min="2" max="2" width="5.25" style="1" customWidth="1"/>
    <col min="3" max="3" width="20.875" style="1" bestFit="1" customWidth="1"/>
    <col min="4" max="4" width="29.75" style="1" customWidth="1"/>
    <col min="5" max="5" width="28.875" style="1" customWidth="1"/>
    <col min="6" max="6" width="46.5" style="1" customWidth="1"/>
    <col min="7" max="7" width="8.25" style="1" customWidth="1"/>
    <col min="8" max="8" width="17.5" style="1" customWidth="1"/>
    <col min="9" max="9" width="5" style="1" customWidth="1"/>
    <col min="10" max="10" width="11.625" style="1" customWidth="1"/>
    <col min="11" max="11" width="12.625" style="1" customWidth="1"/>
    <col min="12" max="12" width="11.625" style="1" customWidth="1"/>
    <col min="13" max="13" width="5" style="1" customWidth="1"/>
    <col min="14" max="14" width="13" style="1" customWidth="1"/>
    <col min="15" max="15" width="18.125" style="1" customWidth="1"/>
    <col min="16" max="16" width="3.875" style="1" customWidth="1"/>
    <col min="17" max="17" width="11.625" style="1" customWidth="1"/>
    <col min="18" max="18" width="3.125" style="1" customWidth="1"/>
    <col min="19" max="19" width="11.625" style="1" customWidth="1"/>
    <col min="20" max="20" width="3.625" style="1" customWidth="1"/>
    <col min="21" max="21" width="9" style="1"/>
    <col min="22" max="22" width="26.875" style="1" customWidth="1"/>
    <col min="23" max="16384" width="9" style="1"/>
  </cols>
  <sheetData>
    <row r="1" spans="2:22" ht="19.899999999999999" customHeight="1" x14ac:dyDescent="0.4">
      <c r="B1" s="12" t="s">
        <v>45</v>
      </c>
      <c r="C1" s="12"/>
      <c r="D1" s="12"/>
      <c r="E1" s="12"/>
      <c r="V1" s="13" t="s">
        <v>0</v>
      </c>
    </row>
    <row r="2" spans="2:22" ht="19.899999999999999" customHeight="1" x14ac:dyDescent="0.4">
      <c r="F2" s="12"/>
      <c r="G2" s="12"/>
      <c r="H2" s="79" t="s">
        <v>188</v>
      </c>
      <c r="I2" s="1">
        <f>4854*0.2</f>
        <v>970.80000000000007</v>
      </c>
      <c r="V2" s="14"/>
    </row>
    <row r="3" spans="2:22" ht="19.899999999999999" customHeight="1" x14ac:dyDescent="0.4">
      <c r="B3" s="1" t="s">
        <v>66</v>
      </c>
      <c r="C3" s="45"/>
      <c r="E3" s="2" t="s">
        <v>46</v>
      </c>
      <c r="F3" s="15" t="s">
        <v>75</v>
      </c>
      <c r="G3" s="16"/>
      <c r="H3" s="79" t="s">
        <v>189</v>
      </c>
      <c r="O3" s="2" t="s">
        <v>1</v>
      </c>
      <c r="Q3" s="17"/>
      <c r="V3" s="14" t="s">
        <v>2</v>
      </c>
    </row>
    <row r="4" spans="2:22" ht="19.899999999999999" customHeight="1" x14ac:dyDescent="0.4">
      <c r="B4" s="1" t="s">
        <v>63</v>
      </c>
      <c r="C4" s="44">
        <f>J8*係数新規 + J9*係数修正+J10*係数流用</f>
        <v>1030</v>
      </c>
      <c r="D4" s="1" t="s">
        <v>7</v>
      </c>
      <c r="E4" s="2"/>
      <c r="J4" s="18" t="s">
        <v>42</v>
      </c>
      <c r="O4" s="2"/>
      <c r="V4" s="14" t="s">
        <v>3</v>
      </c>
    </row>
    <row r="5" spans="2:22" ht="19.899999999999999" customHeight="1" x14ac:dyDescent="0.4">
      <c r="B5" s="1" t="s">
        <v>64</v>
      </c>
      <c r="C5" s="47">
        <f>ROUNDUP(C4*試験密度/1000,0)</f>
        <v>116</v>
      </c>
      <c r="D5" s="1" t="s">
        <v>67</v>
      </c>
      <c r="E5" s="2" t="s">
        <v>47</v>
      </c>
      <c r="F5" s="17" t="s">
        <v>187</v>
      </c>
      <c r="J5" s="18" t="s">
        <v>43</v>
      </c>
      <c r="O5" s="2" t="s">
        <v>4</v>
      </c>
      <c r="Q5" s="17"/>
      <c r="V5" s="14" t="s">
        <v>5</v>
      </c>
    </row>
    <row r="6" spans="2:22" ht="19.899999999999999" customHeight="1" x14ac:dyDescent="0.4">
      <c r="B6" s="1" t="s">
        <v>68</v>
      </c>
      <c r="C6" s="47">
        <f>ROUNDUP(C4*誤り件数/1000,0)</f>
        <v>11</v>
      </c>
      <c r="D6" s="1" t="s">
        <v>69</v>
      </c>
      <c r="E6" s="2"/>
      <c r="H6" s="2" t="s">
        <v>6</v>
      </c>
      <c r="J6" s="19">
        <v>1000</v>
      </c>
      <c r="K6" s="1" t="s">
        <v>7</v>
      </c>
      <c r="O6" s="2"/>
      <c r="V6" s="14" t="s">
        <v>8</v>
      </c>
    </row>
    <row r="7" spans="2:22" ht="19.899999999999999" customHeight="1" x14ac:dyDescent="0.4">
      <c r="E7" s="2" t="s">
        <v>48</v>
      </c>
      <c r="F7" s="17"/>
      <c r="H7" s="2"/>
      <c r="O7" s="2" t="s">
        <v>9</v>
      </c>
      <c r="Q7" s="20"/>
      <c r="R7" s="3" t="s">
        <v>10</v>
      </c>
      <c r="S7" s="20"/>
      <c r="V7" s="14" t="s">
        <v>11</v>
      </c>
    </row>
    <row r="8" spans="2:22" ht="19.899999999999999" customHeight="1" x14ac:dyDescent="0.4">
      <c r="B8" s="1" t="s">
        <v>65</v>
      </c>
      <c r="H8" s="2" t="s">
        <v>12</v>
      </c>
      <c r="I8" s="1" t="s">
        <v>13</v>
      </c>
      <c r="J8" s="19">
        <f>971+59</f>
        <v>1030</v>
      </c>
      <c r="K8" s="1" t="s">
        <v>7</v>
      </c>
      <c r="O8" s="2"/>
      <c r="V8" s="14" t="s">
        <v>14</v>
      </c>
    </row>
    <row r="9" spans="2:22" ht="19.899999999999999" customHeight="1" x14ac:dyDescent="0.4">
      <c r="B9" s="1" t="s">
        <v>64</v>
      </c>
      <c r="C9" s="44">
        <f>ROUNDUP(J11 / C4 *1000,2)</f>
        <v>98.06</v>
      </c>
      <c r="D9" s="46" t="str">
        <f>IF(C9&gt;試験密度,"〇","×")</f>
        <v>×</v>
      </c>
      <c r="E9" s="4" t="s">
        <v>15</v>
      </c>
      <c r="I9" s="1" t="s">
        <v>16</v>
      </c>
      <c r="J9" s="21">
        <v>0</v>
      </c>
      <c r="K9" s="1" t="s">
        <v>7</v>
      </c>
      <c r="M9" s="16"/>
      <c r="N9" s="16"/>
      <c r="O9" s="4" t="s">
        <v>17</v>
      </c>
      <c r="V9" s="14" t="s">
        <v>18</v>
      </c>
    </row>
    <row r="10" spans="2:22" ht="19.899999999999999" customHeight="1" thickBot="1" x14ac:dyDescent="0.45">
      <c r="B10" s="1" t="s">
        <v>68</v>
      </c>
      <c r="C10" s="44">
        <f>ROUNDUP(Q11 / C5 *1000,2)</f>
        <v>0</v>
      </c>
      <c r="D10" s="46" t="str">
        <f>IF(C10&lt;誤り件数,"〇","×")</f>
        <v>〇</v>
      </c>
      <c r="E10" s="2" t="s">
        <v>19</v>
      </c>
      <c r="F10" s="17" t="s">
        <v>20</v>
      </c>
      <c r="I10" s="1" t="s">
        <v>21</v>
      </c>
      <c r="J10" s="21">
        <v>0</v>
      </c>
      <c r="K10" s="1" t="s">
        <v>7</v>
      </c>
      <c r="O10" s="2" t="s">
        <v>22</v>
      </c>
      <c r="P10" s="22"/>
      <c r="Q10" s="23">
        <f>COUNTIF(M15:M333,"〇")</f>
        <v>101</v>
      </c>
      <c r="R10" s="1" t="s">
        <v>23</v>
      </c>
      <c r="V10" s="14" t="s">
        <v>24</v>
      </c>
    </row>
    <row r="11" spans="2:22" ht="19.899999999999999" customHeight="1" thickTop="1" thickBot="1" x14ac:dyDescent="0.45">
      <c r="E11" s="2" t="s">
        <v>25</v>
      </c>
      <c r="F11" s="24" t="s">
        <v>71</v>
      </c>
      <c r="H11" s="2" t="s">
        <v>26</v>
      </c>
      <c r="J11" s="23">
        <f>+COUNTA(F15:F833)</f>
        <v>101</v>
      </c>
      <c r="K11" s="1" t="s">
        <v>23</v>
      </c>
      <c r="O11" s="2" t="s">
        <v>27</v>
      </c>
      <c r="P11" s="22"/>
      <c r="Q11" s="25">
        <f>COUNTIF(M15:M333,"×")</f>
        <v>0</v>
      </c>
      <c r="R11" s="1" t="s">
        <v>23</v>
      </c>
      <c r="V11" s="14" t="s">
        <v>28</v>
      </c>
    </row>
    <row r="12" spans="2:22" ht="19.899999999999999" customHeight="1" thickTop="1" x14ac:dyDescent="0.4">
      <c r="E12" s="2" t="s">
        <v>29</v>
      </c>
      <c r="F12" s="17" t="s">
        <v>70</v>
      </c>
      <c r="V12" s="14" t="s">
        <v>30</v>
      </c>
    </row>
    <row r="13" spans="2:22" ht="19.899999999999999" customHeight="1" x14ac:dyDescent="0.4">
      <c r="N13" s="1" t="s">
        <v>52</v>
      </c>
      <c r="V13" s="14"/>
    </row>
    <row r="14" spans="2:22" s="31" customFormat="1" ht="19.899999999999999" customHeight="1" x14ac:dyDescent="0.4">
      <c r="B14" s="9" t="s">
        <v>31</v>
      </c>
      <c r="C14" s="10" t="s">
        <v>50</v>
      </c>
      <c r="D14" s="10" t="s">
        <v>51</v>
      </c>
      <c r="E14" s="10" t="s">
        <v>44</v>
      </c>
      <c r="F14" s="26" t="s">
        <v>32</v>
      </c>
      <c r="G14" s="26" t="s">
        <v>53</v>
      </c>
      <c r="H14" s="27" t="s">
        <v>49</v>
      </c>
      <c r="I14" s="9" t="s">
        <v>33</v>
      </c>
      <c r="J14" s="9" t="s">
        <v>34</v>
      </c>
      <c r="K14" s="11" t="s">
        <v>35</v>
      </c>
      <c r="L14" s="11" t="s">
        <v>36</v>
      </c>
      <c r="M14" s="11" t="s">
        <v>37</v>
      </c>
      <c r="N14" s="11" t="s">
        <v>41</v>
      </c>
      <c r="O14" s="28" t="s">
        <v>38</v>
      </c>
      <c r="P14" s="29"/>
      <c r="Q14" s="28" t="s">
        <v>39</v>
      </c>
      <c r="R14" s="29"/>
      <c r="S14" s="11" t="s">
        <v>40</v>
      </c>
      <c r="V14" s="1"/>
    </row>
    <row r="15" spans="2:22" s="60" customFormat="1" ht="19.5" customHeight="1" x14ac:dyDescent="0.4">
      <c r="B15" s="49">
        <f>ROW()-14</f>
        <v>1</v>
      </c>
      <c r="C15" s="50" t="s">
        <v>110</v>
      </c>
      <c r="D15" s="50"/>
      <c r="E15" s="50"/>
      <c r="F15" s="50"/>
      <c r="G15" s="51"/>
      <c r="H15" s="52"/>
      <c r="I15" s="53"/>
      <c r="J15" s="54"/>
      <c r="K15" s="55"/>
      <c r="L15" s="53"/>
      <c r="M15" s="53"/>
      <c r="N15" s="56"/>
      <c r="O15" s="57"/>
      <c r="P15" s="58"/>
      <c r="Q15" s="59"/>
      <c r="R15" s="58"/>
      <c r="S15" s="49"/>
      <c r="V15" s="61"/>
    </row>
    <row r="16" spans="2:22" s="31" customFormat="1" ht="19.5" customHeight="1" x14ac:dyDescent="0.4">
      <c r="B16" s="32">
        <f t="shared" ref="B16:B79" si="0">ROW()-14</f>
        <v>2</v>
      </c>
      <c r="C16" s="33"/>
      <c r="D16" s="30" t="s">
        <v>111</v>
      </c>
      <c r="E16" s="30" t="s">
        <v>112</v>
      </c>
      <c r="F16" s="30"/>
      <c r="G16" s="34"/>
      <c r="H16" s="8"/>
      <c r="I16" s="5"/>
      <c r="J16" s="6"/>
      <c r="K16" s="7"/>
      <c r="L16" s="5"/>
      <c r="M16" s="5"/>
      <c r="N16" s="35"/>
      <c r="O16" s="36"/>
      <c r="P16" s="37"/>
      <c r="Q16" s="38"/>
      <c r="R16" s="37"/>
      <c r="S16" s="32"/>
    </row>
    <row r="17" spans="2:19" s="31" customFormat="1" ht="19.5" customHeight="1" x14ac:dyDescent="0.4">
      <c r="B17" s="32">
        <f t="shared" si="0"/>
        <v>3</v>
      </c>
      <c r="C17" s="33"/>
      <c r="D17" s="30"/>
      <c r="E17" s="63" t="s">
        <v>113</v>
      </c>
      <c r="F17" s="30"/>
      <c r="G17" s="34"/>
      <c r="H17" s="8"/>
      <c r="I17" s="5"/>
      <c r="J17" s="6"/>
      <c r="K17" s="7"/>
      <c r="L17" s="5"/>
      <c r="M17" s="5"/>
      <c r="N17" s="35"/>
      <c r="O17" s="36"/>
      <c r="P17" s="37"/>
      <c r="Q17" s="38"/>
      <c r="R17" s="37"/>
      <c r="S17" s="32"/>
    </row>
    <row r="18" spans="2:19" s="31" customFormat="1" ht="19.5" customHeight="1" x14ac:dyDescent="0.4">
      <c r="B18" s="32">
        <f t="shared" si="0"/>
        <v>4</v>
      </c>
      <c r="C18" s="33"/>
      <c r="D18" s="30"/>
      <c r="E18" s="63" t="s">
        <v>114</v>
      </c>
      <c r="F18" s="30" t="s">
        <v>115</v>
      </c>
      <c r="G18" s="34"/>
      <c r="H18" s="8"/>
      <c r="I18" s="5"/>
      <c r="J18" s="6"/>
      <c r="K18" s="7">
        <v>46210</v>
      </c>
      <c r="L18" s="5" t="s">
        <v>117</v>
      </c>
      <c r="M18" s="5" t="s">
        <v>78</v>
      </c>
      <c r="N18" s="35"/>
      <c r="O18" s="36"/>
      <c r="P18" s="37"/>
      <c r="Q18" s="38"/>
      <c r="R18" s="37"/>
      <c r="S18" s="32"/>
    </row>
    <row r="19" spans="2:19" s="31" customFormat="1" ht="19.5" customHeight="1" x14ac:dyDescent="0.4">
      <c r="B19" s="32">
        <f t="shared" si="0"/>
        <v>5</v>
      </c>
      <c r="C19" s="33"/>
      <c r="D19" s="30"/>
      <c r="E19" s="30"/>
      <c r="F19" s="30" t="s">
        <v>116</v>
      </c>
      <c r="G19" s="34"/>
      <c r="H19" s="8"/>
      <c r="I19" s="5"/>
      <c r="J19" s="6"/>
      <c r="K19" s="7">
        <v>46210</v>
      </c>
      <c r="L19" s="5" t="s">
        <v>117</v>
      </c>
      <c r="M19" s="5" t="s">
        <v>78</v>
      </c>
      <c r="N19" s="35"/>
      <c r="O19" s="36"/>
      <c r="P19" s="37"/>
      <c r="Q19" s="38"/>
      <c r="R19" s="37"/>
      <c r="S19" s="32"/>
    </row>
    <row r="20" spans="2:19" s="31" customFormat="1" ht="19.5" customHeight="1" x14ac:dyDescent="0.4">
      <c r="B20" s="32">
        <f t="shared" si="0"/>
        <v>6</v>
      </c>
      <c r="C20" s="33"/>
      <c r="D20" s="30"/>
      <c r="E20" s="63" t="s">
        <v>118</v>
      </c>
      <c r="F20" s="30" t="s">
        <v>115</v>
      </c>
      <c r="G20" s="34"/>
      <c r="H20" s="8"/>
      <c r="I20" s="5"/>
      <c r="J20" s="6"/>
      <c r="K20" s="7">
        <v>46210</v>
      </c>
      <c r="L20" s="5" t="s">
        <v>117</v>
      </c>
      <c r="M20" s="5" t="s">
        <v>78</v>
      </c>
      <c r="N20" s="35"/>
      <c r="O20" s="36"/>
      <c r="P20" s="37"/>
      <c r="Q20" s="38"/>
      <c r="R20" s="37"/>
      <c r="S20" s="32"/>
    </row>
    <row r="21" spans="2:19" s="31" customFormat="1" ht="19.5" customHeight="1" x14ac:dyDescent="0.4">
      <c r="B21" s="32">
        <f t="shared" si="0"/>
        <v>7</v>
      </c>
      <c r="C21" s="33"/>
      <c r="D21" s="30"/>
      <c r="E21" s="30"/>
      <c r="F21" s="30" t="s">
        <v>120</v>
      </c>
      <c r="G21" s="34"/>
      <c r="H21" s="8"/>
      <c r="I21" s="5"/>
      <c r="J21" s="6"/>
      <c r="K21" s="7">
        <v>46210</v>
      </c>
      <c r="L21" s="5" t="s">
        <v>117</v>
      </c>
      <c r="M21" s="5" t="s">
        <v>78</v>
      </c>
      <c r="N21" s="35"/>
      <c r="O21" s="36"/>
      <c r="P21" s="37"/>
      <c r="Q21" s="38"/>
      <c r="R21" s="37"/>
      <c r="S21" s="32"/>
    </row>
    <row r="22" spans="2:19" s="31" customFormat="1" ht="19.5" customHeight="1" x14ac:dyDescent="0.4">
      <c r="B22" s="32">
        <f t="shared" si="0"/>
        <v>8</v>
      </c>
      <c r="C22" s="33"/>
      <c r="D22" s="30"/>
      <c r="E22" s="63" t="s">
        <v>137</v>
      </c>
      <c r="F22" s="30" t="s">
        <v>122</v>
      </c>
      <c r="G22" s="34"/>
      <c r="H22" s="8"/>
      <c r="I22" s="5"/>
      <c r="J22" s="6"/>
      <c r="K22" s="7">
        <v>46210</v>
      </c>
      <c r="L22" s="5" t="s">
        <v>117</v>
      </c>
      <c r="M22" s="5" t="s">
        <v>78</v>
      </c>
      <c r="N22" s="35"/>
      <c r="O22" s="36"/>
      <c r="P22" s="37"/>
      <c r="Q22" s="38"/>
      <c r="R22" s="37"/>
      <c r="S22" s="32"/>
    </row>
    <row r="23" spans="2:19" s="31" customFormat="1" ht="19.5" customHeight="1" x14ac:dyDescent="0.4">
      <c r="B23" s="32">
        <f t="shared" si="0"/>
        <v>9</v>
      </c>
      <c r="C23" s="33"/>
      <c r="D23" s="30"/>
      <c r="E23" s="63"/>
      <c r="F23" s="30" t="s">
        <v>121</v>
      </c>
      <c r="G23" s="34"/>
      <c r="H23" s="8"/>
      <c r="I23" s="5"/>
      <c r="J23" s="6"/>
      <c r="K23" s="7">
        <v>46210</v>
      </c>
      <c r="L23" s="5" t="s">
        <v>117</v>
      </c>
      <c r="M23" s="5" t="s">
        <v>78</v>
      </c>
      <c r="N23" s="35"/>
      <c r="O23" s="36"/>
      <c r="P23" s="37"/>
      <c r="Q23" s="38"/>
      <c r="R23" s="37"/>
      <c r="S23" s="32"/>
    </row>
    <row r="24" spans="2:19" s="31" customFormat="1" ht="19.5" customHeight="1" x14ac:dyDescent="0.4">
      <c r="B24" s="32">
        <f t="shared" si="0"/>
        <v>10</v>
      </c>
      <c r="C24" s="33"/>
      <c r="D24" s="30"/>
      <c r="E24" s="64" t="s">
        <v>123</v>
      </c>
      <c r="F24" s="30"/>
      <c r="G24" s="34"/>
      <c r="H24" s="8"/>
      <c r="I24" s="5"/>
      <c r="J24" s="6"/>
      <c r="K24" s="7"/>
      <c r="L24" s="5"/>
      <c r="M24" s="5"/>
      <c r="N24" s="35"/>
      <c r="O24" s="36"/>
      <c r="P24" s="37"/>
      <c r="Q24" s="38"/>
      <c r="R24" s="37"/>
      <c r="S24" s="32"/>
    </row>
    <row r="25" spans="2:19" s="31" customFormat="1" ht="19.5" customHeight="1" x14ac:dyDescent="0.4">
      <c r="B25" s="32">
        <f t="shared" si="0"/>
        <v>11</v>
      </c>
      <c r="C25" s="33"/>
      <c r="D25" s="30"/>
      <c r="E25" s="65" t="s">
        <v>77</v>
      </c>
      <c r="F25" s="30" t="str">
        <f>"CSVの"&amp;E25&amp;"であること"</f>
        <v>CSVのCLコードであること</v>
      </c>
      <c r="G25" s="34"/>
      <c r="H25" s="8"/>
      <c r="I25" s="5"/>
      <c r="J25" s="6"/>
      <c r="K25" s="7">
        <v>46210</v>
      </c>
      <c r="L25" s="5" t="s">
        <v>117</v>
      </c>
      <c r="M25" s="5" t="s">
        <v>78</v>
      </c>
      <c r="N25" s="35"/>
      <c r="O25" s="36"/>
      <c r="P25" s="37"/>
      <c r="Q25" s="38"/>
      <c r="R25" s="37"/>
      <c r="S25" s="32"/>
    </row>
    <row r="26" spans="2:19" s="31" customFormat="1" ht="19.5" customHeight="1" x14ac:dyDescent="0.4">
      <c r="B26" s="32">
        <f t="shared" si="0"/>
        <v>12</v>
      </c>
      <c r="C26" s="33"/>
      <c r="D26" s="30"/>
      <c r="E26" s="65" t="s">
        <v>124</v>
      </c>
      <c r="F26" s="30" t="s">
        <v>134</v>
      </c>
      <c r="G26" s="34"/>
      <c r="H26" s="8"/>
      <c r="I26" s="5"/>
      <c r="J26" s="6"/>
      <c r="K26" s="7">
        <v>46210</v>
      </c>
      <c r="L26" s="5" t="s">
        <v>117</v>
      </c>
      <c r="M26" s="5" t="s">
        <v>78</v>
      </c>
      <c r="N26" s="35"/>
      <c r="O26" s="36"/>
      <c r="P26" s="37"/>
      <c r="Q26" s="38"/>
      <c r="R26" s="37"/>
      <c r="S26" s="32"/>
    </row>
    <row r="27" spans="2:19" s="31" customFormat="1" ht="19.5" customHeight="1" x14ac:dyDescent="0.4">
      <c r="B27" s="32">
        <f t="shared" si="0"/>
        <v>13</v>
      </c>
      <c r="C27" s="33"/>
      <c r="D27" s="30"/>
      <c r="E27" s="65" t="s">
        <v>76</v>
      </c>
      <c r="F27" s="30" t="str">
        <f>"CSVの"&amp;E27&amp;"であること"</f>
        <v>CSVの製品名であること</v>
      </c>
      <c r="G27" s="34"/>
      <c r="H27" s="8"/>
      <c r="I27" s="5"/>
      <c r="J27" s="6"/>
      <c r="K27" s="7">
        <v>46210</v>
      </c>
      <c r="L27" s="5" t="s">
        <v>117</v>
      </c>
      <c r="M27" s="5" t="s">
        <v>78</v>
      </c>
      <c r="N27" s="35"/>
      <c r="O27" s="36"/>
      <c r="P27" s="37"/>
      <c r="Q27" s="38"/>
      <c r="R27" s="37"/>
      <c r="S27" s="32"/>
    </row>
    <row r="28" spans="2:19" s="31" customFormat="1" ht="19.5" customHeight="1" x14ac:dyDescent="0.4">
      <c r="B28" s="32">
        <f t="shared" si="0"/>
        <v>14</v>
      </c>
      <c r="C28" s="33"/>
      <c r="D28" s="30"/>
      <c r="E28" s="65" t="s">
        <v>125</v>
      </c>
      <c r="F28" s="30" t="str">
        <f>"CSVの"&amp;E28&amp;"であること"</f>
        <v>CSVのICP分析証明書の発行状況であること</v>
      </c>
      <c r="G28" s="34"/>
      <c r="H28" s="8"/>
      <c r="I28" s="5"/>
      <c r="J28" s="6"/>
      <c r="K28" s="7">
        <v>46210</v>
      </c>
      <c r="L28" s="5" t="s">
        <v>117</v>
      </c>
      <c r="M28" s="5" t="s">
        <v>78</v>
      </c>
      <c r="N28" s="35"/>
      <c r="O28" s="36"/>
      <c r="P28" s="37"/>
      <c r="Q28" s="38"/>
      <c r="R28" s="37"/>
      <c r="S28" s="32"/>
    </row>
    <row r="29" spans="2:19" s="31" customFormat="1" ht="19.5" customHeight="1" x14ac:dyDescent="0.4">
      <c r="B29" s="32">
        <f t="shared" si="0"/>
        <v>15</v>
      </c>
      <c r="C29" s="33"/>
      <c r="D29" s="30"/>
      <c r="E29" s="65" t="s">
        <v>126</v>
      </c>
      <c r="F29" s="30" t="str">
        <f>"CSVの"&amp;E29&amp;"であること"</f>
        <v>CSVのSDSの発行状況であること</v>
      </c>
      <c r="G29" s="34"/>
      <c r="H29" s="8"/>
      <c r="I29" s="5"/>
      <c r="J29" s="6"/>
      <c r="K29" s="7">
        <v>46210</v>
      </c>
      <c r="L29" s="5" t="s">
        <v>117</v>
      </c>
      <c r="M29" s="5" t="s">
        <v>78</v>
      </c>
      <c r="N29" s="35"/>
      <c r="O29" s="36"/>
      <c r="P29" s="37"/>
      <c r="Q29" s="38"/>
      <c r="R29" s="37"/>
      <c r="S29" s="32"/>
    </row>
    <row r="30" spans="2:19" s="31" customFormat="1" ht="19.5" customHeight="1" x14ac:dyDescent="0.4">
      <c r="B30" s="32">
        <f t="shared" si="0"/>
        <v>16</v>
      </c>
      <c r="C30" s="33"/>
      <c r="D30" s="30"/>
      <c r="E30" s="65" t="s">
        <v>127</v>
      </c>
      <c r="F30" s="30" t="str">
        <f t="shared" ref="F30:F36" si="1">"CSVの"&amp;E30&amp;"であること"</f>
        <v>CSVの成分表の発行状況であること</v>
      </c>
      <c r="G30" s="34"/>
      <c r="H30" s="8"/>
      <c r="I30" s="5"/>
      <c r="J30" s="6"/>
      <c r="K30" s="7">
        <v>46210</v>
      </c>
      <c r="L30" s="5" t="s">
        <v>117</v>
      </c>
      <c r="M30" s="5" t="s">
        <v>78</v>
      </c>
      <c r="N30" s="35"/>
      <c r="O30" s="36"/>
      <c r="P30" s="37"/>
      <c r="Q30" s="38"/>
      <c r="R30" s="37"/>
      <c r="S30" s="32"/>
    </row>
    <row r="31" spans="2:19" s="31" customFormat="1" ht="19.5" customHeight="1" x14ac:dyDescent="0.4">
      <c r="B31" s="32">
        <f t="shared" si="0"/>
        <v>17</v>
      </c>
      <c r="C31" s="33"/>
      <c r="D31" s="30"/>
      <c r="E31" s="65" t="s">
        <v>128</v>
      </c>
      <c r="F31" s="30" t="str">
        <f t="shared" si="1"/>
        <v>CSVのRoHS証明書の発行状況であること</v>
      </c>
      <c r="G31" s="34"/>
      <c r="H31" s="8"/>
      <c r="I31" s="5"/>
      <c r="J31" s="6"/>
      <c r="K31" s="7">
        <v>46210</v>
      </c>
      <c r="L31" s="5" t="s">
        <v>117</v>
      </c>
      <c r="M31" s="5" t="s">
        <v>78</v>
      </c>
      <c r="N31" s="35"/>
      <c r="O31" s="36"/>
      <c r="P31" s="37"/>
      <c r="Q31" s="38"/>
      <c r="R31" s="37"/>
      <c r="S31" s="32"/>
    </row>
    <row r="32" spans="2:19" s="31" customFormat="1" ht="19.5" customHeight="1" x14ac:dyDescent="0.4">
      <c r="B32" s="32">
        <f t="shared" si="0"/>
        <v>18</v>
      </c>
      <c r="C32" s="33"/>
      <c r="D32" s="30"/>
      <c r="E32" s="65" t="s">
        <v>129</v>
      </c>
      <c r="F32" s="30" t="str">
        <f t="shared" si="1"/>
        <v>CSVのハロゲンフリー証明書の発行状況であること</v>
      </c>
      <c r="G32" s="34"/>
      <c r="H32" s="8"/>
      <c r="I32" s="5"/>
      <c r="J32" s="6"/>
      <c r="K32" s="7">
        <v>46210</v>
      </c>
      <c r="L32" s="5" t="s">
        <v>117</v>
      </c>
      <c r="M32" s="5" t="s">
        <v>78</v>
      </c>
      <c r="N32" s="35"/>
      <c r="O32" s="36"/>
      <c r="P32" s="37"/>
      <c r="Q32" s="38"/>
      <c r="R32" s="37"/>
      <c r="S32" s="32"/>
    </row>
    <row r="33" spans="2:19" s="31" customFormat="1" ht="19.5" customHeight="1" x14ac:dyDescent="0.4">
      <c r="B33" s="32">
        <f t="shared" si="0"/>
        <v>19</v>
      </c>
      <c r="C33" s="33"/>
      <c r="D33" s="30"/>
      <c r="E33" s="65" t="s">
        <v>130</v>
      </c>
      <c r="F33" s="30" t="str">
        <f t="shared" si="1"/>
        <v>CSVのAISの発行状況であること</v>
      </c>
      <c r="G33" s="34"/>
      <c r="H33" s="8"/>
      <c r="I33" s="5"/>
      <c r="J33" s="6"/>
      <c r="K33" s="7">
        <v>46210</v>
      </c>
      <c r="L33" s="5" t="s">
        <v>117</v>
      </c>
      <c r="M33" s="5" t="s">
        <v>78</v>
      </c>
      <c r="N33" s="35"/>
      <c r="O33" s="36"/>
      <c r="P33" s="37"/>
      <c r="Q33" s="38"/>
      <c r="R33" s="37"/>
      <c r="S33" s="32"/>
    </row>
    <row r="34" spans="2:19" s="31" customFormat="1" ht="19.5" customHeight="1" x14ac:dyDescent="0.4">
      <c r="B34" s="32">
        <f t="shared" si="0"/>
        <v>20</v>
      </c>
      <c r="C34" s="33"/>
      <c r="D34" s="30"/>
      <c r="E34" s="65" t="s">
        <v>131</v>
      </c>
      <c r="F34" s="30" t="str">
        <f t="shared" si="1"/>
        <v>CSVのchemSHERPA書類の発行状況であること</v>
      </c>
      <c r="G34" s="34"/>
      <c r="H34" s="8"/>
      <c r="I34" s="5"/>
      <c r="J34" s="6"/>
      <c r="K34" s="7">
        <v>46210</v>
      </c>
      <c r="L34" s="5" t="s">
        <v>117</v>
      </c>
      <c r="M34" s="5" t="s">
        <v>78</v>
      </c>
      <c r="N34" s="35"/>
      <c r="O34" s="36"/>
      <c r="P34" s="37"/>
      <c r="Q34" s="38"/>
      <c r="R34" s="37"/>
      <c r="S34" s="32"/>
    </row>
    <row r="35" spans="2:19" s="31" customFormat="1" ht="19.5" customHeight="1" x14ac:dyDescent="0.4">
      <c r="B35" s="32">
        <f t="shared" si="0"/>
        <v>21</v>
      </c>
      <c r="C35" s="33"/>
      <c r="D35" s="30"/>
      <c r="E35" s="65" t="s">
        <v>132</v>
      </c>
      <c r="F35" s="30" t="str">
        <f t="shared" si="1"/>
        <v>CSVのSVHC証明書の発行状況であること</v>
      </c>
      <c r="G35" s="34"/>
      <c r="H35" s="8"/>
      <c r="I35" s="5"/>
      <c r="J35" s="6"/>
      <c r="K35" s="7">
        <v>46210</v>
      </c>
      <c r="L35" s="5" t="s">
        <v>117</v>
      </c>
      <c r="M35" s="5" t="s">
        <v>78</v>
      </c>
      <c r="N35" s="35"/>
      <c r="O35" s="36"/>
      <c r="P35" s="37"/>
      <c r="Q35" s="38"/>
      <c r="R35" s="37"/>
      <c r="S35" s="32"/>
    </row>
    <row r="36" spans="2:19" s="31" customFormat="1" ht="19.5" customHeight="1" x14ac:dyDescent="0.4">
      <c r="B36" s="32">
        <f t="shared" si="0"/>
        <v>22</v>
      </c>
      <c r="C36" s="33"/>
      <c r="D36" s="30"/>
      <c r="E36" s="65" t="s">
        <v>133</v>
      </c>
      <c r="F36" s="30" t="str">
        <f t="shared" si="1"/>
        <v>CSVのマスタデータバージョンであること</v>
      </c>
      <c r="G36" s="34"/>
      <c r="H36" s="8"/>
      <c r="I36" s="5"/>
      <c r="J36" s="6"/>
      <c r="K36" s="7">
        <v>46210</v>
      </c>
      <c r="L36" s="5" t="s">
        <v>117</v>
      </c>
      <c r="M36" s="5" t="s">
        <v>78</v>
      </c>
      <c r="N36" s="35"/>
      <c r="O36" s="36"/>
      <c r="P36" s="37"/>
      <c r="Q36" s="38"/>
      <c r="R36" s="37"/>
      <c r="S36" s="32"/>
    </row>
    <row r="37" spans="2:19" s="31" customFormat="1" ht="19.5" customHeight="1" x14ac:dyDescent="0.4">
      <c r="B37" s="32">
        <f t="shared" si="0"/>
        <v>23</v>
      </c>
      <c r="C37" s="33"/>
      <c r="D37" s="30"/>
      <c r="E37" s="64" t="s">
        <v>135</v>
      </c>
      <c r="F37" s="30" t="s">
        <v>136</v>
      </c>
      <c r="G37" s="34"/>
      <c r="H37" s="8"/>
      <c r="I37" s="5"/>
      <c r="J37" s="6"/>
      <c r="K37" s="7">
        <v>46210</v>
      </c>
      <c r="L37" s="5" t="s">
        <v>117</v>
      </c>
      <c r="M37" s="5" t="s">
        <v>78</v>
      </c>
      <c r="N37" s="35"/>
      <c r="O37" s="36"/>
      <c r="P37" s="37"/>
      <c r="Q37" s="38"/>
      <c r="R37" s="37"/>
      <c r="S37" s="32"/>
    </row>
    <row r="38" spans="2:19" s="31" customFormat="1" ht="19.5" customHeight="1" x14ac:dyDescent="0.4">
      <c r="B38" s="32">
        <f t="shared" si="0"/>
        <v>24</v>
      </c>
      <c r="C38" s="33"/>
      <c r="D38" s="30"/>
      <c r="E38" s="30" t="s">
        <v>139</v>
      </c>
      <c r="F38" s="30" t="s">
        <v>122</v>
      </c>
      <c r="G38" s="34"/>
      <c r="H38" s="8"/>
      <c r="I38" s="5"/>
      <c r="J38" s="6"/>
      <c r="K38" s="7">
        <v>46210</v>
      </c>
      <c r="L38" s="5" t="s">
        <v>117</v>
      </c>
      <c r="M38" s="5" t="s">
        <v>78</v>
      </c>
      <c r="N38" s="35"/>
      <c r="O38" s="36"/>
      <c r="P38" s="37"/>
      <c r="Q38" s="38"/>
      <c r="R38" s="37"/>
      <c r="S38" s="32"/>
    </row>
    <row r="39" spans="2:19" s="31" customFormat="1" ht="19.5" customHeight="1" x14ac:dyDescent="0.4">
      <c r="B39" s="32">
        <f t="shared" si="0"/>
        <v>25</v>
      </c>
      <c r="C39" s="33"/>
      <c r="D39" s="30"/>
      <c r="E39" s="63"/>
      <c r="F39" s="30" t="s">
        <v>121</v>
      </c>
      <c r="G39" s="34"/>
      <c r="H39" s="8"/>
      <c r="I39" s="5"/>
      <c r="J39" s="6"/>
      <c r="K39" s="7">
        <v>46210</v>
      </c>
      <c r="L39" s="5" t="s">
        <v>117</v>
      </c>
      <c r="M39" s="5" t="s">
        <v>78</v>
      </c>
      <c r="N39" s="35"/>
      <c r="O39" s="36"/>
      <c r="P39" s="37"/>
      <c r="Q39" s="38"/>
      <c r="R39" s="37"/>
      <c r="S39" s="32"/>
    </row>
    <row r="40" spans="2:19" s="31" customFormat="1" ht="19.5" customHeight="1" x14ac:dyDescent="0.4">
      <c r="B40" s="32">
        <f t="shared" si="0"/>
        <v>26</v>
      </c>
      <c r="C40" s="33"/>
      <c r="D40" s="30"/>
      <c r="E40" s="64" t="s">
        <v>123</v>
      </c>
      <c r="F40" s="30" t="s">
        <v>140</v>
      </c>
      <c r="G40" s="34"/>
      <c r="H40" s="8"/>
      <c r="I40" s="5"/>
      <c r="J40" s="6"/>
      <c r="K40" s="7">
        <v>46210</v>
      </c>
      <c r="L40" s="5" t="s">
        <v>117</v>
      </c>
      <c r="M40" s="5" t="s">
        <v>78</v>
      </c>
      <c r="N40" s="35"/>
      <c r="O40" s="36"/>
      <c r="P40" s="37"/>
      <c r="Q40" s="38"/>
      <c r="R40" s="37"/>
      <c r="S40" s="32"/>
    </row>
    <row r="41" spans="2:19" s="31" customFormat="1" ht="19.5" customHeight="1" x14ac:dyDescent="0.4">
      <c r="B41" s="32">
        <f t="shared" si="0"/>
        <v>27</v>
      </c>
      <c r="C41" s="33"/>
      <c r="D41" s="30"/>
      <c r="E41" s="65" t="s">
        <v>77</v>
      </c>
      <c r="F41" s="30" t="str">
        <f>"CSVの"&amp;E41&amp;"であること"</f>
        <v>CSVのCLコードであること</v>
      </c>
      <c r="G41" s="34"/>
      <c r="H41" s="8"/>
      <c r="I41" s="5"/>
      <c r="J41" s="6"/>
      <c r="K41" s="7">
        <v>46210</v>
      </c>
      <c r="L41" s="5" t="s">
        <v>117</v>
      </c>
      <c r="M41" s="5" t="s">
        <v>78</v>
      </c>
      <c r="N41" s="35"/>
      <c r="O41" s="36"/>
      <c r="P41" s="37"/>
      <c r="Q41" s="38"/>
      <c r="R41" s="37"/>
      <c r="S41" s="32"/>
    </row>
    <row r="42" spans="2:19" s="31" customFormat="1" ht="19.5" customHeight="1" x14ac:dyDescent="0.4">
      <c r="B42" s="32">
        <f t="shared" si="0"/>
        <v>28</v>
      </c>
      <c r="C42" s="33"/>
      <c r="D42" s="30"/>
      <c r="E42" s="65" t="s">
        <v>124</v>
      </c>
      <c r="F42" s="30" t="s">
        <v>134</v>
      </c>
      <c r="G42" s="34"/>
      <c r="H42" s="8"/>
      <c r="I42" s="5"/>
      <c r="J42" s="6"/>
      <c r="K42" s="7">
        <v>46210</v>
      </c>
      <c r="L42" s="5" t="s">
        <v>117</v>
      </c>
      <c r="M42" s="5" t="s">
        <v>78</v>
      </c>
      <c r="N42" s="35"/>
      <c r="O42" s="36"/>
      <c r="P42" s="37"/>
      <c r="Q42" s="38"/>
      <c r="R42" s="37"/>
      <c r="S42" s="32"/>
    </row>
    <row r="43" spans="2:19" s="31" customFormat="1" ht="19.5" customHeight="1" x14ac:dyDescent="0.4">
      <c r="B43" s="32">
        <f t="shared" si="0"/>
        <v>29</v>
      </c>
      <c r="C43" s="33"/>
      <c r="D43" s="30"/>
      <c r="E43" s="65" t="s">
        <v>76</v>
      </c>
      <c r="F43" s="30" t="str">
        <f>"CSVの"&amp;E43&amp;"であること"</f>
        <v>CSVの製品名であること</v>
      </c>
      <c r="G43" s="34"/>
      <c r="H43" s="8"/>
      <c r="I43" s="5"/>
      <c r="J43" s="6"/>
      <c r="K43" s="7">
        <v>46210</v>
      </c>
      <c r="L43" s="5" t="s">
        <v>117</v>
      </c>
      <c r="M43" s="5" t="s">
        <v>78</v>
      </c>
      <c r="N43" s="35"/>
      <c r="O43" s="36"/>
      <c r="P43" s="37"/>
      <c r="Q43" s="38"/>
      <c r="R43" s="37"/>
      <c r="S43" s="32"/>
    </row>
    <row r="44" spans="2:19" s="31" customFormat="1" ht="19.5" customHeight="1" x14ac:dyDescent="0.4">
      <c r="B44" s="32">
        <f t="shared" si="0"/>
        <v>30</v>
      </c>
      <c r="C44" s="33"/>
      <c r="D44" s="30"/>
      <c r="E44" s="65" t="s">
        <v>125</v>
      </c>
      <c r="F44" s="30" t="str">
        <f>"CSVの"&amp;E44&amp;"であること"</f>
        <v>CSVのICP分析証明書の発行状況であること</v>
      </c>
      <c r="G44" s="34"/>
      <c r="H44" s="8"/>
      <c r="I44" s="5"/>
      <c r="J44" s="6"/>
      <c r="K44" s="7">
        <v>46210</v>
      </c>
      <c r="L44" s="5" t="s">
        <v>117</v>
      </c>
      <c r="M44" s="5" t="s">
        <v>78</v>
      </c>
      <c r="N44" s="35"/>
      <c r="O44" s="36"/>
      <c r="P44" s="37"/>
      <c r="Q44" s="38"/>
      <c r="R44" s="37"/>
      <c r="S44" s="32"/>
    </row>
    <row r="45" spans="2:19" s="31" customFormat="1" ht="19.5" customHeight="1" x14ac:dyDescent="0.4">
      <c r="B45" s="32">
        <f t="shared" si="0"/>
        <v>31</v>
      </c>
      <c r="C45" s="33"/>
      <c r="D45" s="30"/>
      <c r="E45" s="65" t="s">
        <v>126</v>
      </c>
      <c r="F45" s="30" t="str">
        <f>"CSVの"&amp;E45&amp;"であること"</f>
        <v>CSVのSDSの発行状況であること</v>
      </c>
      <c r="G45" s="34"/>
      <c r="H45" s="8"/>
      <c r="I45" s="5"/>
      <c r="J45" s="6"/>
      <c r="K45" s="7">
        <v>46210</v>
      </c>
      <c r="L45" s="5" t="s">
        <v>117</v>
      </c>
      <c r="M45" s="5" t="s">
        <v>78</v>
      </c>
      <c r="N45" s="35"/>
      <c r="O45" s="36"/>
      <c r="P45" s="37"/>
      <c r="Q45" s="38"/>
      <c r="R45" s="37"/>
      <c r="S45" s="32"/>
    </row>
    <row r="46" spans="2:19" s="31" customFormat="1" ht="19.5" customHeight="1" x14ac:dyDescent="0.4">
      <c r="B46" s="32">
        <f t="shared" si="0"/>
        <v>32</v>
      </c>
      <c r="C46" s="33"/>
      <c r="D46" s="30"/>
      <c r="E46" s="65" t="s">
        <v>127</v>
      </c>
      <c r="F46" s="30" t="str">
        <f t="shared" ref="F46:F52" si="2">"CSVの"&amp;E46&amp;"であること"</f>
        <v>CSVの成分表の発行状況であること</v>
      </c>
      <c r="G46" s="34"/>
      <c r="H46" s="8"/>
      <c r="I46" s="5"/>
      <c r="J46" s="6"/>
      <c r="K46" s="7">
        <v>46210</v>
      </c>
      <c r="L46" s="5" t="s">
        <v>117</v>
      </c>
      <c r="M46" s="5" t="s">
        <v>78</v>
      </c>
      <c r="N46" s="35"/>
      <c r="O46" s="36"/>
      <c r="P46" s="37"/>
      <c r="Q46" s="38"/>
      <c r="R46" s="37"/>
      <c r="S46" s="32"/>
    </row>
    <row r="47" spans="2:19" s="31" customFormat="1" ht="19.5" customHeight="1" x14ac:dyDescent="0.4">
      <c r="B47" s="32">
        <f t="shared" si="0"/>
        <v>33</v>
      </c>
      <c r="C47" s="33"/>
      <c r="D47" s="30"/>
      <c r="E47" s="65" t="s">
        <v>128</v>
      </c>
      <c r="F47" s="30" t="str">
        <f t="shared" si="2"/>
        <v>CSVのRoHS証明書の発行状況であること</v>
      </c>
      <c r="G47" s="34"/>
      <c r="H47" s="8"/>
      <c r="I47" s="5"/>
      <c r="J47" s="6"/>
      <c r="K47" s="7">
        <v>46210</v>
      </c>
      <c r="L47" s="5" t="s">
        <v>117</v>
      </c>
      <c r="M47" s="5" t="s">
        <v>78</v>
      </c>
      <c r="N47" s="35"/>
      <c r="O47" s="36"/>
      <c r="P47" s="37"/>
      <c r="Q47" s="38"/>
      <c r="R47" s="37"/>
      <c r="S47" s="32"/>
    </row>
    <row r="48" spans="2:19" s="31" customFormat="1" ht="19.5" customHeight="1" x14ac:dyDescent="0.4">
      <c r="B48" s="32">
        <f t="shared" si="0"/>
        <v>34</v>
      </c>
      <c r="C48" s="33"/>
      <c r="D48" s="30"/>
      <c r="E48" s="65" t="s">
        <v>129</v>
      </c>
      <c r="F48" s="30" t="str">
        <f t="shared" si="2"/>
        <v>CSVのハロゲンフリー証明書の発行状況であること</v>
      </c>
      <c r="G48" s="34"/>
      <c r="H48" s="8"/>
      <c r="I48" s="5"/>
      <c r="J48" s="6"/>
      <c r="K48" s="7">
        <v>46210</v>
      </c>
      <c r="L48" s="5" t="s">
        <v>117</v>
      </c>
      <c r="M48" s="5" t="s">
        <v>78</v>
      </c>
      <c r="N48" s="35"/>
      <c r="O48" s="36"/>
      <c r="P48" s="37"/>
      <c r="Q48" s="38"/>
      <c r="R48" s="37"/>
      <c r="S48" s="32"/>
    </row>
    <row r="49" spans="2:22" s="31" customFormat="1" ht="19.5" customHeight="1" x14ac:dyDescent="0.4">
      <c r="B49" s="32">
        <f t="shared" si="0"/>
        <v>35</v>
      </c>
      <c r="C49" s="33"/>
      <c r="D49" s="30"/>
      <c r="E49" s="65" t="s">
        <v>130</v>
      </c>
      <c r="F49" s="30" t="str">
        <f t="shared" si="2"/>
        <v>CSVのAISの発行状況であること</v>
      </c>
      <c r="G49" s="34"/>
      <c r="H49" s="8"/>
      <c r="I49" s="5"/>
      <c r="J49" s="6"/>
      <c r="K49" s="7">
        <v>46210</v>
      </c>
      <c r="L49" s="5" t="s">
        <v>117</v>
      </c>
      <c r="M49" s="5" t="s">
        <v>78</v>
      </c>
      <c r="N49" s="35"/>
      <c r="O49" s="36"/>
      <c r="P49" s="37"/>
      <c r="Q49" s="38"/>
      <c r="R49" s="37"/>
      <c r="S49" s="32"/>
    </row>
    <row r="50" spans="2:22" s="31" customFormat="1" ht="19.5" customHeight="1" x14ac:dyDescent="0.4">
      <c r="B50" s="32">
        <f t="shared" si="0"/>
        <v>36</v>
      </c>
      <c r="C50" s="33"/>
      <c r="D50" s="30"/>
      <c r="E50" s="65" t="s">
        <v>131</v>
      </c>
      <c r="F50" s="30" t="str">
        <f t="shared" si="2"/>
        <v>CSVのchemSHERPA書類の発行状況であること</v>
      </c>
      <c r="G50" s="34"/>
      <c r="H50" s="8"/>
      <c r="I50" s="5"/>
      <c r="J50" s="6"/>
      <c r="K50" s="7">
        <v>46210</v>
      </c>
      <c r="L50" s="5" t="s">
        <v>117</v>
      </c>
      <c r="M50" s="5" t="s">
        <v>78</v>
      </c>
      <c r="N50" s="35"/>
      <c r="O50" s="36"/>
      <c r="P50" s="37"/>
      <c r="Q50" s="38"/>
      <c r="R50" s="37"/>
      <c r="S50" s="32"/>
    </row>
    <row r="51" spans="2:22" s="31" customFormat="1" ht="19.5" customHeight="1" x14ac:dyDescent="0.4">
      <c r="B51" s="32">
        <f t="shared" si="0"/>
        <v>37</v>
      </c>
      <c r="C51" s="33"/>
      <c r="D51" s="30"/>
      <c r="E51" s="65" t="s">
        <v>132</v>
      </c>
      <c r="F51" s="30" t="str">
        <f t="shared" si="2"/>
        <v>CSVのSVHC証明書の発行状況であること</v>
      </c>
      <c r="G51" s="34"/>
      <c r="H51" s="8"/>
      <c r="I51" s="5"/>
      <c r="J51" s="6"/>
      <c r="K51" s="7">
        <v>46210</v>
      </c>
      <c r="L51" s="5" t="s">
        <v>117</v>
      </c>
      <c r="M51" s="5" t="s">
        <v>78</v>
      </c>
      <c r="N51" s="35"/>
      <c r="O51" s="36"/>
      <c r="P51" s="37"/>
      <c r="Q51" s="38"/>
      <c r="R51" s="37"/>
      <c r="S51" s="32"/>
    </row>
    <row r="52" spans="2:22" s="31" customFormat="1" ht="19.5" customHeight="1" x14ac:dyDescent="0.4">
      <c r="B52" s="32">
        <f t="shared" si="0"/>
        <v>38</v>
      </c>
      <c r="C52" s="33"/>
      <c r="D52" s="30"/>
      <c r="E52" s="65" t="s">
        <v>133</v>
      </c>
      <c r="F52" s="30" t="str">
        <f t="shared" si="2"/>
        <v>CSVのマスタデータバージョンであること</v>
      </c>
      <c r="G52" s="34"/>
      <c r="H52" s="8"/>
      <c r="I52" s="5"/>
      <c r="J52" s="6"/>
      <c r="K52" s="7">
        <v>46210</v>
      </c>
      <c r="L52" s="5" t="s">
        <v>117</v>
      </c>
      <c r="M52" s="5" t="s">
        <v>78</v>
      </c>
      <c r="N52" s="35"/>
      <c r="O52" s="36"/>
      <c r="P52" s="37"/>
      <c r="Q52" s="38"/>
      <c r="R52" s="37"/>
      <c r="S52" s="32"/>
    </row>
    <row r="53" spans="2:22" s="31" customFormat="1" ht="19.5" customHeight="1" x14ac:dyDescent="0.4">
      <c r="B53" s="32">
        <f t="shared" si="0"/>
        <v>39</v>
      </c>
      <c r="C53" s="33"/>
      <c r="D53" s="30"/>
      <c r="E53" s="64" t="s">
        <v>135</v>
      </c>
      <c r="F53" s="30" t="s">
        <v>136</v>
      </c>
      <c r="G53" s="34"/>
      <c r="H53" s="8"/>
      <c r="I53" s="5"/>
      <c r="J53" s="6"/>
      <c r="K53" s="7">
        <v>46210</v>
      </c>
      <c r="L53" s="5" t="s">
        <v>117</v>
      </c>
      <c r="M53" s="5" t="s">
        <v>78</v>
      </c>
      <c r="N53" s="35"/>
      <c r="O53" s="36"/>
      <c r="P53" s="37"/>
      <c r="Q53" s="38"/>
      <c r="R53" s="37"/>
      <c r="S53" s="32"/>
    </row>
    <row r="54" spans="2:22" s="60" customFormat="1" ht="19.5" customHeight="1" x14ac:dyDescent="0.4">
      <c r="B54" s="49">
        <f>ROW()-14</f>
        <v>40</v>
      </c>
      <c r="C54" s="50" t="s">
        <v>144</v>
      </c>
      <c r="D54" s="50"/>
      <c r="E54" s="50"/>
      <c r="F54" s="50"/>
      <c r="G54" s="51"/>
      <c r="H54" s="52"/>
      <c r="I54" s="53"/>
      <c r="J54" s="54"/>
      <c r="K54" s="55"/>
      <c r="L54" s="53"/>
      <c r="M54" s="53"/>
      <c r="N54" s="56"/>
      <c r="O54" s="57"/>
      <c r="P54" s="58"/>
      <c r="Q54" s="59"/>
      <c r="R54" s="58"/>
      <c r="S54" s="49"/>
      <c r="V54" s="61"/>
    </row>
    <row r="55" spans="2:22" s="31" customFormat="1" ht="19.5" customHeight="1" x14ac:dyDescent="0.4">
      <c r="B55" s="32">
        <f t="shared" si="0"/>
        <v>41</v>
      </c>
      <c r="C55" s="33"/>
      <c r="D55" s="30" t="s">
        <v>113</v>
      </c>
      <c r="E55" s="30" t="s">
        <v>145</v>
      </c>
      <c r="F55" s="30"/>
      <c r="G55" s="34"/>
      <c r="H55" s="8"/>
      <c r="I55" s="5"/>
      <c r="J55" s="6"/>
      <c r="K55" s="7"/>
      <c r="L55" s="5"/>
      <c r="M55" s="5"/>
      <c r="N55" s="35"/>
      <c r="O55" s="36"/>
      <c r="P55" s="37"/>
      <c r="Q55" s="38"/>
      <c r="R55" s="37"/>
      <c r="S55" s="32"/>
    </row>
    <row r="56" spans="2:22" s="31" customFormat="1" ht="19.5" customHeight="1" x14ac:dyDescent="0.4">
      <c r="B56" s="32">
        <f t="shared" si="0"/>
        <v>42</v>
      </c>
      <c r="C56" s="33"/>
      <c r="D56" s="30"/>
      <c r="E56" s="63" t="s">
        <v>146</v>
      </c>
      <c r="F56" s="30" t="s">
        <v>149</v>
      </c>
      <c r="G56" s="34"/>
      <c r="H56" s="8"/>
      <c r="I56" s="5"/>
      <c r="J56" s="6"/>
      <c r="K56" s="7">
        <v>46210</v>
      </c>
      <c r="L56" s="5" t="s">
        <v>117</v>
      </c>
      <c r="M56" s="5" t="s">
        <v>78</v>
      </c>
      <c r="N56" s="35"/>
      <c r="O56" s="36"/>
      <c r="P56" s="37"/>
      <c r="Q56" s="38"/>
      <c r="R56" s="37"/>
      <c r="S56" s="32"/>
    </row>
    <row r="57" spans="2:22" s="31" customFormat="1" ht="19.5" customHeight="1" x14ac:dyDescent="0.4">
      <c r="B57" s="32">
        <f t="shared" si="0"/>
        <v>43</v>
      </c>
      <c r="C57" s="33"/>
      <c r="D57" s="30"/>
      <c r="E57" s="63" t="s">
        <v>148</v>
      </c>
      <c r="F57" s="30" t="s">
        <v>147</v>
      </c>
      <c r="G57" s="34"/>
      <c r="H57" s="8"/>
      <c r="I57" s="5"/>
      <c r="J57" s="6"/>
      <c r="K57" s="7">
        <v>46210</v>
      </c>
      <c r="L57" s="5" t="s">
        <v>117</v>
      </c>
      <c r="M57" s="5" t="s">
        <v>78</v>
      </c>
      <c r="N57" s="35"/>
      <c r="O57" s="36"/>
      <c r="P57" s="37"/>
      <c r="Q57" s="38"/>
      <c r="R57" s="37"/>
      <c r="S57" s="32"/>
    </row>
    <row r="58" spans="2:22" s="31" customFormat="1" ht="19.5" customHeight="1" x14ac:dyDescent="0.4">
      <c r="B58" s="32">
        <f t="shared" si="0"/>
        <v>44</v>
      </c>
      <c r="C58" s="33"/>
      <c r="D58" s="30"/>
      <c r="E58" s="63" t="s">
        <v>150</v>
      </c>
      <c r="F58" s="30" t="s">
        <v>151</v>
      </c>
      <c r="G58" s="34"/>
      <c r="H58" s="8"/>
      <c r="I58" s="5"/>
      <c r="J58" s="6"/>
      <c r="K58" s="7">
        <v>46210</v>
      </c>
      <c r="L58" s="5" t="s">
        <v>117</v>
      </c>
      <c r="M58" s="5" t="s">
        <v>78</v>
      </c>
      <c r="N58" s="35"/>
      <c r="O58" s="36"/>
      <c r="P58" s="37"/>
      <c r="Q58" s="38"/>
      <c r="R58" s="37"/>
      <c r="S58" s="32"/>
    </row>
    <row r="59" spans="2:22" s="31" customFormat="1" ht="19.5" customHeight="1" x14ac:dyDescent="0.4">
      <c r="B59" s="32">
        <f t="shared" si="0"/>
        <v>45</v>
      </c>
      <c r="C59" s="33"/>
      <c r="D59" s="30"/>
      <c r="E59" s="30" t="s">
        <v>152</v>
      </c>
      <c r="F59" s="30"/>
      <c r="G59" s="34"/>
      <c r="H59" s="8"/>
      <c r="I59" s="5"/>
      <c r="J59" s="6"/>
      <c r="K59" s="7"/>
      <c r="L59" s="5"/>
      <c r="M59" s="5"/>
      <c r="N59" s="35"/>
      <c r="O59" s="36"/>
      <c r="P59" s="37"/>
      <c r="Q59" s="38"/>
      <c r="R59" s="37"/>
      <c r="S59" s="32"/>
    </row>
    <row r="60" spans="2:22" s="31" customFormat="1" ht="19.5" customHeight="1" x14ac:dyDescent="0.4">
      <c r="B60" s="32">
        <f t="shared" si="0"/>
        <v>46</v>
      </c>
      <c r="C60" s="33"/>
      <c r="D60" s="30"/>
      <c r="E60" s="63" t="s">
        <v>150</v>
      </c>
      <c r="F60" s="30"/>
      <c r="G60" s="34"/>
      <c r="H60" s="8"/>
      <c r="I60" s="5"/>
      <c r="J60" s="6"/>
      <c r="K60" s="7"/>
      <c r="L60" s="5"/>
      <c r="M60" s="5"/>
      <c r="N60" s="35"/>
      <c r="O60" s="36"/>
      <c r="P60" s="37"/>
      <c r="Q60" s="38"/>
      <c r="R60" s="37"/>
      <c r="S60" s="32"/>
    </row>
    <row r="61" spans="2:22" s="31" customFormat="1" ht="19.5" customHeight="1" x14ac:dyDescent="0.4">
      <c r="B61" s="32">
        <f t="shared" si="0"/>
        <v>47</v>
      </c>
      <c r="C61" s="33"/>
      <c r="D61" s="30"/>
      <c r="E61" s="64" t="s">
        <v>109</v>
      </c>
      <c r="F61" s="30"/>
      <c r="G61" s="34"/>
      <c r="H61" s="8"/>
      <c r="I61" s="5"/>
      <c r="J61" s="6"/>
      <c r="K61" s="7"/>
      <c r="L61" s="5"/>
      <c r="M61" s="5"/>
      <c r="N61" s="35"/>
      <c r="O61" s="36"/>
      <c r="P61" s="37"/>
      <c r="Q61" s="38"/>
      <c r="R61" s="37"/>
      <c r="S61" s="32"/>
    </row>
    <row r="62" spans="2:22" s="31" customFormat="1" ht="19.5" customHeight="1" x14ac:dyDescent="0.4">
      <c r="B62" s="32">
        <f t="shared" si="0"/>
        <v>48</v>
      </c>
      <c r="C62" s="33"/>
      <c r="D62" s="30"/>
      <c r="E62" s="65" t="s">
        <v>167</v>
      </c>
      <c r="F62" s="30" t="s">
        <v>168</v>
      </c>
      <c r="G62" s="34"/>
      <c r="H62" s="8"/>
      <c r="I62" s="5"/>
      <c r="J62" s="6"/>
      <c r="K62" s="7">
        <v>46210</v>
      </c>
      <c r="L62" s="5" t="s">
        <v>117</v>
      </c>
      <c r="M62" s="5" t="s">
        <v>78</v>
      </c>
      <c r="N62" s="35"/>
      <c r="O62" s="36"/>
      <c r="P62" s="37"/>
      <c r="Q62" s="38"/>
      <c r="R62" s="37"/>
      <c r="S62" s="32"/>
    </row>
    <row r="63" spans="2:22" s="31" customFormat="1" ht="19.5" customHeight="1" x14ac:dyDescent="0.4">
      <c r="B63" s="32">
        <f t="shared" si="0"/>
        <v>49</v>
      </c>
      <c r="C63" s="33"/>
      <c r="D63" s="30"/>
      <c r="E63" s="65" t="s">
        <v>169</v>
      </c>
      <c r="F63" s="30" t="s">
        <v>168</v>
      </c>
      <c r="G63" s="34"/>
      <c r="H63" s="8"/>
      <c r="I63" s="5"/>
      <c r="J63" s="6"/>
      <c r="K63" s="7">
        <v>46210</v>
      </c>
      <c r="L63" s="5" t="s">
        <v>117</v>
      </c>
      <c r="M63" s="5" t="s">
        <v>78</v>
      </c>
      <c r="N63" s="35"/>
      <c r="O63" s="36"/>
      <c r="P63" s="37"/>
      <c r="Q63" s="38"/>
      <c r="R63" s="37"/>
      <c r="S63" s="32"/>
    </row>
    <row r="64" spans="2:22" s="31" customFormat="1" ht="19.5" customHeight="1" x14ac:dyDescent="0.4">
      <c r="B64" s="32">
        <f t="shared" si="0"/>
        <v>50</v>
      </c>
      <c r="C64" s="33"/>
      <c r="D64" s="30"/>
      <c r="E64" s="65" t="s">
        <v>153</v>
      </c>
      <c r="F64" s="30" t="s">
        <v>168</v>
      </c>
      <c r="G64" s="34"/>
      <c r="H64" s="8"/>
      <c r="I64" s="5"/>
      <c r="J64" s="6"/>
      <c r="K64" s="7">
        <v>46210</v>
      </c>
      <c r="L64" s="5" t="s">
        <v>117</v>
      </c>
      <c r="M64" s="5" t="s">
        <v>78</v>
      </c>
      <c r="N64" s="35"/>
      <c r="O64" s="36"/>
      <c r="P64" s="37"/>
      <c r="Q64" s="38"/>
      <c r="R64" s="37"/>
      <c r="S64" s="32"/>
    </row>
    <row r="65" spans="2:19" s="31" customFormat="1" ht="19.5" customHeight="1" x14ac:dyDescent="0.4">
      <c r="B65" s="32">
        <f t="shared" si="0"/>
        <v>51</v>
      </c>
      <c r="C65" s="33"/>
      <c r="D65" s="30"/>
      <c r="E65" s="65" t="s">
        <v>154</v>
      </c>
      <c r="F65" s="30" t="s">
        <v>168</v>
      </c>
      <c r="G65" s="34"/>
      <c r="H65" s="8"/>
      <c r="I65" s="5"/>
      <c r="J65" s="6"/>
      <c r="K65" s="7">
        <v>46210</v>
      </c>
      <c r="L65" s="5" t="s">
        <v>117</v>
      </c>
      <c r="M65" s="5" t="s">
        <v>78</v>
      </c>
      <c r="N65" s="35"/>
      <c r="O65" s="36"/>
      <c r="P65" s="37"/>
      <c r="Q65" s="38"/>
      <c r="R65" s="37"/>
      <c r="S65" s="32"/>
    </row>
    <row r="66" spans="2:19" s="31" customFormat="1" ht="19.5" customHeight="1" x14ac:dyDescent="0.4">
      <c r="B66" s="32">
        <f t="shared" si="0"/>
        <v>52</v>
      </c>
      <c r="C66" s="33"/>
      <c r="D66" s="30"/>
      <c r="E66" s="65" t="s">
        <v>82</v>
      </c>
      <c r="F66" s="30" t="s">
        <v>170</v>
      </c>
      <c r="G66" s="34"/>
      <c r="H66" s="8"/>
      <c r="I66" s="5"/>
      <c r="J66" s="6"/>
      <c r="K66" s="7">
        <v>46210</v>
      </c>
      <c r="L66" s="5" t="s">
        <v>117</v>
      </c>
      <c r="M66" s="5" t="s">
        <v>78</v>
      </c>
      <c r="N66" s="35"/>
      <c r="O66" s="36"/>
      <c r="P66" s="37"/>
      <c r="Q66" s="38"/>
      <c r="R66" s="37"/>
      <c r="S66" s="32"/>
    </row>
    <row r="67" spans="2:19" s="31" customFormat="1" ht="19.5" customHeight="1" x14ac:dyDescent="0.4">
      <c r="B67" s="32">
        <f t="shared" si="0"/>
        <v>53</v>
      </c>
      <c r="C67" s="33"/>
      <c r="D67" s="30"/>
      <c r="E67" s="65" t="s">
        <v>155</v>
      </c>
      <c r="F67" s="30" t="s">
        <v>168</v>
      </c>
      <c r="G67" s="34"/>
      <c r="H67" s="8"/>
      <c r="I67" s="5"/>
      <c r="J67" s="6"/>
      <c r="K67" s="7">
        <v>46210</v>
      </c>
      <c r="L67" s="5" t="s">
        <v>117</v>
      </c>
      <c r="M67" s="5" t="s">
        <v>78</v>
      </c>
      <c r="N67" s="35"/>
      <c r="O67" s="36"/>
      <c r="P67" s="37"/>
      <c r="Q67" s="38"/>
      <c r="R67" s="37"/>
      <c r="S67" s="32"/>
    </row>
    <row r="68" spans="2:19" s="31" customFormat="1" ht="19.5" customHeight="1" x14ac:dyDescent="0.4">
      <c r="B68" s="32">
        <f t="shared" si="0"/>
        <v>54</v>
      </c>
      <c r="C68" s="33"/>
      <c r="D68" s="30"/>
      <c r="E68" s="65" t="s">
        <v>156</v>
      </c>
      <c r="F68" s="30" t="s">
        <v>168</v>
      </c>
      <c r="G68" s="34"/>
      <c r="H68" s="8"/>
      <c r="I68" s="5"/>
      <c r="J68" s="6"/>
      <c r="K68" s="7">
        <v>46210</v>
      </c>
      <c r="L68" s="5" t="s">
        <v>117</v>
      </c>
      <c r="M68" s="5" t="s">
        <v>78</v>
      </c>
      <c r="N68" s="35"/>
      <c r="O68" s="36"/>
      <c r="P68" s="37"/>
      <c r="Q68" s="38"/>
      <c r="R68" s="37"/>
      <c r="S68" s="32"/>
    </row>
    <row r="69" spans="2:19" s="31" customFormat="1" ht="19.5" customHeight="1" x14ac:dyDescent="0.4">
      <c r="B69" s="32">
        <f t="shared" si="0"/>
        <v>55</v>
      </c>
      <c r="C69" s="33"/>
      <c r="D69" s="30"/>
      <c r="E69" s="65" t="s">
        <v>157</v>
      </c>
      <c r="F69" s="30" t="s">
        <v>168</v>
      </c>
      <c r="G69" s="34"/>
      <c r="H69" s="8"/>
      <c r="I69" s="5"/>
      <c r="J69" s="6"/>
      <c r="K69" s="7">
        <v>46210</v>
      </c>
      <c r="L69" s="5" t="s">
        <v>117</v>
      </c>
      <c r="M69" s="5" t="s">
        <v>78</v>
      </c>
      <c r="N69" s="35"/>
      <c r="O69" s="36"/>
      <c r="P69" s="37"/>
      <c r="Q69" s="38"/>
      <c r="R69" s="37"/>
      <c r="S69" s="32"/>
    </row>
    <row r="70" spans="2:19" s="31" customFormat="1" ht="19.5" customHeight="1" x14ac:dyDescent="0.4">
      <c r="B70" s="32">
        <f t="shared" si="0"/>
        <v>56</v>
      </c>
      <c r="C70" s="33"/>
      <c r="D70" s="30"/>
      <c r="E70" s="65" t="s">
        <v>158</v>
      </c>
      <c r="F70" s="30" t="s">
        <v>168</v>
      </c>
      <c r="G70" s="34"/>
      <c r="H70" s="8"/>
      <c r="I70" s="5"/>
      <c r="J70" s="6"/>
      <c r="K70" s="7">
        <v>46210</v>
      </c>
      <c r="L70" s="5" t="s">
        <v>117</v>
      </c>
      <c r="M70" s="5" t="s">
        <v>78</v>
      </c>
      <c r="N70" s="35"/>
      <c r="O70" s="36"/>
      <c r="P70" s="37"/>
      <c r="Q70" s="38"/>
      <c r="R70" s="37"/>
      <c r="S70" s="32"/>
    </row>
    <row r="71" spans="2:19" s="31" customFormat="1" ht="19.5" customHeight="1" x14ac:dyDescent="0.4">
      <c r="B71" s="32">
        <f t="shared" si="0"/>
        <v>57</v>
      </c>
      <c r="C71" s="33"/>
      <c r="D71" s="30"/>
      <c r="E71" s="65" t="s">
        <v>159</v>
      </c>
      <c r="F71" s="30" t="s">
        <v>168</v>
      </c>
      <c r="G71" s="34"/>
      <c r="H71" s="8"/>
      <c r="I71" s="5"/>
      <c r="J71" s="6"/>
      <c r="K71" s="7">
        <v>46210</v>
      </c>
      <c r="L71" s="5" t="s">
        <v>117</v>
      </c>
      <c r="M71" s="5" t="s">
        <v>78</v>
      </c>
      <c r="N71" s="35"/>
      <c r="O71" s="36"/>
      <c r="P71" s="37"/>
      <c r="Q71" s="38"/>
      <c r="R71" s="37"/>
      <c r="S71" s="32"/>
    </row>
    <row r="72" spans="2:19" s="31" customFormat="1" ht="19.5" customHeight="1" x14ac:dyDescent="0.4">
      <c r="B72" s="32">
        <f t="shared" si="0"/>
        <v>58</v>
      </c>
      <c r="C72" s="33"/>
      <c r="D72" s="30"/>
      <c r="E72" s="65" t="s">
        <v>160</v>
      </c>
      <c r="F72" s="30" t="s">
        <v>168</v>
      </c>
      <c r="G72" s="34"/>
      <c r="H72" s="8"/>
      <c r="I72" s="5"/>
      <c r="J72" s="6"/>
      <c r="K72" s="7">
        <v>46210</v>
      </c>
      <c r="L72" s="5" t="s">
        <v>117</v>
      </c>
      <c r="M72" s="5" t="s">
        <v>78</v>
      </c>
      <c r="N72" s="35"/>
      <c r="O72" s="36"/>
      <c r="P72" s="37"/>
      <c r="Q72" s="38"/>
      <c r="R72" s="37"/>
      <c r="S72" s="32"/>
    </row>
    <row r="73" spans="2:19" s="31" customFormat="1" ht="19.5" customHeight="1" x14ac:dyDescent="0.4">
      <c r="B73" s="32">
        <f t="shared" si="0"/>
        <v>59</v>
      </c>
      <c r="C73" s="33"/>
      <c r="D73" s="30"/>
      <c r="E73" s="65" t="s">
        <v>161</v>
      </c>
      <c r="F73" s="30" t="s">
        <v>168</v>
      </c>
      <c r="G73" s="34"/>
      <c r="H73" s="8"/>
      <c r="I73" s="5"/>
      <c r="J73" s="6"/>
      <c r="K73" s="7">
        <v>46210</v>
      </c>
      <c r="L73" s="5" t="s">
        <v>117</v>
      </c>
      <c r="M73" s="5" t="s">
        <v>78</v>
      </c>
      <c r="N73" s="35"/>
      <c r="O73" s="36"/>
      <c r="P73" s="37"/>
      <c r="Q73" s="38"/>
      <c r="R73" s="37"/>
      <c r="S73" s="32"/>
    </row>
    <row r="74" spans="2:19" s="31" customFormat="1" ht="19.5" customHeight="1" x14ac:dyDescent="0.4">
      <c r="B74" s="32">
        <f t="shared" si="0"/>
        <v>60</v>
      </c>
      <c r="C74" s="33"/>
      <c r="D74" s="30"/>
      <c r="E74" s="65" t="s">
        <v>162</v>
      </c>
      <c r="F74" s="30" t="s">
        <v>168</v>
      </c>
      <c r="G74" s="34"/>
      <c r="H74" s="8"/>
      <c r="I74" s="5"/>
      <c r="J74" s="6"/>
      <c r="K74" s="7">
        <v>46210</v>
      </c>
      <c r="L74" s="5" t="s">
        <v>117</v>
      </c>
      <c r="M74" s="5" t="s">
        <v>78</v>
      </c>
      <c r="N74" s="35"/>
      <c r="O74" s="36"/>
      <c r="P74" s="37"/>
      <c r="Q74" s="38"/>
      <c r="R74" s="37"/>
      <c r="S74" s="32"/>
    </row>
    <row r="75" spans="2:19" s="31" customFormat="1" ht="19.5" customHeight="1" x14ac:dyDescent="0.4">
      <c r="B75" s="32">
        <f t="shared" si="0"/>
        <v>61</v>
      </c>
      <c r="C75" s="33"/>
      <c r="D75" s="30"/>
      <c r="E75" s="65" t="s">
        <v>163</v>
      </c>
      <c r="F75" s="30" t="s">
        <v>168</v>
      </c>
      <c r="G75" s="34"/>
      <c r="H75" s="8"/>
      <c r="I75" s="5"/>
      <c r="J75" s="6"/>
      <c r="K75" s="7">
        <v>46210</v>
      </c>
      <c r="L75" s="5" t="s">
        <v>117</v>
      </c>
      <c r="M75" s="5" t="s">
        <v>78</v>
      </c>
      <c r="N75" s="35"/>
      <c r="O75" s="36"/>
      <c r="P75" s="37"/>
      <c r="Q75" s="38"/>
      <c r="R75" s="37"/>
      <c r="S75" s="32"/>
    </row>
    <row r="76" spans="2:19" s="31" customFormat="1" ht="19.5" customHeight="1" x14ac:dyDescent="0.4">
      <c r="B76" s="32">
        <f t="shared" si="0"/>
        <v>62</v>
      </c>
      <c r="C76" s="33"/>
      <c r="D76" s="30"/>
      <c r="E76" s="65" t="s">
        <v>164</v>
      </c>
      <c r="F76" s="30" t="s">
        <v>90</v>
      </c>
      <c r="G76" s="34"/>
      <c r="H76" s="8"/>
      <c r="I76" s="5"/>
      <c r="J76" s="6"/>
      <c r="K76" s="7">
        <v>46210</v>
      </c>
      <c r="L76" s="5" t="s">
        <v>117</v>
      </c>
      <c r="M76" s="5" t="s">
        <v>78</v>
      </c>
      <c r="N76" s="35"/>
      <c r="O76" s="36"/>
      <c r="P76" s="37"/>
      <c r="Q76" s="38"/>
      <c r="R76" s="37"/>
      <c r="S76" s="32"/>
    </row>
    <row r="77" spans="2:19" s="31" customFormat="1" ht="19.5" customHeight="1" x14ac:dyDescent="0.4">
      <c r="B77" s="32">
        <f t="shared" si="0"/>
        <v>63</v>
      </c>
      <c r="C77" s="33"/>
      <c r="D77" s="30"/>
      <c r="E77" s="65" t="s">
        <v>89</v>
      </c>
      <c r="F77" s="30" t="s">
        <v>171</v>
      </c>
      <c r="G77" s="34"/>
      <c r="H77" s="8"/>
      <c r="I77" s="5"/>
      <c r="J77" s="6"/>
      <c r="K77" s="7">
        <v>46210</v>
      </c>
      <c r="L77" s="5" t="s">
        <v>117</v>
      </c>
      <c r="M77" s="5" t="s">
        <v>78</v>
      </c>
      <c r="N77" s="35"/>
      <c r="O77" s="36"/>
      <c r="P77" s="37"/>
      <c r="Q77" s="38"/>
      <c r="R77" s="37"/>
      <c r="S77" s="32"/>
    </row>
    <row r="78" spans="2:19" s="31" customFormat="1" ht="19.5" customHeight="1" x14ac:dyDescent="0.4">
      <c r="B78" s="32">
        <f t="shared" si="0"/>
        <v>64</v>
      </c>
      <c r="C78" s="33"/>
      <c r="D78" s="30"/>
      <c r="E78" s="65" t="s">
        <v>102</v>
      </c>
      <c r="F78" s="30" t="s">
        <v>172</v>
      </c>
      <c r="G78" s="34"/>
      <c r="H78" s="8"/>
      <c r="I78" s="5"/>
      <c r="J78" s="6"/>
      <c r="K78" s="7">
        <v>46210</v>
      </c>
      <c r="L78" s="5" t="s">
        <v>117</v>
      </c>
      <c r="M78" s="5" t="s">
        <v>78</v>
      </c>
      <c r="N78" s="35"/>
      <c r="O78" s="36"/>
      <c r="P78" s="37"/>
      <c r="Q78" s="38"/>
      <c r="R78" s="37"/>
      <c r="S78" s="32"/>
    </row>
    <row r="79" spans="2:19" s="31" customFormat="1" ht="19.5" customHeight="1" x14ac:dyDescent="0.4">
      <c r="B79" s="32">
        <f t="shared" si="0"/>
        <v>65</v>
      </c>
      <c r="C79" s="33"/>
      <c r="D79" s="30"/>
      <c r="E79" s="65" t="s">
        <v>165</v>
      </c>
      <c r="F79" s="30" t="s">
        <v>173</v>
      </c>
      <c r="G79" s="34"/>
      <c r="H79" s="8"/>
      <c r="I79" s="5"/>
      <c r="J79" s="6"/>
      <c r="K79" s="7">
        <v>46210</v>
      </c>
      <c r="L79" s="5" t="s">
        <v>117</v>
      </c>
      <c r="M79" s="5" t="s">
        <v>78</v>
      </c>
      <c r="N79" s="35"/>
      <c r="O79" s="36"/>
      <c r="P79" s="37"/>
      <c r="Q79" s="38"/>
      <c r="R79" s="37"/>
      <c r="S79" s="32"/>
    </row>
    <row r="80" spans="2:19" s="31" customFormat="1" ht="19.5" customHeight="1" x14ac:dyDescent="0.4">
      <c r="B80" s="32">
        <f t="shared" ref="B80:B127" si="3">ROW()-14</f>
        <v>66</v>
      </c>
      <c r="C80" s="33"/>
      <c r="D80" s="30"/>
      <c r="E80" s="65" t="s">
        <v>166</v>
      </c>
      <c r="F80" s="30" t="s">
        <v>174</v>
      </c>
      <c r="G80" s="34"/>
      <c r="H80" s="8"/>
      <c r="I80" s="5"/>
      <c r="J80" s="6"/>
      <c r="K80" s="7">
        <v>46210</v>
      </c>
      <c r="L80" s="5" t="s">
        <v>117</v>
      </c>
      <c r="M80" s="5" t="s">
        <v>78</v>
      </c>
      <c r="N80" s="35"/>
      <c r="O80" s="36"/>
      <c r="P80" s="37"/>
      <c r="Q80" s="38"/>
      <c r="R80" s="37"/>
      <c r="S80" s="32"/>
    </row>
    <row r="81" spans="2:19" s="31" customFormat="1" ht="19.5" customHeight="1" x14ac:dyDescent="0.4">
      <c r="B81" s="32">
        <f t="shared" si="3"/>
        <v>67</v>
      </c>
      <c r="C81" s="33"/>
      <c r="D81" s="30"/>
      <c r="E81" s="65" t="s">
        <v>105</v>
      </c>
      <c r="F81" s="30" t="s">
        <v>168</v>
      </c>
      <c r="G81" s="34"/>
      <c r="H81" s="8"/>
      <c r="I81" s="5"/>
      <c r="J81" s="6"/>
      <c r="K81" s="7">
        <v>46210</v>
      </c>
      <c r="L81" s="5" t="s">
        <v>117</v>
      </c>
      <c r="M81" s="5" t="s">
        <v>78</v>
      </c>
      <c r="N81" s="35"/>
      <c r="O81" s="36"/>
      <c r="P81" s="37"/>
      <c r="Q81" s="38"/>
      <c r="R81" s="37"/>
      <c r="S81" s="32"/>
    </row>
    <row r="82" spans="2:19" s="31" customFormat="1" ht="19.5" customHeight="1" x14ac:dyDescent="0.4">
      <c r="B82" s="32">
        <f t="shared" si="3"/>
        <v>68</v>
      </c>
      <c r="C82" s="33"/>
      <c r="D82" s="30"/>
      <c r="E82" s="65" t="s">
        <v>106</v>
      </c>
      <c r="F82" s="30" t="s">
        <v>175</v>
      </c>
      <c r="G82" s="34"/>
      <c r="H82" s="8"/>
      <c r="I82" s="5"/>
      <c r="J82" s="6"/>
      <c r="K82" s="7">
        <v>46210</v>
      </c>
      <c r="L82" s="5" t="s">
        <v>117</v>
      </c>
      <c r="M82" s="5" t="s">
        <v>78</v>
      </c>
      <c r="N82" s="35"/>
      <c r="O82" s="36"/>
      <c r="P82" s="37"/>
      <c r="Q82" s="38"/>
      <c r="R82" s="37"/>
      <c r="S82" s="32"/>
    </row>
    <row r="83" spans="2:19" s="31" customFormat="1" ht="19.5" customHeight="1" x14ac:dyDescent="0.4">
      <c r="B83" s="32">
        <f t="shared" si="3"/>
        <v>69</v>
      </c>
      <c r="C83" s="33"/>
      <c r="D83" s="30"/>
      <c r="E83" s="64" t="s">
        <v>135</v>
      </c>
      <c r="F83" s="30" t="s">
        <v>176</v>
      </c>
      <c r="G83" s="34"/>
      <c r="H83" s="8"/>
      <c r="I83" s="5"/>
      <c r="J83" s="6"/>
      <c r="K83" s="7">
        <v>46210</v>
      </c>
      <c r="L83" s="5" t="s">
        <v>117</v>
      </c>
      <c r="M83" s="5" t="s">
        <v>78</v>
      </c>
      <c r="N83" s="35"/>
      <c r="O83" s="36"/>
      <c r="P83" s="37"/>
      <c r="Q83" s="38"/>
      <c r="R83" s="37"/>
      <c r="S83" s="32"/>
    </row>
    <row r="84" spans="2:19" s="31" customFormat="1" ht="19.5" customHeight="1" x14ac:dyDescent="0.4">
      <c r="B84" s="32">
        <f t="shared" si="3"/>
        <v>70</v>
      </c>
      <c r="C84" s="33"/>
      <c r="D84" s="30"/>
      <c r="E84" s="64" t="s">
        <v>177</v>
      </c>
      <c r="F84" s="30"/>
      <c r="G84" s="34"/>
      <c r="H84" s="8"/>
      <c r="I84" s="5"/>
      <c r="J84" s="6"/>
      <c r="K84" s="7"/>
      <c r="L84" s="5"/>
      <c r="M84" s="5"/>
      <c r="N84" s="35"/>
      <c r="O84" s="36"/>
      <c r="P84" s="37"/>
      <c r="Q84" s="38"/>
      <c r="R84" s="37"/>
      <c r="S84" s="32"/>
    </row>
    <row r="85" spans="2:19" s="31" customFormat="1" ht="19.5" customHeight="1" x14ac:dyDescent="0.4">
      <c r="B85" s="32">
        <f t="shared" si="3"/>
        <v>71</v>
      </c>
      <c r="C85" s="33"/>
      <c r="D85" s="30"/>
      <c r="E85" s="65" t="s">
        <v>191</v>
      </c>
      <c r="F85" s="80" t="s">
        <v>192</v>
      </c>
      <c r="G85" s="34"/>
      <c r="H85" s="8"/>
      <c r="I85" s="5"/>
      <c r="J85" s="6"/>
      <c r="K85" s="7">
        <v>46210</v>
      </c>
      <c r="L85" s="5" t="s">
        <v>117</v>
      </c>
      <c r="M85" s="5" t="s">
        <v>78</v>
      </c>
      <c r="N85" s="35"/>
      <c r="O85" s="36"/>
      <c r="P85" s="37"/>
      <c r="Q85" s="38"/>
      <c r="R85" s="37"/>
      <c r="S85" s="32"/>
    </row>
    <row r="86" spans="2:19" s="31" customFormat="1" ht="19.5" customHeight="1" x14ac:dyDescent="0.4">
      <c r="B86" s="32">
        <f t="shared" si="3"/>
        <v>72</v>
      </c>
      <c r="C86" s="33"/>
      <c r="D86" s="30"/>
      <c r="E86" s="65" t="s">
        <v>91</v>
      </c>
      <c r="F86" s="30" t="s">
        <v>92</v>
      </c>
      <c r="G86" s="34"/>
      <c r="H86" s="8"/>
      <c r="I86" s="5"/>
      <c r="J86" s="6"/>
      <c r="K86" s="7">
        <v>46210</v>
      </c>
      <c r="L86" s="5" t="s">
        <v>117</v>
      </c>
      <c r="M86" s="5" t="s">
        <v>78</v>
      </c>
      <c r="N86" s="35"/>
      <c r="O86" s="36"/>
      <c r="P86" s="37"/>
      <c r="Q86" s="38"/>
      <c r="R86" s="37"/>
      <c r="S86" s="32"/>
    </row>
    <row r="87" spans="2:19" s="31" customFormat="1" ht="19.5" customHeight="1" x14ac:dyDescent="0.4">
      <c r="B87" s="32">
        <f t="shared" si="3"/>
        <v>73</v>
      </c>
      <c r="C87" s="33"/>
      <c r="D87" s="30"/>
      <c r="E87" s="65" t="s">
        <v>93</v>
      </c>
      <c r="F87" s="30" t="s">
        <v>178</v>
      </c>
      <c r="G87" s="34"/>
      <c r="H87" s="8"/>
      <c r="I87" s="5"/>
      <c r="J87" s="6"/>
      <c r="K87" s="7">
        <v>46210</v>
      </c>
      <c r="L87" s="5" t="s">
        <v>117</v>
      </c>
      <c r="M87" s="5" t="s">
        <v>78</v>
      </c>
      <c r="N87" s="35"/>
      <c r="O87" s="36"/>
      <c r="P87" s="37"/>
      <c r="Q87" s="38"/>
      <c r="R87" s="37"/>
      <c r="S87" s="32"/>
    </row>
    <row r="88" spans="2:19" s="31" customFormat="1" ht="19.5" customHeight="1" x14ac:dyDescent="0.4">
      <c r="B88" s="32">
        <f t="shared" si="3"/>
        <v>74</v>
      </c>
      <c r="C88" s="33"/>
      <c r="D88" s="30"/>
      <c r="E88" s="65"/>
      <c r="F88" s="30" t="s">
        <v>190</v>
      </c>
      <c r="G88" s="34"/>
      <c r="H88" s="8"/>
      <c r="I88" s="5"/>
      <c r="J88" s="6"/>
      <c r="K88" s="7">
        <v>46210</v>
      </c>
      <c r="L88" s="5" t="s">
        <v>117</v>
      </c>
      <c r="M88" s="5" t="s">
        <v>78</v>
      </c>
      <c r="N88" s="35"/>
      <c r="O88" s="36"/>
      <c r="P88" s="37"/>
      <c r="Q88" s="38"/>
      <c r="R88" s="37"/>
      <c r="S88" s="32"/>
    </row>
    <row r="89" spans="2:19" s="31" customFormat="1" ht="19.5" customHeight="1" x14ac:dyDescent="0.4">
      <c r="B89" s="32">
        <f t="shared" si="3"/>
        <v>75</v>
      </c>
      <c r="C89" s="33"/>
      <c r="D89" s="30"/>
      <c r="E89" s="65" t="s">
        <v>94</v>
      </c>
      <c r="F89" s="30" t="s">
        <v>194</v>
      </c>
      <c r="G89" s="34"/>
      <c r="H89" s="8"/>
      <c r="I89" s="5"/>
      <c r="J89" s="6"/>
      <c r="K89" s="7">
        <v>46210</v>
      </c>
      <c r="L89" s="5" t="s">
        <v>117</v>
      </c>
      <c r="M89" s="5" t="s">
        <v>78</v>
      </c>
      <c r="N89" s="35"/>
      <c r="O89" s="36"/>
      <c r="P89" s="37"/>
      <c r="Q89" s="38"/>
      <c r="R89" s="37"/>
      <c r="S89" s="32"/>
    </row>
    <row r="90" spans="2:19" s="31" customFormat="1" ht="19.5" customHeight="1" x14ac:dyDescent="0.4">
      <c r="B90" s="32">
        <f t="shared" si="3"/>
        <v>76</v>
      </c>
      <c r="C90" s="33"/>
      <c r="D90" s="30"/>
      <c r="E90" s="65"/>
      <c r="F90" s="30" t="s">
        <v>193</v>
      </c>
      <c r="G90" s="34"/>
      <c r="H90" s="8"/>
      <c r="I90" s="5"/>
      <c r="J90" s="6"/>
      <c r="K90" s="7">
        <v>46210</v>
      </c>
      <c r="L90" s="5" t="s">
        <v>117</v>
      </c>
      <c r="M90" s="5" t="s">
        <v>78</v>
      </c>
      <c r="N90" s="35"/>
      <c r="O90" s="36"/>
      <c r="P90" s="37"/>
      <c r="Q90" s="38"/>
      <c r="R90" s="37"/>
      <c r="S90" s="32"/>
    </row>
    <row r="91" spans="2:19" s="31" customFormat="1" ht="19.5" customHeight="1" x14ac:dyDescent="0.4">
      <c r="B91" s="32">
        <f t="shared" si="3"/>
        <v>77</v>
      </c>
      <c r="C91" s="33"/>
      <c r="D91" s="30"/>
      <c r="E91" s="65"/>
      <c r="F91" s="30" t="s">
        <v>195</v>
      </c>
      <c r="G91" s="34"/>
      <c r="H91" s="8"/>
      <c r="I91" s="5"/>
      <c r="J91" s="6"/>
      <c r="K91" s="7">
        <v>46210</v>
      </c>
      <c r="L91" s="5" t="s">
        <v>117</v>
      </c>
      <c r="M91" s="5" t="s">
        <v>78</v>
      </c>
      <c r="N91" s="35"/>
      <c r="O91" s="36"/>
      <c r="P91" s="37"/>
      <c r="Q91" s="38"/>
      <c r="R91" s="37"/>
      <c r="S91" s="32"/>
    </row>
    <row r="92" spans="2:19" s="31" customFormat="1" ht="19.5" customHeight="1" x14ac:dyDescent="0.4">
      <c r="B92" s="32">
        <f t="shared" si="3"/>
        <v>78</v>
      </c>
      <c r="C92" s="33"/>
      <c r="D92" s="30"/>
      <c r="E92" s="65"/>
      <c r="F92" s="30" t="s">
        <v>196</v>
      </c>
      <c r="G92" s="34"/>
      <c r="H92" s="8"/>
      <c r="I92" s="5"/>
      <c r="J92" s="6"/>
      <c r="K92" s="7">
        <v>46210</v>
      </c>
      <c r="L92" s="5" t="s">
        <v>117</v>
      </c>
      <c r="M92" s="5" t="s">
        <v>78</v>
      </c>
      <c r="N92" s="35"/>
      <c r="O92" s="36"/>
      <c r="P92" s="37"/>
      <c r="Q92" s="38"/>
      <c r="R92" s="37"/>
      <c r="S92" s="32"/>
    </row>
    <row r="93" spans="2:19" s="31" customFormat="1" ht="19.5" customHeight="1" x14ac:dyDescent="0.4">
      <c r="B93" s="32">
        <f t="shared" si="3"/>
        <v>79</v>
      </c>
      <c r="C93" s="33"/>
      <c r="D93" s="30"/>
      <c r="E93" s="64"/>
      <c r="F93" s="30" t="s">
        <v>197</v>
      </c>
      <c r="G93" s="34"/>
      <c r="H93" s="8"/>
      <c r="I93" s="5"/>
      <c r="J93" s="6"/>
      <c r="K93" s="7">
        <v>46210</v>
      </c>
      <c r="L93" s="5" t="s">
        <v>117</v>
      </c>
      <c r="M93" s="5" t="s">
        <v>78</v>
      </c>
      <c r="N93" s="35"/>
      <c r="O93" s="36"/>
      <c r="P93" s="37"/>
      <c r="Q93" s="38"/>
      <c r="R93" s="37"/>
      <c r="S93" s="32"/>
    </row>
    <row r="94" spans="2:19" s="31" customFormat="1" ht="19.5" customHeight="1" x14ac:dyDescent="0.4">
      <c r="B94" s="32">
        <f t="shared" si="3"/>
        <v>80</v>
      </c>
      <c r="C94" s="33"/>
      <c r="D94" s="30"/>
      <c r="E94" s="30" t="s">
        <v>199</v>
      </c>
      <c r="F94" s="30"/>
      <c r="G94" s="34"/>
      <c r="H94" s="8"/>
      <c r="I94" s="5"/>
      <c r="J94" s="6"/>
      <c r="K94" s="7"/>
      <c r="L94" s="5"/>
      <c r="M94" s="5"/>
      <c r="N94" s="35"/>
      <c r="O94" s="36"/>
      <c r="P94" s="37"/>
      <c r="Q94" s="38"/>
      <c r="R94" s="37"/>
      <c r="S94" s="32"/>
    </row>
    <row r="95" spans="2:19" s="31" customFormat="1" ht="19.5" customHeight="1" x14ac:dyDescent="0.4">
      <c r="B95" s="32">
        <f t="shared" si="3"/>
        <v>81</v>
      </c>
      <c r="C95" s="33"/>
      <c r="D95" s="30"/>
      <c r="E95" s="64" t="s">
        <v>109</v>
      </c>
      <c r="F95" s="30"/>
      <c r="G95" s="34"/>
      <c r="H95" s="8"/>
      <c r="I95" s="5"/>
      <c r="J95" s="6"/>
      <c r="K95" s="7"/>
      <c r="L95" s="5"/>
      <c r="M95" s="5"/>
      <c r="N95" s="35"/>
      <c r="O95" s="36"/>
      <c r="P95" s="37"/>
      <c r="Q95" s="38"/>
      <c r="R95" s="37"/>
      <c r="S95" s="32"/>
    </row>
    <row r="96" spans="2:19" s="31" customFormat="1" ht="19.5" customHeight="1" x14ac:dyDescent="0.4">
      <c r="B96" s="32">
        <f t="shared" si="3"/>
        <v>82</v>
      </c>
      <c r="C96" s="33"/>
      <c r="D96" s="30"/>
      <c r="E96" s="65" t="s">
        <v>167</v>
      </c>
      <c r="F96" s="30" t="s">
        <v>168</v>
      </c>
      <c r="G96" s="34"/>
      <c r="H96" s="8"/>
      <c r="I96" s="5"/>
      <c r="J96" s="6"/>
      <c r="K96" s="7">
        <v>46210</v>
      </c>
      <c r="L96" s="5" t="s">
        <v>117</v>
      </c>
      <c r="M96" s="5" t="s">
        <v>78</v>
      </c>
      <c r="N96" s="35"/>
      <c r="O96" s="36"/>
      <c r="P96" s="37"/>
      <c r="Q96" s="38"/>
      <c r="R96" s="37"/>
      <c r="S96" s="32"/>
    </row>
    <row r="97" spans="2:19" s="31" customFormat="1" ht="19.5" customHeight="1" x14ac:dyDescent="0.4">
      <c r="B97" s="32">
        <f t="shared" si="3"/>
        <v>83</v>
      </c>
      <c r="C97" s="33"/>
      <c r="D97" s="30"/>
      <c r="E97" s="65" t="s">
        <v>169</v>
      </c>
      <c r="F97" s="30" t="s">
        <v>168</v>
      </c>
      <c r="G97" s="34"/>
      <c r="H97" s="8"/>
      <c r="I97" s="5"/>
      <c r="J97" s="6"/>
      <c r="K97" s="7">
        <v>46210</v>
      </c>
      <c r="L97" s="5" t="s">
        <v>117</v>
      </c>
      <c r="M97" s="5" t="s">
        <v>78</v>
      </c>
      <c r="N97" s="35"/>
      <c r="O97" s="36"/>
      <c r="P97" s="37"/>
      <c r="Q97" s="38"/>
      <c r="R97" s="37"/>
      <c r="S97" s="32"/>
    </row>
    <row r="98" spans="2:19" s="31" customFormat="1" ht="19.5" customHeight="1" x14ac:dyDescent="0.4">
      <c r="B98" s="32">
        <f t="shared" si="3"/>
        <v>84</v>
      </c>
      <c r="C98" s="33"/>
      <c r="D98" s="30"/>
      <c r="E98" s="65" t="s">
        <v>153</v>
      </c>
      <c r="F98" s="30" t="s">
        <v>168</v>
      </c>
      <c r="G98" s="34"/>
      <c r="H98" s="8"/>
      <c r="I98" s="5"/>
      <c r="J98" s="6"/>
      <c r="K98" s="7">
        <v>46210</v>
      </c>
      <c r="L98" s="5" t="s">
        <v>117</v>
      </c>
      <c r="M98" s="5" t="s">
        <v>78</v>
      </c>
      <c r="N98" s="35"/>
      <c r="O98" s="36"/>
      <c r="P98" s="37"/>
      <c r="Q98" s="38"/>
      <c r="R98" s="37"/>
      <c r="S98" s="32"/>
    </row>
    <row r="99" spans="2:19" s="31" customFormat="1" ht="19.5" customHeight="1" x14ac:dyDescent="0.4">
      <c r="B99" s="32">
        <f t="shared" si="3"/>
        <v>85</v>
      </c>
      <c r="C99" s="33"/>
      <c r="D99" s="30"/>
      <c r="E99" s="65" t="s">
        <v>154</v>
      </c>
      <c r="F99" s="30" t="s">
        <v>168</v>
      </c>
      <c r="G99" s="34"/>
      <c r="H99" s="8"/>
      <c r="I99" s="5"/>
      <c r="J99" s="6"/>
      <c r="K99" s="7">
        <v>46210</v>
      </c>
      <c r="L99" s="5" t="s">
        <v>117</v>
      </c>
      <c r="M99" s="5" t="s">
        <v>78</v>
      </c>
      <c r="N99" s="35"/>
      <c r="O99" s="36"/>
      <c r="P99" s="37"/>
      <c r="Q99" s="38"/>
      <c r="R99" s="37"/>
      <c r="S99" s="32"/>
    </row>
    <row r="100" spans="2:19" s="31" customFormat="1" ht="19.5" customHeight="1" x14ac:dyDescent="0.4">
      <c r="B100" s="32">
        <f t="shared" si="3"/>
        <v>86</v>
      </c>
      <c r="C100" s="33"/>
      <c r="D100" s="30"/>
      <c r="E100" s="65" t="s">
        <v>82</v>
      </c>
      <c r="F100" s="30" t="s">
        <v>170</v>
      </c>
      <c r="G100" s="34"/>
      <c r="H100" s="8"/>
      <c r="I100" s="5"/>
      <c r="J100" s="6"/>
      <c r="K100" s="7">
        <v>46210</v>
      </c>
      <c r="L100" s="5" t="s">
        <v>117</v>
      </c>
      <c r="M100" s="5" t="s">
        <v>78</v>
      </c>
      <c r="N100" s="35"/>
      <c r="O100" s="36"/>
      <c r="P100" s="37"/>
      <c r="Q100" s="38"/>
      <c r="R100" s="37"/>
      <c r="S100" s="32"/>
    </row>
    <row r="101" spans="2:19" s="31" customFormat="1" ht="19.5" customHeight="1" x14ac:dyDescent="0.4">
      <c r="B101" s="32">
        <f t="shared" si="3"/>
        <v>87</v>
      </c>
      <c r="C101" s="33"/>
      <c r="D101" s="30"/>
      <c r="E101" s="65" t="s">
        <v>155</v>
      </c>
      <c r="F101" s="30" t="s">
        <v>168</v>
      </c>
      <c r="G101" s="34"/>
      <c r="H101" s="8"/>
      <c r="I101" s="5"/>
      <c r="J101" s="6"/>
      <c r="K101" s="7">
        <v>46210</v>
      </c>
      <c r="L101" s="5" t="s">
        <v>117</v>
      </c>
      <c r="M101" s="5" t="s">
        <v>78</v>
      </c>
      <c r="N101" s="35"/>
      <c r="O101" s="36"/>
      <c r="P101" s="37"/>
      <c r="Q101" s="38"/>
      <c r="R101" s="37"/>
      <c r="S101" s="32"/>
    </row>
    <row r="102" spans="2:19" s="31" customFormat="1" ht="19.5" customHeight="1" x14ac:dyDescent="0.4">
      <c r="B102" s="32">
        <f t="shared" si="3"/>
        <v>88</v>
      </c>
      <c r="C102" s="33"/>
      <c r="D102" s="30"/>
      <c r="E102" s="65" t="s">
        <v>156</v>
      </c>
      <c r="F102" s="30" t="s">
        <v>168</v>
      </c>
      <c r="G102" s="34"/>
      <c r="H102" s="8"/>
      <c r="I102" s="5"/>
      <c r="J102" s="6"/>
      <c r="K102" s="7">
        <v>46210</v>
      </c>
      <c r="L102" s="5" t="s">
        <v>117</v>
      </c>
      <c r="M102" s="5" t="s">
        <v>78</v>
      </c>
      <c r="N102" s="35"/>
      <c r="O102" s="36"/>
      <c r="P102" s="37"/>
      <c r="Q102" s="38"/>
      <c r="R102" s="37"/>
      <c r="S102" s="32"/>
    </row>
    <row r="103" spans="2:19" s="31" customFormat="1" ht="19.5" customHeight="1" x14ac:dyDescent="0.4">
      <c r="B103" s="32">
        <f t="shared" si="3"/>
        <v>89</v>
      </c>
      <c r="C103" s="33"/>
      <c r="D103" s="30"/>
      <c r="E103" s="65" t="s">
        <v>157</v>
      </c>
      <c r="F103" s="30" t="s">
        <v>168</v>
      </c>
      <c r="G103" s="34"/>
      <c r="H103" s="8"/>
      <c r="I103" s="5"/>
      <c r="J103" s="6"/>
      <c r="K103" s="7">
        <v>46210</v>
      </c>
      <c r="L103" s="5" t="s">
        <v>117</v>
      </c>
      <c r="M103" s="5" t="s">
        <v>78</v>
      </c>
      <c r="N103" s="35"/>
      <c r="O103" s="36"/>
      <c r="P103" s="37"/>
      <c r="Q103" s="38"/>
      <c r="R103" s="37"/>
      <c r="S103" s="32"/>
    </row>
    <row r="104" spans="2:19" s="31" customFormat="1" ht="19.5" customHeight="1" x14ac:dyDescent="0.4">
      <c r="B104" s="32">
        <f t="shared" si="3"/>
        <v>90</v>
      </c>
      <c r="C104" s="33"/>
      <c r="D104" s="30"/>
      <c r="E104" s="65" t="s">
        <v>158</v>
      </c>
      <c r="F104" s="30" t="s">
        <v>168</v>
      </c>
      <c r="G104" s="34"/>
      <c r="H104" s="8"/>
      <c r="I104" s="5"/>
      <c r="J104" s="6"/>
      <c r="K104" s="7">
        <v>46210</v>
      </c>
      <c r="L104" s="5" t="s">
        <v>117</v>
      </c>
      <c r="M104" s="5" t="s">
        <v>78</v>
      </c>
      <c r="N104" s="35"/>
      <c r="O104" s="36"/>
      <c r="P104" s="37"/>
      <c r="Q104" s="38"/>
      <c r="R104" s="37"/>
      <c r="S104" s="32"/>
    </row>
    <row r="105" spans="2:19" s="31" customFormat="1" ht="19.5" customHeight="1" x14ac:dyDescent="0.4">
      <c r="B105" s="32">
        <f t="shared" si="3"/>
        <v>91</v>
      </c>
      <c r="C105" s="33"/>
      <c r="D105" s="30"/>
      <c r="E105" s="65" t="s">
        <v>159</v>
      </c>
      <c r="F105" s="30" t="s">
        <v>168</v>
      </c>
      <c r="G105" s="34"/>
      <c r="H105" s="8"/>
      <c r="I105" s="5"/>
      <c r="J105" s="6"/>
      <c r="K105" s="7">
        <v>46210</v>
      </c>
      <c r="L105" s="5" t="s">
        <v>117</v>
      </c>
      <c r="M105" s="5" t="s">
        <v>78</v>
      </c>
      <c r="N105" s="35"/>
      <c r="O105" s="36"/>
      <c r="P105" s="37"/>
      <c r="Q105" s="38"/>
      <c r="R105" s="37"/>
      <c r="S105" s="32"/>
    </row>
    <row r="106" spans="2:19" s="31" customFormat="1" ht="19.5" customHeight="1" x14ac:dyDescent="0.4">
      <c r="B106" s="32">
        <f t="shared" si="3"/>
        <v>92</v>
      </c>
      <c r="C106" s="33"/>
      <c r="D106" s="30"/>
      <c r="E106" s="65" t="s">
        <v>160</v>
      </c>
      <c r="F106" s="30" t="s">
        <v>168</v>
      </c>
      <c r="G106" s="34"/>
      <c r="H106" s="8"/>
      <c r="I106" s="5"/>
      <c r="J106" s="6"/>
      <c r="K106" s="7">
        <v>46210</v>
      </c>
      <c r="L106" s="5" t="s">
        <v>117</v>
      </c>
      <c r="M106" s="5" t="s">
        <v>78</v>
      </c>
      <c r="N106" s="35"/>
      <c r="O106" s="36"/>
      <c r="P106" s="37"/>
      <c r="Q106" s="38"/>
      <c r="R106" s="37"/>
      <c r="S106" s="32"/>
    </row>
    <row r="107" spans="2:19" s="31" customFormat="1" ht="19.5" customHeight="1" x14ac:dyDescent="0.4">
      <c r="B107" s="32">
        <f t="shared" si="3"/>
        <v>93</v>
      </c>
      <c r="C107" s="33"/>
      <c r="D107" s="30"/>
      <c r="E107" s="65" t="s">
        <v>161</v>
      </c>
      <c r="F107" s="30" t="s">
        <v>168</v>
      </c>
      <c r="G107" s="34"/>
      <c r="H107" s="8"/>
      <c r="I107" s="5"/>
      <c r="J107" s="6"/>
      <c r="K107" s="7">
        <v>46210</v>
      </c>
      <c r="L107" s="5" t="s">
        <v>117</v>
      </c>
      <c r="M107" s="5" t="s">
        <v>78</v>
      </c>
      <c r="N107" s="35"/>
      <c r="O107" s="36"/>
      <c r="P107" s="37"/>
      <c r="Q107" s="38"/>
      <c r="R107" s="37"/>
      <c r="S107" s="32"/>
    </row>
    <row r="108" spans="2:19" s="31" customFormat="1" ht="19.5" customHeight="1" x14ac:dyDescent="0.4">
      <c r="B108" s="32">
        <f t="shared" si="3"/>
        <v>94</v>
      </c>
      <c r="C108" s="33"/>
      <c r="D108" s="30"/>
      <c r="E108" s="65" t="s">
        <v>162</v>
      </c>
      <c r="F108" s="30" t="s">
        <v>168</v>
      </c>
      <c r="G108" s="34"/>
      <c r="H108" s="8"/>
      <c r="I108" s="5"/>
      <c r="J108" s="6"/>
      <c r="K108" s="7">
        <v>46210</v>
      </c>
      <c r="L108" s="5" t="s">
        <v>117</v>
      </c>
      <c r="M108" s="5" t="s">
        <v>78</v>
      </c>
      <c r="N108" s="35"/>
      <c r="O108" s="36"/>
      <c r="P108" s="37"/>
      <c r="Q108" s="38"/>
      <c r="R108" s="37"/>
      <c r="S108" s="32"/>
    </row>
    <row r="109" spans="2:19" s="31" customFormat="1" ht="19.5" customHeight="1" x14ac:dyDescent="0.4">
      <c r="B109" s="32">
        <f t="shared" si="3"/>
        <v>95</v>
      </c>
      <c r="C109" s="33"/>
      <c r="D109" s="30"/>
      <c r="E109" s="65" t="s">
        <v>163</v>
      </c>
      <c r="F109" s="30" t="s">
        <v>168</v>
      </c>
      <c r="G109" s="34"/>
      <c r="H109" s="8"/>
      <c r="I109" s="5"/>
      <c r="J109" s="6"/>
      <c r="K109" s="7">
        <v>46210</v>
      </c>
      <c r="L109" s="5" t="s">
        <v>117</v>
      </c>
      <c r="M109" s="5" t="s">
        <v>78</v>
      </c>
      <c r="N109" s="35"/>
      <c r="O109" s="36"/>
      <c r="P109" s="37"/>
      <c r="Q109" s="38"/>
      <c r="R109" s="37"/>
      <c r="S109" s="32"/>
    </row>
    <row r="110" spans="2:19" s="31" customFormat="1" ht="19.5" customHeight="1" x14ac:dyDescent="0.4">
      <c r="B110" s="32">
        <f t="shared" si="3"/>
        <v>96</v>
      </c>
      <c r="C110" s="33"/>
      <c r="D110" s="30"/>
      <c r="E110" s="65" t="s">
        <v>164</v>
      </c>
      <c r="F110" s="30" t="s">
        <v>90</v>
      </c>
      <c r="G110" s="34"/>
      <c r="H110" s="8"/>
      <c r="I110" s="5"/>
      <c r="J110" s="6"/>
      <c r="K110" s="7">
        <v>46210</v>
      </c>
      <c r="L110" s="5" t="s">
        <v>117</v>
      </c>
      <c r="M110" s="5" t="s">
        <v>78</v>
      </c>
      <c r="N110" s="35"/>
      <c r="O110" s="36"/>
      <c r="P110" s="37"/>
      <c r="Q110" s="38"/>
      <c r="R110" s="37"/>
      <c r="S110" s="32"/>
    </row>
    <row r="111" spans="2:19" s="31" customFormat="1" ht="19.5" customHeight="1" x14ac:dyDescent="0.4">
      <c r="B111" s="32">
        <f t="shared" si="3"/>
        <v>97</v>
      </c>
      <c r="C111" s="33"/>
      <c r="D111" s="30"/>
      <c r="E111" s="65" t="s">
        <v>89</v>
      </c>
      <c r="F111" s="30" t="s">
        <v>171</v>
      </c>
      <c r="G111" s="34"/>
      <c r="H111" s="8"/>
      <c r="I111" s="5"/>
      <c r="J111" s="6"/>
      <c r="K111" s="7">
        <v>46210</v>
      </c>
      <c r="L111" s="5" t="s">
        <v>117</v>
      </c>
      <c r="M111" s="5" t="s">
        <v>78</v>
      </c>
      <c r="N111" s="35"/>
      <c r="O111" s="36"/>
      <c r="P111" s="37"/>
      <c r="Q111" s="38"/>
      <c r="R111" s="37"/>
      <c r="S111" s="32"/>
    </row>
    <row r="112" spans="2:19" s="31" customFormat="1" ht="19.5" customHeight="1" x14ac:dyDescent="0.4">
      <c r="B112" s="32">
        <f t="shared" si="3"/>
        <v>98</v>
      </c>
      <c r="C112" s="33"/>
      <c r="D112" s="30"/>
      <c r="E112" s="65" t="s">
        <v>102</v>
      </c>
      <c r="F112" s="30" t="s">
        <v>172</v>
      </c>
      <c r="G112" s="34"/>
      <c r="H112" s="8"/>
      <c r="I112" s="5"/>
      <c r="J112" s="6"/>
      <c r="K112" s="7">
        <v>46210</v>
      </c>
      <c r="L112" s="5" t="s">
        <v>117</v>
      </c>
      <c r="M112" s="5" t="s">
        <v>78</v>
      </c>
      <c r="N112" s="35"/>
      <c r="O112" s="36"/>
      <c r="P112" s="37"/>
      <c r="Q112" s="38"/>
      <c r="R112" s="37"/>
      <c r="S112" s="32"/>
    </row>
    <row r="113" spans="2:19" s="31" customFormat="1" ht="19.5" customHeight="1" x14ac:dyDescent="0.4">
      <c r="B113" s="32">
        <f t="shared" si="3"/>
        <v>99</v>
      </c>
      <c r="C113" s="33"/>
      <c r="D113" s="30"/>
      <c r="E113" s="65" t="s">
        <v>165</v>
      </c>
      <c r="F113" s="30" t="s">
        <v>173</v>
      </c>
      <c r="G113" s="34"/>
      <c r="H113" s="8"/>
      <c r="I113" s="5"/>
      <c r="J113" s="6"/>
      <c r="K113" s="7">
        <v>46210</v>
      </c>
      <c r="L113" s="5" t="s">
        <v>117</v>
      </c>
      <c r="M113" s="5" t="s">
        <v>78</v>
      </c>
      <c r="N113" s="35"/>
      <c r="O113" s="36"/>
      <c r="P113" s="37"/>
      <c r="Q113" s="38"/>
      <c r="R113" s="37"/>
      <c r="S113" s="32"/>
    </row>
    <row r="114" spans="2:19" s="31" customFormat="1" ht="19.5" customHeight="1" x14ac:dyDescent="0.4">
      <c r="B114" s="32">
        <f t="shared" si="3"/>
        <v>100</v>
      </c>
      <c r="C114" s="33"/>
      <c r="D114" s="30"/>
      <c r="E114" s="65" t="s">
        <v>166</v>
      </c>
      <c r="F114" s="30" t="s">
        <v>174</v>
      </c>
      <c r="G114" s="34"/>
      <c r="H114" s="8"/>
      <c r="I114" s="5"/>
      <c r="J114" s="6"/>
      <c r="K114" s="7">
        <v>46210</v>
      </c>
      <c r="L114" s="5" t="s">
        <v>117</v>
      </c>
      <c r="M114" s="5" t="s">
        <v>78</v>
      </c>
      <c r="N114" s="35"/>
      <c r="O114" s="36"/>
      <c r="P114" s="37"/>
      <c r="Q114" s="38"/>
      <c r="R114" s="37"/>
      <c r="S114" s="32"/>
    </row>
    <row r="115" spans="2:19" s="31" customFormat="1" ht="19.5" customHeight="1" x14ac:dyDescent="0.4">
      <c r="B115" s="32">
        <f t="shared" si="3"/>
        <v>101</v>
      </c>
      <c r="C115" s="33"/>
      <c r="D115" s="30"/>
      <c r="E115" s="65" t="s">
        <v>105</v>
      </c>
      <c r="F115" s="30" t="s">
        <v>168</v>
      </c>
      <c r="G115" s="34"/>
      <c r="H115" s="8"/>
      <c r="I115" s="5"/>
      <c r="J115" s="6"/>
      <c r="K115" s="7">
        <v>46210</v>
      </c>
      <c r="L115" s="5" t="s">
        <v>117</v>
      </c>
      <c r="M115" s="5" t="s">
        <v>78</v>
      </c>
      <c r="N115" s="35"/>
      <c r="O115" s="36"/>
      <c r="P115" s="37"/>
      <c r="Q115" s="38"/>
      <c r="R115" s="37"/>
      <c r="S115" s="32"/>
    </row>
    <row r="116" spans="2:19" s="31" customFormat="1" ht="19.5" customHeight="1" x14ac:dyDescent="0.4">
      <c r="B116" s="32">
        <f t="shared" si="3"/>
        <v>102</v>
      </c>
      <c r="C116" s="33"/>
      <c r="D116" s="30"/>
      <c r="E116" s="65" t="s">
        <v>106</v>
      </c>
      <c r="F116" s="30" t="s">
        <v>175</v>
      </c>
      <c r="G116" s="34"/>
      <c r="H116" s="8"/>
      <c r="I116" s="5"/>
      <c r="J116" s="6"/>
      <c r="K116" s="7">
        <v>46210</v>
      </c>
      <c r="L116" s="5" t="s">
        <v>117</v>
      </c>
      <c r="M116" s="5" t="s">
        <v>78</v>
      </c>
      <c r="N116" s="35"/>
      <c r="O116" s="36"/>
      <c r="P116" s="37"/>
      <c r="Q116" s="38"/>
      <c r="R116" s="37"/>
      <c r="S116" s="32"/>
    </row>
    <row r="117" spans="2:19" s="31" customFormat="1" ht="19.5" customHeight="1" x14ac:dyDescent="0.4">
      <c r="B117" s="32">
        <f t="shared" si="3"/>
        <v>103</v>
      </c>
      <c r="C117" s="33"/>
      <c r="D117" s="30"/>
      <c r="E117" s="64" t="s">
        <v>135</v>
      </c>
      <c r="F117" s="30" t="s">
        <v>176</v>
      </c>
      <c r="G117" s="34"/>
      <c r="H117" s="8"/>
      <c r="I117" s="5"/>
      <c r="J117" s="6"/>
      <c r="K117" s="7">
        <v>46210</v>
      </c>
      <c r="L117" s="5" t="s">
        <v>117</v>
      </c>
      <c r="M117" s="5" t="s">
        <v>78</v>
      </c>
      <c r="N117" s="35"/>
      <c r="O117" s="36"/>
      <c r="P117" s="37"/>
      <c r="Q117" s="38"/>
      <c r="R117" s="37"/>
      <c r="S117" s="32"/>
    </row>
    <row r="118" spans="2:19" s="31" customFormat="1" ht="19.5" customHeight="1" x14ac:dyDescent="0.4">
      <c r="B118" s="32">
        <f t="shared" si="3"/>
        <v>104</v>
      </c>
      <c r="C118" s="33"/>
      <c r="D118" s="30"/>
      <c r="E118" s="64" t="s">
        <v>177</v>
      </c>
      <c r="F118" s="30" t="s">
        <v>200</v>
      </c>
      <c r="G118" s="34"/>
      <c r="H118" s="8"/>
      <c r="I118" s="5"/>
      <c r="J118" s="6"/>
      <c r="K118" s="7">
        <v>46210</v>
      </c>
      <c r="L118" s="5" t="s">
        <v>117</v>
      </c>
      <c r="M118" s="5" t="s">
        <v>78</v>
      </c>
      <c r="N118" s="35"/>
      <c r="O118" s="36"/>
      <c r="P118" s="37"/>
      <c r="Q118" s="38"/>
      <c r="R118" s="37"/>
      <c r="S118" s="32"/>
    </row>
    <row r="119" spans="2:19" s="31" customFormat="1" ht="19.5" customHeight="1" x14ac:dyDescent="0.4">
      <c r="B119" s="32">
        <f t="shared" si="3"/>
        <v>105</v>
      </c>
      <c r="C119" s="33"/>
      <c r="D119" s="30"/>
      <c r="E119" s="65" t="s">
        <v>191</v>
      </c>
      <c r="F119" s="80" t="s">
        <v>192</v>
      </c>
      <c r="G119" s="34"/>
      <c r="H119" s="8"/>
      <c r="I119" s="5"/>
      <c r="J119" s="6"/>
      <c r="K119" s="7">
        <v>46210</v>
      </c>
      <c r="L119" s="5" t="s">
        <v>117</v>
      </c>
      <c r="M119" s="5" t="s">
        <v>78</v>
      </c>
      <c r="N119" s="35"/>
      <c r="O119" s="36"/>
      <c r="P119" s="37"/>
      <c r="Q119" s="38"/>
      <c r="R119" s="37"/>
      <c r="S119" s="32"/>
    </row>
    <row r="120" spans="2:19" s="31" customFormat="1" ht="19.5" customHeight="1" x14ac:dyDescent="0.4">
      <c r="B120" s="32">
        <f t="shared" si="3"/>
        <v>106</v>
      </c>
      <c r="C120" s="33"/>
      <c r="D120" s="30"/>
      <c r="E120" s="65" t="s">
        <v>91</v>
      </c>
      <c r="F120" s="30" t="s">
        <v>92</v>
      </c>
      <c r="G120" s="34"/>
      <c r="H120" s="8"/>
      <c r="I120" s="5"/>
      <c r="J120" s="6"/>
      <c r="K120" s="7">
        <v>46210</v>
      </c>
      <c r="L120" s="5" t="s">
        <v>117</v>
      </c>
      <c r="M120" s="5" t="s">
        <v>78</v>
      </c>
      <c r="N120" s="35"/>
      <c r="O120" s="36"/>
      <c r="P120" s="37"/>
      <c r="Q120" s="38"/>
      <c r="R120" s="37"/>
      <c r="S120" s="32"/>
    </row>
    <row r="121" spans="2:19" s="31" customFormat="1" ht="19.5" customHeight="1" x14ac:dyDescent="0.4">
      <c r="B121" s="32">
        <f t="shared" si="3"/>
        <v>107</v>
      </c>
      <c r="C121" s="33"/>
      <c r="D121" s="30"/>
      <c r="E121" s="65" t="s">
        <v>93</v>
      </c>
      <c r="F121" s="30" t="s">
        <v>178</v>
      </c>
      <c r="G121" s="34"/>
      <c r="H121" s="8"/>
      <c r="I121" s="5"/>
      <c r="J121" s="6"/>
      <c r="K121" s="7">
        <v>46210</v>
      </c>
      <c r="L121" s="5" t="s">
        <v>117</v>
      </c>
      <c r="M121" s="5" t="s">
        <v>78</v>
      </c>
      <c r="N121" s="35"/>
      <c r="O121" s="36"/>
      <c r="P121" s="37"/>
      <c r="Q121" s="38"/>
      <c r="R121" s="37"/>
      <c r="S121" s="32"/>
    </row>
    <row r="122" spans="2:19" s="31" customFormat="1" ht="19.5" customHeight="1" x14ac:dyDescent="0.4">
      <c r="B122" s="32">
        <f t="shared" si="3"/>
        <v>108</v>
      </c>
      <c r="C122" s="33"/>
      <c r="D122" s="30"/>
      <c r="E122" s="65"/>
      <c r="F122" s="30" t="s">
        <v>190</v>
      </c>
      <c r="G122" s="34"/>
      <c r="H122" s="8"/>
      <c r="I122" s="5"/>
      <c r="J122" s="6"/>
      <c r="K122" s="7">
        <v>46210</v>
      </c>
      <c r="L122" s="5" t="s">
        <v>117</v>
      </c>
      <c r="M122" s="5" t="s">
        <v>78</v>
      </c>
      <c r="N122" s="35"/>
      <c r="O122" s="36"/>
      <c r="P122" s="37"/>
      <c r="Q122" s="38"/>
      <c r="R122" s="37"/>
      <c r="S122" s="32"/>
    </row>
    <row r="123" spans="2:19" s="31" customFormat="1" ht="19.5" customHeight="1" x14ac:dyDescent="0.4">
      <c r="B123" s="32">
        <f t="shared" si="3"/>
        <v>109</v>
      </c>
      <c r="C123" s="33"/>
      <c r="D123" s="30"/>
      <c r="E123" s="65" t="s">
        <v>94</v>
      </c>
      <c r="F123" s="30" t="s">
        <v>194</v>
      </c>
      <c r="G123" s="34"/>
      <c r="H123" s="8"/>
      <c r="I123" s="5"/>
      <c r="J123" s="6"/>
      <c r="K123" s="7">
        <v>46210</v>
      </c>
      <c r="L123" s="5" t="s">
        <v>117</v>
      </c>
      <c r="M123" s="5" t="s">
        <v>78</v>
      </c>
      <c r="N123" s="35"/>
      <c r="O123" s="36"/>
      <c r="P123" s="37"/>
      <c r="Q123" s="38"/>
      <c r="R123" s="37"/>
      <c r="S123" s="32"/>
    </row>
    <row r="124" spans="2:19" s="31" customFormat="1" ht="19.5" customHeight="1" x14ac:dyDescent="0.4">
      <c r="B124" s="32">
        <f t="shared" si="3"/>
        <v>110</v>
      </c>
      <c r="C124" s="33"/>
      <c r="D124" s="30"/>
      <c r="E124" s="65"/>
      <c r="F124" s="30" t="s">
        <v>193</v>
      </c>
      <c r="G124" s="34"/>
      <c r="H124" s="8"/>
      <c r="I124" s="5"/>
      <c r="J124" s="6"/>
      <c r="K124" s="7">
        <v>46210</v>
      </c>
      <c r="L124" s="5" t="s">
        <v>117</v>
      </c>
      <c r="M124" s="5" t="s">
        <v>78</v>
      </c>
      <c r="N124" s="35"/>
      <c r="O124" s="36"/>
      <c r="P124" s="37"/>
      <c r="Q124" s="38"/>
      <c r="R124" s="37"/>
      <c r="S124" s="32"/>
    </row>
    <row r="125" spans="2:19" s="31" customFormat="1" ht="19.5" customHeight="1" x14ac:dyDescent="0.4">
      <c r="B125" s="32">
        <f t="shared" si="3"/>
        <v>111</v>
      </c>
      <c r="C125" s="33"/>
      <c r="D125" s="30"/>
      <c r="E125" s="65"/>
      <c r="F125" s="30" t="s">
        <v>195</v>
      </c>
      <c r="G125" s="34"/>
      <c r="H125" s="8"/>
      <c r="I125" s="5"/>
      <c r="J125" s="6"/>
      <c r="K125" s="7">
        <v>46210</v>
      </c>
      <c r="L125" s="5" t="s">
        <v>117</v>
      </c>
      <c r="M125" s="5" t="s">
        <v>78</v>
      </c>
      <c r="N125" s="35"/>
      <c r="O125" s="36"/>
      <c r="P125" s="37"/>
      <c r="Q125" s="38"/>
      <c r="R125" s="37"/>
      <c r="S125" s="32"/>
    </row>
    <row r="126" spans="2:19" s="31" customFormat="1" ht="19.5" customHeight="1" x14ac:dyDescent="0.4">
      <c r="B126" s="32">
        <f t="shared" si="3"/>
        <v>112</v>
      </c>
      <c r="C126" s="33"/>
      <c r="D126" s="30"/>
      <c r="E126" s="65"/>
      <c r="F126" s="30" t="s">
        <v>196</v>
      </c>
      <c r="G126" s="34"/>
      <c r="H126" s="8"/>
      <c r="I126" s="5"/>
      <c r="J126" s="6"/>
      <c r="K126" s="7">
        <v>46210</v>
      </c>
      <c r="L126" s="5" t="s">
        <v>117</v>
      </c>
      <c r="M126" s="5" t="s">
        <v>78</v>
      </c>
      <c r="N126" s="35"/>
      <c r="O126" s="36"/>
      <c r="P126" s="37"/>
      <c r="Q126" s="38"/>
      <c r="R126" s="37"/>
      <c r="S126" s="32"/>
    </row>
    <row r="127" spans="2:19" s="31" customFormat="1" ht="19.5" customHeight="1" x14ac:dyDescent="0.4">
      <c r="B127" s="32">
        <f t="shared" si="3"/>
        <v>113</v>
      </c>
      <c r="C127" s="33"/>
      <c r="D127" s="30"/>
      <c r="E127" s="64"/>
      <c r="F127" s="30" t="s">
        <v>197</v>
      </c>
      <c r="G127" s="34"/>
      <c r="H127" s="8"/>
      <c r="I127" s="5"/>
      <c r="J127" s="6"/>
      <c r="K127" s="7">
        <v>46210</v>
      </c>
      <c r="L127" s="5" t="s">
        <v>117</v>
      </c>
      <c r="M127" s="5" t="s">
        <v>78</v>
      </c>
      <c r="N127" s="35"/>
      <c r="O127" s="36"/>
      <c r="P127" s="37"/>
      <c r="Q127" s="38"/>
      <c r="R127" s="37"/>
      <c r="S127" s="32"/>
    </row>
  </sheetData>
  <phoneticPr fontId="2"/>
  <dataValidations count="4">
    <dataValidation type="list" allowBlank="1" showInputMessage="1" showErrorMessage="1" sqref="O15:O127" xr:uid="{00000000-0002-0000-0300-000001000000}">
      <formula1>$V$2:$V$15</formula1>
    </dataValidation>
    <dataValidation type="list" allowBlank="1" showInputMessage="1" showErrorMessage="1" sqref="M15:M127" xr:uid="{00000000-0002-0000-0300-000003000000}">
      <formula1>"〇,×"</formula1>
    </dataValidation>
    <dataValidation type="list" allowBlank="1" showInputMessage="1" showErrorMessage="1" sqref="Q15:Q127" xr:uid="{00000000-0002-0000-0300-000002000000}">
      <formula1>"した,する,しない"</formula1>
    </dataValidation>
    <dataValidation type="list" allowBlank="1" showInputMessage="1" showErrorMessage="1" sqref="I15:I127" xr:uid="{00000000-0002-0000-0300-000000000000}">
      <formula1>"正常,異常"</formula1>
    </dataValidation>
  </dataValidations>
  <hyperlinks>
    <hyperlink ref="F85" r:id="rId1" xr:uid="{08036547-1615-43BD-8648-A08EAF118176}"/>
    <hyperlink ref="F119" r:id="rId2" xr:uid="{005816FD-C6CA-4B64-85DA-F213BC9DA704}"/>
  </hyperlinks>
  <pageMargins left="0.23622047244094491" right="0.23622047244094491" top="0.74803149606299213" bottom="0.74803149606299213" header="0.31496062992125984" footer="0.31496062992125984"/>
  <pageSetup paperSize="9" scale="34" fitToHeight="0" orientation="portrait" horizontalDpi="4294967293" r:id="rId3"/>
  <headerFooter>
    <oddHeader>&amp;L&amp;F&amp;R&amp;A</oddHead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F050-A389-4FC5-8D72-2118F9A28D24}">
  <dimension ref="A2:D1183"/>
  <sheetViews>
    <sheetView topLeftCell="A225" workbookViewId="0">
      <selection activeCell="X245" sqref="X245"/>
    </sheetView>
  </sheetViews>
  <sheetFormatPr defaultColWidth="2.625" defaultRowHeight="13.5" x14ac:dyDescent="0.4"/>
  <cols>
    <col min="1" max="1" width="4.5" style="48" bestFit="1" customWidth="1"/>
    <col min="2" max="2" width="15.25" style="48" customWidth="1"/>
    <col min="3" max="3" width="15.375" style="48" customWidth="1"/>
    <col min="4" max="4" width="24.125" style="48" customWidth="1"/>
    <col min="5" max="16384" width="2.625" style="48"/>
  </cols>
  <sheetData>
    <row r="2" spans="1:1" x14ac:dyDescent="0.4">
      <c r="A2" s="48" t="s">
        <v>79</v>
      </c>
    </row>
    <row r="13" spans="1:1" x14ac:dyDescent="0.4">
      <c r="A13" s="48" t="s">
        <v>119</v>
      </c>
    </row>
    <row r="29" spans="1:1" x14ac:dyDescent="0.4">
      <c r="A29" s="48" t="s">
        <v>138</v>
      </c>
    </row>
    <row r="61" spans="1:1" x14ac:dyDescent="0.4">
      <c r="A61" s="48">
        <v>23</v>
      </c>
    </row>
    <row r="69" spans="1:2" x14ac:dyDescent="0.4">
      <c r="A69" s="48">
        <v>24</v>
      </c>
    </row>
    <row r="74" spans="1:2" x14ac:dyDescent="0.4">
      <c r="A74" s="48" t="s">
        <v>142</v>
      </c>
    </row>
    <row r="75" spans="1:2" x14ac:dyDescent="0.4">
      <c r="B75" s="48" t="s">
        <v>141</v>
      </c>
    </row>
    <row r="89" spans="2:2" x14ac:dyDescent="0.4">
      <c r="B89" s="48" t="s">
        <v>143</v>
      </c>
    </row>
    <row r="128" spans="1:1" x14ac:dyDescent="0.4">
      <c r="A128" s="48">
        <v>39</v>
      </c>
    </row>
    <row r="137" spans="1:1" x14ac:dyDescent="0.4">
      <c r="A137" s="48">
        <v>42</v>
      </c>
    </row>
    <row r="140" spans="1:1" x14ac:dyDescent="0.4">
      <c r="A140" s="48">
        <v>43</v>
      </c>
    </row>
    <row r="143" spans="1:1" x14ac:dyDescent="0.4">
      <c r="A143" s="48">
        <v>44</v>
      </c>
    </row>
    <row r="146" spans="1:4" x14ac:dyDescent="0.4">
      <c r="A146" s="48" t="s">
        <v>186</v>
      </c>
    </row>
    <row r="147" spans="1:4" x14ac:dyDescent="0.4">
      <c r="B147" s="48" t="s">
        <v>183</v>
      </c>
    </row>
    <row r="148" spans="1:4" ht="15.75" x14ac:dyDescent="0.4">
      <c r="B148" s="68" t="s">
        <v>95</v>
      </c>
      <c r="C148" s="74">
        <v>108</v>
      </c>
      <c r="D148" s="74">
        <v>108</v>
      </c>
    </row>
    <row r="149" spans="1:4" ht="15.75" x14ac:dyDescent="0.4">
      <c r="B149" s="68" t="s">
        <v>80</v>
      </c>
      <c r="C149" s="75" t="s">
        <v>179</v>
      </c>
      <c r="D149" s="75" t="s">
        <v>179</v>
      </c>
    </row>
    <row r="150" spans="1:4" ht="15.75" x14ac:dyDescent="0.4">
      <c r="B150" s="68" t="s">
        <v>81</v>
      </c>
      <c r="C150" s="75" t="s">
        <v>180</v>
      </c>
      <c r="D150" s="75" t="s">
        <v>180</v>
      </c>
    </row>
    <row r="151" spans="1:4" ht="15.75" x14ac:dyDescent="0.4">
      <c r="B151" s="68" t="s">
        <v>96</v>
      </c>
      <c r="C151" s="75" t="s">
        <v>181</v>
      </c>
      <c r="D151" s="75" t="s">
        <v>181</v>
      </c>
    </row>
    <row r="152" spans="1:4" ht="15.75" x14ac:dyDescent="0.4">
      <c r="B152" s="68" t="s">
        <v>97</v>
      </c>
      <c r="C152" s="75"/>
      <c r="D152" s="75"/>
    </row>
    <row r="153" spans="1:4" ht="15.75" x14ac:dyDescent="0.4">
      <c r="B153" s="68" t="s">
        <v>82</v>
      </c>
      <c r="C153" s="75" t="s">
        <v>107</v>
      </c>
      <c r="D153" s="75" t="s">
        <v>184</v>
      </c>
    </row>
    <row r="154" spans="1:4" ht="15.75" x14ac:dyDescent="0.4">
      <c r="B154" s="68" t="s">
        <v>83</v>
      </c>
      <c r="C154" s="77" t="b">
        <v>1</v>
      </c>
      <c r="D154" s="77" t="b">
        <v>1</v>
      </c>
    </row>
    <row r="155" spans="1:4" ht="15.75" x14ac:dyDescent="0.4">
      <c r="B155" s="68" t="s">
        <v>98</v>
      </c>
      <c r="C155" s="77" t="b">
        <v>1</v>
      </c>
      <c r="D155" s="77" t="b">
        <v>1</v>
      </c>
    </row>
    <row r="156" spans="1:4" ht="31.5" x14ac:dyDescent="0.4">
      <c r="B156" s="68" t="s">
        <v>84</v>
      </c>
      <c r="C156" s="77" t="b">
        <v>0</v>
      </c>
      <c r="D156" s="77" t="b">
        <v>0</v>
      </c>
    </row>
    <row r="157" spans="1:4" ht="15.75" x14ac:dyDescent="0.4">
      <c r="B157" s="68" t="s">
        <v>99</v>
      </c>
      <c r="C157" s="77" t="b">
        <v>0</v>
      </c>
      <c r="D157" s="77" t="b">
        <v>0</v>
      </c>
    </row>
    <row r="158" spans="1:4" ht="15.75" x14ac:dyDescent="0.4">
      <c r="B158" s="68" t="s">
        <v>85</v>
      </c>
      <c r="C158" s="77" t="b">
        <v>1</v>
      </c>
      <c r="D158" s="77" t="b">
        <v>1</v>
      </c>
    </row>
    <row r="159" spans="1:4" ht="15.75" x14ac:dyDescent="0.4">
      <c r="B159" s="68" t="s">
        <v>86</v>
      </c>
      <c r="C159" s="77" t="b">
        <v>1</v>
      </c>
      <c r="D159" s="77" t="b">
        <v>1</v>
      </c>
    </row>
    <row r="160" spans="1:4" ht="15.75" x14ac:dyDescent="0.4">
      <c r="B160" s="68" t="s">
        <v>100</v>
      </c>
      <c r="C160" s="77" t="b">
        <v>0</v>
      </c>
      <c r="D160" s="77" t="b">
        <v>0</v>
      </c>
    </row>
    <row r="161" spans="1:4" ht="15.75" x14ac:dyDescent="0.4">
      <c r="B161" s="68" t="s">
        <v>101</v>
      </c>
      <c r="C161" s="77" t="b">
        <v>1</v>
      </c>
      <c r="D161" s="77" t="b">
        <v>1</v>
      </c>
    </row>
    <row r="162" spans="1:4" ht="15.75" x14ac:dyDescent="0.4">
      <c r="B162" s="68" t="s">
        <v>87</v>
      </c>
      <c r="C162" s="78">
        <v>46103.375</v>
      </c>
      <c r="D162" s="78">
        <v>46103.375</v>
      </c>
    </row>
    <row r="163" spans="1:4" ht="15.75" x14ac:dyDescent="0.4">
      <c r="B163" s="68" t="s">
        <v>88</v>
      </c>
      <c r="C163" s="73" t="s">
        <v>108</v>
      </c>
      <c r="D163" s="76">
        <v>46210.664590405089</v>
      </c>
    </row>
    <row r="164" spans="1:4" ht="15.75" x14ac:dyDescent="0.4">
      <c r="B164" s="68" t="s">
        <v>89</v>
      </c>
      <c r="C164" s="73" t="s">
        <v>108</v>
      </c>
      <c r="D164" s="76">
        <v>46240.664590405089</v>
      </c>
    </row>
    <row r="165" spans="1:4" ht="31.5" x14ac:dyDescent="0.4">
      <c r="B165" s="68" t="s">
        <v>102</v>
      </c>
      <c r="C165" s="73" t="s">
        <v>108</v>
      </c>
      <c r="D165" s="74">
        <v>100</v>
      </c>
    </row>
    <row r="166" spans="1:4" ht="31.5" x14ac:dyDescent="0.4">
      <c r="B166" s="68" t="s">
        <v>103</v>
      </c>
      <c r="C166" s="73" t="s">
        <v>108</v>
      </c>
      <c r="D166" s="74">
        <v>10</v>
      </c>
    </row>
    <row r="167" spans="1:4" ht="31.5" x14ac:dyDescent="0.4">
      <c r="B167" s="68" t="s">
        <v>104</v>
      </c>
      <c r="C167" s="73" t="s">
        <v>108</v>
      </c>
      <c r="D167" s="74">
        <v>5</v>
      </c>
    </row>
    <row r="168" spans="1:4" ht="12" customHeight="1" x14ac:dyDescent="0.4">
      <c r="B168" s="68" t="s">
        <v>105</v>
      </c>
      <c r="C168" s="75" t="s">
        <v>182</v>
      </c>
      <c r="D168" s="75" t="s">
        <v>182</v>
      </c>
    </row>
    <row r="169" spans="1:4" ht="15.75" x14ac:dyDescent="0.4">
      <c r="B169" s="68" t="s">
        <v>106</v>
      </c>
      <c r="C169" s="73" t="s">
        <v>108</v>
      </c>
      <c r="D169" s="75" t="s">
        <v>185</v>
      </c>
    </row>
    <row r="171" spans="1:4" x14ac:dyDescent="0.4">
      <c r="A171" s="48">
        <v>69</v>
      </c>
    </row>
    <row r="182" spans="1:1" x14ac:dyDescent="0.4">
      <c r="A182" s="48" t="s">
        <v>198</v>
      </c>
    </row>
    <row r="214" spans="1:1" x14ac:dyDescent="0.4">
      <c r="A214" s="48" t="s">
        <v>201</v>
      </c>
    </row>
    <row r="223" spans="1:1" x14ac:dyDescent="0.4">
      <c r="A223" s="48">
        <v>103</v>
      </c>
    </row>
    <row r="244" spans="1:1" x14ac:dyDescent="0.4">
      <c r="A244" s="48" t="s">
        <v>202</v>
      </c>
    </row>
    <row r="581" spans="1:1" x14ac:dyDescent="0.4">
      <c r="A581" s="66"/>
    </row>
    <row r="593" spans="1:1" x14ac:dyDescent="0.4">
      <c r="A593" s="66"/>
    </row>
    <row r="598" spans="1:1" x14ac:dyDescent="0.4">
      <c r="A598" s="66"/>
    </row>
    <row r="605" spans="1:1" x14ac:dyDescent="0.4">
      <c r="A605" s="66"/>
    </row>
    <row r="610" spans="1:1" x14ac:dyDescent="0.4">
      <c r="A610" s="66"/>
    </row>
    <row r="624" spans="1:1" x14ac:dyDescent="0.4">
      <c r="A624" s="66"/>
    </row>
    <row r="673" spans="1:4" x14ac:dyDescent="0.4">
      <c r="A673" s="67"/>
      <c r="B673" s="67"/>
      <c r="C673" s="67"/>
      <c r="D673" s="67"/>
    </row>
    <row r="674" spans="1:4" x14ac:dyDescent="0.4">
      <c r="A674" s="67"/>
      <c r="B674" s="67"/>
      <c r="C674" s="67"/>
      <c r="D674" s="67"/>
    </row>
    <row r="675" spans="1:4" ht="15.75" x14ac:dyDescent="0.4">
      <c r="A675" s="67"/>
      <c r="B675" s="68"/>
      <c r="C675" s="68"/>
      <c r="D675" s="69"/>
    </row>
    <row r="676" spans="1:4" ht="15.75" x14ac:dyDescent="0.4">
      <c r="A676" s="67"/>
      <c r="B676" s="68"/>
      <c r="C676" s="68"/>
      <c r="D676" s="70"/>
    </row>
    <row r="677" spans="1:4" ht="15.75" x14ac:dyDescent="0.4">
      <c r="A677" s="67"/>
      <c r="B677" s="68"/>
      <c r="C677" s="68"/>
      <c r="D677" s="70"/>
    </row>
    <row r="678" spans="1:4" ht="15.75" x14ac:dyDescent="0.4">
      <c r="A678" s="67"/>
      <c r="B678" s="68"/>
      <c r="C678" s="68"/>
      <c r="D678" s="70"/>
    </row>
    <row r="679" spans="1:4" ht="15.75" x14ac:dyDescent="0.4">
      <c r="A679" s="67"/>
      <c r="B679" s="68"/>
      <c r="C679" s="68"/>
      <c r="D679" s="70"/>
    </row>
    <row r="680" spans="1:4" ht="15.75" x14ac:dyDescent="0.4">
      <c r="A680" s="67"/>
      <c r="B680" s="68"/>
      <c r="C680" s="68"/>
      <c r="D680" s="70"/>
    </row>
    <row r="681" spans="1:4" ht="15.75" x14ac:dyDescent="0.4">
      <c r="A681" s="67"/>
      <c r="B681" s="68"/>
      <c r="C681" s="68"/>
      <c r="D681" s="71"/>
    </row>
    <row r="682" spans="1:4" ht="15.75" x14ac:dyDescent="0.4">
      <c r="A682" s="67"/>
      <c r="B682" s="68"/>
      <c r="C682" s="68"/>
      <c r="D682" s="71"/>
    </row>
    <row r="683" spans="1:4" ht="15.75" x14ac:dyDescent="0.4">
      <c r="A683" s="67"/>
      <c r="B683" s="68"/>
      <c r="C683" s="68"/>
      <c r="D683" s="71"/>
    </row>
    <row r="684" spans="1:4" ht="15.75" x14ac:dyDescent="0.4">
      <c r="A684" s="67"/>
      <c r="B684" s="68"/>
      <c r="C684" s="68"/>
      <c r="D684" s="71"/>
    </row>
    <row r="685" spans="1:4" ht="15.75" x14ac:dyDescent="0.4">
      <c r="A685" s="67"/>
      <c r="B685" s="68"/>
      <c r="C685" s="68"/>
      <c r="D685" s="71"/>
    </row>
    <row r="686" spans="1:4" ht="15.75" x14ac:dyDescent="0.4">
      <c r="A686" s="67"/>
      <c r="B686" s="68"/>
      <c r="C686" s="68"/>
      <c r="D686" s="71"/>
    </row>
    <row r="687" spans="1:4" ht="15.75" x14ac:dyDescent="0.4">
      <c r="A687" s="67"/>
      <c r="B687" s="68"/>
      <c r="C687" s="68"/>
      <c r="D687" s="71"/>
    </row>
    <row r="688" spans="1:4" ht="15.75" x14ac:dyDescent="0.4">
      <c r="A688" s="67"/>
      <c r="B688" s="68"/>
      <c r="C688" s="68"/>
      <c r="D688" s="71"/>
    </row>
    <row r="689" spans="1:4" ht="15.75" x14ac:dyDescent="0.4">
      <c r="A689" s="67"/>
      <c r="B689" s="68"/>
      <c r="C689" s="68"/>
      <c r="D689" s="72"/>
    </row>
    <row r="690" spans="1:4" ht="15.75" x14ac:dyDescent="0.4">
      <c r="A690" s="67"/>
      <c r="B690" s="68"/>
      <c r="C690" s="68"/>
      <c r="D690" s="73"/>
    </row>
    <row r="691" spans="1:4" ht="15.75" x14ac:dyDescent="0.4">
      <c r="A691" s="67"/>
      <c r="B691" s="68"/>
      <c r="C691" s="68"/>
      <c r="D691" s="73"/>
    </row>
    <row r="692" spans="1:4" ht="15.75" x14ac:dyDescent="0.4">
      <c r="A692" s="67"/>
      <c r="B692" s="68"/>
      <c r="C692" s="68"/>
      <c r="D692" s="73"/>
    </row>
    <row r="693" spans="1:4" ht="15.75" x14ac:dyDescent="0.4">
      <c r="A693" s="67"/>
      <c r="B693" s="68"/>
      <c r="C693" s="68"/>
      <c r="D693" s="73"/>
    </row>
    <row r="694" spans="1:4" ht="15.75" x14ac:dyDescent="0.4">
      <c r="A694" s="67"/>
      <c r="B694" s="68"/>
      <c r="C694" s="68"/>
      <c r="D694" s="73"/>
    </row>
    <row r="695" spans="1:4" ht="15.75" x14ac:dyDescent="0.4">
      <c r="A695" s="67"/>
      <c r="B695" s="68"/>
      <c r="C695" s="68"/>
      <c r="D695" s="70"/>
    </row>
    <row r="696" spans="1:4" ht="15.75" x14ac:dyDescent="0.4">
      <c r="A696" s="67"/>
      <c r="B696" s="68"/>
      <c r="C696" s="68"/>
      <c r="D696" s="73"/>
    </row>
    <row r="699" spans="1:4" ht="15.75" x14ac:dyDescent="0.4">
      <c r="B699" s="68"/>
      <c r="C699" s="68"/>
      <c r="D699" s="74"/>
    </row>
    <row r="700" spans="1:4" ht="15.75" x14ac:dyDescent="0.4">
      <c r="B700" s="68"/>
      <c r="C700" s="68"/>
      <c r="D700" s="74"/>
    </row>
    <row r="701" spans="1:4" ht="15.75" x14ac:dyDescent="0.4">
      <c r="B701" s="68"/>
      <c r="C701" s="68"/>
      <c r="D701" s="75"/>
    </row>
    <row r="702" spans="1:4" ht="15.75" x14ac:dyDescent="0.4">
      <c r="B702" s="68"/>
      <c r="C702" s="68"/>
      <c r="D702" s="75"/>
    </row>
    <row r="788" spans="1:1" x14ac:dyDescent="0.4">
      <c r="A788" s="66"/>
    </row>
    <row r="823" spans="1:1" x14ac:dyDescent="0.4">
      <c r="A823" s="66"/>
    </row>
    <row r="858" spans="1:1" x14ac:dyDescent="0.4">
      <c r="A858" s="66"/>
    </row>
    <row r="890" spans="1:1" x14ac:dyDescent="0.4">
      <c r="A890" s="66"/>
    </row>
    <row r="981" spans="2:4" ht="15.75" x14ac:dyDescent="0.4">
      <c r="B981" s="68"/>
      <c r="C981" s="68"/>
      <c r="D981" s="74"/>
    </row>
    <row r="982" spans="2:4" ht="15.75" x14ac:dyDescent="0.4">
      <c r="B982" s="68"/>
      <c r="C982" s="68"/>
      <c r="D982" s="75"/>
    </row>
    <row r="983" spans="2:4" ht="15.75" x14ac:dyDescent="0.4">
      <c r="B983" s="68"/>
      <c r="C983" s="68"/>
      <c r="D983" s="75"/>
    </row>
    <row r="984" spans="2:4" ht="15.75" x14ac:dyDescent="0.4">
      <c r="B984" s="68"/>
      <c r="C984" s="68"/>
      <c r="D984" s="75"/>
    </row>
    <row r="985" spans="2:4" ht="15.75" x14ac:dyDescent="0.4">
      <c r="B985" s="68"/>
      <c r="C985" s="68"/>
      <c r="D985" s="75"/>
    </row>
    <row r="986" spans="2:4" ht="15.75" x14ac:dyDescent="0.4">
      <c r="B986" s="68"/>
      <c r="C986" s="68"/>
      <c r="D986" s="76"/>
    </row>
    <row r="987" spans="2:4" ht="15.75" x14ac:dyDescent="0.4">
      <c r="B987" s="68"/>
      <c r="C987" s="68"/>
      <c r="D987" s="75"/>
    </row>
    <row r="1000" spans="1:4" ht="15.75" x14ac:dyDescent="0.4">
      <c r="B1000" s="68"/>
      <c r="C1000" s="68"/>
      <c r="D1000" s="74"/>
    </row>
    <row r="1001" spans="1:4" ht="15.75" x14ac:dyDescent="0.4">
      <c r="B1001" s="68"/>
      <c r="C1001" s="68"/>
      <c r="D1001" s="75"/>
    </row>
    <row r="1002" spans="1:4" ht="15.75" x14ac:dyDescent="0.4">
      <c r="B1002" s="68"/>
      <c r="C1002" s="68"/>
      <c r="D1002" s="75"/>
    </row>
    <row r="1003" spans="1:4" ht="15.75" x14ac:dyDescent="0.4">
      <c r="B1003" s="68"/>
      <c r="C1003" s="68"/>
      <c r="D1003" s="75"/>
    </row>
    <row r="1004" spans="1:4" ht="15.75" x14ac:dyDescent="0.4">
      <c r="B1004" s="68"/>
      <c r="C1004" s="68"/>
      <c r="D1004" s="75"/>
    </row>
    <row r="1005" spans="1:4" ht="15.75" x14ac:dyDescent="0.4">
      <c r="B1005" s="68"/>
      <c r="C1005" s="68"/>
      <c r="D1005" s="76"/>
    </row>
    <row r="1006" spans="1:4" ht="15.75" x14ac:dyDescent="0.4">
      <c r="B1006" s="68"/>
      <c r="C1006" s="68"/>
      <c r="D1006" s="75"/>
    </row>
    <row r="1008" spans="1:4" x14ac:dyDescent="0.4">
      <c r="A1008" s="66"/>
    </row>
    <row r="1183" spans="1:1" x14ac:dyDescent="0.4">
      <c r="A1183" s="66"/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7</vt:i4>
      </vt:variant>
    </vt:vector>
  </HeadingPairs>
  <TitlesOfParts>
    <vt:vector size="10" baseType="lpstr">
      <vt:lpstr>指標</vt:lpstr>
      <vt:lpstr>単体試験仕様書兼結果報告書</vt:lpstr>
      <vt:lpstr>エビデンス</vt:lpstr>
      <vt:lpstr>単体試験仕様書兼結果報告書!Print_Area</vt:lpstr>
      <vt:lpstr>チェック対象</vt:lpstr>
      <vt:lpstr>係数修正</vt:lpstr>
      <vt:lpstr>係数新規</vt:lpstr>
      <vt:lpstr>係数流用</vt:lpstr>
      <vt:lpstr>誤り件数</vt:lpstr>
      <vt:lpstr>試験密度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kitabayashi</dc:creator>
  <cp:lastModifiedBy>榎本亮二</cp:lastModifiedBy>
  <cp:lastPrinted>2020-08-13T05:00:03Z</cp:lastPrinted>
  <dcterms:created xsi:type="dcterms:W3CDTF">2017-03-24T09:47:56Z</dcterms:created>
  <dcterms:modified xsi:type="dcterms:W3CDTF">2026-07-07T08:31:20Z</dcterms:modified>
</cp:coreProperties>
</file>